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tup" sheetId="1" state="visible" r:id="rId1"/>
    <sheet name="Checks" sheetId="2" state="visible" r:id="rId2"/>
    <sheet name="Papers" sheetId="3" state="visible" r:id="rId3"/>
    <sheet name="C_jama.2019.0556" sheetId="4" state="visible" r:id="rId4"/>
    <sheet name="C_jama.2019.10517" sheetId="5" state="visible" r:id="rId5"/>
    <sheet name="C_jama.2019.12618" sheetId="6" state="visible" r:id="rId6"/>
    <sheet name="C_jama.2019.14231" sheetId="7" state="visible" r:id="rId7"/>
    <sheet name="C_jama.2019.14630" sheetId="8" state="visible" r:id="rId8"/>
    <sheet name="C_jama.2019.14901" sheetId="9" state="visible" r:id="rId9"/>
    <sheet name="C_jama.2019.17380" sheetId="10" state="visible" r:id="rId10"/>
    <sheet name="C_jama.2019.2210" sheetId="11" state="visible" r:id="rId11"/>
    <sheet name="C_jama.2019.4755" sheetId="12" state="visible" r:id="rId12"/>
    <sheet name="C_jama.2019.7505" sheetId="13" state="visible" r:id="rId13"/>
    <sheet name="Codebook" sheetId="14" state="visible" r:id="rId14"/>
  </sheets>
  <definedNames>
    <definedName name="_xlnm._FilterDatabase" localSheetId="3" hidden="1">'C_jama.2019.0556'!$A$1:$R$12</definedName>
    <definedName name="_xlnm._FilterDatabase" localSheetId="4" hidden="1">'C_jama.2019.10517'!$A$1:$R$6</definedName>
    <definedName name="_xlnm._FilterDatabase" localSheetId="5" hidden="1">'C_jama.2019.12618'!$A$1:$R$11</definedName>
    <definedName name="_xlnm._FilterDatabase" localSheetId="6" hidden="1">'C_jama.2019.14231'!$A$1:$R$9</definedName>
    <definedName name="_xlnm._FilterDatabase" localSheetId="7" hidden="1">'C_jama.2019.14630'!$A$1:$R$10</definedName>
    <definedName name="_xlnm._FilterDatabase" localSheetId="8" hidden="1">'C_jama.2019.14901'!$A$1:$R$6</definedName>
    <definedName name="_xlnm._FilterDatabase" localSheetId="9" hidden="1">'C_jama.2019.17380'!$A$1:$R$19</definedName>
    <definedName name="_xlnm._FilterDatabase" localSheetId="10" hidden="1">'C_jama.2019.2210'!$A$1:$R$8</definedName>
    <definedName name="_xlnm._FilterDatabase" localSheetId="11" hidden="1">'C_jama.2019.4755'!$A$1:$R$2</definedName>
    <definedName name="_xlnm._FilterDatabase" localSheetId="12" hidden="1">'C_jama.2019.7505'!$A$1:$R$14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libri"/>
      <color rgb="FF173F57"/>
      <sz val="11"/>
    </font>
    <font>
      <name val="Calibri"/>
      <b val="1"/>
      <color rgb="FFFFFFFF"/>
      <sz val="11"/>
    </font>
    <font>
      <name val="Calibri"/>
      <color rgb="00173F57"/>
      <sz val="11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FF173F57"/>
      </patternFill>
    </fill>
    <fill>
      <patternFill patternType="solid">
        <fgColor rgb="FFF4F8FA"/>
      </patternFill>
    </fill>
    <fill>
      <patternFill patternType="solid">
        <fgColor rgb="FFFFF2CC"/>
      </patternFill>
    </fill>
    <fill>
      <patternFill patternType="solid">
        <fgColor rgb="FFEAF3FC"/>
      </patternFill>
    </fill>
    <fill>
      <patternFill patternType="solid">
        <fgColor rgb="00173F57"/>
      </patternFill>
    </fill>
    <fill>
      <patternFill patternType="solid">
        <fgColor rgb="00F4F8FA"/>
      </patternFill>
    </fill>
    <fill>
      <patternFill patternType="solid">
        <fgColor rgb="00FFF2CC"/>
      </patternFill>
    </fill>
    <fill>
      <patternFill patternType="solid">
        <fgColor rgb="00EAF3FC"/>
      </patternFill>
    </fill>
  </fills>
  <borders count="1">
    <border/>
  </borders>
  <cellStyleXfs count="1">
    <xf numFmtId="0" fontId="0" fillId="0" borderId="0" applyProtection="1">
      <protection locked="0" hidden="0"/>
    </xf>
  </cellStyleXfs>
  <cellXfs count="25"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1" fillId="2" borderId="0" applyAlignment="1" applyProtection="1" pivotButton="0" quotePrefix="0" xfId="0">
      <alignment vertical="center" wrapText="1"/>
      <protection locked="0" hidden="0"/>
    </xf>
    <xf numFmtId="0" fontId="2" fillId="2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4" borderId="0" applyAlignment="1" applyProtection="1" pivotButton="0" quotePrefix="0" xfId="0">
      <alignment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5" borderId="0" applyAlignment="1" applyProtection="1" pivotButton="0" quotePrefix="0" xfId="0">
      <alignment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4" fillId="6" borderId="0" applyAlignment="1" applyProtection="1" pivotButton="0" quotePrefix="0" xfId="0">
      <alignment vertical="center" wrapText="1"/>
      <protection locked="0" hidden="0"/>
    </xf>
    <xf numFmtId="0" fontId="3" fillId="7" borderId="0" applyAlignment="1" applyProtection="1" pivotButton="0" quotePrefix="0" xfId="0">
      <alignment vertical="center" wrapText="1"/>
      <protection locked="0" hidden="0"/>
    </xf>
    <xf numFmtId="0" fontId="3" fillId="0" borderId="0" applyAlignment="1" applyProtection="1" pivotButton="0" quotePrefix="0" xfId="0">
      <alignment vertical="center" wrapText="1"/>
      <protection locked="0" hidden="0"/>
    </xf>
    <xf numFmtId="0" fontId="3" fillId="8" borderId="0" applyAlignment="1" applyProtection="1" pivotButton="0" quotePrefix="0" xfId="0">
      <alignment vertical="center" wrapText="1"/>
      <protection locked="0" hidden="0"/>
    </xf>
    <xf numFmtId="0" fontId="2" fillId="2" borderId="0" applyAlignment="1" applyProtection="1" pivotButton="0" quotePrefix="0" xfId="0">
      <alignment vertical="center" wrapText="1"/>
      <protection locked="0" hidden="0"/>
    </xf>
    <xf numFmtId="0" fontId="1" fillId="3" borderId="0" applyAlignment="1" applyProtection="1" pivotButton="0" quotePrefix="0" xfId="0">
      <alignment vertical="center" wrapText="1"/>
      <protection locked="0" hidden="0"/>
    </xf>
    <xf numFmtId="0" fontId="1" fillId="8" borderId="0" applyAlignment="1" applyProtection="1" pivotButton="0" quotePrefix="0" xfId="0">
      <alignment vertical="center" wrapText="1"/>
      <protection locked="0" hidden="0"/>
    </xf>
    <xf numFmtId="0" fontId="1" fillId="9" borderId="0" applyAlignment="1" applyProtection="1" pivotButton="0" quotePrefix="0" xfId="0">
      <alignment vertical="center" wrapText="1"/>
      <protection locked="0" hidden="0"/>
    </xf>
    <xf numFmtId="0" fontId="1" fillId="4" borderId="0" applyAlignment="1" applyProtection="1" pivotButton="0" quotePrefix="0" xfId="0">
      <alignment vertical="center" wrapText="1"/>
      <protection locked="0" hidden="0"/>
    </xf>
    <xf numFmtId="0" fontId="1" fillId="0" borderId="0" applyAlignment="1" applyProtection="1" pivotButton="0" quotePrefix="0" xfId="0">
      <alignment vertical="center" wrapText="1"/>
      <protection locked="0" hidden="0"/>
    </xf>
  </cellXfs>
  <cellStyles count="1">
    <cellStyle name="Normal" xfId="0"/>
  </cellStyles>
  <dxfs count="72"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9C0006"/>
      </font>
      <fill>
        <patternFill patternType="solid">
          <bgColor rgb="FFFFF2CC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FF687783"/>
      </font>
      <fill>
        <patternFill patternType="solid">
          <bgColor rgb="FFEDF2F5"/>
        </patternFill>
      </fill>
    </dxf>
    <dxf>
      <font>
        <color rgb="00687783"/>
      </font>
      <fill>
        <patternFill patternType="solid">
          <fgColor rgb="00EDF2F5"/>
        </patternFill>
      </fill>
    </dxf>
    <dxf>
      <font>
        <color rgb="009C0006"/>
      </font>
      <fill>
        <patternFill patternType="solid">
          <fgColor rgb="00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14" min="1" max="1"/>
    <col width="65" customWidth="1" style="14" min="2" max="2"/>
  </cols>
  <sheetData>
    <row r="1" ht="42" customFormat="1" customHeight="1" s="14">
      <c r="A1" s="15" t="inlineStr">
        <is>
          <t>Field</t>
        </is>
      </c>
      <c r="B1" s="15" t="inlineStr">
        <is>
          <t>Value</t>
        </is>
      </c>
    </row>
    <row r="2" ht="42" customFormat="1" customHeight="1" s="14">
      <c r="A2" s="16" t="inlineStr">
        <is>
          <t>reviewerId</t>
        </is>
      </c>
      <c r="B2" s="18" t="n"/>
    </row>
    <row r="3" ht="42" customFormat="1" customHeight="1" s="14">
      <c r="A3" s="17" t="inlineStr">
        <is>
          <t>reviewerName (optional)</t>
        </is>
      </c>
      <c r="B3" s="18" t="n"/>
    </row>
    <row r="4" ht="42" customFormat="1" customHeight="1" s="14">
      <c r="A4" s="16" t="inlineStr">
        <is>
          <t>reviewerRole</t>
        </is>
      </c>
      <c r="B4" s="16" t="inlineStr">
        <is>
          <t>R_B</t>
        </is>
      </c>
    </row>
    <row r="5" ht="42" customFormat="1" customHeight="1" s="14">
      <c r="A5" s="17" t="inlineStr">
        <is>
          <t>year</t>
        </is>
      </c>
      <c r="B5" s="17" t="n">
        <v>2019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5" customWidth="1" style="14" min="1" max="1"/>
    <col width="100" customWidth="1" style="14" min="2" max="2"/>
  </cols>
  <sheetData>
    <row r="1" ht="42" customFormat="1" customHeight="1" s="14">
      <c r="A1" s="15" t="inlineStr">
        <is>
          <t>Check</t>
        </is>
      </c>
      <c r="B1" s="15" t="inlineStr">
        <is>
          <t>Result</t>
        </is>
      </c>
    </row>
    <row r="2" ht="55" customFormat="1" customHeight="1" s="14">
      <c r="A2" s="16" t="inlineStr">
        <is>
          <t>Reviewer role</t>
        </is>
      </c>
      <c r="B2" s="16">
        <f>Setup!B4</f>
        <v/>
      </c>
    </row>
    <row r="3" ht="55" customFormat="1" customHeight="1" s="14">
      <c r="A3" s="17" t="inlineStr">
        <is>
          <t>Candidates</t>
        </is>
      </c>
      <c r="B3" s="17" t="n">
        <v>87</v>
      </c>
    </row>
    <row r="4" ht="55" customFormat="1" customHeight="1" s="14">
      <c r="A4" s="16" t="inlineStr">
        <is>
          <t>Primary ready rows</t>
        </is>
      </c>
      <c r="B4" s="16">
        <f>COUNTIF('C_jama.2019.0556'!$G$2:$G$12,"PRIMARY READY")+COUNTIF('C_jama.2019.10517'!$G$2:$G$6,"PRIMARY READY")+COUNTIF('C_jama.2019.12618'!$G$2:$G$11,"PRIMARY READY")+COUNTIF('C_jama.2019.14231'!$G$2:$G$9,"PRIMARY READY")+COUNTIF('C_jama.2019.14630'!$G$2:$G$10,"PRIMARY READY")+COUNTIF('C_jama.2019.14901'!$G$2:$G$6,"PRIMARY READY")+COUNTIF('C_jama.2019.17380'!$G$2:$G$19,"PRIMARY READY")+COUNTIF('C_jama.2019.2210'!$G$2:$G$8,"PRIMARY READY")+COUNTIF('C_jama.2019.4755'!$G$2:$G$2,"PRIMARY READY")+COUNTIF('C_jama.2019.7505'!$G$2:$G$14,"PRIMARY READY")</f>
        <v/>
      </c>
    </row>
    <row r="5" ht="55" customFormat="1" customHeight="1" s="14">
      <c r="A5" s="17" t="inlineStr">
        <is>
          <t>Discuss / unresolved rows</t>
        </is>
      </c>
      <c r="B5" s="17">
        <f>COUNTIF('C_jama.2019.0556'!$D$2:$D$12,"discuss")+COUNTIF('C_jama.2019.10517'!$D$2:$D$6,"discuss")+COUNTIF('C_jama.2019.12618'!$D$2:$D$11,"discuss")+COUNTIF('C_jama.2019.14231'!$D$2:$D$9,"discuss")+COUNTIF('C_jama.2019.14630'!$D$2:$D$10,"discuss")+COUNTIF('C_jama.2019.14901'!$D$2:$D$6,"discuss")+COUNTIF('C_jama.2019.17380'!$D$2:$D$19,"discuss")+COUNTIF('C_jama.2019.2210'!$D$2:$D$8,"discuss")+COUNTIF('C_jama.2019.4755'!$D$2:$D$2,"discuss")+COUNTIF('C_jama.2019.7505'!$D$2:$D$14,"discuss")</f>
        <v/>
      </c>
    </row>
    <row r="6" ht="55" customFormat="1" customHeight="1" s="14">
      <c r="A6" s="16" t="inlineStr">
        <is>
          <t>Unfinished rows</t>
        </is>
      </c>
      <c r="B6" s="16">
        <f>B3-B4</f>
        <v/>
      </c>
    </row>
    <row r="7" ht="55" customFormat="1" customHeight="1" s="14">
      <c r="A7" s="17" t="inlineStr">
        <is>
          <t>Workflow status</t>
        </is>
      </c>
      <c r="B7" s="17">
        <f>IF(B4=B3,"PRIMARY READY","ACTION NEEDED")</f>
        <v/>
      </c>
    </row>
    <row r="8" ht="55" customFormat="1" customHeight="1" s="14">
      <c r="A8" s="16" t="inlineStr">
        <is>
          <t>Meaning</t>
        </is>
      </c>
      <c r="B8" s="16" t="inlineStr">
        <is>
          <t>PRIMARY READY means independent entry is complete. Discuss remains unresolved and is not counted as absence of error.</t>
        </is>
      </c>
    </row>
    <row r="9" ht="55" customFormat="1" customHeight="1" s="14">
      <c r="A9" s="17" t="inlineStr">
        <is>
          <t>Next action</t>
        </is>
      </c>
      <c r="B9" s="17" t="inlineStr">
        <is>
          <t>Inspect G on the C_ sheets. Save and deliver this file after review.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style="14" min="1" max="1"/>
    <col width="38" customWidth="1" style="14" min="2" max="2"/>
    <col width="18" customWidth="1" style="14" min="3" max="3"/>
  </cols>
  <sheetData>
    <row r="1" ht="42" customFormat="1" customHeight="1" s="14">
      <c r="A1" s="15" t="inlineStr">
        <is>
          <t>Paper</t>
        </is>
      </c>
      <c r="B1" s="15" t="inlineStr">
        <is>
          <t>Review worksheet</t>
        </is>
      </c>
      <c r="C1" s="15" t="inlineStr">
        <is>
          <t>Candidates</t>
        </is>
      </c>
    </row>
    <row r="2" ht="36" customFormat="1" customHeight="1" s="14">
      <c r="A2" s="16" t="inlineStr">
        <is>
          <t>jama.2019.0556</t>
        </is>
      </c>
      <c r="B2" s="16" t="inlineStr">
        <is>
          <t>C_jama.2019.0556</t>
        </is>
      </c>
      <c r="C2" s="16" t="n">
        <v>11</v>
      </c>
    </row>
    <row r="3" ht="36" customFormat="1" customHeight="1" s="14">
      <c r="A3" s="17" t="inlineStr">
        <is>
          <t>jama.2019.10517</t>
        </is>
      </c>
      <c r="B3" s="17" t="inlineStr">
        <is>
          <t>C_jama.2019.10517</t>
        </is>
      </c>
      <c r="C3" s="17" t="n">
        <v>5</v>
      </c>
    </row>
    <row r="4" ht="36" customFormat="1" customHeight="1" s="14">
      <c r="A4" s="16" t="inlineStr">
        <is>
          <t>jama.2019.12618</t>
        </is>
      </c>
      <c r="B4" s="16" t="inlineStr">
        <is>
          <t>C_jama.2019.12618</t>
        </is>
      </c>
      <c r="C4" s="16" t="n">
        <v>10</v>
      </c>
    </row>
    <row r="5" ht="36" customFormat="1" customHeight="1" s="14">
      <c r="A5" s="17" t="inlineStr">
        <is>
          <t>jama.2019.14231</t>
        </is>
      </c>
      <c r="B5" s="17" t="inlineStr">
        <is>
          <t>C_jama.2019.14231</t>
        </is>
      </c>
      <c r="C5" s="17" t="n">
        <v>8</v>
      </c>
    </row>
    <row r="6" ht="36" customFormat="1" customHeight="1" s="14">
      <c r="A6" s="16" t="inlineStr">
        <is>
          <t>jama.2019.14630</t>
        </is>
      </c>
      <c r="B6" s="16" t="inlineStr">
        <is>
          <t>C_jama.2019.14630</t>
        </is>
      </c>
      <c r="C6" s="16" t="n">
        <v>9</v>
      </c>
    </row>
    <row r="7" ht="36" customFormat="1" customHeight="1" s="14">
      <c r="A7" s="17" t="inlineStr">
        <is>
          <t>jama.2019.14901</t>
        </is>
      </c>
      <c r="B7" s="17" t="inlineStr">
        <is>
          <t>C_jama.2019.14901</t>
        </is>
      </c>
      <c r="C7" s="17" t="n">
        <v>5</v>
      </c>
    </row>
    <row r="8" ht="36" customFormat="1" customHeight="1" s="14">
      <c r="A8" s="16" t="inlineStr">
        <is>
          <t>jama.2019.17380</t>
        </is>
      </c>
      <c r="B8" s="16" t="inlineStr">
        <is>
          <t>C_jama.2019.17380</t>
        </is>
      </c>
      <c r="C8" s="16" t="n">
        <v>18</v>
      </c>
    </row>
    <row r="9" ht="36" customFormat="1" customHeight="1" s="14">
      <c r="A9" s="17" t="inlineStr">
        <is>
          <t>jama.2019.2210</t>
        </is>
      </c>
      <c r="B9" s="17" t="inlineStr">
        <is>
          <t>C_jama.2019.2210</t>
        </is>
      </c>
      <c r="C9" s="17" t="n">
        <v>7</v>
      </c>
    </row>
    <row r="10" ht="36" customFormat="1" customHeight="1" s="14">
      <c r="A10" s="16" t="inlineStr">
        <is>
          <t>jama.2019.4755</t>
        </is>
      </c>
      <c r="B10" s="16" t="inlineStr">
        <is>
          <t>C_jama.2019.4755</t>
        </is>
      </c>
      <c r="C10" s="16" t="n">
        <v>1</v>
      </c>
    </row>
    <row r="11" ht="36" customFormat="1" customHeight="1" s="14">
      <c r="A11" s="17" t="inlineStr">
        <is>
          <t>jama.2019.7505</t>
        </is>
      </c>
      <c r="B11" s="17" t="inlineStr">
        <is>
          <t>C_jama.2019.7505</t>
        </is>
      </c>
      <c r="C11" s="17" t="n">
        <v>13</v>
      </c>
    </row>
  </sheetData>
  <hyperlinks>
    <hyperlink ref="B2" location="'C_jama.2017.21906'!A1"/>
    <hyperlink ref="B3" location="'C_jama.2018.0156'!A1"/>
    <hyperlink ref="B4" location="'C_jama.2018.0948'!A1"/>
    <hyperlink ref="B5" location="'C_jama.2018.14280'!A1"/>
    <hyperlink ref="B6" location="'C_jama.2018.14282'!A1"/>
    <hyperlink ref="B7" location="'C_jama.2018.17075'!A1"/>
    <hyperlink ref="B8" location="'C_jama.2018.18020'!A1"/>
    <hyperlink ref="B9" location="'C_jama.2018.6496'!A1"/>
    <hyperlink ref="B10" location="'C_jama.2018.8802'!A1"/>
    <hyperlink ref="B11" location="'C_jama.2018.9128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2019::jama.2019.0556::C001</t>
        </is>
      </c>
      <c r="B2" s="20" t="inlineStr">
        <is>
          <t>Planned and reported daily EPA+DHA dose does not reconcile</t>
        </is>
      </c>
      <c r="C2" s="20" t="inlineStr">
        <is>
          <t>jama_bot_2019_oi_190007.pdf — Main p. 1, abstract Interventions; jama_bot_2019_oi_190007.pdf — Main p. 2, Multinutrient Supplements; joi190007supp3_prod.pdf — Results supplement p. 4, eAppendix 2; joi190007supp1_prod.pdf — Protocol p. 8, Summary intervention; joi190007supp1_prod.pdf — Protocol p. 18, intervention box; joi190007supp1_prod.pdf — Protocol p. 20, composition box; joi190007supp1_prod.pdf — Protocol p. 23, Omega-3 PUFA fish oils.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ID",IF(OR(A2="",COUNTIF($A$2:$A$12,A2)&lt;&gt;1,LEFT(A2,LEN("2019::jama.2019.0556::"))&lt;&gt;"2019::jama.2019.0556::"),"CHECK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2019::jama.2019.0556::C002</t>
        </is>
      </c>
      <c r="B3" s="24" t="inlineStr">
        <is>
          <t>Planned primary analysis suite is replaced or not reported as specified</t>
        </is>
      </c>
      <c r="C3" s="24" t="inlineStr">
        <is>
          <t>joi190007supp1_prod.pdf — Protocol p. 43, §§10.1–10.2; joi190007supp2_prod.pdf — SAP p. 2, Outcomes; joi190007supp2_prod.pdf — SAP p. 3, Fourth analysis; joi190007supp2_prod.pdf — SAP p. 4, Secondary analysis; jama_bot_2019_oi_190007.pdf — Main p. 1, abstract main measures; jama_bot_2019_oi_190007.pdf — Main p. 4, Statistical Methods; jama_bot_2019_oi_190007.pdf — Main p. 6, Table 2 and continuation; jama_bot_2019_oi_190007.pdf — Main p. 8, Table 3 and footnotes.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ID",IF(OR(A3="",COUNTIF($A$2:$A$12,A3)&lt;&gt;1,LEFT(A3,LEN("2019::jama.2019.0556::"))&lt;&gt;"2019::jama.2019.0556::"),"CHECK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2019::jama.2019.0556::C003</t>
        </is>
      </c>
      <c r="B4" s="20" t="inlineStr">
        <is>
          <t>Online-screening BMI cutoff differs between report locations</t>
        </is>
      </c>
      <c r="C4" s="20" t="inlineStr">
        <is>
          <t>jama_bot_2019_oi_190007.pdf — Main p. 3, Figure 1 online exclusions; joi190007supp3_prod.pdf — Results supplement p. 3, inclusion criteria assessed with the online screening tool; jama_bot_2019_oi_190007.pdf — Main p. 2, eligibility; jama_bot_2019_oi_190007.pdf — main p. 1, abstract population; joi190007supp1_prod.pdf — Protocol p. 16, inclusion criteria.</t>
        </is>
      </c>
      <c r="D4" s="21" t="n"/>
      <c r="E4" s="21" t="inlineStr">
        <is>
          <t>statistical_results</t>
        </is>
      </c>
      <c r="F4" s="21" t="inlineStr">
        <is>
          <t>no</t>
        </is>
      </c>
      <c r="G4" s="20">
        <f>IFERROR(IF(LEN(TRIM(CLEAN(SUBSTITUTE(Setup!$B$2,CHAR(160)," "))))=0,"CHECK REVIEWER ID",IF(OR(A4="",COUNTIF($A$2:$A$12,A4)&lt;&gt;1,LEFT(A4,LEN("2019::jama.2019.0556::"))&lt;&gt;"2019::jama.2019.0556::"),"CHECK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2019::jama.2019.0556::C004</t>
        </is>
      </c>
      <c r="B5" s="24" t="inlineStr">
        <is>
          <t>Sample-size total does not reconcile with four stated cell sizes</t>
        </is>
      </c>
      <c r="C5" s="24" t="inlineStr">
        <is>
          <t>jama_bot_2019_oi_190007.pdf — Main p. 4, Sample Size upper right column.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ID",IF(OR(A5="",COUNTIF($A$2:$A$12,A5)&lt;&gt;1,LEFT(A5,LEN("2019::jama.2019.0556::"))&lt;&gt;"2019::jama.2019.0556::"),"CHECK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2019::jama.2019.0556::C005</t>
        </is>
      </c>
      <c r="B6" s="20" t="inlineStr">
        <is>
          <t>Primary power assumptions differ between the protocol and report</t>
        </is>
      </c>
      <c r="C6" s="20" t="inlineStr">
        <is>
          <t>joi190007supp1_prod.pdf — Protocol p. 16, §4.4; joi190007supp1_prod.pdf — Protocol p. 17, calculation continuation; jama_bot_2019_oi_190007.pdf — Main p. 4, Sample Size.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ID",IF(OR(A6="",COUNTIF($A$2:$A$12,A6)&lt;&gt;1,LEFT(A6,LEN("2019::jama.2019.0556::"))&lt;&gt;"2019::jama.2019.0556::"),"CHECK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2019::jama.2019.0556::C006</t>
        </is>
      </c>
      <c r="B7" s="24" t="inlineStr">
        <is>
          <t>Prespecified outcome hierarchy differs across plan and report materials</t>
        </is>
      </c>
      <c r="C7" s="24" t="inlineStr">
        <is>
          <t>joi190007supp1_prod.pdf — Protocol p. 8, main study parameters; joi190007supp1_prod.pdf — p. 9, continuation; joi190007supp1_prod.pdf — Protocol p. 28, §§8.1.1–8.1.2; joi190007supp1_prod.pdf — Protocol p. 43, §10.1; joi190007supp2_prod.pdf — SAP p. 2, Outcomes; jama_bot_2019_oi_190007.pdf — Main p. 4, Outcomes; jama_bot_2019_oi_190007.pdf — Main p. 8, Table 3 heading.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ID",IF(OR(A7="",COUNTIF($A$2:$A$12,A7)&lt;&gt;1,LEFT(A7,LEN("2019::jama.2019.0556::"))&lt;&gt;"2019::jama.2019.0556::"),"CHECK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2019::jama.2019.0556::C007</t>
        </is>
      </c>
      <c r="B8" s="20" t="inlineStr">
        <is>
          <t>Planned Cox and site/history analyses receive post hoc report designations</t>
        </is>
      </c>
      <c r="C8" s="20" t="inlineStr">
        <is>
          <t>joi190007supp1_prod.pdf — Protocol p. 43, §10.1; joi190007supp1_prod.pdf — Protocol p. 44, interaction paragraph; joi190007supp2_prod.pdf — SAP p. 4, Secondary analysis and Effect modification; joi190007supp2_prod.pdf — SAP p. 5, Effect modification continuation; jama_bot_2019_oi_190007.pdf — Main p. 4, Outcomes/Statistical Methods; jama_bot_2019_oi_190007.pdf — Main p. 6, Table 2; jama_bot_2019_oi_190007.pdf — Main p. 7, MDD results continuation; jama_bot_2019_oi_190007.pdf — Main p. 8, Effect Modification and Sensitivity Analyses; joi190007supp3_prod.pdf — Results supplement p. 18, eAppendix 10; joi190007supp3_prod.pdf — Results supplement p. 19, GAD Table B; joi190007supp3_prod.pdf — Results supplement p. 20, utility Tables C1/C2.</t>
        </is>
      </c>
      <c r="D8" s="21" t="n"/>
      <c r="E8" s="21" t="inlineStr">
        <is>
          <t>protocol_report</t>
        </is>
      </c>
      <c r="F8" s="21" t="inlineStr">
        <is>
          <t>no</t>
        </is>
      </c>
      <c r="G8" s="20">
        <f>IFERROR(IF(LEN(TRIM(CLEAN(SUBSTITUTE(Setup!$B$2,CHAR(160)," "))))=0,"CHECK REVIEWER ID",IF(OR(A8="",COUNTIF($A$2:$A$12,A8)&lt;&gt;1,LEFT(A8,LEN("2019::jama.2019.0556::"))&lt;&gt;"2019::jama.2019.0556::"),"CHECK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2019::jama.2019.0556::C008</t>
        </is>
      </c>
      <c r="B9" s="24" t="inlineStr">
        <is>
          <t>Planned additive primary-outcome interaction result is not reported</t>
        </is>
      </c>
      <c r="C9" s="24" t="inlineStr">
        <is>
          <t>joi190007supp2_prod.pdf — SAP p. 4, Interaction of intervention strategies for our primary outcome; jama_bot_2019_oi_190007.pdf — Main p. 4, Statistical Methods; jama_bot_2019_oi_190007.pdf — Main p. 6, Table 2; jama_bot_2019_oi_190007.pdf — Main p. 7, narrative; joi190007supp3_prod.pdf — p. 18 moderation; joi190007supp3_prod.pdf — p. 19 GAD moderation; joi190007supp3_prod.pdf — p. 20 utility moderation; joi190007supp3_prod.pdf — p. 21 no-MI sensitivity; joi190007supp3_prod.pdf — p. 22 CACE.</t>
        </is>
      </c>
      <c r="D9" s="21" t="n"/>
      <c r="E9" s="21" t="inlineStr">
        <is>
          <t>protocol_report</t>
        </is>
      </c>
      <c r="F9" s="21" t="inlineStr">
        <is>
          <t>no</t>
        </is>
      </c>
      <c r="G9" s="24">
        <f>IFERROR(IF(LEN(TRIM(CLEAN(SUBSTITUTE(Setup!$B$2,CHAR(160)," "))))=0,"CHECK REVIEWER ID",IF(OR(A9="",COUNTIF($A$2:$A$12,A9)&lt;&gt;1,LEFT(A9,LEN("2019::jama.2019.0556::"))&lt;&gt;"2019::jama.2019.0556::"),"CHECK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2019::jama.2019.0556::C009</t>
        </is>
      </c>
      <c r="B10" s="20" t="inlineStr">
        <is>
          <t>Planned primary-outcome missingness sensitivity is not reported</t>
        </is>
      </c>
      <c r="C10" s="20" t="inlineStr">
        <is>
          <t>joi190007supp2_prod.pdf — SAP p. 5, Missing data and drop-out; jama_bot_2019_oi_190007.pdf — Main p. 4, Statistical Methods; jama_bot_2019_oi_190007.pdf — Main p. 6, Table 2 and missingness narrative; jama_bot_2019_oi_190007.pdf — Main p. 8, sensitivity/CACE narrative; joi190007supp3_prod.pdf — Results supplement p. 21, eAppendix 11; joi190007supp3_prod.pdf — Results supplement p. 22, eAppendix 12.</t>
        </is>
      </c>
      <c r="D10" s="21" t="n"/>
      <c r="E10" s="21" t="inlineStr">
        <is>
          <t>protocol_report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ID",IF(OR(A10="",COUNTIF($A$2:$A$12,A10)&lt;&gt;1,LEFT(A10,LEN("2019::jama.2019.0556::"))&lt;&gt;"2019::jama.2019.0556::"),"CHECK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2019::jama.2019.0556::C010</t>
        </is>
      </c>
      <c r="B11" s="24" t="inlineStr">
        <is>
          <t>CACE explanation does not identify the mapping to the printed MDD estimates</t>
        </is>
      </c>
      <c r="C11" s="24" t="inlineStr">
        <is>
          <t>jama_bot_2019_oi_190007.pdf — Main p. 6, Table 2; jama_bot_2019_oi_190007.pdf — Main p. 8, CACE narrative; joi190007supp3_prod.pdf — Results supplement p. 14, eAppendix 7 opening; joi190007supp3_prod.pdf — Results supplement p. 15, eAppendix 7 continuation; joi190007supp3_prod.pdf — Results supplement p. 16, adherence table; joi190007supp3_prod.pdf — Results supplement p. 22, eAppendix 12.</t>
        </is>
      </c>
      <c r="D11" s="21" t="n"/>
      <c r="E11" s="21" t="inlineStr">
        <is>
          <t>statistical_results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ID",IF(OR(A11="",COUNTIF($A$2:$A$12,A11)&lt;&gt;1,LEFT(A11,LEN("2019::jama.2019.0556::"))&lt;&gt;"2019::jama.2019.0556::"),"CHECK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2019::jama.2019.0556::C011</t>
        </is>
      </c>
      <c r="B12" s="20" t="inlineStr">
        <is>
          <t>Three site coefficient and interval tuples do not reproduce the same-table relationship</t>
        </is>
      </c>
      <c r="C12" s="20" t="inlineStr">
        <is>
          <t>joi190007supp3_prod.pdf — results supplement p. 19, Table B.</t>
        </is>
      </c>
      <c r="D12" s="21" t="n"/>
      <c r="E12" s="21" t="inlineStr">
        <is>
          <t>statistical_results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ID",IF(OR(A12="",COUNTIF($A$2:$A$12,A12)&lt;&gt;1,LEFT(A12,LEN("2019::jama.2019.0556::"))&lt;&gt;"2019::jama.2019.0556::"),"CHECK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</sheetData>
  <autoFilter ref="A1:R12"/>
  <conditionalFormatting sqref="H2:H12">
    <cfRule type="expression" priority="8" dxfId="70">
      <formula>NOT(AND(OR($D2="retain",$D2=""),$E2="statistical_results"))</formula>
    </cfRule>
  </conditionalFormatting>
  <conditionalFormatting sqref="I2:I12">
    <cfRule type="expression" priority="9" dxfId="70">
      <formula>NOT(AND(OR($D2="retain",$D2=""),$E2="statistical_results"))</formula>
    </cfRule>
  </conditionalFormatting>
  <conditionalFormatting sqref="J2:J12">
    <cfRule type="expression" priority="10" dxfId="70">
      <formula>NOT(AND(OR($D2="retain",$D2=""),$E2="statistical_results"))</formula>
    </cfRule>
  </conditionalFormatting>
  <conditionalFormatting sqref="K2:K12">
    <cfRule type="expression" priority="11" dxfId="70">
      <formula>NOT(AND(OR($D2="retain",$D2=""),OR($E2="report_internal_inconsistency",$E2="plan_material")))</formula>
    </cfRule>
  </conditionalFormatting>
  <conditionalFormatting sqref="L2:L12">
    <cfRule type="expression" priority="12" dxfId="70">
      <formula>NOT(AND(OR($D2="retain",$D2=""),$E2="protocol_report"))</formula>
    </cfRule>
  </conditionalFormatting>
  <conditionalFormatting sqref="G2:G12">
    <cfRule type="expression" priority="13" dxfId="71">
      <formula>G2&lt;&gt;"PRIMARY READY"</formula>
    </cfRule>
  </conditionalFormatting>
  <dataValidations count="8">
    <dataValidation sqref="D2:D12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2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2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2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2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2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2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2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2019::jama.2019.10517::C001</t>
        </is>
      </c>
      <c r="B2" s="20" t="inlineStr">
        <is>
          <t>Primary relapse score component differs from the plan</t>
        </is>
      </c>
      <c r="C2" s="20" t="inlineStr">
        <is>
          <t>PLAN joi190079supp1_prod.pdf — PDF p.12, §3.9.8, lines 553–568; REPORT jama_flint_2019_oi_190079.pdf — PDF p.4, Primary Outcome: Relapse. Affected outputs and context: jama_flint_2019_oi_190079.pdf — main PDF p.1, abstract, jama_flint_2019_oi_190079.pdf — main PDF p.6, primary results and jama_flint_2019_oi_190079.pdf — main PDF p.7, Table 3 and footnotes.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ID",IF(OR(A2="",COUNTIF($A$2:$A$6,A2)&lt;&gt;1,LEFT(A2,LEN("2019::jama.2019.10517::"))&lt;&gt;"2019::jama.2019.10517::"),"CHECK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2019::jama.2019.10517::C002</t>
        </is>
      </c>
      <c r="B3" s="24" t="inlineStr">
        <is>
          <t>Four prespecified key secondary counterparts are absent</t>
        </is>
      </c>
      <c r="C3" s="24" t="inlineStr">
        <is>
          <t>PLAN joi190079supp1_prod.pdf — PDF p.10, lines 473–488, joi190079supp1_prod.pdf — PLAN PDF p.14, analysis context and joi190079supp1_prod.pdf — PLAN PDF p.16, Strategies for Attrition, lines 769–772. The complete supplied REPORT absence-check union is listed page by page below; every linked page was inspected in the mechanical recheck. jama_flint_2019_oi_190079.pdf — PDF p.1: Abstract and eight headline secondary effects; jama_flint_2019_oi_190079.pdf — main PDF p.2: Key Points and explicit Aims 1–2 scope; jama_flint_2019_oi_190079.pdf — main PDF p.3: Participant flow and methods; jama_flint_2019_oi_190079.pdf — main PDF p.4: Outcome collection and model definitions; jama_flint_2019_oi_190079.pdf — main PDF p.5: Premorbid-weight description and missingness/sensitivity methods; jama_flint_2019_oi_190079.pdf — main PDF p.6: Primary results and safety/multiplicity context; jama_flint_2019_oi_190079.pdf — main PDF p.7: Secondary effects and tolerability results; jama_flint_2019_oi_190079.pdf — main PDF p.8: Table 4 and discussion; jama_flint_2019_oi_190079.pdf — main PDF p.9: Table 5, limitations and conclusion; jama_flint_2019_oi_190079.pdf — main PDF p.10: End matter and references; joi190079supp2_prod.pdf — PDF p.1: Complete eFigure index; joi190079supp2_prod.pdf — results supplement PDF p.2: Weight model means; joi190079supp2_prod.pdf — results supplement PDF p.3: Waist model means; joi190079supp2_prod.pdf — results supplement PDF p.4: Total-cholesterol model means; joi190079supp2_prod.pdf — results supplement PDF p.5: LDL model means; joi190079supp2_prod.pdf — results supplement PDF p.6: HDL model means; joi190079supp2_prod.pdf — results supplement PDF p.7: Triglyceride pattern-mixture means; joi190079supp2_prod.pdf — results supplement PDF p.8: Glucose model means; joi190079supp2_prod.pdf — results supplement PDF p.9: HbA1c model means; joi190079supp2_prod.pdf — results supplement PDF p.10: Simpson-Angus model means; joi190079supp3_prod.pdf — PDF p.1: Administrative data-sharing statement.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ID",IF(OR(A3="",COUNTIF($A$2:$A$6,A3)&lt;&gt;1,LEFT(A3,LEN("2019::jama.2019.10517::"))&lt;&gt;"2019::jama.2019.10517::"),"CHECK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2019::jama.2019.10517::C003</t>
        </is>
      </c>
      <c r="B4" s="20" t="inlineStr">
        <is>
          <t>Adverse-event baseline differs between plan and report</t>
        </is>
      </c>
      <c r="C4" s="20" t="inlineStr">
        <is>
          <t>PLAN joi190079supp1_prod.pdf — PDF p.15, Non-Metabolic Safety Data, lines 705–717; REPORT jama_flint_2019_oi_190079.pdf — PDF p.4, Other Measures of Tolerability and jama_flint_2019_oi_190079.pdf — main PDF p.7, adverse-effect/akathisia results. Phase context: jama_flint_2019_oi_190079.pdf — main PDF p.2 and jama_flint_2019_oi_190079.pdf — main PDF p.3.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ID",IF(OR(A4="",COUNTIF($A$2:$A$6,A4)&lt;&gt;1,LEFT(A4,LEN("2019::jama.2019.10517::"))&lt;&gt;"2019::jama.2019.10517::"),"CHECK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2019::jama.2019.10517::C004</t>
        </is>
      </c>
      <c r="B5" s="24" t="inlineStr">
        <is>
          <t>Safety treatment classification differs from the plan</t>
        </is>
      </c>
      <c r="C5" s="24" t="inlineStr">
        <is>
          <t>PLAN joi190079supp1_prod.pdf — PDF p.14, H2 and joi190079supp1_prod.pdf — PLAN PDF p.16, attrition/classification; REPORT jama_flint_2019_oi_190079.pdf — PDF p.3, Figure 1, jama_flint_2019_oi_190079.pdf — main PDF p.4, Statistical Analyses, jama_flint_2019_oi_190079.pdf — main PDF p.7, secondary effects and jama_flint_2019_oi_190079.pdf — main PDF p.8, Table 4. Every affected randomized-group model title is linked separately: Weight: joi190079supp2_prod.pdf — PDF p.2, eFigure 1; Waist: joi190079supp2_prod.pdf — results supplement PDF p.3, eFigure 2; Total cholesterol: joi190079supp2_prod.pdf — results supplement PDF p.4, eFigure 3; LDL cholesterol: joi190079supp2_prod.pdf — results supplement PDF p.5, eFigure 4; HDL cholesterol: joi190079supp2_prod.pdf — results supplement PDF p.6, eFigure 5; Triglycerides: joi190079supp2_prod.pdf — results supplement PDF p.7, eFigure 6; Glucose: joi190079supp2_prod.pdf — results supplement PDF p.8, eFigure 7; HbA1c: joi190079supp2_prod.pdf — results supplement PDF p.9, eFigure 8.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ID",IF(OR(A5="",COUNTIF($A$2:$A$6,A5)&lt;&gt;1,LEFT(A5,LEN("2019::jama.2019.10517::"))&lt;&gt;"2019::jama.2019.10517::"),"CHECK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2019::jama.2019.10517::C005</t>
        </is>
      </c>
      <c r="B6" s="20" t="inlineStr">
        <is>
          <t>Planned metabolic observation exclusion is placed in sensitivity analysis</t>
        </is>
      </c>
      <c r="C6" s="20" t="inlineStr">
        <is>
          <t>PLAN joi190079supp1_prod.pdf — PDF p.14, H2, lines 673–679; REPORT jama_flint_2019_oi_190079.pdf — PDF p.1, abstract secondary effects, jama_flint_2019_oi_190079.pdf — main PDF p.5, final Statistical Analyses paragraph and jama_flint_2019_oi_190079.pdf — main PDF p.7, secondary/drug-change results.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ID",IF(OR(A6="",COUNTIF($A$2:$A$6,A6)&lt;&gt;1,LEFT(A6,LEN("2019::jama.2019.10517::"))&lt;&gt;"2019::jama.2019.10517::"),"CHECK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</sheetData>
  <autoFilter ref="A1:R6"/>
  <conditionalFormatting sqref="H2:H6">
    <cfRule type="expression" priority="8" dxfId="70">
      <formula>NOT(AND(OR($D2="retain",$D2=""),$E2="statistical_results"))</formula>
    </cfRule>
  </conditionalFormatting>
  <conditionalFormatting sqref="I2:I6">
    <cfRule type="expression" priority="9" dxfId="70">
      <formula>NOT(AND(OR($D2="retain",$D2=""),$E2="statistical_results"))</formula>
    </cfRule>
  </conditionalFormatting>
  <conditionalFormatting sqref="J2:J6">
    <cfRule type="expression" priority="10" dxfId="70">
      <formula>NOT(AND(OR($D2="retain",$D2=""),$E2="statistical_results"))</formula>
    </cfRule>
  </conditionalFormatting>
  <conditionalFormatting sqref="K2:K6">
    <cfRule type="expression" priority="11" dxfId="70">
      <formula>NOT(AND(OR($D2="retain",$D2=""),OR($E2="report_internal_inconsistency",$E2="plan_material")))</formula>
    </cfRule>
  </conditionalFormatting>
  <conditionalFormatting sqref="L2:L6">
    <cfRule type="expression" priority="12" dxfId="70">
      <formula>NOT(AND(OR($D2="retain",$D2=""),$E2="protocol_report"))</formula>
    </cfRule>
  </conditionalFormatting>
  <conditionalFormatting sqref="G2:G6">
    <cfRule type="expression" priority="13" dxfId="71">
      <formula>G2&lt;&gt;"PRIMARY READY"</formula>
    </cfRule>
  </conditionalFormatting>
  <dataValidations count="8">
    <dataValidation sqref="D2:D6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6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6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6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6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6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6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6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2019::jama.2019.12618::C001</t>
        </is>
      </c>
      <c r="B2" s="20" t="inlineStr">
        <is>
          <t>Planned anatomical relative-risk regression outputs are not reported</t>
        </is>
      </c>
      <c r="C2" s="20" t="inlineStr">
        <is>
          <t>PLAN joi190092supp3_prod.pdf — original SAP p.17, Prespecified Subgroup Analysis. PLAN joi190092supp3_prod.pdf — final SAP p.58, corresponding subgroup section. REPORT jama_rathinam_2019_oi_190092.pdf — main p.1, abstract anatomical results. REPORT jama_rathinam_2019_oi_190092.pdf — main p.4, anatomical analysis methods. REPORT jama_rathinam_2019_oi_190092.pdf — main p.5, posterior/panuveitis narrative. REPORT jama_rathinam_2019_oi_190092.pdf — main p.6, Table 2 and intermediate-uveitis narrative. REPORT joi190092supp1_prod.pdf — results supplement p.1, contents identifying the complete pp.1–16 output set.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ID",IF(OR(A2="",COUNTIF($A$2:$A$11,A2)&lt;&gt;1,LEFT(A2,LEN("2019::jama.2019.12618::"))&lt;&gt;"2019::jama.2019.12618::"),"CHECK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2019::jama.2019.12618::C002</t>
        </is>
      </c>
      <c r="B3" s="24" t="inlineStr">
        <is>
          <t>Primary success composite differs in its late-injection component</t>
        </is>
      </c>
      <c r="C3" s="24" t="inlineStr">
        <is>
          <t>PLAN joi190092supp2_prod.pdf — final protocol p.80, §2.5.1 primary endpoint. REPORT jama_rathinam_2019_oi_190092.pdf — main p.3, Treatment and Outcomes. REPORT jama_rathinam_2019_oi_190092.pdf — main p.4, primary analysis population. REPORT jama_rathinam_2019_oi_190092.pdf — main p.6, late-injection and primary-result narrative. PLAN contextual joi190092supp3_prod.pdf — final SAP p.70, §3.5.1 injection sensitivity. PLAN contextual joi190092supp3_prod.pdf — SAP p.81, injection amendment. PLAN historical joi190092supp2_prod.pdf — original protocol p.15, earlier primary definition.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ID",IF(OR(A3="",COUNTIF($A$2:$A$11,A3)&lt;&gt;1,LEFT(A3,LEN("2019::jama.2019.12618::"))&lt;&gt;"2019::jama.2019.12618::"),"CHECK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2019::jama.2019.12618::C003</t>
        </is>
      </c>
      <c r="B4" s="20" t="inlineStr">
        <is>
          <t>Prespecified primary-endpoint robustness outputs are not reported</t>
        </is>
      </c>
      <c r="C4" s="20" t="inlineStr">
        <is>
          <t>PLAN joi190092supp3_prod.pdf — original SAP p.22, §3.3.1 lost-followup sensitivity. PLAN joi190092supp3_prod.pdf — original SAP p.28, §3.5 four-method reporting commitment. PLAN joi190092supp3_prod.pdf — original SAP p.29, longitudinal-model continuation. PLAN joi190092supp3_prod.pdf — final SAP p.62, §3.3.1. PLAN joi190092supp3_prod.pdf — final SAP p.68, §3.5 robustness introduction. PLAN joi190092supp3_prod.pdf — final SAP p.69, four methods and longitudinal structure. PLAN joi190092supp3_prod.pdf — final SAP p.70, injection-time sensitivity. PLAN joi190092supp3_prod.pdf — SAP p.81, injection-sensitivity addition. REPORT jama_rathinam_2019_oi_190092.pdf — main p.4, Statistical Analyses. REPORT jama_rathinam_2019_oi_190092.pdf — main p.6, injection and sensitivity narrative. REPORT jama_rathinam_2019_oi_190092.pdf — main p.7, Figure 2 and imputation result. REPORT joi190092supp1_prod.pdf — results supplement p.1, contents; complete pp.1–16 inspected.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ID",IF(OR(A4="",COUNTIF($A$2:$A$11,A4)&lt;&gt;1,LEFT(A4,LEN("2019::jama.2019.12618::"))&lt;&gt;"2019::jama.2019.12618::"),"CHECK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2019::jama.2019.12618::C004</t>
        </is>
      </c>
      <c r="B5" s="24" t="inlineStr">
        <is>
          <t>Planned rescue primary model and individual confidence intervals are not reported</t>
        </is>
      </c>
      <c r="C5" s="24" t="inlineStr">
        <is>
          <t>PLAN joi190092supp3_prod.pdf — original SAP p.21, §3.2.3 rescue model. PLAN joi190092supp3_prod.pdf — original SAP p.25, Specific Aim 2 primary probability estimates. PLAN joi190092supp3_prod.pdf — final SAP p.61, §3.2.3. PLAN joi190092supp3_prod.pdf — final SAP p.62, interval-reporting continuation. PLAN joi190092supp3_prod.pdf — final SAP p.66, two primary Aim 2 estimates. REPORT jama_rathinam_2019_oi_190092.pdf — main p.4, twelve-month model statement. REPORT jama_rathinam_2019_oi_190092.pdf — main p.6, Table 2 switching row and footnote b. REPORT jama_rathinam_2019_oi_190092.pdf — main p.7, Prespecified 12-Month Outcomes. REPORT joi190092supp1_prod.pdf — results supplement p.1, complete output-set contents. PLAN contextual joi190092supp2_prod.pdf — final protocol p.72, same primary/secondary outcomes within Aim 2. PLAN contextual joi190092supp2_prod.pdf — final protocol p.73, trial-wide secondary rescue designation.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ID",IF(OR(A5="",COUNTIF($A$2:$A$11,A5)&lt;&gt;1,LEFT(A5,LEN("2019::jama.2019.12618::"))&lt;&gt;"2019::jama.2019.12618::"),"CHECK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2019::jama.2019.12618::C005</t>
        </is>
      </c>
      <c r="B6" s="20" t="inlineStr">
        <is>
          <t>Adherence summary inputs do not reproduce the printed Welch P value</t>
        </is>
      </c>
      <c r="C6" s="20" t="inlineStr">
        <is>
          <t>REPORT jama_rathinam_2019_oi_190092.pdf — main p.4, Welch t-test statement and two-sided significance level. REPORT jama_rathinam_2019_oi_190092.pdf — main p.6, Table 2 missed-dose mean (SD) row and n=96/98 headings. REPORT jama_rathinam_2019_oi_190092.pdf — main p.6, repeated adherence narrative and dose-definition footnote j. REPORT contextual jama_rathinam_2019_oi_190092.pdf — main p.7, Figure 2 per-protocol counts and footnote e.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ID",IF(OR(A6="",COUNTIF($A$2:$A$11,A6)&lt;&gt;1,LEFT(A6,LEN("2019::jama.2019.12618::"))&lt;&gt;"2019::jama.2019.12618::"),"CHECK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2019::jama.2019.12618::C006</t>
        </is>
      </c>
      <c r="B7" s="24" t="inlineStr">
        <is>
          <t>Reported per-protocol adherence cutoff differs from the planned cutoff</t>
        </is>
      </c>
      <c r="C7" s="24" t="inlineStr">
        <is>
          <t>PLAN joi190092supp3_prod.pdf — original SAP p.31, §4.1 per-protocol exclusions. PLAN joi190092supp3_prod.pdf — final SAP p.71, §4.1. PLAN joi190092supp3_prod.pdf — final SAP p.72, §4.2 major-deviation examples. REPORT jama_rathinam_2019_oi_190092.pdf — main p.6, adherence sensitivity narrative. REPORT jama_rathinam_2019_oi_190092.pdf — main p.7, Figure 2 per-protocol model and footnote e.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ID",IF(OR(A7="",COUNTIF($A$2:$A$11,A7)&lt;&gt;1,LEFT(A7,LEN("2019::jama.2019.12618::"))&lt;&gt;"2019::jama.2019.12618::"),"CHECK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2019::jama.2019.12618::C007</t>
        </is>
      </c>
      <c r="B8" s="20" t="inlineStr">
        <is>
          <t>Switching-group serious diarrhea percentage does not reconcile</t>
        </is>
      </c>
      <c r="C8" s="20" t="inlineStr">
        <is>
          <t>REPORT joi190092supp1_prod.pdf — results supplement p.15, eTable 9 mycophenolate N=20 heading. REPORT joi190092supp1_prod.pdf — results supplement p.15, Serious Systemic → Diarrhea, mycophenolate 1 (3.4). REPORT joi190092supp1_prod.pdf — results supplement p.15, same-column hemoglobin, allergic-reaction and fever 1 (5.0) entries. REPORT joi190092supp1_prod.pdf — results supplement p.15, adjacent methotrexate N=29 and serious systemic rows. REPORT joi190092supp1_prod.pdf — results supplement p.16, eTable 9 footnote b.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ID",IF(OR(A8="",COUNTIF($A$2:$A$11,A8)&lt;&gt;1,LEFT(A8,LEN("2019::jama.2019.12618::"))&lt;&gt;"2019::jama.2019.12618::"),"CHECK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2019::jama.2019.12618::C008</t>
        </is>
      </c>
      <c r="B9" s="24" t="inlineStr">
        <is>
          <t>Rescue power table sequence sizes differ from planned availability</t>
        </is>
      </c>
      <c r="C9" s="24" t="inlineStr">
        <is>
          <t>PLAN joi190092supp3_prod.pdf — original SAP p.25, Aim 2 planning and coding. PLAN joi190092supp3_prod.pdf — original SAP p.26, availability inputs/table and n0/n1. PLAN joi190092supp3_prod.pdf — original SAP p.27, Power Table for Specific Aim 2. PLAN joi190092supp3_prod.pdf — final SAP p.66, repeated Aim 2 planning. PLAN joi190092supp3_prod.pdf — final SAP p.67, availability and power-table headings. PLAN joi190092supp3_prod.pdf — final SAP p.68, seven power scenario rows.</t>
        </is>
      </c>
      <c r="D9" s="21" t="n"/>
      <c r="E9" s="21" t="inlineStr">
        <is>
          <t>plan_material</t>
        </is>
      </c>
      <c r="F9" s="21" t="inlineStr">
        <is>
          <t>no</t>
        </is>
      </c>
      <c r="G9" s="24">
        <f>IFERROR(IF(LEN(TRIM(CLEAN(SUBSTITUTE(Setup!$B$2,CHAR(160)," "))))=0,"CHECK REVIEWER ID",IF(OR(A9="",COUNTIF($A$2:$A$11,A9)&lt;&gt;1,LEFT(A9,LEN("2019::jama.2019.12618::"))&lt;&gt;"2019::jama.2019.12618::"),"CHECK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2019::jama.2019.12618::C009</t>
        </is>
      </c>
      <c r="B10" s="20" t="inlineStr">
        <is>
          <t>Printed detectable rescue difference does not reconcile with probability inputs</t>
        </is>
      </c>
      <c r="C10" s="20" t="inlineStr">
        <is>
          <t>PLAN joi190092supp3_prod.pdf — original SAP p.26, rescue power formula and definitions. PLAN joi190092supp3_prod.pdf — original SAP p.27, 17% sentence. PLAN joi190092supp3_prod.pdf — original SAP p.27, probability table and 25% summary. PLAN joi190092supp3_prod.pdf — final SAP p.67, repeated formula and 17% sentence. PLAN joi190092supp3_prod.pdf — final SAP p.68, probability table and summary.</t>
        </is>
      </c>
      <c r="D10" s="21" t="n"/>
      <c r="E10" s="21" t="inlineStr">
        <is>
          <t>plan_material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ID",IF(OR(A10="",COUNTIF($A$2:$A$11,A10)&lt;&gt;1,LEFT(A10,LEN("2019::jama.2019.12618::"))&lt;&gt;"2019::jama.2019.12618::"),"CHECK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2019::jama.2019.12618::C010</t>
        </is>
      </c>
      <c r="B11" s="24" t="inlineStr">
        <is>
          <t>Final primary safety-failure laboratory cutoffs differ at exact boundaries</t>
        </is>
      </c>
      <c r="C11" s="24" t="inlineStr">
        <is>
          <t>PLAN joi190092supp2_prod.pdf — final protocol p.80, §2.5.1 primary success composite. PLAN joi190092supp2_prod.pdf — final protocol p.81, §2.5.2/Table 3 safety failure and laboratory thresholds. PLAN joi190092supp2_prod.pdf — final protocol p.136, immediate laboratory serious-event failure. REPORT jama_rathinam_2019_oi_190092.pdf — main p.3, primary success/failure definition. REPORT jama_rathinam_2019_oi_190092.pdf — main p.6, Table 2 safety-failure counts and footnote. REPORT jama_rathinam_2019_oi_190092.pdf — main p.7, drug-related serious liver-function events. REPORT jama_rathinam_2019_oi_190092.pdf — main p.8, Table 3 laboratory rows and definition pointer. REPORT joi190092supp1_prod.pdf — results supplement p.5, eTable 1 laboratory definitions. PLAN historical joi190092supp2_prod.pdf — original protocol p.16, earlier thresholds. PLAN contextual joi190092supp2_prod.pdf — revision p.148, version 2.2 laboratory-wording revision. PLAN contextual joi190092supp2_prod.pdf — revision p.153, versions 4.4/4.5 persistence and later changes.</t>
        </is>
      </c>
      <c r="D11" s="21" t="n"/>
      <c r="E11" s="21" t="inlineStr">
        <is>
          <t>protocol_report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ID",IF(OR(A11="",COUNTIF($A$2:$A$11,A11)&lt;&gt;1,LEFT(A11,LEN("2019::jama.2019.12618::"))&lt;&gt;"2019::jama.2019.12618::"),"CHECK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</sheetData>
  <autoFilter ref="A1:R11"/>
  <conditionalFormatting sqref="H2:H11">
    <cfRule type="expression" priority="8" dxfId="70">
      <formula>NOT(AND(OR($D2="retain",$D2=""),$E2="statistical_results"))</formula>
    </cfRule>
  </conditionalFormatting>
  <conditionalFormatting sqref="I2:I11">
    <cfRule type="expression" priority="9" dxfId="70">
      <formula>NOT(AND(OR($D2="retain",$D2=""),$E2="statistical_results"))</formula>
    </cfRule>
  </conditionalFormatting>
  <conditionalFormatting sqref="J2:J11">
    <cfRule type="expression" priority="10" dxfId="70">
      <formula>NOT(AND(OR($D2="retain",$D2=""),$E2="statistical_results"))</formula>
    </cfRule>
  </conditionalFormatting>
  <conditionalFormatting sqref="K2:K11">
    <cfRule type="expression" priority="11" dxfId="70">
      <formula>NOT(AND(OR($D2="retain",$D2=""),OR($E2="report_internal_inconsistency",$E2="plan_material")))</formula>
    </cfRule>
  </conditionalFormatting>
  <conditionalFormatting sqref="L2:L11">
    <cfRule type="expression" priority="12" dxfId="70">
      <formula>NOT(AND(OR($D2="retain",$D2=""),$E2="protocol_report"))</formula>
    </cfRule>
  </conditionalFormatting>
  <conditionalFormatting sqref="G2:G11">
    <cfRule type="expression" priority="13" dxfId="71">
      <formula>G2&lt;&gt;"PRIMARY READY"</formula>
    </cfRule>
  </conditionalFormatting>
  <dataValidations count="8">
    <dataValidation sqref="D2:D11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1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1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1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1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1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1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1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2019::jama.2019.14231::C001</t>
        </is>
      </c>
      <c r="B2" s="20" t="inlineStr">
        <is>
          <t>Primary matching allocation differs between plan and report</t>
        </is>
      </c>
      <c r="C2" s="20" t="inlineStr">
        <is>
          <t>PLAN joi190103supp2_prod.pdf — p3, Matching Process, joi190103supp2_prod.pdf — p6, sensitivity ratios and joi190103supp2_prod.pdf — p7, amendment; REPORT jama_aminian_2019_oi_190103.pdf — p1, abstract, jama_aminian_2019_oi_190103.pdf — p3, Figure 1 and matching caption and jama_aminian_2019_oi_190103.pdf — p4, statistical analysis.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ID",IF(OR(A2="",COUNTIF($A$2:$A$9,A2)&lt;&gt;1,LEFT(A2,LEN("2019::jama.2019.14231::"))&lt;&gt;"2019::jama.2019.14231::"),"CHECK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2019::jama.2019.14231::C002</t>
        </is>
      </c>
      <c r="B3" s="24" t="inlineStr">
        <is>
          <t>Five absolute risk differences do not reproduce displayed risk subtraction</t>
        </is>
      </c>
      <c r="C3" s="24" t="inlineStr">
        <is>
          <t>Each affected row is in jama_aminian_2019_oi_190103.pdf — p7, Table 2: jama_aminian_2019_oi_190103.pdf — heart failure, jama_aminian_2019_oi_190103.pdf — coronary artery disease, jama_aminian_2019_oi_190103.pdf — cerebrovascular disease, jama_aminian_2019_oi_190103.pdf — nephropathy and jama_aminian_2019_oi_190103.pdf — atrial fibrillation, comparing group-risk columns, difference column and footnote a. jama_aminian_2019_oi_190103.pdf — Main p4 describes methods; joi190103supp1_prod.pdf — p7, eTable 5 corroborates every group risk.</t>
        </is>
      </c>
      <c r="D3" s="21" t="n"/>
      <c r="E3" s="21" t="inlineStr">
        <is>
          <t>statistical_results</t>
        </is>
      </c>
      <c r="F3" s="21" t="inlineStr">
        <is>
          <t>no</t>
        </is>
      </c>
      <c r="G3" s="24">
        <f>IFERROR(IF(LEN(TRIM(CLEAN(SUBSTITUTE(Setup!$B$2,CHAR(160)," "))))=0,"CHECK REVIEWER ID",IF(OR(A3="",COUNTIF($A$2:$A$9,A3)&lt;&gt;1,LEFT(A3,LEN("2019::jama.2019.14231::"))&lt;&gt;"2019::jama.2019.14231::"),"CHECK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2019::jama.2019.14231::C003</t>
        </is>
      </c>
      <c r="B4" s="20" t="inlineStr">
        <is>
          <t>Cerebrovascular interval and treatment test give different null readings</t>
        </is>
      </c>
      <c r="C4" s="20" t="inlineStr">
        <is>
          <t>jama_aminian_2019_oi_190103.pdf — p7, Table 2 cerebrovascular row and footnotes a/b, jama_aminian_2019_oi_190103.pdf — p4, inference methods and narrative beginning and jama_aminian_2019_oi_190103.pdf — p6, lower-incidence narrative continuation; corroborating adjusted estimates in jama_aminian_2019_oi_190103.pdf — p8, Figure 3D and joi190103supp1_prod.pdf — p9, eTable 6.</t>
        </is>
      </c>
      <c r="D4" s="21" t="n"/>
      <c r="E4" s="21" t="inlineStr">
        <is>
          <t>statistical_results</t>
        </is>
      </c>
      <c r="F4" s="21" t="inlineStr">
        <is>
          <t>no</t>
        </is>
      </c>
      <c r="G4" s="20">
        <f>IFERROR(IF(LEN(TRIM(CLEAN(SUBSTITUTE(Setup!$B$2,CHAR(160)," "))))=0,"CHECK REVIEWER ID",IF(OR(A4="",COUNTIF($A$2:$A$9,A4)&lt;&gt;1,LEFT(A4,LEN("2019::jama.2019.14231::"))&lt;&gt;"2019::jama.2019.14231::"),"CHECK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2019::jama.2019.14231::C004</t>
        </is>
      </c>
      <c r="B5" s="24" t="inlineStr">
        <is>
          <t>Coronary diagnosis-position criteria differ between printed plan and report</t>
        </is>
      </c>
      <c r="C5" s="24" t="inlineStr">
        <is>
          <t>joi190103supp2_prod.pdf — p4, opening eTable 1 reference, coronary Other criteria and primary endpoint and joi190103supp2_prod.pdf — p7, amendment; joi190103supp1_prod.pdf — p2, eTable 1 coronary row and bold-text footnote; jama_aminian_2019_oi_190103.pdf — p2, endpoint definition and jama_aminian_2019_oi_190103.pdf — p7, Table 2.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ID",IF(OR(A5="",COUNTIF($A$2:$A$9,A5)&lt;&gt;1,LEFT(A5,LEN("2019::jama.2019.14231::"))&lt;&gt;"2019::jama.2019.14231::"),"CHECK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2019::jama.2019.14231::C005</t>
        </is>
      </c>
      <c r="B6" s="20" t="inlineStr">
        <is>
          <t>Atrial-fibrillation code criterion differs between printed plan and report</t>
        </is>
      </c>
      <c r="C6" s="20" t="inlineStr">
        <is>
          <t>joi190103supp2_prod.pdf — p4, opening eTable 1 reference, AF list and primary endpoint and joi190103supp2_prod.pdf — p7, amendment; joi190103supp1_prod.pdf — p2, eTable 1 AF row; jama_aminian_2019_oi_190103.pdf — p2, endpoint definition and jama_aminian_2019_oi_190103.pdf — p7, Table 2 AF/primary rows.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ID",IF(OR(A6="",COUNTIF($A$2:$A$9,A6)&lt;&gt;1,LEFT(A6,LEN("2019::jama.2019.14231::"))&lt;&gt;"2019::jama.2019.14231::"),"CHECK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2019::jama.2019.14231::C006</t>
        </is>
      </c>
      <c r="B7" s="24" t="inlineStr">
        <is>
          <t>Planned multiplicity rule and reported longitudinal intervals differ</t>
        </is>
      </c>
      <c r="C7" s="24" t="inlineStr">
        <is>
          <t>joi190103supp2_prod.pdf — p6, weight/HbA1c paragraph and subsequent inference rule and joi190103supp2_prod.pdf — p7, nutritional amendment; joi190103supp1_prod.pdf — p12, eTable 8, all 52 entries, confidence heading and both method/confidence footnotes; jama_aminian_2019_oi_190103.pdf — p4, general inference context.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ID",IF(OR(A7="",COUNTIF($A$2:$A$9,A7)&lt;&gt;1,LEFT(A7,LEN("2019::jama.2019.14231::"))&lt;&gt;"2019::jama.2019.14231::"),"CHECK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2019::jama.2019.14231::C007</t>
        </is>
      </c>
      <c r="B8" s="20" t="inlineStr">
        <is>
          <t>Year-5 hemoglobin interval and P value give different null readings</t>
        </is>
      </c>
      <c r="C8" s="20" t="inlineStr">
        <is>
          <t>joi190103supp1_prod.pdf — p12, eTable 8 hemoglobin year-5 estimate/interval/P, confidence heading and both footnotes; jama_aminian_2019_oi_190103.pdf — p4, two-sided and spline methods.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ID",IF(OR(A8="",COUNTIF($A$2:$A$9,A8)&lt;&gt;1,LEFT(A8,LEN("2019::jama.2019.14231::"))&lt;&gt;"2019::jama.2019.14231::"),"CHECK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2019::jama.2019.14231::C008</t>
        </is>
      </c>
      <c r="B9" s="24" t="inlineStr">
        <is>
          <t>Primary E-values do not reproduce the comparator supported by other rows</t>
        </is>
      </c>
      <c r="C9" s="24" t="inlineStr">
        <is>
          <t>joi190103supp1_prod.pdf — p20, eTable 12 primary pair and all seven comparator pairs, joi190103supp1_prod.pdf — p19, E-value definition and repeated primary 2.15/1.92 interpretation and joi190103supp1_prod.pdf — p9, eTable 6 corresponding treatment HR/upper limits; jama_aminian_2019_oi_190103.pdf — p7, Table 2 matching inputs and jama_aminian_2019_oi_190103.pdf — p9, generic robustness discussion. joi190103supp2_prod.pdf — PLAN amendment p7 only corroborates intended eight-outcome E-value scope.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ID",IF(OR(A9="",COUNTIF($A$2:$A$9,A9)&lt;&gt;1,LEFT(A9,LEN("2019::jama.2019.14231::"))&lt;&gt;"2019::jama.2019.14231::"),"CHECK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</sheetData>
  <autoFilter ref="A1:R9"/>
  <conditionalFormatting sqref="H2:H9">
    <cfRule type="expression" priority="8" dxfId="70">
      <formula>NOT(AND(OR($D2="retain",$D2=""),$E2="statistical_results"))</formula>
    </cfRule>
  </conditionalFormatting>
  <conditionalFormatting sqref="I2:I9">
    <cfRule type="expression" priority="9" dxfId="70">
      <formula>NOT(AND(OR($D2="retain",$D2=""),$E2="statistical_results"))</formula>
    </cfRule>
  </conditionalFormatting>
  <conditionalFormatting sqref="J2:J9">
    <cfRule type="expression" priority="10" dxfId="70">
      <formula>NOT(AND(OR($D2="retain",$D2=""),$E2="statistical_results"))</formula>
    </cfRule>
  </conditionalFormatting>
  <conditionalFormatting sqref="K2:K9">
    <cfRule type="expression" priority="11" dxfId="70">
      <formula>NOT(AND(OR($D2="retain",$D2=""),OR($E2="report_internal_inconsistency",$E2="plan_material")))</formula>
    </cfRule>
  </conditionalFormatting>
  <conditionalFormatting sqref="L2:L9">
    <cfRule type="expression" priority="12" dxfId="70">
      <formula>NOT(AND(OR($D2="retain",$D2=""),$E2="protocol_report"))</formula>
    </cfRule>
  </conditionalFormatting>
  <conditionalFormatting sqref="G2:G9">
    <cfRule type="expression" priority="13" dxfId="71">
      <formula>G2&lt;&gt;"PRIMARY READY"</formula>
    </cfRule>
  </conditionalFormatting>
  <dataValidations count="8">
    <dataValidation sqref="D2:D9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9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9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9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9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9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9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9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2019::jama.2019.14630::C001</t>
        </is>
      </c>
      <c r="B2" s="20" t="inlineStr">
        <is>
          <t>Outcome hierarchy in the interim report</t>
        </is>
      </c>
      <c r="C2" s="20" t="inlineStr">
        <is>
          <t>REPORT jama_saynorea_2019_oi_190106_1635377898.43062.pdf — main p.1 abstract, jama_saynorea_2019_oi_190106_1635377898.43062.pdf — p.2 interim scope, jama_saynorea_2019_oi_190106_1635377898.43062.pdf — p.3 Outcomes, jama_saynorea_2019_oi_190106_1635377898.43062.pdf — p.4 secondary/exploratory status; PLAN joi190106supp1_prod_1635377898.47058.pdf — protocol p.13 objectives, joi190106supp1_prod_1635377898.47058.pdf — p.31 weight outcome, joi190106supp1_prod_1635377898.47058.pdf — p.38 intermediate markers, joi190106supp2_prod_1635377898.49605.pdf — SAP p.5 objectives, joi190106supp2_prod_1635377898.49605.pdf — p.9 weight/Y1 schedule and joi190106supp2_prod_1635377898.49605.pdf — p.10 diet/nutrient/marker schedule.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ID",IF(OR(A2="",COUNTIF($A$2:$A$10,A2)&lt;&gt;1,LEFT(A2,LEN("2019::jama.2019.14630::"))&lt;&gt;"2019::jama.2019.14630::"),"CHECK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2019::jama.2019.14630::C002</t>
        </is>
      </c>
      <c r="B3" s="24" t="inlineStr">
        <is>
          <t>Baseline nutritional filtering and the weight analysis set</t>
        </is>
      </c>
      <c r="C3" s="24" t="inlineStr">
        <is>
          <t>PLAN joi190106supp1_prod_1635377898.47058.pdf — protocol p.52 lines1636–1639 and joi190106supp2_prod_1635377898.49605.pdf — SAP p.13 lines304–308; REPORT jama_saynorea_2019_oi_190106_1635377898.43062.pdf — main p.3 Figure1, jama_saynorea_2019_oi_190106_1635377898.43062.pdf — p.4 cohort restriction and joi190106supp3_prod_1635377898.49725.pdf — results p.23 eTable9 weight.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ID",IF(OR(A3="",COUNTIF($A$2:$A$10,A3)&lt;&gt;1,LEFT(A3,LEN("2019::jama.2019.14630::"))&lt;&gt;"2019::jama.2019.14630::"),"CHECK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2019::jama.2019.14630::C003</t>
        </is>
      </c>
      <c r="B4" s="20" t="inlineStr">
        <is>
          <t>Principal and sensitivity analysis ordering</t>
        </is>
      </c>
      <c r="C4" s="20" t="inlineStr">
        <is>
          <t>PLAN joi190106supp2_prod_1635377898.49605.pdf — SAP p.13 population alternatives and joi190106supp2_prod_1635377898.49605.pdf — p.26 lines776–779; REPORT jama_saynorea_2019_oi_190106_1635377898.43062.pdf — main p.4 Statistical Analysis, jama_saynorea_2019_oi_190106_1635377898.43062.pdf — p.5 Table2 MI header, joi190106supp3_prod_1635377898.49725.pdf — results p.9 completer sensitivity title and joi190106supp3_prod_1635377898.49725.pdf — p.23 eTable9 weight columns.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ID",IF(OR(A4="",COUNTIF($A$2:$A$10,A4)&lt;&gt;1,LEFT(A4,LEN("2019::jama.2019.14630::"))&lt;&gt;"2019::jama.2019.14630::"),"CHECK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2019::jama.2019.14630::C004</t>
        </is>
      </c>
      <c r="B5" s="24" t="inlineStr">
        <is>
          <t>Imputation specification</t>
        </is>
      </c>
      <c r="C5" s="24" t="inlineStr">
        <is>
          <t>PLAN joi190106supp2_prod_1635377898.49605.pdf — SAP p.26 lines788–794; REPORT jama_saynorea_2019_oi_190106_1635377898.43062.pdf — main p.4 complete imputation paragraph and joi190106supp3_prod_1635377898.49725.pdf — results p.24 eTable9 imputation footnote.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ID",IF(OR(A5="",COUNTIF($A$2:$A$10,A5)&lt;&gt;1,LEFT(A5,LEN("2019::jama.2019.14630::"))&lt;&gt;"2019::jama.2019.14630::"),"CHECK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2019::jama.2019.14630::C005</t>
        </is>
      </c>
      <c r="B6" s="20" t="inlineStr">
        <is>
          <t>Additional planned primary-weight analyses not reported</t>
        </is>
      </c>
      <c r="C6" s="20" t="inlineStr">
        <is>
          <t>PLAN joi190106supp1_prod_1635377898.47058.pdf — protocol p.52 lines1661–1664 household exclusion, joi190106supp2_prod_1635377898.49605.pdf — SAP p.5 primary weight, joi190106supp2_prod_1635377898.49605.pdf — p.9 primary-weight/Y1 key, joi190106supp2_prod_1635377898.49605.pdf — p.25 lines724–728 weight methods and764–765 additional adjustment, joi190106supp2_prod_1635377898.49605.pdf — p.26 lines766–767 adjustment continuation and781–785 complete subgroup paragraph. REPORT jama_saynorea_2019_oi_190106_1635377898.43062.pdf — main p.4 analysis listing, jama_saynorea_2019_oi_190106_1635377898.43062.pdf — p.8 risk reporting, jama_saynorea_2019_oi_190106_1635377898.43062.pdf — p.9 Figure 3, jama_saynorea_2019_oi_190106_1635377898.43062.pdf — p.10 Figure 4, joi190106supp3_prod_1635377898.49725.pdf — results p.1 contents, joi190106supp3_prod_1635377898.49725.pdf — p.23 eTable9 weight, joi190106supp3_prod_1635377898.49725.pdf — p.24 complete model/imputation footnotes, and corroborating joi190106supp4_prod_1635377898.50723.pdf — data-sharing p.1.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ID",IF(OR(A6="",COUNTIF($A$2:$A$10,A6)&lt;&gt;1,LEFT(A6,LEN("2019::jama.2019.14630::"))&lt;&gt;"2019::jama.2019.14630::"),"CHECK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2019::jama.2019.14630::C006</t>
        </is>
      </c>
      <c r="B7" s="24" t="inlineStr">
        <is>
          <t>Ancillary multiplicity intervals for Y1 waist</t>
        </is>
      </c>
      <c r="C7" s="24" t="inlineStr">
        <is>
          <t>PLAN joi190106supp2_prod_1635377898.49605.pdf — SAP p.9 Y1 secondary waist and joi190106supp2_prod_1635377898.49605.pdf — p.12 lines282–291/27-comparison footnote; REPORT jama_saynorea_2019_oi_190106_1635377898.43062.pdf — main p.4 exploratory/no-adjustment rule, jama_saynorea_2019_oi_190106_1635377898.43062.pdf — p.8 waist result and joi190106supp3_prod_1635377898.49725.pdf — results p.23 eTable9 waist.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ID",IF(OR(A7="",COUNTIF($A$2:$A$10,A7)&lt;&gt;1,LEFT(A7,LEN("2019::jama.2019.14630::"))&lt;&gt;"2019::jama.2019.14630::"),"CHECK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2019::jama.2019.14630::C007</t>
        </is>
      </c>
      <c r="B8" s="20" t="inlineStr">
        <is>
          <t>Repeated alcohol interval-versus-P conflict</t>
        </is>
      </c>
      <c r="C8" s="20" t="inlineStr">
        <is>
          <t>REPORT jama_saynorea_2019_oi_190106_1635377898.43062.pdf — main p.7 Table3 alcohol M6 and M12, contextual jama_saynorea_2019_oi_190106_1635377898.43062.pdf — main p.4 two-sided/P&lt;.05 rule and jama_saynorea_2019_oi_190106_1635377898.43062.pdf — p.8 Table3 footnote b; REPORT joi190106supp3_prod_1635377898.49725.pdf — results p.15 eTable5 alcohol M6 and footnote and joi190106supp3_prod_1635377898.49725.pdf — p.22 eTable8 alcohol M6 and footnote.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ID",IF(OR(A8="",COUNTIF($A$2:$A$10,A8)&lt;&gt;1,LEFT(A8,LEN("2019::jama.2019.14630::"))&lt;&gt;"2019::jama.2019.14630::"),"CHECK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2019::jama.2019.14630::C008</t>
        </is>
      </c>
      <c r="B9" s="24" t="inlineStr">
        <is>
          <t>Red-wine median and upper quartile</t>
        </is>
      </c>
      <c r="C9" s="24" t="inlineStr">
        <is>
          <t>REPORT joi190106supp3_prod_1635377898.49725.pdf — results p.7 eTable2, Red wine intervention baseline median(IQR), header and footnote.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ID",IF(OR(A9="",COUNTIF($A$2:$A$10,A9)&lt;&gt;1,LEFT(A9,LEN("2019::jama.2019.14630::"))&lt;&gt;"2019::jama.2019.14630::"),"CHECK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2019::jama.2019.14630::C009</t>
        </is>
      </c>
      <c r="B10" s="20" t="inlineStr">
        <is>
          <t>eFigure2 labels versus bars and confidence intervals</t>
        </is>
      </c>
      <c r="C10" s="20" t="inlineStr">
        <is>
          <t>REPORT joi190106supp3_prod_1635377898.49725.pdf — results p.26 eFigure2, all seven pairs with printed labels, colored bars, 95% intervals, axis, legend, P annotations and 12-month caption.</t>
        </is>
      </c>
      <c r="D10" s="21" t="n"/>
      <c r="E10" s="21" t="inlineStr">
        <is>
          <t>statistical_results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ID",IF(OR(A10="",COUNTIF($A$2:$A$10,A10)&lt;&gt;1,LEFT(A10,LEN("2019::jama.2019.14630::"))&lt;&gt;"2019::jama.2019.14630::"),"CHECK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</sheetData>
  <autoFilter ref="A1:R10"/>
  <conditionalFormatting sqref="H2:H10">
    <cfRule type="expression" priority="8" dxfId="70">
      <formula>NOT(AND(OR($D2="retain",$D2=""),$E2="statistical_results"))</formula>
    </cfRule>
  </conditionalFormatting>
  <conditionalFormatting sqref="I2:I10">
    <cfRule type="expression" priority="9" dxfId="70">
      <formula>NOT(AND(OR($D2="retain",$D2=""),$E2="statistical_results"))</formula>
    </cfRule>
  </conditionalFormatting>
  <conditionalFormatting sqref="J2:J10">
    <cfRule type="expression" priority="10" dxfId="70">
      <formula>NOT(AND(OR($D2="retain",$D2=""),$E2="statistical_results"))</formula>
    </cfRule>
  </conditionalFormatting>
  <conditionalFormatting sqref="K2:K10">
    <cfRule type="expression" priority="11" dxfId="70">
      <formula>NOT(AND(OR($D2="retain",$D2=""),OR($E2="report_internal_inconsistency",$E2="plan_material")))</formula>
    </cfRule>
  </conditionalFormatting>
  <conditionalFormatting sqref="L2:L10">
    <cfRule type="expression" priority="12" dxfId="70">
      <formula>NOT(AND(OR($D2="retain",$D2=""),$E2="protocol_report"))</formula>
    </cfRule>
  </conditionalFormatting>
  <conditionalFormatting sqref="G2:G10">
    <cfRule type="expression" priority="13" dxfId="71">
      <formula>G2&lt;&gt;"PRIMARY READY"</formula>
    </cfRule>
  </conditionalFormatting>
  <dataValidations count="8">
    <dataValidation sqref="D2:D10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0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0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0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0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0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0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0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2019::jama.2019.14901::C001</t>
        </is>
      </c>
      <c r="B2" s="20" t="inlineStr">
        <is>
          <t>Reported respiratory-failure definition omits planned tachypnea duration</t>
        </is>
      </c>
      <c r="C2" s="20" t="inlineStr">
        <is>
          <t>PLAN joi190108supp1_prod.pdf — PDF p. 30, acute respiratory-failure criteria; REPORT jama_thille_2019_oi_190108.pdf — PDF p. 4, Outcomes, jama_thille_2019_oi_190108.pdf — PDF p. 1, abstract endpoint/result and jama_thille_2019_oi_190108.pdf — PDF p. 8, Table 2 respiratory-failure row. Corroborating endpoint identity is at joi190108supp1_prod.pdf — protocol PDF p. 25; the shortened criterion/counts are also at joi190108supp2_prod.pdf — results supplement PDF p. 2, eTable 1.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ID",IF(OR(A2="",COUNTIF($A$2:$A$6,A2)&lt;&gt;1,LEFT(A2,LEN("2019::jama.2019.14901::"))&lt;&gt;"2019::jama.2019.14901::"),"CHECK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2019::jama.2019.14901::C002</t>
        </is>
      </c>
      <c r="B3" s="24" t="inlineStr">
        <is>
          <t>Planned primary and key mortality Cox results are not reported</t>
        </is>
      </c>
      <c r="C3" s="24" t="inlineStr">
        <is>
          <t>PLAN joi190108supp1_prod.pdf — PDF p. 33, section 6.2 primary Cox specification and joi190108supp1_prod.pdf — PDF p. 34, mortality specification for ICU, hospital, day 28 and day 90. REPORT jama_thille_2019_oi_190108.pdf — PDF p. 1, primary/key mortality results, jama_thille_2019_oi_190108.pdf — PDF p. 4, methods, jama_thille_2019_oi_190108.pdf — PDF p. 6, results, jama_thille_2019_oi_190108.pdf — PDF p. 7, adjusted OR and reintubation curves and jama_thille_2019_oi_190108.pdf — PDF p. 8, Table 2 and Figure 3. Every results-supplement page was inspected: joi190108supp2_prod.pdf — PDF p. 1, contents, joi190108supp2_prod.pdf — p. 2, eTable 1, joi190108supp2_prod.pdf — p. 3, baseline, joi190108supp2_prod.pdf — p. 4, baseline continuation, joi190108supp2_prod.pdf — p. 5, footnotes, joi190108supp2_prod.pdf — p. 6, hypercapnic outcomes, joi190108supp2_prod.pdf — p. 7, nonhypercapnic outcomes, joi190108supp2_prod.pdf — p. 8, center counts and joi190108supp2_prod.pdf — p. 9, survival figure. All eleven article pages and the joi190108supp3_prod.pdf — data-sharing PDF p. 1 were additionally covered by the full presence audit in the recheck.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ID",IF(OR(A3="",COUNTIF($A$2:$A$6,A3)&lt;&gt;1,LEFT(A3,LEN("2019::jama.2019.14901::"))&lt;&gt;"2019::jama.2019.14901::"),"CHECK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2019::jama.2019.14901::C003</t>
        </is>
      </c>
      <c r="B4" s="20" t="inlineStr">
        <is>
          <t>Primary adjusted logistic model prespecification mapping is unclear</t>
        </is>
      </c>
      <c r="C4" s="20" t="inlineStr">
        <is>
          <t>PLAN joi190108supp1_prod.pdf — PDF p. 33, section 6.2 logistic selection; REPORT jama_thille_2019_oi_190108.pdf — PDF p. 4, Statistical Analysis and jama_thille_2019_oi_190108.pdf — PDF p. 7, Subgroup Analysis and Additional Analyses. jama_thille_2019_oi_190108.pdf — Article PDF p. 6, Table 1 footnote corroborates chronic lung disease as the sole baseline characteristic with P=.02.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ID",IF(OR(A4="",COUNTIF($A$2:$A$6,A4)&lt;&gt;1,LEFT(A4,LEN("2019::jama.2019.14901::"))&lt;&gt;"2019::jama.2019.14901::"),"CHECK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2019::jama.2019.14901::C004</t>
        </is>
      </c>
      <c r="B5" s="24" t="inlineStr">
        <is>
          <t>Two planned primary-outcome subgroup families are not reported</t>
        </is>
      </c>
      <c r="C5" s="24" t="inlineStr">
        <is>
          <t>PLAN joi190108supp1_prod.pdf — PDF p. 34, section 6.4; REPORT jama_thille_2019_oi_190108.pdf — PDF p. 4, subgroup methods, jama_thille_2019_oi_190108.pdf — PDF p. 7, subgroup results and jama_thille_2019_oi_190108.pdf — PDF p. 8, Figure 3; REPORT joi190108supp2_prod.pdf — PDF p. 1, contents, joi190108supp2_prod.pdf — p. 3, disease baseline entries, joi190108supp2_prod.pdf — p. 4, breathing-test baseline entries, joi190108supp2_prod.pdf — p. 5, category footnotes, joi190108supp2_prod.pdf — p. 6, hypercapnic outcomes and joi190108supp2_prod.pdf — p. 7, nonhypercapnic outcomes. Complete REPORT-page inspection, including all other article, results and data-sharing pages, is recorded in the evidence_recheck.md — mechanical recheck.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ID",IF(OR(A5="",COUNTIF($A$2:$A$6,A5)&lt;&gt;1,LEFT(A5,LEN("2019::jama.2019.14901::"))&lt;&gt;"2019::jama.2019.14901::"),"CHECK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2019::jama.2019.14901::C005</t>
        </is>
      </c>
      <c r="B6" s="20" t="inlineStr">
        <is>
          <t>Four hypercapnic cough and secretion percentages do not reconcile</t>
        </is>
      </c>
      <c r="C6" s="20" t="inlineStr">
        <is>
          <t>Four separate affected cells in joi190108supp2_prod.pdf — PDF p. 4, eTable 2: joi190108supp2_prod.pdf — ineffective cough, hypercapnic HFNC alone, 14/45 (69); joi190108supp2_prod.pdf — ineffective cough, hypercapnic HFNC with NIV, 16/59 (73); joi190108supp2_prod.pdf — abundant secretions, hypercapnic HFNC alone, 20/46 (57); joi190108supp2_prod.pdf — abundant secretions, hypercapnic HFNC with NIV, 23/61 (62). Row footnotes are at joi190108supp2_prod.pdf — PDF p. 5. Corroboration is at jama_thille_2019_oi_190108.pdf — PDF p. 6, Table 1; a possible explanatory percentage pair is at joi190108supp2_prod.pdf — results supplement PDF p. 3, chronic lung disease.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ID",IF(OR(A6="",COUNTIF($A$2:$A$6,A6)&lt;&gt;1,LEFT(A6,LEN("2019::jama.2019.14901::"))&lt;&gt;"2019::jama.2019.14901::"),"CHECK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</sheetData>
  <autoFilter ref="A1:R6"/>
  <conditionalFormatting sqref="H2:H6">
    <cfRule type="expression" priority="8" dxfId="70">
      <formula>NOT(AND(OR($D2="retain",$D2=""),$E2="statistical_results"))</formula>
    </cfRule>
  </conditionalFormatting>
  <conditionalFormatting sqref="I2:I6">
    <cfRule type="expression" priority="9" dxfId="70">
      <formula>NOT(AND(OR($D2="retain",$D2=""),$E2="statistical_results"))</formula>
    </cfRule>
  </conditionalFormatting>
  <conditionalFormatting sqref="J2:J6">
    <cfRule type="expression" priority="10" dxfId="70">
      <formula>NOT(AND(OR($D2="retain",$D2=""),$E2="statistical_results"))</formula>
    </cfRule>
  </conditionalFormatting>
  <conditionalFormatting sqref="K2:K6">
    <cfRule type="expression" priority="11" dxfId="70">
      <formula>NOT(AND(OR($D2="retain",$D2=""),OR($E2="report_internal_inconsistency",$E2="plan_material")))</formula>
    </cfRule>
  </conditionalFormatting>
  <conditionalFormatting sqref="L2:L6">
    <cfRule type="expression" priority="12" dxfId="70">
      <formula>NOT(AND(OR($D2="retain",$D2=""),$E2="protocol_report"))</formula>
    </cfRule>
  </conditionalFormatting>
  <conditionalFormatting sqref="G2:G6">
    <cfRule type="expression" priority="13" dxfId="71">
      <formula>G2&lt;&gt;"PRIMARY READY"</formula>
    </cfRule>
  </conditionalFormatting>
  <dataValidations count="8">
    <dataValidation sqref="D2:D6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6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6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6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6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6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6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6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2019::jama.2019.17380::C001</t>
        </is>
      </c>
      <c r="B2" s="20" t="inlineStr">
        <is>
          <t>Documented outcome-hierarchy and composite amendment</t>
        </is>
      </c>
      <c r="C2" s="20" t="inlineStr">
        <is>
          <t>joi190122supp1_prod.pdf — p.11 aims; joi190122supp1_prod.pdf — p.17 VI.b–c; joi190122supp1_prod.pdf — p.19 Table 2; joi190122supp1_prod.pdf — p.31 dates; joi190122supp1_prod.pdf — p.32 §15b; jama_de_boer_2019_oi_190122.pdf — p.1 primary outcome; jama_de_boer_2019_oi_190122.pdf — p.2 Outcomes; jama_de_boer_2019_oi_190122.pdf — p.3 secondary definitions; jama_de_boer_2019_oi_190122.pdf — p.4 composite narrative; jama_de_boer_2019_oi_190122.pdf — p.9 Table 3.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ID",IF(OR(A2="",COUNTIF($A$2:$A$19,A2)&lt;&gt;1,LEFT(A2,LEN("2019::jama.2019.17380::"))&lt;&gt;"2019::jama.2019.17380::"),"CHECK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2019::jama.2019.17380::C002</t>
        </is>
      </c>
      <c r="B3" s="24" t="inlineStr">
        <is>
          <t>Age eligibility thresholds differ between plan and report</t>
        </is>
      </c>
      <c r="C3" s="24" t="inlineStr">
        <is>
          <t>joi190122supp1_prod.pdf — p.4 abstract; joi190122supp1_prod.pdf — p.11 aims/population; joi190122supp1_prod.pdf — p.12 Table 1/population; jama_de_boer_2019_oi_190122.pdf — p.2 Study Population; joi190122supp1_prod.pdf — p.31; joi190122supp1_prod.pdf — p.32; joi190122supp1_prod.pdf — p.33.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ID",IF(OR(A3="",COUNTIF($A$2:$A$19,A3)&lt;&gt;1,LEFT(A3,LEN("2019::jama.2019.17380::"))&lt;&gt;"2019::jama.2019.17380::"),"CHECK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2019::jama.2019.17380::C003</t>
        </is>
      </c>
      <c r="B4" s="20" t="inlineStr">
        <is>
          <t>Diabetes exclusion criteria use different insulin rules</t>
        </is>
      </c>
      <c r="C4" s="20" t="inlineStr">
        <is>
          <t>joi190122supp1_prod.pdf — p.12 Table 1 and population narrative; joi190122supp1_prod.pdf — p.14 IV.a enrollment algorithm; jama_de_boer_2019_oi_190122.pdf — p.2 Study Population.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ID",IF(OR(A4="",COUNTIF($A$2:$A$19,A4)&lt;&gt;1,LEFT(A4,LEN("2019::jama.2019.17380::"))&lt;&gt;"2019::jama.2019.17380::"),"CHECK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2019::jama.2019.17380::C004</t>
        </is>
      </c>
      <c r="B5" s="24" t="inlineStr">
        <is>
          <t>Randomization stratifiers differ between plan and report</t>
        </is>
      </c>
      <c r="C5" s="24" t="inlineStr">
        <is>
          <t>joi190122supp1_prod.pdf — p.14 IV.c Treatment Assignment; jama_de_boer_2019_oi_190122.pdf — p.2 Interventions; joi190122supp1_prod.pdf — pp.31–33 analytic addendum; joi190122supp1_prod.pdf — p.32; joi190122supp1_prod.pdf — p.33.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ID",IF(OR(A5="",COUNTIF($A$2:$A$19,A5)&lt;&gt;1,LEFT(A5,LEN("2019::jama.2019.17380::"))&lt;&gt;"2019::jama.2019.17380::"),"CHECK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2019::jama.2019.17380::C005</t>
        </is>
      </c>
      <c r="B6" s="20" t="inlineStr">
        <is>
          <t>Primary eGFR estimator identity differs from the supplied plan</t>
        </is>
      </c>
      <c r="C6" s="20" t="inlineStr">
        <is>
          <t>joi190122supp1_prod.pdf — p.17 VI.c Equation 1; joi190122supp1_prod.pdf — p.30; joi190122supp1_prod.pdf — p.32 §15b; jama_de_boer_2019_oi_190122.pdf — p.3 Outcomes; jama_de_boer_2019_oi_190122.pdf — p.11; joi190122supp2_prod.pdf — p.2; joi190122supp2_prod.pdf — p.3; joi190122supp2_prod.pdf — p.4.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ID",IF(OR(A6="",COUNTIF($A$2:$A$19,A6)&lt;&gt;1,LEFT(A6,LEN("2019::jama.2019.17380::"))&lt;&gt;"2019::jama.2019.17380::"),"CHECK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2019::jama.2019.17380::C006</t>
        </is>
      </c>
      <c r="B7" s="24" t="inlineStr">
        <is>
          <t>Standalone categorical ACR analysis is called prespecified</t>
        </is>
      </c>
      <c r="C7" s="24" t="inlineStr">
        <is>
          <t>joi190122supp1_prod.pdf — p.17 original composite; joi190122supp1_prod.pdf — p.32 §15b/e; joi190122supp1_prod.pdf — p.33 categorical-model continuation; jama_de_boer_2019_oi_190122.pdf — p.3 Outcomes; jama_de_boer_2019_oi_190122.pdf — p.4 secondary narrative; jama_de_boer_2019_oi_190122.pdf — p.9 Table 3 and footnote a.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ID",IF(OR(A7="",COUNTIF($A$2:$A$19,A7)&lt;&gt;1,LEFT(A7,LEN("2019::jama.2019.17380::"))&lt;&gt;"2019::jama.2019.17380::"),"CHECK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2019::jama.2019.17380::C007</t>
        </is>
      </c>
      <c r="B8" s="20" t="inlineStr">
        <is>
          <t>Adherence sensitivity populations use different criteria</t>
        </is>
      </c>
      <c r="C8" s="20" t="inlineStr">
        <is>
          <t>joi190122supp1_prod.pdf — p.19 VI.g; joi190122supp1_prod.pdf — p.33 §15g; jama_de_boer_2019_oi_190122.pdf — p.3 Covariates/Data Analysis; jama_de_boer_2019_oi_190122.pdf — p.4 sensitivity narrative; joi190122supp2_prod.pdf — p.6 eTable 1 footnote; joi190122supp2_prod.pdf — p.10 eTable 5 definition; joi190122supp2_prod.pdf — p.13 eTable 8 definition.</t>
        </is>
      </c>
      <c r="D8" s="21" t="n"/>
      <c r="E8" s="21" t="inlineStr">
        <is>
          <t>protocol_report</t>
        </is>
      </c>
      <c r="F8" s="21" t="inlineStr">
        <is>
          <t>no</t>
        </is>
      </c>
      <c r="G8" s="20">
        <f>IFERROR(IF(LEN(TRIM(CLEAN(SUBSTITUTE(Setup!$B$2,CHAR(160)," "))))=0,"CHECK REVIEWER ID",IF(OR(A8="",COUNTIF($A$2:$A$19,A8)&lt;&gt;1,LEFT(A8,LEN("2019::jama.2019.17380::"))&lt;&gt;"2019::jama.2019.17380::"),"CHECK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2019::jama.2019.17380::C008</t>
        </is>
      </c>
      <c r="B9" s="24" t="inlineStr">
        <is>
          <t>Primary analysis population drops the planned follow-up condition</t>
        </is>
      </c>
      <c r="C9" s="24" t="inlineStr">
        <is>
          <t>joi190122supp1_prod.pdf — p.32 §15c; jama_de_boer_2019_oi_190122.pdf — p.3 Data Analysis; jama_de_boer_2019_oi_190122.pdf — p.4 Retention; jama_de_boer_2019_oi_190122.pdf — p.6 Figure 1; jama_de_boer_2019_oi_190122.pdf — p.8 Table 2 footnotes.</t>
        </is>
      </c>
      <c r="D9" s="21" t="n"/>
      <c r="E9" s="21" t="inlineStr">
        <is>
          <t>protocol_report</t>
        </is>
      </c>
      <c r="F9" s="21" t="inlineStr">
        <is>
          <t>no</t>
        </is>
      </c>
      <c r="G9" s="24">
        <f>IFERROR(IF(LEN(TRIM(CLEAN(SUBSTITUTE(Setup!$B$2,CHAR(160)," "))))=0,"CHECK REVIEWER ID",IF(OR(A9="",COUNTIF($A$2:$A$19,A9)&lt;&gt;1,LEFT(A9,LEN("2019::jama.2019.17380::"))&lt;&gt;"2019::jama.2019.17380::"),"CHECK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2019::jama.2019.17380::C009</t>
        </is>
      </c>
      <c r="B10" s="20" t="inlineStr">
        <is>
          <t>Primary imputation count differs between plan and report</t>
        </is>
      </c>
      <c r="C10" s="20" t="inlineStr">
        <is>
          <t>joi190122supp1_prod.pdf — p.32 §15c; jama_de_boer_2019_oi_190122.pdf — p.3 Data Analysis; jama_de_boer_2019_oi_190122.pdf — p.8 Table 2 footnotes.</t>
        </is>
      </c>
      <c r="D10" s="21" t="n"/>
      <c r="E10" s="21" t="inlineStr">
        <is>
          <t>protocol_report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ID",IF(OR(A10="",COUNTIF($A$2:$A$19,A10)&lt;&gt;1,LEFT(A10,LEN("2019::jama.2019.17380::"))&lt;&gt;"2019::jama.2019.17380::"),"CHECK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2019::jama.2019.17380::C010</t>
        </is>
      </c>
      <c r="B11" s="24" t="inlineStr">
        <is>
          <t>Reported primary covariates differ from the planned primary model</t>
        </is>
      </c>
      <c r="C11" s="24" t="inlineStr">
        <is>
          <t>joi190122supp1_prod.pdf — p.32 §15e Equation 2 and conditional sensitivity clause; joi190122supp1_prod.pdf — p.33; jama_de_boer_2019_oi_190122.pdf — p.3 Data Analysis; jama_de_boer_2019_oi_190122.pdf — p.8 Table 2 footnote a; joi190122supp2_prod.pdf — p.9 eTable 4; joi190122supp2_prod.pdf — p.10 eTable 5.</t>
        </is>
      </c>
      <c r="D11" s="21" t="n"/>
      <c r="E11" s="21" t="inlineStr">
        <is>
          <t>protocol_report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ID",IF(OR(A11="",COUNTIF($A$2:$A$19,A11)&lt;&gt;1,LEFT(A11,LEN("2019::jama.2019.17380::"))&lt;&gt;"2019::jama.2019.17380::"),"CHECK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2019::jama.2019.17380::C011</t>
        </is>
      </c>
      <c r="B12" s="20" t="inlineStr">
        <is>
          <t>Planned bioavailable vitamin-D subgroup result is absent</t>
        </is>
      </c>
      <c r="C12" s="20" t="inlineStr">
        <is>
          <t>joi190122supp1_prod.pdf — p.33 §15f; jama_de_boer_2019_oi_190122.pdf — p.3 subgroup methods; jama_de_boer_2019_oi_190122.pdf — p.8 Figure 3; jama_de_boer_2019_oi_190122.pdf — p.9 interpretation; jama_de_boer_2019_oi_190122.pdf — p.10 interpretation/disclosure; joi190122supp2_prod.pdf — p.18 eFigure 2; joi190122supp2_prod.pdf — p.17 eFigure 1; joi190122supp3_prod.pdf — data-sharing statement p.1.</t>
        </is>
      </c>
      <c r="D12" s="21" t="n"/>
      <c r="E12" s="21" t="inlineStr">
        <is>
          <t>protocol_report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ID",IF(OR(A12="",COUNTIF($A$2:$A$19,A12)&lt;&gt;1,LEFT(A12,LEN("2019::jama.2019.17380::"))&lt;&gt;"2019::jama.2019.17380::"),"CHECK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  <row r="13" ht="92" customFormat="1" customHeight="1" s="14">
      <c r="A13" s="24" t="inlineStr">
        <is>
          <t>2019::jama.2019.17380::C012</t>
        </is>
      </c>
      <c r="B13" s="24" t="inlineStr">
        <is>
          <t>Forest figures associate counts with opposite treatment columns</t>
        </is>
      </c>
      <c r="C13" s="24" t="inlineStr">
        <is>
          <t>jama_de_boer_2019_oi_190122.pdf — main p.8 Figure 3 and Table 2; jama_de_boer_2019_oi_190122.pdf — main p.9 Figure 4; joi190122supp2_prod.pdf — supplement p.18 eFigure 2; joi190122supp2_prod.pdf — supplement p.19 eFigure 3; jama_de_boer_2019_oi_190122.pdf — main p.1 allocation; jama_de_boer_2019_oi_190122.pdf — p.5 Table 1; jama_de_boer_2019_oi_190122.pdf — p.6 Figure 1; joi190122supp2_prod.pdf — supplement p.11 eTable 6; joi190122supp2_prod.pdf — p.16 eTable 11 marginal allocations.</t>
        </is>
      </c>
      <c r="D13" s="21" t="n"/>
      <c r="E13" s="21" t="inlineStr">
        <is>
          <t>statistical_results</t>
        </is>
      </c>
      <c r="F13" s="21" t="inlineStr">
        <is>
          <t>no</t>
        </is>
      </c>
      <c r="G13" s="24">
        <f>IFERROR(IF(LEN(TRIM(CLEAN(SUBSTITUTE(Setup!$B$2,CHAR(160)," "))))=0,"CHECK REVIEWER ID",IF(OR(A13="",COUNTIF($A$2:$A$19,A13)&lt;&gt;1,LEFT(A13,LEN("2019::jama.2019.17380::"))&lt;&gt;"2019::jama.2019.17380::"),"CHECK KEY",IF(OR(AND(NOT(AND(D13="retain",E13="statistical_results")),H13&lt;&gt;"",NOT(EXACT(H13,"not_applicable"))),AND(NOT(AND(D13="retain",E13="statistical_results")),I13&lt;&gt;"",NOT(EXACT(I13,"not_applicable"))),AND(NOT(AND(D13="retain",E13="statistical_results")),J13&lt;&gt;"",NOT(EXACT(J13,"not_applicable"))),AND(NOT(AND(D13="retain",OR(E13="report_internal_inconsistency",E13="plan_material"))),K13&lt;&gt;"",NOT(EXACT(K13,"not_applicable"))),AND(NOT(AND(D13="retain",E13="protocol_report")),L13&lt;&gt;"",NOT(EXACT(L13,"not_applicable")))),"CLEAR INACTIVE VALUES",IF(OR(NOT(OR(EXACT(D13,"retain"),EXACT(D13,"exclude"),EXACT(D13,"discuss"))),NOT(OR(EXACT(E13,"statistical_results"),EXACT(E13,"report_internal_inconsistency"),EXACT(E13,"plan_material"),EXACT(E13,"protocol_report"))),AND(AND(D13="retain",E13="statistical_results"),NOT(OR(EXACT(H13,"confirmed_issue"),EXACT(H13,"probable_issue"),EXACT(H13,"not_issue"),EXACT(H13,"indeterminate")))),AND(AND(D13="retain",E13="statistical_results"),NOT(OR(EXACT(I13,"substantive"),EXACT(I13,"minor_presentation"),EXACT(I13,"indeterminate")))),AND(AND(D13="retain",E13="statistical_results"),J13&lt;&gt;"",NOT(OR(EXACT(J13,"direct"),EXACT(J13,"possible"),EXACT(J13,"unlikely"),EXACT(J13,"unknown")))),AND(AND(D13="retain",OR(E13="report_internal_inconsistency",E13="plan_material")),NOT(OR(EXACT(K13,"substantive_inconsistency"),EXACT(K13,"minor_presentation"),EXACT(K13,"non_inconsistency"),EXACT(K13,"indeterminate")))),AND(AND(D13="retain",E13="protocol_report"),L13&lt;&gt;"",NOT(OR(EXACT(L13,"substantive_difference"),EXACT(L13,"minor_presentation"),EXACT(L13,"version_timing"),EXACT(L13,"non_inconsistency"),EXACT(L13,"indeterminate"))))),"CHECK FIELDS",IF(AND(F13&lt;&gt;"",NOT(OR(EXACT(F13,"no"),EXACT(F13,"primary_done")))),"CHECK COMPLETE",IF(EXACT(F13,"primary_done"),"PRIMARY READY","PRIMARY DRAFT")))))),"CHECK INPUT / KEY")</f>
        <v/>
      </c>
      <c r="H13" s="21">
        <f>IF(AND(OR(D13="retain",D13=""),E13="statistical_results"),"","not_applicable")</f>
        <v/>
      </c>
      <c r="I13" s="21">
        <f>IF(AND(OR(D13="retain",D13=""),E13="statistical_results"),"","not_applicable")</f>
        <v/>
      </c>
      <c r="J13" s="22">
        <f>IF(AND(OR(D13="retain",D13=""),E13="statistical_results"),"","not_applicable")</f>
        <v/>
      </c>
      <c r="K13" s="21">
        <f>IF(AND(OR(D13="retain",D13=""),OR(E13="report_internal_inconsistency",E13="plan_material")),"","not_applicable")</f>
        <v/>
      </c>
      <c r="L13" s="22">
        <f>IF(AND(OR(D13="retain",D13=""),E13="protocol_report"),"","not_applicable")</f>
        <v/>
      </c>
      <c r="M13" s="24" t="n"/>
      <c r="N13" s="23" t="n"/>
      <c r="O13" s="23" t="n"/>
      <c r="P13" s="23" t="n"/>
      <c r="Q13" s="23" t="n"/>
      <c r="R13" s="22" t="n"/>
    </row>
    <row r="14" ht="92" customFormat="1" customHeight="1" s="14">
      <c r="A14" s="20" t="inlineStr">
        <is>
          <t>2019::jama.2019.17380::C013</t>
        </is>
      </c>
      <c r="B14" s="20" t="inlineStr">
        <is>
          <t>Omega-3 contributor rows repeat vitamin-D counts</t>
        </is>
      </c>
      <c r="C14" s="20" t="inlineStr">
        <is>
          <t>jama_de_boer_2019_oi_190122.pdf — main p.7 Figure 2 A–D and caption; jama_de_boer_2019_oi_190122.pdf — main p.8 Table 2; joi190122supp2_prod.pdf — supplement p.11 eTable 6; jama_de_boer_2019_oi_190122.pdf — main p.1 allocation.</t>
        </is>
      </c>
      <c r="D14" s="21" t="n"/>
      <c r="E14" s="21" t="inlineStr">
        <is>
          <t>statistical_results</t>
        </is>
      </c>
      <c r="F14" s="21" t="inlineStr">
        <is>
          <t>no</t>
        </is>
      </c>
      <c r="G14" s="20">
        <f>IFERROR(IF(LEN(TRIM(CLEAN(SUBSTITUTE(Setup!$B$2,CHAR(160)," "))))=0,"CHECK REVIEWER ID",IF(OR(A14="",COUNTIF($A$2:$A$19,A14)&lt;&gt;1,LEFT(A14,LEN("2019::jama.2019.17380::"))&lt;&gt;"2019::jama.2019.17380::"),"CHECK KEY",IF(OR(AND(NOT(AND(D14="retain",E14="statistical_results")),H14&lt;&gt;"",NOT(EXACT(H14,"not_applicable"))),AND(NOT(AND(D14="retain",E14="statistical_results")),I14&lt;&gt;"",NOT(EXACT(I14,"not_applicable"))),AND(NOT(AND(D14="retain",E14="statistical_results")),J14&lt;&gt;"",NOT(EXACT(J14,"not_applicable"))),AND(NOT(AND(D14="retain",OR(E14="report_internal_inconsistency",E14="plan_material"))),K14&lt;&gt;"",NOT(EXACT(K14,"not_applicable"))),AND(NOT(AND(D14="retain",E14="protocol_report")),L14&lt;&gt;"",NOT(EXACT(L14,"not_applicable")))),"CLEAR INACTIVE VALUES",IF(OR(NOT(OR(EXACT(D14,"retain"),EXACT(D14,"exclude"),EXACT(D14,"discuss"))),NOT(OR(EXACT(E14,"statistical_results"),EXACT(E14,"report_internal_inconsistency"),EXACT(E14,"plan_material"),EXACT(E14,"protocol_report"))),AND(AND(D14="retain",E14="statistical_results"),NOT(OR(EXACT(H14,"confirmed_issue"),EXACT(H14,"probable_issue"),EXACT(H14,"not_issue"),EXACT(H14,"indeterminate")))),AND(AND(D14="retain",E14="statistical_results"),NOT(OR(EXACT(I14,"substantive"),EXACT(I14,"minor_presentation"),EXACT(I14,"indeterminate")))),AND(AND(D14="retain",E14="statistical_results"),J14&lt;&gt;"",NOT(OR(EXACT(J14,"direct"),EXACT(J14,"possible"),EXACT(J14,"unlikely"),EXACT(J14,"unknown")))),AND(AND(D14="retain",OR(E14="report_internal_inconsistency",E14="plan_material")),NOT(OR(EXACT(K14,"substantive_inconsistency"),EXACT(K14,"minor_presentation"),EXACT(K14,"non_inconsistency"),EXACT(K14,"indeterminate")))),AND(AND(D14="retain",E14="protocol_report"),L14&lt;&gt;"",NOT(OR(EXACT(L14,"substantive_difference"),EXACT(L14,"minor_presentation"),EXACT(L14,"version_timing"),EXACT(L14,"non_inconsistency"),EXACT(L14,"indeterminate"))))),"CHECK FIELDS",IF(AND(F14&lt;&gt;"",NOT(OR(EXACT(F14,"no"),EXACT(F14,"primary_done")))),"CHECK COMPLETE",IF(EXACT(F14,"primary_done"),"PRIMARY READY","PRIMARY DRAFT")))))),"CHECK INPUT / KEY")</f>
        <v/>
      </c>
      <c r="H14" s="21">
        <f>IF(AND(OR(D14="retain",D14=""),E14="statistical_results"),"","not_applicable")</f>
        <v/>
      </c>
      <c r="I14" s="21">
        <f>IF(AND(OR(D14="retain",D14=""),E14="statistical_results"),"","not_applicable")</f>
        <v/>
      </c>
      <c r="J14" s="22">
        <f>IF(AND(OR(D14="retain",D14=""),E14="statistical_results"),"","not_applicable")</f>
        <v/>
      </c>
      <c r="K14" s="21">
        <f>IF(AND(OR(D14="retain",D14=""),OR(E14="report_internal_inconsistency",E14="plan_material")),"","not_applicable")</f>
        <v/>
      </c>
      <c r="L14" s="22">
        <f>IF(AND(OR(D14="retain",D14=""),E14="protocol_report"),"","not_applicable")</f>
        <v/>
      </c>
      <c r="M14" s="20" t="n"/>
      <c r="N14" s="23" t="n"/>
      <c r="O14" s="23" t="n"/>
      <c r="P14" s="23" t="n"/>
      <c r="Q14" s="23" t="n"/>
      <c r="R14" s="22" t="n"/>
    </row>
    <row r="15" ht="92" customFormat="1" customHeight="1" s="14">
      <c r="A15" s="24" t="inlineStr">
        <is>
          <t>2019::jama.2019.17380::C014</t>
        </is>
      </c>
      <c r="B15" s="24" t="inlineStr">
        <is>
          <t>Plan gives two microgram equivalents for the same vitamin-D dose</t>
        </is>
      </c>
      <c r="C15" s="24" t="inlineStr">
        <is>
          <t>joi190122supp1_prod.pdf — p.15 V.e.1; joi190122supp1_prod.pdf — p.21 VII.a; jama_de_boer_2019_oi_190122.pdf — main p.2 intervention.</t>
        </is>
      </c>
      <c r="D15" s="21" t="n"/>
      <c r="E15" s="21" t="inlineStr">
        <is>
          <t>plan_material</t>
        </is>
      </c>
      <c r="F15" s="21" t="inlineStr">
        <is>
          <t>no</t>
        </is>
      </c>
      <c r="G15" s="24">
        <f>IFERROR(IF(LEN(TRIM(CLEAN(SUBSTITUTE(Setup!$B$2,CHAR(160)," "))))=0,"CHECK REVIEWER ID",IF(OR(A15="",COUNTIF($A$2:$A$19,A15)&lt;&gt;1,LEFT(A15,LEN("2019::jama.2019.17380::"))&lt;&gt;"2019::jama.2019.17380::"),"CHECK KEY",IF(OR(AND(NOT(AND(D15="retain",E15="statistical_results")),H15&lt;&gt;"",NOT(EXACT(H15,"not_applicable"))),AND(NOT(AND(D15="retain",E15="statistical_results")),I15&lt;&gt;"",NOT(EXACT(I15,"not_applicable"))),AND(NOT(AND(D15="retain",E15="statistical_results")),J15&lt;&gt;"",NOT(EXACT(J15,"not_applicable"))),AND(NOT(AND(D15="retain",OR(E15="report_internal_inconsistency",E15="plan_material"))),K15&lt;&gt;"",NOT(EXACT(K15,"not_applicable"))),AND(NOT(AND(D15="retain",E15="protocol_report")),L15&lt;&gt;"",NOT(EXACT(L15,"not_applicable")))),"CLEAR INACTIVE VALUES",IF(OR(NOT(OR(EXACT(D15,"retain"),EXACT(D15,"exclude"),EXACT(D15,"discuss"))),NOT(OR(EXACT(E15,"statistical_results"),EXACT(E15,"report_internal_inconsistency"),EXACT(E15,"plan_material"),EXACT(E15,"protocol_report"))),AND(AND(D15="retain",E15="statistical_results"),NOT(OR(EXACT(H15,"confirmed_issue"),EXACT(H15,"probable_issue"),EXACT(H15,"not_issue"),EXACT(H15,"indeterminate")))),AND(AND(D15="retain",E15="statistical_results"),NOT(OR(EXACT(I15,"substantive"),EXACT(I15,"minor_presentation"),EXACT(I15,"indeterminate")))),AND(AND(D15="retain",E15="statistical_results"),J15&lt;&gt;"",NOT(OR(EXACT(J15,"direct"),EXACT(J15,"possible"),EXACT(J15,"unlikely"),EXACT(J15,"unknown")))),AND(AND(D15="retain",OR(E15="report_internal_inconsistency",E15="plan_material")),NOT(OR(EXACT(K15,"substantive_inconsistency"),EXACT(K15,"minor_presentation"),EXACT(K15,"non_inconsistency"),EXACT(K15,"indeterminate")))),AND(AND(D15="retain",E15="protocol_report"),L15&lt;&gt;"",NOT(OR(EXACT(L15,"substantive_difference"),EXACT(L15,"minor_presentation"),EXACT(L15,"version_timing"),EXACT(L15,"non_inconsistency"),EXACT(L15,"indeterminate"))))),"CHECK FIELDS",IF(AND(F15&lt;&gt;"",NOT(OR(EXACT(F15,"no"),EXACT(F15,"primary_done")))),"CHECK COMPLETE",IF(EXACT(F15,"primary_done"),"PRIMARY READY","PRIMARY DRAFT")))))),"CHECK INPUT / KEY")</f>
        <v/>
      </c>
      <c r="H15" s="21">
        <f>IF(AND(OR(D15="retain",D15=""),E15="statistical_results"),"","not_applicable")</f>
        <v/>
      </c>
      <c r="I15" s="21">
        <f>IF(AND(OR(D15="retain",D15=""),E15="statistical_results"),"","not_applicable")</f>
        <v/>
      </c>
      <c r="J15" s="22">
        <f>IF(AND(OR(D15="retain",D15=""),E15="statistical_results"),"","not_applicable")</f>
        <v/>
      </c>
      <c r="K15" s="21">
        <f>IF(AND(OR(D15="retain",D15=""),OR(E15="report_internal_inconsistency",E15="plan_material")),"","not_applicable")</f>
        <v/>
      </c>
      <c r="L15" s="22">
        <f>IF(AND(OR(D15="retain",D15=""),E15="protocol_report"),"","not_applicable")</f>
        <v/>
      </c>
      <c r="M15" s="24" t="n"/>
      <c r="N15" s="23" t="n"/>
      <c r="O15" s="23" t="n"/>
      <c r="P15" s="23" t="n"/>
      <c r="Q15" s="23" t="n"/>
      <c r="R15" s="22" t="n"/>
    </row>
    <row r="16" ht="92" customFormat="1" customHeight="1" s="14">
      <c r="A16" s="20" t="inlineStr">
        <is>
          <t>2019::jama.2019.17380::C015</t>
        </is>
      </c>
      <c r="B16" s="20" t="inlineStr">
        <is>
          <t>Plan interaction and primary models specify different time terms</t>
        </is>
      </c>
      <c r="C16" s="20" t="inlineStr">
        <is>
          <t>joi190122supp1_prod.pdf — p.32 §15d Equation 1 and §15e Equation 2; jama_de_boer_2019_oi_190122.pdf — main p.3; jama_de_boer_2019_oi_190122.pdf — p.4.</t>
        </is>
      </c>
      <c r="D16" s="21" t="n"/>
      <c r="E16" s="21" t="inlineStr">
        <is>
          <t>plan_material</t>
        </is>
      </c>
      <c r="F16" s="21" t="inlineStr">
        <is>
          <t>no</t>
        </is>
      </c>
      <c r="G16" s="20">
        <f>IFERROR(IF(LEN(TRIM(CLEAN(SUBSTITUTE(Setup!$B$2,CHAR(160)," "))))=0,"CHECK REVIEWER ID",IF(OR(A16="",COUNTIF($A$2:$A$19,A16)&lt;&gt;1,LEFT(A16,LEN("2019::jama.2019.17380::"))&lt;&gt;"2019::jama.2019.17380::"),"CHECK KEY",IF(OR(AND(NOT(AND(D16="retain",E16="statistical_results")),H16&lt;&gt;"",NOT(EXACT(H16,"not_applicable"))),AND(NOT(AND(D16="retain",E16="statistical_results")),I16&lt;&gt;"",NOT(EXACT(I16,"not_applicable"))),AND(NOT(AND(D16="retain",E16="statistical_results")),J16&lt;&gt;"",NOT(EXACT(J16,"not_applicable"))),AND(NOT(AND(D16="retain",OR(E16="report_internal_inconsistency",E16="plan_material"))),K16&lt;&gt;"",NOT(EXACT(K16,"not_applicable"))),AND(NOT(AND(D16="retain",E16="protocol_report")),L16&lt;&gt;"",NOT(EXACT(L16,"not_applicable")))),"CLEAR INACTIVE VALUES",IF(OR(NOT(OR(EXACT(D16,"retain"),EXACT(D16,"exclude"),EXACT(D16,"discuss"))),NOT(OR(EXACT(E16,"statistical_results"),EXACT(E16,"report_internal_inconsistency"),EXACT(E16,"plan_material"),EXACT(E16,"protocol_report"))),AND(AND(D16="retain",E16="statistical_results"),NOT(OR(EXACT(H16,"confirmed_issue"),EXACT(H16,"probable_issue"),EXACT(H16,"not_issue"),EXACT(H16,"indeterminate")))),AND(AND(D16="retain",E16="statistical_results"),NOT(OR(EXACT(I16,"substantive"),EXACT(I16,"minor_presentation"),EXACT(I16,"indeterminate")))),AND(AND(D16="retain",E16="statistical_results"),J16&lt;&gt;"",NOT(OR(EXACT(J16,"direct"),EXACT(J16,"possible"),EXACT(J16,"unlikely"),EXACT(J16,"unknown")))),AND(AND(D16="retain",OR(E16="report_internal_inconsistency",E16="plan_material")),NOT(OR(EXACT(K16,"substantive_inconsistency"),EXACT(K16,"minor_presentation"),EXACT(K16,"non_inconsistency"),EXACT(K16,"indeterminate")))),AND(AND(D16="retain",E16="protocol_report"),L16&lt;&gt;"",NOT(OR(EXACT(L16,"substantive_difference"),EXACT(L16,"minor_presentation"),EXACT(L16,"version_timing"),EXACT(L16,"non_inconsistency"),EXACT(L16,"indeterminate"))))),"CHECK FIELDS",IF(AND(F16&lt;&gt;"",NOT(OR(EXACT(F16,"no"),EXACT(F16,"primary_done")))),"CHECK COMPLETE",IF(EXACT(F16,"primary_done"),"PRIMARY READY","PRIMARY DRAFT")))))),"CHECK INPUT / KEY")</f>
        <v/>
      </c>
      <c r="H16" s="21">
        <f>IF(AND(OR(D16="retain",D16=""),E16="statistical_results"),"","not_applicable")</f>
        <v/>
      </c>
      <c r="I16" s="21">
        <f>IF(AND(OR(D16="retain",D16=""),E16="statistical_results"),"","not_applicable")</f>
        <v/>
      </c>
      <c r="J16" s="22">
        <f>IF(AND(OR(D16="retain",D16=""),E16="statistical_results"),"","not_applicable")</f>
        <v/>
      </c>
      <c r="K16" s="21">
        <f>IF(AND(OR(D16="retain",D16=""),OR(E16="report_internal_inconsistency",E16="plan_material")),"","not_applicable")</f>
        <v/>
      </c>
      <c r="L16" s="22">
        <f>IF(AND(OR(D16="retain",D16=""),E16="protocol_report"),"","not_applicable")</f>
        <v/>
      </c>
      <c r="M16" s="20" t="n"/>
      <c r="N16" s="23" t="n"/>
      <c r="O16" s="23" t="n"/>
      <c r="P16" s="23" t="n"/>
      <c r="Q16" s="23" t="n"/>
      <c r="R16" s="22" t="n"/>
    </row>
    <row r="17" ht="92" customFormat="1" customHeight="1" s="14">
      <c r="A17" s="24" t="inlineStr">
        <is>
          <t>2019::jama.2019.17380::C016</t>
        </is>
      </c>
      <c r="B17" s="24" t="inlineStr">
        <is>
          <t>Year-5 SGLT2 count and percentage do not reconcile</t>
        </is>
      </c>
      <c r="C17" s="24" t="inlineStr">
        <is>
          <t>joi190122supp2_prod.pdf — supplement p.7 eTable 2.</t>
        </is>
      </c>
      <c r="D17" s="21" t="n"/>
      <c r="E17" s="21" t="inlineStr">
        <is>
          <t>statistical_results</t>
        </is>
      </c>
      <c r="F17" s="21" t="inlineStr">
        <is>
          <t>no</t>
        </is>
      </c>
      <c r="G17" s="24">
        <f>IFERROR(IF(LEN(TRIM(CLEAN(SUBSTITUTE(Setup!$B$2,CHAR(160)," "))))=0,"CHECK REVIEWER ID",IF(OR(A17="",COUNTIF($A$2:$A$19,A17)&lt;&gt;1,LEFT(A17,LEN("2019::jama.2019.17380::"))&lt;&gt;"2019::jama.2019.17380::"),"CHECK KEY",IF(OR(AND(NOT(AND(D17="retain",E17="statistical_results")),H17&lt;&gt;"",NOT(EXACT(H17,"not_applicable"))),AND(NOT(AND(D17="retain",E17="statistical_results")),I17&lt;&gt;"",NOT(EXACT(I17,"not_applicable"))),AND(NOT(AND(D17="retain",E17="statistical_results")),J17&lt;&gt;"",NOT(EXACT(J17,"not_applicable"))),AND(NOT(AND(D17="retain",OR(E17="report_internal_inconsistency",E17="plan_material"))),K17&lt;&gt;"",NOT(EXACT(K17,"not_applicable"))),AND(NOT(AND(D17="retain",E17="protocol_report")),L17&lt;&gt;"",NOT(EXACT(L17,"not_applicable")))),"CLEAR INACTIVE VALUES",IF(OR(NOT(OR(EXACT(D17,"retain"),EXACT(D17,"exclude"),EXACT(D17,"discuss"))),NOT(OR(EXACT(E17,"statistical_results"),EXACT(E17,"report_internal_inconsistency"),EXACT(E17,"plan_material"),EXACT(E17,"protocol_report"))),AND(AND(D17="retain",E17="statistical_results"),NOT(OR(EXACT(H17,"confirmed_issue"),EXACT(H17,"probable_issue"),EXACT(H17,"not_issue"),EXACT(H17,"indeterminate")))),AND(AND(D17="retain",E17="statistical_results"),NOT(OR(EXACT(I17,"substantive"),EXACT(I17,"minor_presentation"),EXACT(I17,"indeterminate")))),AND(AND(D17="retain",E17="statistical_results"),J17&lt;&gt;"",NOT(OR(EXACT(J17,"direct"),EXACT(J17,"possible"),EXACT(J17,"unlikely"),EXACT(J17,"unknown")))),AND(AND(D17="retain",OR(E17="report_internal_inconsistency",E17="plan_material")),NOT(OR(EXACT(K17,"substantive_inconsistency"),EXACT(K17,"minor_presentation"),EXACT(K17,"non_inconsistency"),EXACT(K17,"indeterminate")))),AND(AND(D17="retain",E17="protocol_report"),L17&lt;&gt;"",NOT(OR(EXACT(L17,"substantive_difference"),EXACT(L17,"minor_presentation"),EXACT(L17,"version_timing"),EXACT(L17,"non_inconsistency"),EXACT(L17,"indeterminate"))))),"CHECK FIELDS",IF(AND(F17&lt;&gt;"",NOT(OR(EXACT(F17,"no"),EXACT(F17,"primary_done")))),"CHECK COMPLETE",IF(EXACT(F17,"primary_done"),"PRIMARY READY","PRIMARY DRAFT")))))),"CHECK INPUT / KEY")</f>
        <v/>
      </c>
      <c r="H17" s="21">
        <f>IF(AND(OR(D17="retain",D17=""),E17="statistical_results"),"","not_applicable")</f>
        <v/>
      </c>
      <c r="I17" s="21">
        <f>IF(AND(OR(D17="retain",D17=""),E17="statistical_results"),"","not_applicable")</f>
        <v/>
      </c>
      <c r="J17" s="22">
        <f>IF(AND(OR(D17="retain",D17=""),E17="statistical_results"),"","not_applicable")</f>
        <v/>
      </c>
      <c r="K17" s="21">
        <f>IF(AND(OR(D17="retain",D17=""),OR(E17="report_internal_inconsistency",E17="plan_material")),"","not_applicable")</f>
        <v/>
      </c>
      <c r="L17" s="22">
        <f>IF(AND(OR(D17="retain",D17=""),E17="protocol_report"),"","not_applicable")</f>
        <v/>
      </c>
      <c r="M17" s="24" t="n"/>
      <c r="N17" s="23" t="n"/>
      <c r="O17" s="23" t="n"/>
      <c r="P17" s="23" t="n"/>
      <c r="Q17" s="23" t="n"/>
      <c r="R17" s="22" t="n"/>
    </row>
    <row r="18" ht="92" customFormat="1" customHeight="1" s="14">
      <c r="A18" s="20" t="inlineStr">
        <is>
          <t>2019::jama.2019.17380::C017</t>
        </is>
      </c>
      <c r="B18" s="20" t="inlineStr">
        <is>
          <t>Paired-urine exclusion accounting does not reconcile</t>
        </is>
      </c>
      <c r="C18" s="20" t="inlineStr">
        <is>
          <t>joi190122supp2_prod.pdf — supplement p.12 eTable 7.</t>
        </is>
      </c>
      <c r="D18" s="21" t="n"/>
      <c r="E18" s="21" t="inlineStr">
        <is>
          <t>statistical_results</t>
        </is>
      </c>
      <c r="F18" s="21" t="inlineStr">
        <is>
          <t>no</t>
        </is>
      </c>
      <c r="G18" s="20">
        <f>IFERROR(IF(LEN(TRIM(CLEAN(SUBSTITUTE(Setup!$B$2,CHAR(160)," "))))=0,"CHECK REVIEWER ID",IF(OR(A18="",COUNTIF($A$2:$A$19,A18)&lt;&gt;1,LEFT(A18,LEN("2019::jama.2019.17380::"))&lt;&gt;"2019::jama.2019.17380::"),"CHECK KEY",IF(OR(AND(NOT(AND(D18="retain",E18="statistical_results")),H18&lt;&gt;"",NOT(EXACT(H18,"not_applicable"))),AND(NOT(AND(D18="retain",E18="statistical_results")),I18&lt;&gt;"",NOT(EXACT(I18,"not_applicable"))),AND(NOT(AND(D18="retain",E18="statistical_results")),J18&lt;&gt;"",NOT(EXACT(J18,"not_applicable"))),AND(NOT(AND(D18="retain",OR(E18="report_internal_inconsistency",E18="plan_material"))),K18&lt;&gt;"",NOT(EXACT(K18,"not_applicable"))),AND(NOT(AND(D18="retain",E18="protocol_report")),L18&lt;&gt;"",NOT(EXACT(L18,"not_applicable")))),"CLEAR INACTIVE VALUES",IF(OR(NOT(OR(EXACT(D18,"retain"),EXACT(D18,"exclude"),EXACT(D18,"discuss"))),NOT(OR(EXACT(E18,"statistical_results"),EXACT(E18,"report_internal_inconsistency"),EXACT(E18,"plan_material"),EXACT(E18,"protocol_report"))),AND(AND(D18="retain",E18="statistical_results"),NOT(OR(EXACT(H18,"confirmed_issue"),EXACT(H18,"probable_issue"),EXACT(H18,"not_issue"),EXACT(H18,"indeterminate")))),AND(AND(D18="retain",E18="statistical_results"),NOT(OR(EXACT(I18,"substantive"),EXACT(I18,"minor_presentation"),EXACT(I18,"indeterminate")))),AND(AND(D18="retain",E18="statistical_results"),J18&lt;&gt;"",NOT(OR(EXACT(J18,"direct"),EXACT(J18,"possible"),EXACT(J18,"unlikely"),EXACT(J18,"unknown")))),AND(AND(D18="retain",OR(E18="report_internal_inconsistency",E18="plan_material")),NOT(OR(EXACT(K18,"substantive_inconsistency"),EXACT(K18,"minor_presentation"),EXACT(K18,"non_inconsistency"),EXACT(K18,"indeterminate")))),AND(AND(D18="retain",E18="protocol_report"),L18&lt;&gt;"",NOT(OR(EXACT(L18,"substantive_difference"),EXACT(L18,"minor_presentation"),EXACT(L18,"version_timing"),EXACT(L18,"non_inconsistency"),EXACT(L18,"indeterminate"))))),"CHECK FIELDS",IF(AND(F18&lt;&gt;"",NOT(OR(EXACT(F18,"no"),EXACT(F18,"primary_done")))),"CHECK COMPLETE",IF(EXACT(F18,"primary_done"),"PRIMARY READY","PRIMARY DRAFT")))))),"CHECK INPUT / KEY")</f>
        <v/>
      </c>
      <c r="H18" s="21">
        <f>IF(AND(OR(D18="retain",D18=""),E18="statistical_results"),"","not_applicable")</f>
        <v/>
      </c>
      <c r="I18" s="21">
        <f>IF(AND(OR(D18="retain",D18=""),E18="statistical_results"),"","not_applicable")</f>
        <v/>
      </c>
      <c r="J18" s="22">
        <f>IF(AND(OR(D18="retain",D18=""),E18="statistical_results"),"","not_applicable")</f>
        <v/>
      </c>
      <c r="K18" s="21">
        <f>IF(AND(OR(D18="retain",D18=""),OR(E18="report_internal_inconsistency",E18="plan_material")),"","not_applicable")</f>
        <v/>
      </c>
      <c r="L18" s="22">
        <f>IF(AND(OR(D18="retain",D18=""),E18="protocol_report"),"","not_applicable")</f>
        <v/>
      </c>
      <c r="M18" s="20" t="n"/>
      <c r="N18" s="23" t="n"/>
      <c r="O18" s="23" t="n"/>
      <c r="P18" s="23" t="n"/>
      <c r="Q18" s="23" t="n"/>
      <c r="R18" s="22" t="n"/>
    </row>
    <row r="19" ht="92" customFormat="1" customHeight="1" s="14">
      <c r="A19" s="24" t="inlineStr">
        <is>
          <t>2019::jama.2019.17380::C018</t>
        </is>
      </c>
      <c r="B19" s="24" t="inlineStr">
        <is>
          <t>Albuminuria forest favor labels reverse the ratio direction</t>
        </is>
      </c>
      <c r="C19" s="24" t="inlineStr">
        <is>
          <t>joi190122supp2_prod.pdf — supplement p.18 eFigure 2; joi190122supp2_prod.pdf — p.19 eFigure 3; joi190122supp2_prod.pdf — supplement p.11 eTable 6; jama_de_boer_2019_oi_190122.pdf — main p.3 ACR progression definition; jama_de_boer_2019_oi_190122.pdf — p.4 threefold increase narrative; joi190122supp1_prod.pdf — p.11 slower-progression hypotheses; joi190122supp1_prod.pdf — p.17 ACR definition.</t>
        </is>
      </c>
      <c r="D19" s="21" t="n"/>
      <c r="E19" s="21" t="inlineStr">
        <is>
          <t>statistical_results</t>
        </is>
      </c>
      <c r="F19" s="21" t="inlineStr">
        <is>
          <t>no</t>
        </is>
      </c>
      <c r="G19" s="24">
        <f>IFERROR(IF(LEN(TRIM(CLEAN(SUBSTITUTE(Setup!$B$2,CHAR(160)," "))))=0,"CHECK REVIEWER ID",IF(OR(A19="",COUNTIF($A$2:$A$19,A19)&lt;&gt;1,LEFT(A19,LEN("2019::jama.2019.17380::"))&lt;&gt;"2019::jama.2019.17380::"),"CHECK KEY",IF(OR(AND(NOT(AND(D19="retain",E19="statistical_results")),H19&lt;&gt;"",NOT(EXACT(H19,"not_applicable"))),AND(NOT(AND(D19="retain",E19="statistical_results")),I19&lt;&gt;"",NOT(EXACT(I19,"not_applicable"))),AND(NOT(AND(D19="retain",E19="statistical_results")),J19&lt;&gt;"",NOT(EXACT(J19,"not_applicable"))),AND(NOT(AND(D19="retain",OR(E19="report_internal_inconsistency",E19="plan_material"))),K19&lt;&gt;"",NOT(EXACT(K19,"not_applicable"))),AND(NOT(AND(D19="retain",E19="protocol_report")),L19&lt;&gt;"",NOT(EXACT(L19,"not_applicable")))),"CLEAR INACTIVE VALUES",IF(OR(NOT(OR(EXACT(D19,"retain"),EXACT(D19,"exclude"),EXACT(D19,"discuss"))),NOT(OR(EXACT(E19,"statistical_results"),EXACT(E19,"report_internal_inconsistency"),EXACT(E19,"plan_material"),EXACT(E19,"protocol_report"))),AND(AND(D19="retain",E19="statistical_results"),NOT(OR(EXACT(H19,"confirmed_issue"),EXACT(H19,"probable_issue"),EXACT(H19,"not_issue"),EXACT(H19,"indeterminate")))),AND(AND(D19="retain",E19="statistical_results"),NOT(OR(EXACT(I19,"substantive"),EXACT(I19,"minor_presentation"),EXACT(I19,"indeterminate")))),AND(AND(D19="retain",E19="statistical_results"),J19&lt;&gt;"",NOT(OR(EXACT(J19,"direct"),EXACT(J19,"possible"),EXACT(J19,"unlikely"),EXACT(J19,"unknown")))),AND(AND(D19="retain",OR(E19="report_internal_inconsistency",E19="plan_material")),NOT(OR(EXACT(K19,"substantive_inconsistency"),EXACT(K19,"minor_presentation"),EXACT(K19,"non_inconsistency"),EXACT(K19,"indeterminate")))),AND(AND(D19="retain",E19="protocol_report"),L19&lt;&gt;"",NOT(OR(EXACT(L19,"substantive_difference"),EXACT(L19,"minor_presentation"),EXACT(L19,"version_timing"),EXACT(L19,"non_inconsistency"),EXACT(L19,"indeterminate"))))),"CHECK FIELDS",IF(AND(F19&lt;&gt;"",NOT(OR(EXACT(F19,"no"),EXACT(F19,"primary_done")))),"CHECK COMPLETE",IF(EXACT(F19,"primary_done"),"PRIMARY READY","PRIMARY DRAFT")))))),"CHECK INPUT / KEY")</f>
        <v/>
      </c>
      <c r="H19" s="21">
        <f>IF(AND(OR(D19="retain",D19=""),E19="statistical_results"),"","not_applicable")</f>
        <v/>
      </c>
      <c r="I19" s="21">
        <f>IF(AND(OR(D19="retain",D19=""),E19="statistical_results"),"","not_applicable")</f>
        <v/>
      </c>
      <c r="J19" s="22">
        <f>IF(AND(OR(D19="retain",D19=""),E19="statistical_results"),"","not_applicable")</f>
        <v/>
      </c>
      <c r="K19" s="21">
        <f>IF(AND(OR(D19="retain",D19=""),OR(E19="report_internal_inconsistency",E19="plan_material")),"","not_applicable")</f>
        <v/>
      </c>
      <c r="L19" s="22">
        <f>IF(AND(OR(D19="retain",D19=""),E19="protocol_report"),"","not_applicable")</f>
        <v/>
      </c>
      <c r="M19" s="24" t="n"/>
      <c r="N19" s="23" t="n"/>
      <c r="O19" s="23" t="n"/>
      <c r="P19" s="23" t="n"/>
      <c r="Q19" s="23" t="n"/>
      <c r="R19" s="22" t="n"/>
    </row>
  </sheetData>
  <autoFilter ref="A1:R19"/>
  <conditionalFormatting sqref="H2:H19">
    <cfRule type="expression" priority="8" dxfId="70">
      <formula>NOT(AND(OR($D2="retain",$D2=""),$E2="statistical_results"))</formula>
    </cfRule>
  </conditionalFormatting>
  <conditionalFormatting sqref="I2:I19">
    <cfRule type="expression" priority="9" dxfId="70">
      <formula>NOT(AND(OR($D2="retain",$D2=""),$E2="statistical_results"))</formula>
    </cfRule>
  </conditionalFormatting>
  <conditionalFormatting sqref="J2:J19">
    <cfRule type="expression" priority="10" dxfId="70">
      <formula>NOT(AND(OR($D2="retain",$D2=""),$E2="statistical_results"))</formula>
    </cfRule>
  </conditionalFormatting>
  <conditionalFormatting sqref="K2:K19">
    <cfRule type="expression" priority="11" dxfId="70">
      <formula>NOT(AND(OR($D2="retain",$D2=""),OR($E2="report_internal_inconsistency",$E2="plan_material")))</formula>
    </cfRule>
  </conditionalFormatting>
  <conditionalFormatting sqref="L2:L19">
    <cfRule type="expression" priority="12" dxfId="70">
      <formula>NOT(AND(OR($D2="retain",$D2=""),$E2="protocol_report"))</formula>
    </cfRule>
  </conditionalFormatting>
  <conditionalFormatting sqref="G2:G19">
    <cfRule type="expression" priority="13" dxfId="71">
      <formula>G2&lt;&gt;"PRIMARY READY"</formula>
    </cfRule>
  </conditionalFormatting>
  <dataValidations count="8">
    <dataValidation sqref="D2:D19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9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9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9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9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9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9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9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2019::jama.2019.2210::C001</t>
        </is>
      </c>
      <c r="B2" s="20" t="inlineStr">
        <is>
          <t>De novo cancer outcome status differs across final plan and report</t>
        </is>
      </c>
      <c r="C2" s="20" t="inlineStr">
        <is>
          <t>PLAN joi190023supp1_prod.pdf — initial synopsis, PDF p.4, joi190023supp1_prod.pdf — final synopsis, PDF p.19, joi190023supp1_prod.pdf — final body, PDF p.25 and joi190023supp1_prod.pdf — amendment, PDF p.45; REPORT jama_urashima_2019_oi_190023.pdf — Outcomes beginning, PDF p.2, jama_urashima_2019_oi_190023.pdf — continuation and analysis populations, PDF p.3 and jama_urashima_2019_oi_190023.pdf — Table 3 de novo row and population footnotes, PDF p.8.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ID",IF(OR(A2="",COUNTIF($A$2:$A$8,A2)&lt;&gt;1,LEFT(A2,LEN("2019::jama.2019.2210::"))&lt;&gt;"2019::jama.2019.2210::"),"CHECK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2019::jama.2019.2210::C002</t>
        </is>
      </c>
      <c r="B3" s="24" t="inlineStr">
        <is>
          <t>Planned Kaplan–Meier curves lack a reported counterpart among Nelson–Aalen displays</t>
        </is>
      </c>
      <c r="C3" s="24" t="inlineStr">
        <is>
          <t>PLAN joi190023supp1_prod.pdf — initial SAP method 5c, PDF p.14, joi190023supp1_prod.pdf — final synopsis, PDF p.19, joi190023supp1_prod.pdf — final SAP method 5c, PDF p.31 and joi190023supp1_prod.pdf — amendment context, PDF p.45; REPORT jama_urashima_2019_oi_190023.pdf — Methods, PDF p.3, jama_urashima_2019_oi_190023.pdf — Figure 2A/B and caption, PDF p.6, jama_urashima_2019_oi_190023.pdf — Figure 3 and caption, PDF p.7, jama_urashima_2019_oi_190023.pdf — abstract, PDF p.1 and jama_urashima_2019_oi_190023.pdf — survival summaries, PDF p.4. Counterpart search covered the complete joi190023supp2_prod.pdf — results supplement, PDF pp.1–41 and joi190023supp3_prod.pdf — data-sharing statement, PDF p.1.</t>
        </is>
      </c>
      <c r="D3" s="21" t="n"/>
      <c r="E3" s="21" t="inlineStr">
        <is>
          <t>protocol_report</t>
        </is>
      </c>
      <c r="F3" s="21" t="inlineStr">
        <is>
          <t>no</t>
        </is>
      </c>
      <c r="G3" s="24">
        <f>IFERROR(IF(LEN(TRIM(CLEAN(SUBSTITUTE(Setup!$B$2,CHAR(160)," "))))=0,"CHECK REVIEWER ID",IF(OR(A3="",COUNTIF($A$2:$A$8,A3)&lt;&gt;1,LEFT(A3,LEN("2019::jama.2019.2210::"))&lt;&gt;"2019::jama.2019.2210::"),"CHECK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2019::jama.2019.2210::C003</t>
        </is>
      </c>
      <c r="B4" s="20" t="inlineStr">
        <is>
          <t>Planned relapse and safety risk-ratio evaluations lack reported counterparts</t>
        </is>
      </c>
      <c r="C4" s="20" t="inlineStr">
        <is>
          <t>PLAN joi190023supp1_prod.pdf — initial SAP method 5e, PDF p.14 and joi190023supp1_prod.pdf — final SAP method 5e, PDF p.31; REPORT jama_urashima_2019_oi_190023.pdf — post hoc competing-risk method, PDF p.3, jama_urashima_2019_oi_190023.pdf — Figure 2C and relapse narrative, PDF p.6, jama_urashima_2019_oi_190023.pdf — Table 2 relapse rows, PDF p.7 and jama_urashima_2019_oi_190023.pdf — all Table 3 safety rows and footnotes, PDF p.8. Counterpart search covered the complete joi190023supp2_prod.pdf — results supplement and joi190023supp3_prod.pdf — data-sharing statement.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ID",IF(OR(A4="",COUNTIF($A$2:$A$8,A4)&lt;&gt;1,LEFT(A4,LEN("2019::jama.2019.2210::"))&lt;&gt;"2019::jama.2019.2210::"),"CHECK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2019::jama.2019.2210::C004</t>
        </is>
      </c>
      <c r="B5" s="24" t="inlineStr">
        <is>
          <t>Prespecified high-baseline vitamin-D subgroup analysis was omitted</t>
        </is>
      </c>
      <c r="C5" s="24" t="inlineStr">
        <is>
          <t>PLAN joi190023supp1_prod.pdf — final SAP subgroup/interaction specification, PDF p.31 and joi190023supp1_prod.pdf — subgroup amendment, PDF p.45; REPORT jama_urashima_2019_oi_190023.pdf — Methods, PDF p.3, jama_urashima_2019_oi_190023.pdf — subgroup population and omission, PDF p.4, jama_urashima_2019_oi_190023.pdf — Table 1 high-group counts, PDF p.5, jama_urashima_2019_oi_190023.pdf — Figure 3 caption, PDF p.7 and jama_urashima_2019_oi_190023.pdf — limitations, PDF p.8; jama_urashima_2019_oi_190023.pdf — abstract, PDF p.1 corroborates the reported two-group interaction context.</t>
        </is>
      </c>
      <c r="D5" s="21" t="n"/>
      <c r="E5" s="21" t="inlineStr">
        <is>
          <t>protocol_report</t>
        </is>
      </c>
      <c r="F5" s="21" t="inlineStr">
        <is>
          <t>no</t>
        </is>
      </c>
      <c r="G5" s="24">
        <f>IFERROR(IF(LEN(TRIM(CLEAN(SUBSTITUTE(Setup!$B$2,CHAR(160)," "))))=0,"CHECK REVIEWER ID",IF(OR(A5="",COUNTIF($A$2:$A$8,A5)&lt;&gt;1,LEFT(A5,LEN("2019::jama.2019.2210::"))&lt;&gt;"2019::jama.2019.2210::"),"CHECK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2019::jama.2019.2210::C005</t>
        </is>
      </c>
      <c r="B6" s="20" t="inlineStr">
        <is>
          <t>Genotype percentages use unstated denominators differing from printed arm headers</t>
        </is>
      </c>
      <c r="C6" s="20" t="inlineStr">
        <is>
          <t>jama_urashima_2019_oi_190023.pdf — Main article Table 1, PDF p.5: both repeated arm headers; BsmI, Cdx2, ApaI, TaqI, DBP1 and DBP2 rows; footnotes a–c. Every affected cell is enumerated below.</t>
        </is>
      </c>
      <c r="D6" s="21" t="n"/>
      <c r="E6" s="21" t="inlineStr">
        <is>
          <t>statistical_results</t>
        </is>
      </c>
      <c r="F6" s="21" t="inlineStr">
        <is>
          <t>no</t>
        </is>
      </c>
      <c r="G6" s="20">
        <f>IFERROR(IF(LEN(TRIM(CLEAN(SUBSTITUTE(Setup!$B$2,CHAR(160)," "))))=0,"CHECK REVIEWER ID",IF(OR(A6="",COUNTIF($A$2:$A$8,A6)&lt;&gt;1,LEFT(A6,LEN("2019::jama.2019.2210::"))&lt;&gt;"2019::jama.2019.2210::"),"CHECK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2019::jama.2019.2210::C006</t>
        </is>
      </c>
      <c r="B7" s="24" t="inlineStr">
        <is>
          <t>Table 2's shared hazard-ratio direction definition reverses the report interpretation</t>
        </is>
      </c>
      <c r="C7" s="24" t="inlineStr">
        <is>
          <t>jama_urashima_2019_oi_190023.pdf — Table 2 footnote a and every outcome/stratum row, PDF p.7; jama_urashima_2019_oi_190023.pdf — Statistical Analysis, PDF p.3; jama_urashima_2019_oi_190023.pdf — treatment-effect narrative, PDF p.4; jama_urashima_2019_oi_190023.pdf — matched middle relapse narrative and Figure 2C, PDF p.6; and jama_urashima_2019_oi_190023.pdf — Figure 3 treatment-direction corroboration, PDF p.7.</t>
        </is>
      </c>
      <c r="D7" s="21" t="n"/>
      <c r="E7" s="21" t="inlineStr">
        <is>
          <t>statistical_results</t>
        </is>
      </c>
      <c r="F7" s="21" t="inlineStr">
        <is>
          <t>no</t>
        </is>
      </c>
      <c r="G7" s="24">
        <f>IFERROR(IF(LEN(TRIM(CLEAN(SUBSTITUTE(Setup!$B$2,CHAR(160)," "))))=0,"CHECK REVIEWER ID",IF(OR(A7="",COUNTIF($A$2:$A$8,A7)&lt;&gt;1,LEFT(A7,LEN("2019::jama.2019.2210::"))&lt;&gt;"2019::jama.2019.2210::"),"CHECK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2019::jama.2019.2210::C007</t>
        </is>
      </c>
      <c r="B8" s="20" t="inlineStr">
        <is>
          <t>Adjusted interval and P value lack a joint solution under a same-page reproducing calculation</t>
        </is>
      </c>
      <c r="C8" s="20" t="inlineStr">
        <is>
          <t>jama_urashima_2019_oi_190023.pdf — Main PDF p.6 age-adjusted relapse/death paragraph; jama_urashima_2019_oi_190023.pdf — p.6 adjacent adjusted-death sentence; jama_urashima_2019_oi_190023.pdf — p.6 Figure 2A; jama_urashima_2019_oi_190023.pdf — p.6 Figure 2B; jama_urashima_2019_oi_190023.pdf — p.6 Figure 2C and its relapse narrative copy; jama_urashima_2019_oi_190023.pdf — p.6 middle-baseline relapse paragraph; and jama_urashima_2019_oi_190023.pdf — p.3 Statistical Analysis/post hoc age adjustment.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ID",IF(OR(A8="",COUNTIF($A$2:$A$8,A8)&lt;&gt;1,LEFT(A8,LEN("2019::jama.2019.2210::"))&lt;&gt;"2019::jama.2019.2210::"),"CHECK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</sheetData>
  <autoFilter ref="A1:R8"/>
  <conditionalFormatting sqref="H2:H8">
    <cfRule type="expression" priority="8" dxfId="70">
      <formula>NOT(AND(OR($D2="retain",$D2=""),$E2="statistical_results"))</formula>
    </cfRule>
  </conditionalFormatting>
  <conditionalFormatting sqref="I2:I8">
    <cfRule type="expression" priority="9" dxfId="70">
      <formula>NOT(AND(OR($D2="retain",$D2=""),$E2="statistical_results"))</formula>
    </cfRule>
  </conditionalFormatting>
  <conditionalFormatting sqref="J2:J8">
    <cfRule type="expression" priority="10" dxfId="70">
      <formula>NOT(AND(OR($D2="retain",$D2=""),$E2="statistical_results"))</formula>
    </cfRule>
  </conditionalFormatting>
  <conditionalFormatting sqref="K2:K8">
    <cfRule type="expression" priority="11" dxfId="70">
      <formula>NOT(AND(OR($D2="retain",$D2=""),OR($E2="report_internal_inconsistency",$E2="plan_material")))</formula>
    </cfRule>
  </conditionalFormatting>
  <conditionalFormatting sqref="L2:L8">
    <cfRule type="expression" priority="12" dxfId="70">
      <formula>NOT(AND(OR($D2="retain",$D2=""),$E2="protocol_report"))</formula>
    </cfRule>
  </conditionalFormatting>
  <conditionalFormatting sqref="G2:G8">
    <cfRule type="expression" priority="13" dxfId="71">
      <formula>G2&lt;&gt;"PRIMARY READY"</formula>
    </cfRule>
  </conditionalFormatting>
  <dataValidations count="8">
    <dataValidation sqref="D2:D8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8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8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8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8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8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8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8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2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2019::jama.2019.4755::C001</t>
        </is>
      </c>
      <c r="B2" s="20" t="inlineStr">
        <is>
          <t>Primary outcome hierarchy differs across supplied plan clauses and the report</t>
        </is>
      </c>
      <c r="C2" s="20" t="inlineStr">
        <is>
          <t>PLAN joi190039supp1_prod.pdf — DOC-002 protocol PDF p11 §3.4 and joi190039supp1_prod.pdf — p22 §6.1: narrow primary and secondary lists. PLAN joi190039supp1_prod.pdf — DOC-002 PDF p13 §3.9, continuing joi190039supp1_prod.pdf — p14: broader parenthetical primary endpoint. PLAN joi190039supp1_prod.pdf — DOC-002 PDF p28 §§7.1–7.2: narrow primary sensitivity and confirmatory status in §7.1; broad both-assay primary wording in §7.2. PLAN joi190039supp2_prod.pdf — DOC-003 SAP PDF p6 §3.2 and joi190039supp2_prod.pdf — p8 §5.4 continuation and §5.5: quantitative sensitivity primary, other diagnostic metrics secondary. PLAN joi190039supp2_prod.pdf — DOC-003 PDF p9 §7: disclosed population/missingness changes; no explicit hierarchy amendment. REPORT jama_brenner_2019_oi_190039.pdf — DOC-001 PDF p1 Main Outcome and Measures and jama_brenner_2019_oi_190039.pdf — p3 Outcomes/Statistical Analyses: narrow primary hierarchy; secondary analyses exploratory; AUC explicitly unreported. REPORT jama_brenner_2019_oi_190039.pdf — DOC-001 PDF p4 Primary/Secondary End Points: numerical secondary specificity and qualitative-sensitivity results.</t>
        </is>
      </c>
      <c r="D2" s="21" t="n"/>
      <c r="E2" s="21" t="inlineStr">
        <is>
          <t>protocol_report</t>
        </is>
      </c>
      <c r="F2" s="21" t="inlineStr">
        <is>
          <t>no</t>
        </is>
      </c>
      <c r="G2" s="20">
        <f>IFERROR(IF(LEN(TRIM(CLEAN(SUBSTITUTE(Setup!$B$2,CHAR(160)," "))))=0,"CHECK REVIEWER ID",IF(OR(A2="",COUNTIF($A$2:$A$2,A2)&lt;&gt;1,LEFT(A2,LEN("2019::jama.2019.4755::"))&lt;&gt;"2019::jama.2019.4755::"),"CHECK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</sheetData>
  <autoFilter ref="A1:R2"/>
  <conditionalFormatting sqref="H2">
    <cfRule type="expression" priority="8" dxfId="70">
      <formula>NOT(AND(OR($D2="retain",$D2=""),$E2="statistical_results"))</formula>
    </cfRule>
  </conditionalFormatting>
  <conditionalFormatting sqref="I2">
    <cfRule type="expression" priority="9" dxfId="70">
      <formula>NOT(AND(OR($D2="retain",$D2=""),$E2="statistical_results"))</formula>
    </cfRule>
  </conditionalFormatting>
  <conditionalFormatting sqref="J2">
    <cfRule type="expression" priority="10" dxfId="70">
      <formula>NOT(AND(OR($D2="retain",$D2=""),$E2="statistical_results"))</formula>
    </cfRule>
  </conditionalFormatting>
  <conditionalFormatting sqref="K2">
    <cfRule type="expression" priority="11" dxfId="70">
      <formula>NOT(AND(OR($D2="retain",$D2=""),OR($E2="report_internal_inconsistency",$E2="plan_material")))</formula>
    </cfRule>
  </conditionalFormatting>
  <conditionalFormatting sqref="L2">
    <cfRule type="expression" priority="12" dxfId="70">
      <formula>NOT(AND(OR($D2="retain",$D2=""),$E2="protocol_report"))</formula>
    </cfRule>
  </conditionalFormatting>
  <conditionalFormatting sqref="G2">
    <cfRule type="expression" priority="13" dxfId="71">
      <formula>G2&lt;&gt;"PRIMARY READY"</formula>
    </cfRule>
  </conditionalFormatting>
  <dataValidations count="8">
    <dataValidation sqref="D2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0" tabSelected="0" workbookViewId="0">
      <pane xSplit="1" ySplit="1" topLeftCell="B2" activePane="bottomRight" state="frozen"/>
      <selection activeCell="A1" sqref="A1"/>
    </sheetView>
  </sheetViews>
  <sheetFormatPr baseColWidth="8" defaultRowHeight="15"/>
  <cols>
    <col width="22" customWidth="1" style="14" min="1" max="1"/>
    <col width="28" customWidth="1" style="14" min="2" max="2"/>
    <col width="22" customWidth="1" style="14" min="3" max="3"/>
    <col width="20" customWidth="1" style="14" min="4" max="4"/>
    <col width="35" customWidth="1" style="14" min="5" max="5"/>
    <col width="17" customWidth="1" style="14" min="6" max="6"/>
    <col width="29" customWidth="1" style="14" min="7" max="7"/>
    <col width="28" customWidth="1" style="14" min="8" max="8"/>
    <col width="20" customWidth="1" style="14" min="9" max="9"/>
    <col width="20" customWidth="1" style="14" min="10" max="10"/>
    <col width="34" customWidth="1" style="14" min="11" max="11"/>
    <col width="26" customWidth="1" style="14" min="12" max="12"/>
    <col hidden="1" width="3" customWidth="1" style="14" min="13" max="13"/>
    <col hidden="1" width="3" customWidth="1" style="14" min="14" max="14"/>
    <col hidden="1" width="3" customWidth="1" style="14" min="15" max="15"/>
    <col hidden="1" width="3" customWidth="1" style="14" min="16" max="16"/>
    <col hidden="1" width="3" customWidth="1" style="14" min="17" max="17"/>
    <col width="32" customWidth="1" style="14" min="18" max="18"/>
  </cols>
  <sheetData>
    <row r="1" ht="70" customFormat="1" customHeight="1" s="14">
      <c r="A1" s="19" t="inlineStr">
        <is>
          <t>Candidate key</t>
        </is>
      </c>
      <c r="B1" s="19" t="inlineStr">
        <is>
          <t>Candidate title</t>
        </is>
      </c>
      <c r="C1" s="19" t="inlineStr">
        <is>
          <t>Source location</t>
        </is>
      </c>
      <c r="D1" s="19" t="inlineStr">
        <is>
          <t>Disposition</t>
        </is>
      </c>
      <c r="E1" s="19" t="inlineStr">
        <is>
          <t>Review domain (AI suggestion; editable)</t>
        </is>
      </c>
      <c r="F1" s="19" t="inlineStr">
        <is>
          <t>Complete</t>
        </is>
      </c>
      <c r="G1" s="19" t="inlineStr">
        <is>
          <t>Validation hint</t>
        </is>
      </c>
      <c r="H1" s="19" t="inlineStr">
        <is>
          <t>Statistical_or_numerical issue</t>
        </is>
      </c>
      <c r="I1" s="19" t="inlineStr">
        <is>
          <t>Substantiveness</t>
        </is>
      </c>
      <c r="J1" s="19" t="inlineStr">
        <is>
          <t>Downstream impact</t>
        </is>
      </c>
      <c r="K1" s="19" t="inlineStr">
        <is>
          <t>Report-internal or planning-material inconsistency</t>
        </is>
      </c>
      <c r="L1" s="19" t="inlineStr">
        <is>
          <t>Protocol interpretation</t>
        </is>
      </c>
      <c r="M1" s="19" t="n"/>
      <c r="N1" s="19" t="n"/>
      <c r="O1" s="19" t="n"/>
      <c r="P1" s="19" t="n"/>
      <c r="Q1" s="19" t="n"/>
      <c r="R1" s="19" t="inlineStr">
        <is>
          <t>Notes (optional)</t>
        </is>
      </c>
    </row>
    <row r="2" ht="92" customFormat="1" customHeight="1" s="14">
      <c r="A2" s="20" t="inlineStr">
        <is>
          <t>2019::jama.2019.7505::C001</t>
        </is>
      </c>
      <c r="B2" s="20" t="inlineStr">
        <is>
          <t>Primary collapsed-composite RR/OR identity</t>
        </is>
      </c>
      <c r="C2" s="20" t="inlineStr">
        <is>
          <t>REPORT jama_bluth_2019_oi_190055_16092.pdf — main p. 1 abstract, jama_bluth_2019_oi_190055_16092.pdf — main p. 4 primary binary methods, jama_bluth_2019_oi_190055_16092.pdf — main p. 9 Table 3, jama_bluth_2019_oi_190055_16092.pdf — main p. 10 Figure 2 versus REPORT joi190055supp4_prod_16092.pdf — results p. 42 eFigure 12 collapsed-composite row. PLAN joi190055supp3_prod_16092.pdf — SAP p. 2 corroborates RR only.</t>
        </is>
      </c>
      <c r="D2" s="21" t="n"/>
      <c r="E2" s="21" t="inlineStr">
        <is>
          <t>statistical_results</t>
        </is>
      </c>
      <c r="F2" s="21" t="inlineStr">
        <is>
          <t>no</t>
        </is>
      </c>
      <c r="G2" s="20">
        <f>IFERROR(IF(LEN(TRIM(CLEAN(SUBSTITUTE(Setup!$B$2,CHAR(160)," "))))=0,"CHECK REVIEWER ID",IF(OR(A2="",COUNTIF($A$2:$A$14,A2)&lt;&gt;1,LEFT(A2,LEN("2019::jama.2019.7505::"))&lt;&gt;"2019::jama.2019.7505::"),"CHECK KEY",IF(OR(AND(NOT(AND(D2="retain",E2="statistical_results")),H2&lt;&gt;"",NOT(EXACT(H2,"not_applicable"))),AND(NOT(AND(D2="retain",E2="statistical_results")),I2&lt;&gt;"",NOT(EXACT(I2,"not_applicable"))),AND(NOT(AND(D2="retain",E2="statistical_results")),J2&lt;&gt;"",NOT(EXACT(J2,"not_applicable"))),AND(NOT(AND(D2="retain",OR(E2="report_internal_inconsistency",E2="plan_material"))),K2&lt;&gt;"",NOT(EXACT(K2,"not_applicable"))),AND(NOT(AND(D2="retain",E2="protocol_report")),L2&lt;&gt;"",NOT(EXACT(L2,"not_applicable")))),"CLEAR INACTIVE VALUES",IF(OR(NOT(OR(EXACT(D2,"retain"),EXACT(D2,"exclude"),EXACT(D2,"discuss"))),NOT(OR(EXACT(E2,"statistical_results"),EXACT(E2,"report_internal_inconsistency"),EXACT(E2,"plan_material"),EXACT(E2,"protocol_report"))),AND(AND(D2="retain",E2="statistical_results"),NOT(OR(EXACT(H2,"confirmed_issue"),EXACT(H2,"probable_issue"),EXACT(H2,"not_issue"),EXACT(H2,"indeterminate")))),AND(AND(D2="retain",E2="statistical_results"),NOT(OR(EXACT(I2,"substantive"),EXACT(I2,"minor_presentation"),EXACT(I2,"indeterminate")))),AND(AND(D2="retain",E2="statistical_results"),J2&lt;&gt;"",NOT(OR(EXACT(J2,"direct"),EXACT(J2,"possible"),EXACT(J2,"unlikely"),EXACT(J2,"unknown")))),AND(AND(D2="retain",OR(E2="report_internal_inconsistency",E2="plan_material")),NOT(OR(EXACT(K2,"substantive_inconsistency"),EXACT(K2,"minor_presentation"),EXACT(K2,"non_inconsistency"),EXACT(K2,"indeterminate")))),AND(AND(D2="retain",E2="protocol_report"),L2&lt;&gt;"",NOT(OR(EXACT(L2,"substantive_difference"),EXACT(L2,"minor_presentation"),EXACT(L2,"version_timing"),EXACT(L2,"non_inconsistency"),EXACT(L2,"indeterminate"))))),"CHECK FIELDS",IF(AND(F2&lt;&gt;"",NOT(OR(EXACT(F2,"no"),EXACT(F2,"primary_done")))),"CHECK COMPLETE",IF(EXACT(F2,"primary_done"),"PRIMARY READY","PRIMARY DRAFT")))))),"CHECK INPUT / KEY")</f>
        <v/>
      </c>
      <c r="H2" s="21">
        <f>IF(AND(OR(D2="retain",D2=""),E2="statistical_results"),"","not_applicable")</f>
        <v/>
      </c>
      <c r="I2" s="21">
        <f>IF(AND(OR(D2="retain",D2=""),E2="statistical_results"),"","not_applicable")</f>
        <v/>
      </c>
      <c r="J2" s="22">
        <f>IF(AND(OR(D2="retain",D2=""),E2="statistical_results"),"","not_applicable")</f>
        <v/>
      </c>
      <c r="K2" s="21">
        <f>IF(AND(OR(D2="retain",D2=""),OR(E2="report_internal_inconsistency",E2="plan_material")),"","not_applicable")</f>
        <v/>
      </c>
      <c r="L2" s="22">
        <f>IF(AND(OR(D2="retain",D2=""),E2="protocol_report"),"","not_applicable")</f>
        <v/>
      </c>
      <c r="M2" s="20" t="n"/>
      <c r="N2" s="23" t="n"/>
      <c r="O2" s="23" t="n"/>
      <c r="P2" s="23" t="n"/>
      <c r="Q2" s="23" t="n"/>
      <c r="R2" s="22" t="n"/>
    </row>
    <row r="3" ht="92" customFormat="1" customHeight="1" s="14">
      <c r="A3" s="24" t="inlineStr">
        <is>
          <t>2019::jama.2019.7505::C002</t>
        </is>
      </c>
      <c r="B3" s="24" t="inlineStr">
        <is>
          <t>Abstract hypoxemia signed confidence limit</t>
        </is>
      </c>
      <c r="C3" s="24" t="inlineStr">
        <is>
          <t>REPORT jama_bluth_2019_oi_190055_16092.pdf — main p. 1 Results hypoxemia versus jama_bluth_2019_oi_190055_16092.pdf — main p. 9 Table 3 hypoxemia, with jama_bluth_2019_oi_190055_16092.pdf — main p. 10 secondary interpretation and jama_bluth_2019_oi_190055_16092.pdf — main p. 11 discussion.</t>
        </is>
      </c>
      <c r="D3" s="21" t="n"/>
      <c r="E3" s="21" t="inlineStr">
        <is>
          <t>statistical_results</t>
        </is>
      </c>
      <c r="F3" s="21" t="inlineStr">
        <is>
          <t>no</t>
        </is>
      </c>
      <c r="G3" s="24">
        <f>IFERROR(IF(LEN(TRIM(CLEAN(SUBSTITUTE(Setup!$B$2,CHAR(160)," "))))=0,"CHECK REVIEWER ID",IF(OR(A3="",COUNTIF($A$2:$A$14,A3)&lt;&gt;1,LEFT(A3,LEN("2019::jama.2019.7505::"))&lt;&gt;"2019::jama.2019.7505::"),"CHECK KEY",IF(OR(AND(NOT(AND(D3="retain",E3="statistical_results")),H3&lt;&gt;"",NOT(EXACT(H3,"not_applicable"))),AND(NOT(AND(D3="retain",E3="statistical_results")),I3&lt;&gt;"",NOT(EXACT(I3,"not_applicable"))),AND(NOT(AND(D3="retain",E3="statistical_results")),J3&lt;&gt;"",NOT(EXACT(J3,"not_applicable"))),AND(NOT(AND(D3="retain",OR(E3="report_internal_inconsistency",E3="plan_material"))),K3&lt;&gt;"",NOT(EXACT(K3,"not_applicable"))),AND(NOT(AND(D3="retain",E3="protocol_report")),L3&lt;&gt;"",NOT(EXACT(L3,"not_applicable")))),"CLEAR INACTIVE VALUES",IF(OR(NOT(OR(EXACT(D3,"retain"),EXACT(D3,"exclude"),EXACT(D3,"discuss"))),NOT(OR(EXACT(E3,"statistical_results"),EXACT(E3,"report_internal_inconsistency"),EXACT(E3,"plan_material"),EXACT(E3,"protocol_report"))),AND(AND(D3="retain",E3="statistical_results"),NOT(OR(EXACT(H3,"confirmed_issue"),EXACT(H3,"probable_issue"),EXACT(H3,"not_issue"),EXACT(H3,"indeterminate")))),AND(AND(D3="retain",E3="statistical_results"),NOT(OR(EXACT(I3,"substantive"),EXACT(I3,"minor_presentation"),EXACT(I3,"indeterminate")))),AND(AND(D3="retain",E3="statistical_results"),J3&lt;&gt;"",NOT(OR(EXACT(J3,"direct"),EXACT(J3,"possible"),EXACT(J3,"unlikely"),EXACT(J3,"unknown")))),AND(AND(D3="retain",OR(E3="report_internal_inconsistency",E3="plan_material")),NOT(OR(EXACT(K3,"substantive_inconsistency"),EXACT(K3,"minor_presentation"),EXACT(K3,"non_inconsistency"),EXACT(K3,"indeterminate")))),AND(AND(D3="retain",E3="protocol_report"),L3&lt;&gt;"",NOT(OR(EXACT(L3,"substantive_difference"),EXACT(L3,"minor_presentation"),EXACT(L3,"version_timing"),EXACT(L3,"non_inconsistency"),EXACT(L3,"indeterminate"))))),"CHECK FIELDS",IF(AND(F3&lt;&gt;"",NOT(OR(EXACT(F3,"no"),EXACT(F3,"primary_done")))),"CHECK COMPLETE",IF(EXACT(F3,"primary_done"),"PRIMARY READY","PRIMARY DRAFT")))))),"CHECK INPUT / KEY")</f>
        <v/>
      </c>
      <c r="H3" s="21">
        <f>IF(AND(OR(D3="retain",D3=""),E3="statistical_results"),"","not_applicable")</f>
        <v/>
      </c>
      <c r="I3" s="21">
        <f>IF(AND(OR(D3="retain",D3=""),E3="statistical_results"),"","not_applicable")</f>
        <v/>
      </c>
      <c r="J3" s="22">
        <f>IF(AND(OR(D3="retain",D3=""),E3="statistical_results"),"","not_applicable")</f>
        <v/>
      </c>
      <c r="K3" s="21">
        <f>IF(AND(OR(D3="retain",D3=""),OR(E3="report_internal_inconsistency",E3="plan_material")),"","not_applicable")</f>
        <v/>
      </c>
      <c r="L3" s="22">
        <f>IF(AND(OR(D3="retain",D3=""),E3="protocol_report"),"","not_applicable")</f>
        <v/>
      </c>
      <c r="M3" s="24" t="n"/>
      <c r="N3" s="23" t="n"/>
      <c r="O3" s="23" t="n"/>
      <c r="P3" s="23" t="n"/>
      <c r="Q3" s="23" t="n"/>
      <c r="R3" s="22" t="n"/>
    </row>
    <row r="4" ht="92" customFormat="1" customHeight="1" s="14">
      <c r="A4" s="20" t="inlineStr">
        <is>
          <t>2019::jama.2019.7505::C003</t>
        </is>
      </c>
      <c r="B4" s="20" t="inlineStr">
        <is>
          <t>Original secondary hierarchy and mortality follow-up</t>
        </is>
      </c>
      <c r="C4" s="20" t="inlineStr">
        <is>
          <t>PLAN joi190055supp1_prod_16092.pdf — protocol p. 5 synopsis and joi190055supp1_prod_16092.pdf — protocol p. 12 §7.1.2 versus PLAN joi190055supp3_prod_16092.pdf — SAP p. 1 updated outcome list and REPORT jama_bluth_2019_oi_190055_16092.pdf — main p. 3 Secondary Outcomes, joi190055supp4_prod_16092.pdf — results p. 21 §2.8. PLAN amendments joi190055supp2_prod_16092.pdf — p. 1, joi190055supp2_prod_16092.pdf — p. 2, joi190055supp2_prod_16092.pdf — p. 3 and REPORT jama_bluth_2019_oi_190055_16092.pdf — main p. 2 final-SAP identification were reread as context.</t>
        </is>
      </c>
      <c r="D4" s="21" t="n"/>
      <c r="E4" s="21" t="inlineStr">
        <is>
          <t>protocol_report</t>
        </is>
      </c>
      <c r="F4" s="21" t="inlineStr">
        <is>
          <t>no</t>
        </is>
      </c>
      <c r="G4" s="20">
        <f>IFERROR(IF(LEN(TRIM(CLEAN(SUBSTITUTE(Setup!$B$2,CHAR(160)," "))))=0,"CHECK REVIEWER ID",IF(OR(A4="",COUNTIF($A$2:$A$14,A4)&lt;&gt;1,LEFT(A4,LEN("2019::jama.2019.7505::"))&lt;&gt;"2019::jama.2019.7505::"),"CHECK KEY",IF(OR(AND(NOT(AND(D4="retain",E4="statistical_results")),H4&lt;&gt;"",NOT(EXACT(H4,"not_applicable"))),AND(NOT(AND(D4="retain",E4="statistical_results")),I4&lt;&gt;"",NOT(EXACT(I4,"not_applicable"))),AND(NOT(AND(D4="retain",E4="statistical_results")),J4&lt;&gt;"",NOT(EXACT(J4,"not_applicable"))),AND(NOT(AND(D4="retain",OR(E4="report_internal_inconsistency",E4="plan_material"))),K4&lt;&gt;"",NOT(EXACT(K4,"not_applicable"))),AND(NOT(AND(D4="retain",E4="protocol_report")),L4&lt;&gt;"",NOT(EXACT(L4,"not_applicable")))),"CLEAR INACTIVE VALUES",IF(OR(NOT(OR(EXACT(D4,"retain"),EXACT(D4,"exclude"),EXACT(D4,"discuss"))),NOT(OR(EXACT(E4,"statistical_results"),EXACT(E4,"report_internal_inconsistency"),EXACT(E4,"plan_material"),EXACT(E4,"protocol_report"))),AND(AND(D4="retain",E4="statistical_results"),NOT(OR(EXACT(H4,"confirmed_issue"),EXACT(H4,"probable_issue"),EXACT(H4,"not_issue"),EXACT(H4,"indeterminate")))),AND(AND(D4="retain",E4="statistical_results"),NOT(OR(EXACT(I4,"substantive"),EXACT(I4,"minor_presentation"),EXACT(I4,"indeterminate")))),AND(AND(D4="retain",E4="statistical_results"),J4&lt;&gt;"",NOT(OR(EXACT(J4,"direct"),EXACT(J4,"possible"),EXACT(J4,"unlikely"),EXACT(J4,"unknown")))),AND(AND(D4="retain",OR(E4="report_internal_inconsistency",E4="plan_material")),NOT(OR(EXACT(K4,"substantive_inconsistency"),EXACT(K4,"minor_presentation"),EXACT(K4,"non_inconsistency"),EXACT(K4,"indeterminate")))),AND(AND(D4="retain",E4="protocol_report"),L4&lt;&gt;"",NOT(OR(EXACT(L4,"substantive_difference"),EXACT(L4,"minor_presentation"),EXACT(L4,"version_timing"),EXACT(L4,"non_inconsistency"),EXACT(L4,"indeterminate"))))),"CHECK FIELDS",IF(AND(F4&lt;&gt;"",NOT(OR(EXACT(F4,"no"),EXACT(F4,"primary_done")))),"CHECK COMPLETE",IF(EXACT(F4,"primary_done"),"PRIMARY READY","PRIMARY DRAFT")))))),"CHECK INPUT / KEY")</f>
        <v/>
      </c>
      <c r="H4" s="21">
        <f>IF(AND(OR(D4="retain",D4=""),E4="statistical_results"),"","not_applicable")</f>
        <v/>
      </c>
      <c r="I4" s="21">
        <f>IF(AND(OR(D4="retain",D4=""),E4="statistical_results"),"","not_applicable")</f>
        <v/>
      </c>
      <c r="J4" s="22">
        <f>IF(AND(OR(D4="retain",D4=""),E4="statistical_results"),"","not_applicable")</f>
        <v/>
      </c>
      <c r="K4" s="21">
        <f>IF(AND(OR(D4="retain",D4=""),OR(E4="report_internal_inconsistency",E4="plan_material")),"","not_applicable")</f>
        <v/>
      </c>
      <c r="L4" s="22">
        <f>IF(AND(OR(D4="retain",D4=""),E4="protocol_report"),"","not_applicable")</f>
        <v/>
      </c>
      <c r="M4" s="20" t="n"/>
      <c r="N4" s="23" t="n"/>
      <c r="O4" s="23" t="n"/>
      <c r="P4" s="23" t="n"/>
      <c r="Q4" s="23" t="n"/>
      <c r="R4" s="22" t="n"/>
    </row>
    <row r="5" ht="92" customFormat="1" customHeight="1" s="14">
      <c r="A5" s="24" t="inlineStr">
        <is>
          <t>2019::jama.2019.7505::C004</t>
        </is>
      </c>
      <c r="B5" s="24" t="inlineStr">
        <is>
          <t>Repeated outcome-risk estimand identity</t>
        </is>
      </c>
      <c r="C5" s="24" t="inlineStr">
        <is>
          <t>REPORT jama_bluth_2019_oi_190055_16092.pdf — main p. 1 primary abstract; jama_bluth_2019_oi_190055_16092.pdf — main p. 4 binary methods; jama_bluth_2019_oi_190055_16092.pdf — main p. 8 primary/mild/pleural narrative; jama_bluth_2019_oi_190055_16092.pdf — main p. 9 every Table 3 binary row; jama_bluth_2019_oi_190055_16092.pdf — main p. 10 continued rows, ratio notes and every Figure 2 row; joi190055supp4_prod_16092.pdf — results p. 29 every eTable 8 row; joi190055supp4_prod_16092.pdf — results p. 42 all twelve component rows. PLAN joi190055supp3_prod_16092.pdf — SAP p. 2 corroborates the incidence/RR terminology, not an opposing result.</t>
        </is>
      </c>
      <c r="D5" s="21" t="n"/>
      <c r="E5" s="21" t="inlineStr">
        <is>
          <t>statistical_results</t>
        </is>
      </c>
      <c r="F5" s="21" t="inlineStr">
        <is>
          <t>no</t>
        </is>
      </c>
      <c r="G5" s="24">
        <f>IFERROR(IF(LEN(TRIM(CLEAN(SUBSTITUTE(Setup!$B$2,CHAR(160)," "))))=0,"CHECK REVIEWER ID",IF(OR(A5="",COUNTIF($A$2:$A$14,A5)&lt;&gt;1,LEFT(A5,LEN("2019::jama.2019.7505::"))&lt;&gt;"2019::jama.2019.7505::"),"CHECK KEY",IF(OR(AND(NOT(AND(D5="retain",E5="statistical_results")),H5&lt;&gt;"",NOT(EXACT(H5,"not_applicable"))),AND(NOT(AND(D5="retain",E5="statistical_results")),I5&lt;&gt;"",NOT(EXACT(I5,"not_applicable"))),AND(NOT(AND(D5="retain",E5="statistical_results")),J5&lt;&gt;"",NOT(EXACT(J5,"not_applicable"))),AND(NOT(AND(D5="retain",OR(E5="report_internal_inconsistency",E5="plan_material"))),K5&lt;&gt;"",NOT(EXACT(K5,"not_applicable"))),AND(NOT(AND(D5="retain",E5="protocol_report")),L5&lt;&gt;"",NOT(EXACT(L5,"not_applicable")))),"CLEAR INACTIVE VALUES",IF(OR(NOT(OR(EXACT(D5,"retain"),EXACT(D5,"exclude"),EXACT(D5,"discuss"))),NOT(OR(EXACT(E5,"statistical_results"),EXACT(E5,"report_internal_inconsistency"),EXACT(E5,"plan_material"),EXACT(E5,"protocol_report"))),AND(AND(D5="retain",E5="statistical_results"),NOT(OR(EXACT(H5,"confirmed_issue"),EXACT(H5,"probable_issue"),EXACT(H5,"not_issue"),EXACT(H5,"indeterminate")))),AND(AND(D5="retain",E5="statistical_results"),NOT(OR(EXACT(I5,"substantive"),EXACT(I5,"minor_presentation"),EXACT(I5,"indeterminate")))),AND(AND(D5="retain",E5="statistical_results"),J5&lt;&gt;"",NOT(OR(EXACT(J5,"direct"),EXACT(J5,"possible"),EXACT(J5,"unlikely"),EXACT(J5,"unknown")))),AND(AND(D5="retain",OR(E5="report_internal_inconsistency",E5="plan_material")),NOT(OR(EXACT(K5,"substantive_inconsistency"),EXACT(K5,"minor_presentation"),EXACT(K5,"non_inconsistency"),EXACT(K5,"indeterminate")))),AND(AND(D5="retain",E5="protocol_report"),L5&lt;&gt;"",NOT(OR(EXACT(L5,"substantive_difference"),EXACT(L5,"minor_presentation"),EXACT(L5,"version_timing"),EXACT(L5,"non_inconsistency"),EXACT(L5,"indeterminate"))))),"CHECK FIELDS",IF(AND(F5&lt;&gt;"",NOT(OR(EXACT(F5,"no"),EXACT(F5,"primary_done")))),"CHECK COMPLETE",IF(EXACT(F5,"primary_done"),"PRIMARY READY","PRIMARY DRAFT")))))),"CHECK INPUT / KEY")</f>
        <v/>
      </c>
      <c r="H5" s="21">
        <f>IF(AND(OR(D5="retain",D5=""),E5="statistical_results"),"","not_applicable")</f>
        <v/>
      </c>
      <c r="I5" s="21">
        <f>IF(AND(OR(D5="retain",D5=""),E5="statistical_results"),"","not_applicable")</f>
        <v/>
      </c>
      <c r="J5" s="22">
        <f>IF(AND(OR(D5="retain",D5=""),E5="statistical_results"),"","not_applicable")</f>
        <v/>
      </c>
      <c r="K5" s="21">
        <f>IF(AND(OR(D5="retain",D5=""),OR(E5="report_internal_inconsistency",E5="plan_material")),"","not_applicable")</f>
        <v/>
      </c>
      <c r="L5" s="22">
        <f>IF(AND(OR(D5="retain",D5=""),E5="protocol_report"),"","not_applicable")</f>
        <v/>
      </c>
      <c r="M5" s="24" t="n"/>
      <c r="N5" s="23" t="n"/>
      <c r="O5" s="23" t="n"/>
      <c r="P5" s="23" t="n"/>
      <c r="Q5" s="23" t="n"/>
      <c r="R5" s="22" t="n"/>
    </row>
    <row r="6" ht="92" customFormat="1" customHeight="1" s="14">
      <c r="A6" s="20" t="inlineStr">
        <is>
          <t>2019::jama.2019.7505::C005</t>
        </is>
      </c>
      <c r="B6" s="20" t="inlineStr">
        <is>
          <t>Planned primary log-rank output</t>
        </is>
      </c>
      <c r="C6" s="20" t="inlineStr">
        <is>
          <t>PLAN joi190055supp3_prod_16092.pdf — SAP p. 2 primary analysis versus REPORT jama_bluth_2019_oi_190055_16092.pdf — main p. 4 time-to-PPC methods and joi190055supp4_prod_16092.pdf — results p. 38 eFigure 8. Negative-search context: REPORT jama_bluth_2019_oi_190055_16092.pdf — main p. 10, jama_bluth_2019_oi_190055_16092.pdf — main p. 11, joi190055supp4_prod_16092.pdf — results p. 30 eTable 9 and joi190055supp4_prod_16092.pdf — results p. 42 eFigure 12; PLAN joi190055supp3_prod_16092.pdf — SAP p. 3.</t>
        </is>
      </c>
      <c r="D6" s="21" t="n"/>
      <c r="E6" s="21" t="inlineStr">
        <is>
          <t>protocol_report</t>
        </is>
      </c>
      <c r="F6" s="21" t="inlineStr">
        <is>
          <t>no</t>
        </is>
      </c>
      <c r="G6" s="20">
        <f>IFERROR(IF(LEN(TRIM(CLEAN(SUBSTITUTE(Setup!$B$2,CHAR(160)," "))))=0,"CHECK REVIEWER ID",IF(OR(A6="",COUNTIF($A$2:$A$14,A6)&lt;&gt;1,LEFT(A6,LEN("2019::jama.2019.7505::"))&lt;&gt;"2019::jama.2019.7505::"),"CHECK KEY",IF(OR(AND(NOT(AND(D6="retain",E6="statistical_results")),H6&lt;&gt;"",NOT(EXACT(H6,"not_applicable"))),AND(NOT(AND(D6="retain",E6="statistical_results")),I6&lt;&gt;"",NOT(EXACT(I6,"not_applicable"))),AND(NOT(AND(D6="retain",E6="statistical_results")),J6&lt;&gt;"",NOT(EXACT(J6,"not_applicable"))),AND(NOT(AND(D6="retain",OR(E6="report_internal_inconsistency",E6="plan_material"))),K6&lt;&gt;"",NOT(EXACT(K6,"not_applicable"))),AND(NOT(AND(D6="retain",E6="protocol_report")),L6&lt;&gt;"",NOT(EXACT(L6,"not_applicable")))),"CLEAR INACTIVE VALUES",IF(OR(NOT(OR(EXACT(D6,"retain"),EXACT(D6,"exclude"),EXACT(D6,"discuss"))),NOT(OR(EXACT(E6,"statistical_results"),EXACT(E6,"report_internal_inconsistency"),EXACT(E6,"plan_material"),EXACT(E6,"protocol_report"))),AND(AND(D6="retain",E6="statistical_results"),NOT(OR(EXACT(H6,"confirmed_issue"),EXACT(H6,"probable_issue"),EXACT(H6,"not_issue"),EXACT(H6,"indeterminate")))),AND(AND(D6="retain",E6="statistical_results"),NOT(OR(EXACT(I6,"substantive"),EXACT(I6,"minor_presentation"),EXACT(I6,"indeterminate")))),AND(AND(D6="retain",E6="statistical_results"),J6&lt;&gt;"",NOT(OR(EXACT(J6,"direct"),EXACT(J6,"possible"),EXACT(J6,"unlikely"),EXACT(J6,"unknown")))),AND(AND(D6="retain",OR(E6="report_internal_inconsistency",E6="plan_material")),NOT(OR(EXACT(K6,"substantive_inconsistency"),EXACT(K6,"minor_presentation"),EXACT(K6,"non_inconsistency"),EXACT(K6,"indeterminate")))),AND(AND(D6="retain",E6="protocol_report"),L6&lt;&gt;"",NOT(OR(EXACT(L6,"substantive_difference"),EXACT(L6,"minor_presentation"),EXACT(L6,"version_timing"),EXACT(L6,"non_inconsistency"),EXACT(L6,"indeterminate"))))),"CHECK FIELDS",IF(AND(F6&lt;&gt;"",NOT(OR(EXACT(F6,"no"),EXACT(F6,"primary_done")))),"CHECK COMPLETE",IF(EXACT(F6,"primary_done"),"PRIMARY READY","PRIMARY DRAFT")))))),"CHECK INPUT / KEY")</f>
        <v/>
      </c>
      <c r="H6" s="21">
        <f>IF(AND(OR(D6="retain",D6=""),E6="statistical_results"),"","not_applicable")</f>
        <v/>
      </c>
      <c r="I6" s="21">
        <f>IF(AND(OR(D6="retain",D6=""),E6="statistical_results"),"","not_applicable")</f>
        <v/>
      </c>
      <c r="J6" s="22">
        <f>IF(AND(OR(D6="retain",D6=""),E6="statistical_results"),"","not_applicable")</f>
        <v/>
      </c>
      <c r="K6" s="21">
        <f>IF(AND(OR(D6="retain",D6=""),OR(E6="report_internal_inconsistency",E6="plan_material")),"","not_applicable")</f>
        <v/>
      </c>
      <c r="L6" s="22">
        <f>IF(AND(OR(D6="retain",D6=""),E6="protocol_report"),"","not_applicable")</f>
        <v/>
      </c>
      <c r="M6" s="20" t="n"/>
      <c r="N6" s="23" t="n"/>
      <c r="O6" s="23" t="n"/>
      <c r="P6" s="23" t="n"/>
      <c r="Q6" s="23" t="n"/>
      <c r="R6" s="22" t="n"/>
    </row>
    <row r="7" ht="92" customFormat="1" customHeight="1" s="14">
      <c r="A7" s="24" t="inlineStr">
        <is>
          <t>2019::jama.2019.7505::C006</t>
        </is>
      </c>
      <c r="B7" s="24" t="inlineStr">
        <is>
          <t>Planned primary clinical-severity-weighted GEE</t>
        </is>
      </c>
      <c r="C7" s="24" t="inlineStr">
        <is>
          <t>PLAN joi190055supp3_prod_16092.pdf — SAP p. 3 clinical severity weight versus REPORT jama_bluth_2019_oi_190055_16092.pdf — main p. 4 sensitivity methods, jama_bluth_2019_oi_190055_16092.pdf — main p. 10 additional analysis, jama_bluth_2019_oi_190055_16092.pdf — main p. 11 sensitivity discussion, joi190055supp4_prod_16092.pdf — results p. 30 all eTable 9 rows/footnotes and joi190055supp4_prod_16092.pdf — results p. 42 all eFigure 12 component/global rows.</t>
        </is>
      </c>
      <c r="D7" s="21" t="n"/>
      <c r="E7" s="21" t="inlineStr">
        <is>
          <t>protocol_report</t>
        </is>
      </c>
      <c r="F7" s="21" t="inlineStr">
        <is>
          <t>no</t>
        </is>
      </c>
      <c r="G7" s="24">
        <f>IFERROR(IF(LEN(TRIM(CLEAN(SUBSTITUTE(Setup!$B$2,CHAR(160)," "))))=0,"CHECK REVIEWER ID",IF(OR(A7="",COUNTIF($A$2:$A$14,A7)&lt;&gt;1,LEFT(A7,LEN("2019::jama.2019.7505::"))&lt;&gt;"2019::jama.2019.7505::"),"CHECK KEY",IF(OR(AND(NOT(AND(D7="retain",E7="statistical_results")),H7&lt;&gt;"",NOT(EXACT(H7,"not_applicable"))),AND(NOT(AND(D7="retain",E7="statistical_results")),I7&lt;&gt;"",NOT(EXACT(I7,"not_applicable"))),AND(NOT(AND(D7="retain",E7="statistical_results")),J7&lt;&gt;"",NOT(EXACT(J7,"not_applicable"))),AND(NOT(AND(D7="retain",OR(E7="report_internal_inconsistency",E7="plan_material"))),K7&lt;&gt;"",NOT(EXACT(K7,"not_applicable"))),AND(NOT(AND(D7="retain",E7="protocol_report")),L7&lt;&gt;"",NOT(EXACT(L7,"not_applicable")))),"CLEAR INACTIVE VALUES",IF(OR(NOT(OR(EXACT(D7,"retain"),EXACT(D7,"exclude"),EXACT(D7,"discuss"))),NOT(OR(EXACT(E7,"statistical_results"),EXACT(E7,"report_internal_inconsistency"),EXACT(E7,"plan_material"),EXACT(E7,"protocol_report"))),AND(AND(D7="retain",E7="statistical_results"),NOT(OR(EXACT(H7,"confirmed_issue"),EXACT(H7,"probable_issue"),EXACT(H7,"not_issue"),EXACT(H7,"indeterminate")))),AND(AND(D7="retain",E7="statistical_results"),NOT(OR(EXACT(I7,"substantive"),EXACT(I7,"minor_presentation"),EXACT(I7,"indeterminate")))),AND(AND(D7="retain",E7="statistical_results"),J7&lt;&gt;"",NOT(OR(EXACT(J7,"direct"),EXACT(J7,"possible"),EXACT(J7,"unlikely"),EXACT(J7,"unknown")))),AND(AND(D7="retain",OR(E7="report_internal_inconsistency",E7="plan_material")),NOT(OR(EXACT(K7,"substantive_inconsistency"),EXACT(K7,"minor_presentation"),EXACT(K7,"non_inconsistency"),EXACT(K7,"indeterminate")))),AND(AND(D7="retain",E7="protocol_report"),L7&lt;&gt;"",NOT(OR(EXACT(L7,"substantive_difference"),EXACT(L7,"minor_presentation"),EXACT(L7,"version_timing"),EXACT(L7,"non_inconsistency"),EXACT(L7,"indeterminate"))))),"CHECK FIELDS",IF(AND(F7&lt;&gt;"",NOT(OR(EXACT(F7,"no"),EXACT(F7,"primary_done")))),"CHECK COMPLETE",IF(EXACT(F7,"primary_done"),"PRIMARY READY","PRIMARY DRAFT")))))),"CHECK INPUT / KEY")</f>
        <v/>
      </c>
      <c r="H7" s="21">
        <f>IF(AND(OR(D7="retain",D7=""),E7="statistical_results"),"","not_applicable")</f>
        <v/>
      </c>
      <c r="I7" s="21">
        <f>IF(AND(OR(D7="retain",D7=""),E7="statistical_results"),"","not_applicable")</f>
        <v/>
      </c>
      <c r="J7" s="22">
        <f>IF(AND(OR(D7="retain",D7=""),E7="statistical_results"),"","not_applicable")</f>
        <v/>
      </c>
      <c r="K7" s="21">
        <f>IF(AND(OR(D7="retain",D7=""),OR(E7="report_internal_inconsistency",E7="plan_material")),"","not_applicable")</f>
        <v/>
      </c>
      <c r="L7" s="22">
        <f>IF(AND(OR(D7="retain",D7=""),E7="protocol_report"),"","not_applicable")</f>
        <v/>
      </c>
      <c r="M7" s="24" t="n"/>
      <c r="N7" s="23" t="n"/>
      <c r="O7" s="23" t="n"/>
      <c r="P7" s="23" t="n"/>
      <c r="Q7" s="23" t="n"/>
      <c r="R7" s="22" t="n"/>
    </row>
    <row r="8" ht="92" customFormat="1" customHeight="1" s="14">
      <c r="A8" s="20" t="inlineStr">
        <is>
          <t>2019::jama.2019.7505::C007</t>
        </is>
      </c>
      <c r="B8" s="20" t="inlineStr">
        <is>
          <t>Table 2 null-endpoint/significant-P pattern</t>
        </is>
      </c>
      <c r="C8" s="20" t="inlineStr">
        <is>
          <t>REPORT jama_bluth_2019_oi_190055_16092.pdf — main p. 7 Table 2 S002/S003/S016 and jama_bluth_2019_oi_190055_16092.pdf — main p. 4 two-sided significance definition.</t>
        </is>
      </c>
      <c r="D8" s="21" t="n"/>
      <c r="E8" s="21" t="inlineStr">
        <is>
          <t>statistical_results</t>
        </is>
      </c>
      <c r="F8" s="21" t="inlineStr">
        <is>
          <t>no</t>
        </is>
      </c>
      <c r="G8" s="20">
        <f>IFERROR(IF(LEN(TRIM(CLEAN(SUBSTITUTE(Setup!$B$2,CHAR(160)," "))))=0,"CHECK REVIEWER ID",IF(OR(A8="",COUNTIF($A$2:$A$14,A8)&lt;&gt;1,LEFT(A8,LEN("2019::jama.2019.7505::"))&lt;&gt;"2019::jama.2019.7505::"),"CHECK KEY",IF(OR(AND(NOT(AND(D8="retain",E8="statistical_results")),H8&lt;&gt;"",NOT(EXACT(H8,"not_applicable"))),AND(NOT(AND(D8="retain",E8="statistical_results")),I8&lt;&gt;"",NOT(EXACT(I8,"not_applicable"))),AND(NOT(AND(D8="retain",E8="statistical_results")),J8&lt;&gt;"",NOT(EXACT(J8,"not_applicable"))),AND(NOT(AND(D8="retain",OR(E8="report_internal_inconsistency",E8="plan_material"))),K8&lt;&gt;"",NOT(EXACT(K8,"not_applicable"))),AND(NOT(AND(D8="retain",E8="protocol_report")),L8&lt;&gt;"",NOT(EXACT(L8,"not_applicable")))),"CLEAR INACTIVE VALUES",IF(OR(NOT(OR(EXACT(D8,"retain"),EXACT(D8,"exclude"),EXACT(D8,"discuss"))),NOT(OR(EXACT(E8,"statistical_results"),EXACT(E8,"report_internal_inconsistency"),EXACT(E8,"plan_material"),EXACT(E8,"protocol_report"))),AND(AND(D8="retain",E8="statistical_results"),NOT(OR(EXACT(H8,"confirmed_issue"),EXACT(H8,"probable_issue"),EXACT(H8,"not_issue"),EXACT(H8,"indeterminate")))),AND(AND(D8="retain",E8="statistical_results"),NOT(OR(EXACT(I8,"substantive"),EXACT(I8,"minor_presentation"),EXACT(I8,"indeterminate")))),AND(AND(D8="retain",E8="statistical_results"),J8&lt;&gt;"",NOT(OR(EXACT(J8,"direct"),EXACT(J8,"possible"),EXACT(J8,"unlikely"),EXACT(J8,"unknown")))),AND(AND(D8="retain",OR(E8="report_internal_inconsistency",E8="plan_material")),NOT(OR(EXACT(K8,"substantive_inconsistency"),EXACT(K8,"minor_presentation"),EXACT(K8,"non_inconsistency"),EXACT(K8,"indeterminate")))),AND(AND(D8="retain",E8="protocol_report"),L8&lt;&gt;"",NOT(OR(EXACT(L8,"substantive_difference"),EXACT(L8,"minor_presentation"),EXACT(L8,"version_timing"),EXACT(L8,"non_inconsistency"),EXACT(L8,"indeterminate"))))),"CHECK FIELDS",IF(AND(F8&lt;&gt;"",NOT(OR(EXACT(F8,"no"),EXACT(F8,"primary_done")))),"CHECK COMPLETE",IF(EXACT(F8,"primary_done"),"PRIMARY READY","PRIMARY DRAFT")))))),"CHECK INPUT / KEY")</f>
        <v/>
      </c>
      <c r="H8" s="21">
        <f>IF(AND(OR(D8="retain",D8=""),E8="statistical_results"),"","not_applicable")</f>
        <v/>
      </c>
      <c r="I8" s="21">
        <f>IF(AND(OR(D8="retain",D8=""),E8="statistical_results"),"","not_applicable")</f>
        <v/>
      </c>
      <c r="J8" s="22">
        <f>IF(AND(OR(D8="retain",D8=""),E8="statistical_results"),"","not_applicable")</f>
        <v/>
      </c>
      <c r="K8" s="21">
        <f>IF(AND(OR(D8="retain",D8=""),OR(E8="report_internal_inconsistency",E8="plan_material")),"","not_applicable")</f>
        <v/>
      </c>
      <c r="L8" s="22">
        <f>IF(AND(OR(D8="retain",D8=""),E8="protocol_report"),"","not_applicable")</f>
        <v/>
      </c>
      <c r="M8" s="20" t="n"/>
      <c r="N8" s="23" t="n"/>
      <c r="O8" s="23" t="n"/>
      <c r="P8" s="23" t="n"/>
      <c r="Q8" s="23" t="n"/>
      <c r="R8" s="22" t="n"/>
    </row>
    <row r="9" ht="92" customFormat="1" customHeight="1" s="14">
      <c r="A9" s="24" t="inlineStr">
        <is>
          <t>2019::jama.2019.7505::C008</t>
        </is>
      </c>
      <c r="B9" s="24" t="inlineStr">
        <is>
          <t>Monitoring/reversal displayed percentage contrasts</t>
        </is>
      </c>
      <c r="C9" s="24" t="inlineStr">
        <is>
          <t>REPORT jama_bluth_2019_oi_190055_16092.pdf — main p. 8 continued Table 2 monitoring/reversal rows S038/S039, preceding neuromuscular-blockade row and monitoring note d.</t>
        </is>
      </c>
      <c r="D9" s="21" t="n"/>
      <c r="E9" s="21" t="inlineStr">
        <is>
          <t>statistical_results</t>
        </is>
      </c>
      <c r="F9" s="21" t="inlineStr">
        <is>
          <t>no</t>
        </is>
      </c>
      <c r="G9" s="24">
        <f>IFERROR(IF(LEN(TRIM(CLEAN(SUBSTITUTE(Setup!$B$2,CHAR(160)," "))))=0,"CHECK REVIEWER ID",IF(OR(A9="",COUNTIF($A$2:$A$14,A9)&lt;&gt;1,LEFT(A9,LEN("2019::jama.2019.7505::"))&lt;&gt;"2019::jama.2019.7505::"),"CHECK KEY",IF(OR(AND(NOT(AND(D9="retain",E9="statistical_results")),H9&lt;&gt;"",NOT(EXACT(H9,"not_applicable"))),AND(NOT(AND(D9="retain",E9="statistical_results")),I9&lt;&gt;"",NOT(EXACT(I9,"not_applicable"))),AND(NOT(AND(D9="retain",E9="statistical_results")),J9&lt;&gt;"",NOT(EXACT(J9,"not_applicable"))),AND(NOT(AND(D9="retain",OR(E9="report_internal_inconsistency",E9="plan_material"))),K9&lt;&gt;"",NOT(EXACT(K9,"not_applicable"))),AND(NOT(AND(D9="retain",E9="protocol_report")),L9&lt;&gt;"",NOT(EXACT(L9,"not_applicable")))),"CLEAR INACTIVE VALUES",IF(OR(NOT(OR(EXACT(D9,"retain"),EXACT(D9,"exclude"),EXACT(D9,"discuss"))),NOT(OR(EXACT(E9,"statistical_results"),EXACT(E9,"report_internal_inconsistency"),EXACT(E9,"plan_material"),EXACT(E9,"protocol_report"))),AND(AND(D9="retain",E9="statistical_results"),NOT(OR(EXACT(H9,"confirmed_issue"),EXACT(H9,"probable_issue"),EXACT(H9,"not_issue"),EXACT(H9,"indeterminate")))),AND(AND(D9="retain",E9="statistical_results"),NOT(OR(EXACT(I9,"substantive"),EXACT(I9,"minor_presentation"),EXACT(I9,"indeterminate")))),AND(AND(D9="retain",E9="statistical_results"),J9&lt;&gt;"",NOT(OR(EXACT(J9,"direct"),EXACT(J9,"possible"),EXACT(J9,"unlikely"),EXACT(J9,"unknown")))),AND(AND(D9="retain",OR(E9="report_internal_inconsistency",E9="plan_material")),NOT(OR(EXACT(K9,"substantive_inconsistency"),EXACT(K9,"minor_presentation"),EXACT(K9,"non_inconsistency"),EXACT(K9,"indeterminate")))),AND(AND(D9="retain",E9="protocol_report"),L9&lt;&gt;"",NOT(OR(EXACT(L9,"substantive_difference"),EXACT(L9,"minor_presentation"),EXACT(L9,"version_timing"),EXACT(L9,"non_inconsistency"),EXACT(L9,"indeterminate"))))),"CHECK FIELDS",IF(AND(F9&lt;&gt;"",NOT(OR(EXACT(F9,"no"),EXACT(F9,"primary_done")))),"CHECK COMPLETE",IF(EXACT(F9,"primary_done"),"PRIMARY READY","PRIMARY DRAFT")))))),"CHECK INPUT / KEY")</f>
        <v/>
      </c>
      <c r="H9" s="21">
        <f>IF(AND(OR(D9="retain",D9=""),E9="statistical_results"),"","not_applicable")</f>
        <v/>
      </c>
      <c r="I9" s="21">
        <f>IF(AND(OR(D9="retain",D9=""),E9="statistical_results"),"","not_applicable")</f>
        <v/>
      </c>
      <c r="J9" s="22">
        <f>IF(AND(OR(D9="retain",D9=""),E9="statistical_results"),"","not_applicable")</f>
        <v/>
      </c>
      <c r="K9" s="21">
        <f>IF(AND(OR(D9="retain",D9=""),OR(E9="report_internal_inconsistency",E9="plan_material")),"","not_applicable")</f>
        <v/>
      </c>
      <c r="L9" s="22">
        <f>IF(AND(OR(D9="retain",D9=""),E9="protocol_report"),"","not_applicable")</f>
        <v/>
      </c>
      <c r="M9" s="24" t="n"/>
      <c r="N9" s="23" t="n"/>
      <c r="O9" s="23" t="n"/>
      <c r="P9" s="23" t="n"/>
      <c r="Q9" s="23" t="n"/>
      <c r="R9" s="22" t="n"/>
    </row>
    <row r="10" ht="92" customFormat="1" customHeight="1" s="14">
      <c r="A10" s="20" t="inlineStr">
        <is>
          <t>2019::jama.2019.7505::C009</t>
        </is>
      </c>
      <c r="B10" s="20" t="inlineStr">
        <is>
          <t>DIC interval/test compatibility</t>
        </is>
      </c>
      <c r="C10" s="20" t="inlineStr">
        <is>
          <t>REPORT jama_bluth_2019_oi_190055_16092.pdf — main p. 9 Table 3 DIC S080 and jama_bluth_2019_oi_190055_16092.pdf — main p. 10 notes b/c.</t>
        </is>
      </c>
      <c r="D10" s="21" t="n"/>
      <c r="E10" s="21" t="inlineStr">
        <is>
          <t>statistical_results</t>
        </is>
      </c>
      <c r="F10" s="21" t="inlineStr">
        <is>
          <t>no</t>
        </is>
      </c>
      <c r="G10" s="20">
        <f>IFERROR(IF(LEN(TRIM(CLEAN(SUBSTITUTE(Setup!$B$2,CHAR(160)," "))))=0,"CHECK REVIEWER ID",IF(OR(A10="",COUNTIF($A$2:$A$14,A10)&lt;&gt;1,LEFT(A10,LEN("2019::jama.2019.7505::"))&lt;&gt;"2019::jama.2019.7505::"),"CHECK KEY",IF(OR(AND(NOT(AND(D10="retain",E10="statistical_results")),H10&lt;&gt;"",NOT(EXACT(H10,"not_applicable"))),AND(NOT(AND(D10="retain",E10="statistical_results")),I10&lt;&gt;"",NOT(EXACT(I10,"not_applicable"))),AND(NOT(AND(D10="retain",E10="statistical_results")),J10&lt;&gt;"",NOT(EXACT(J10,"not_applicable"))),AND(NOT(AND(D10="retain",OR(E10="report_internal_inconsistency",E10="plan_material"))),K10&lt;&gt;"",NOT(EXACT(K10,"not_applicable"))),AND(NOT(AND(D10="retain",E10="protocol_report")),L10&lt;&gt;"",NOT(EXACT(L10,"not_applicable")))),"CLEAR INACTIVE VALUES",IF(OR(NOT(OR(EXACT(D10,"retain"),EXACT(D10,"exclude"),EXACT(D10,"discuss"))),NOT(OR(EXACT(E10,"statistical_results"),EXACT(E10,"report_internal_inconsistency"),EXACT(E10,"plan_material"),EXACT(E10,"protocol_report"))),AND(AND(D10="retain",E10="statistical_results"),NOT(OR(EXACT(H10,"confirmed_issue"),EXACT(H10,"probable_issue"),EXACT(H10,"not_issue"),EXACT(H10,"indeterminate")))),AND(AND(D10="retain",E10="statistical_results"),NOT(OR(EXACT(I10,"substantive"),EXACT(I10,"minor_presentation"),EXACT(I10,"indeterminate")))),AND(AND(D10="retain",E10="statistical_results"),J10&lt;&gt;"",NOT(OR(EXACT(J10,"direct"),EXACT(J10,"possible"),EXACT(J10,"unlikely"),EXACT(J10,"unknown")))),AND(AND(D10="retain",OR(E10="report_internal_inconsistency",E10="plan_material")),NOT(OR(EXACT(K10,"substantive_inconsistency"),EXACT(K10,"minor_presentation"),EXACT(K10,"non_inconsistency"),EXACT(K10,"indeterminate")))),AND(AND(D10="retain",E10="protocol_report"),L10&lt;&gt;"",NOT(OR(EXACT(L10,"substantive_difference"),EXACT(L10,"minor_presentation"),EXACT(L10,"version_timing"),EXACT(L10,"non_inconsistency"),EXACT(L10,"indeterminate"))))),"CHECK FIELDS",IF(AND(F10&lt;&gt;"",NOT(OR(EXACT(F10,"no"),EXACT(F10,"primary_done")))),"CHECK COMPLETE",IF(EXACT(F10,"primary_done"),"PRIMARY READY","PRIMARY DRAFT")))))),"CHECK INPUT / KEY")</f>
        <v/>
      </c>
      <c r="H10" s="21">
        <f>IF(AND(OR(D10="retain",D10=""),E10="statistical_results"),"","not_applicable")</f>
        <v/>
      </c>
      <c r="I10" s="21">
        <f>IF(AND(OR(D10="retain",D10=""),E10="statistical_results"),"","not_applicable")</f>
        <v/>
      </c>
      <c r="J10" s="22">
        <f>IF(AND(OR(D10="retain",D10=""),E10="statistical_results"),"","not_applicable")</f>
        <v/>
      </c>
      <c r="K10" s="21">
        <f>IF(AND(OR(D10="retain",D10=""),OR(E10="report_internal_inconsistency",E10="plan_material")),"","not_applicable")</f>
        <v/>
      </c>
      <c r="L10" s="22">
        <f>IF(AND(OR(D10="retain",D10=""),E10="protocol_report"),"","not_applicable")</f>
        <v/>
      </c>
      <c r="M10" s="20" t="n"/>
      <c r="N10" s="23" t="n"/>
      <c r="O10" s="23" t="n"/>
      <c r="P10" s="23" t="n"/>
      <c r="Q10" s="23" t="n"/>
      <c r="R10" s="22" t="n"/>
    </row>
    <row r="11" ht="92" customFormat="1" customHeight="1" s="14">
      <c r="A11" s="24" t="inlineStr">
        <is>
          <t>2019::jama.2019.7505::C010</t>
        </is>
      </c>
      <c r="B11" s="24" t="inlineStr">
        <is>
          <t>Mortality same-display interval relation</t>
        </is>
      </c>
      <c r="C11" s="24" t="inlineStr">
        <is>
          <t>REPORT jama_bluth_2019_oi_190055_16092.pdf — main p. 9 Table 3 in-hospital mortality S088 and pleural/hypoxemia/bradycardia comparators; jama_bluth_2019_oi_190055_16092.pdf — main p. 10 note b and vasoactive comparator.</t>
        </is>
      </c>
      <c r="D11" s="21" t="n"/>
      <c r="E11" s="21" t="inlineStr">
        <is>
          <t>statistical_results</t>
        </is>
      </c>
      <c r="F11" s="21" t="inlineStr">
        <is>
          <t>no</t>
        </is>
      </c>
      <c r="G11" s="24">
        <f>IFERROR(IF(LEN(TRIM(CLEAN(SUBSTITUTE(Setup!$B$2,CHAR(160)," "))))=0,"CHECK REVIEWER ID",IF(OR(A11="",COUNTIF($A$2:$A$14,A11)&lt;&gt;1,LEFT(A11,LEN("2019::jama.2019.7505::"))&lt;&gt;"2019::jama.2019.7505::"),"CHECK KEY",IF(OR(AND(NOT(AND(D11="retain",E11="statistical_results")),H11&lt;&gt;"",NOT(EXACT(H11,"not_applicable"))),AND(NOT(AND(D11="retain",E11="statistical_results")),I11&lt;&gt;"",NOT(EXACT(I11,"not_applicable"))),AND(NOT(AND(D11="retain",E11="statistical_results")),J11&lt;&gt;"",NOT(EXACT(J11,"not_applicable"))),AND(NOT(AND(D11="retain",OR(E11="report_internal_inconsistency",E11="plan_material"))),K11&lt;&gt;"",NOT(EXACT(K11,"not_applicable"))),AND(NOT(AND(D11="retain",E11="protocol_report")),L11&lt;&gt;"",NOT(EXACT(L11,"not_applicable")))),"CLEAR INACTIVE VALUES",IF(OR(NOT(OR(EXACT(D11,"retain"),EXACT(D11,"exclude"),EXACT(D11,"discuss"))),NOT(OR(EXACT(E11,"statistical_results"),EXACT(E11,"report_internal_inconsistency"),EXACT(E11,"plan_material"),EXACT(E11,"protocol_report"))),AND(AND(D11="retain",E11="statistical_results"),NOT(OR(EXACT(H11,"confirmed_issue"),EXACT(H11,"probable_issue"),EXACT(H11,"not_issue"),EXACT(H11,"indeterminate")))),AND(AND(D11="retain",E11="statistical_results"),NOT(OR(EXACT(I11,"substantive"),EXACT(I11,"minor_presentation"),EXACT(I11,"indeterminate")))),AND(AND(D11="retain",E11="statistical_results"),J11&lt;&gt;"",NOT(OR(EXACT(J11,"direct"),EXACT(J11,"possible"),EXACT(J11,"unlikely"),EXACT(J11,"unknown")))),AND(AND(D11="retain",OR(E11="report_internal_inconsistency",E11="plan_material")),NOT(OR(EXACT(K11,"substantive_inconsistency"),EXACT(K11,"minor_presentation"),EXACT(K11,"non_inconsistency"),EXACT(K11,"indeterminate")))),AND(AND(D11="retain",E11="protocol_report"),L11&lt;&gt;"",NOT(OR(EXACT(L11,"substantive_difference"),EXACT(L11,"minor_presentation"),EXACT(L11,"version_timing"),EXACT(L11,"non_inconsistency"),EXACT(L11,"indeterminate"))))),"CHECK FIELDS",IF(AND(F11&lt;&gt;"",NOT(OR(EXACT(F11,"no"),EXACT(F11,"primary_done")))),"CHECK COMPLETE",IF(EXACT(F11,"primary_done"),"PRIMARY READY","PRIMARY DRAFT")))))),"CHECK INPUT / KEY")</f>
        <v/>
      </c>
      <c r="H11" s="21">
        <f>IF(AND(OR(D11="retain",D11=""),E11="statistical_results"),"","not_applicable")</f>
        <v/>
      </c>
      <c r="I11" s="21">
        <f>IF(AND(OR(D11="retain",D11=""),E11="statistical_results"),"","not_applicable")</f>
        <v/>
      </c>
      <c r="J11" s="22">
        <f>IF(AND(OR(D11="retain",D11=""),E11="statistical_results"),"","not_applicable")</f>
        <v/>
      </c>
      <c r="K11" s="21">
        <f>IF(AND(OR(D11="retain",D11=""),OR(E11="report_internal_inconsistency",E11="plan_material")),"","not_applicable")</f>
        <v/>
      </c>
      <c r="L11" s="22">
        <f>IF(AND(OR(D11="retain",D11=""),E11="protocol_report"),"","not_applicable")</f>
        <v/>
      </c>
      <c r="M11" s="24" t="n"/>
      <c r="N11" s="23" t="n"/>
      <c r="O11" s="23" t="n"/>
      <c r="P11" s="23" t="n"/>
      <c r="Q11" s="23" t="n"/>
      <c r="R11" s="22" t="n"/>
    </row>
    <row r="12" ht="92" customFormat="1" customHeight="1" s="14">
      <c r="A12" s="20" t="inlineStr">
        <is>
          <t>2019::jama.2019.7505::C011</t>
        </is>
      </c>
      <c r="B12" s="20" t="inlineStr">
        <is>
          <t>Mild/moderate respiratory-failure flow boundary</t>
        </is>
      </c>
      <c r="C12" s="20" t="inlineStr">
        <is>
          <t>PLAN joi190055supp1_prod_16092.pdf — protocol p. 31 pulmonary definitions versus REPORT jama_bluth_2019_oi_190055_16092.pdf — main p. 10 Table 3 note d and joi190055supp4_prod_16092.pdf — results p. 20 §2.8, with PLAN joi190055supp3_prod_16092.pdf — SAP p. 1 severe-composite definition and REPORT jama_bluth_2019_oi_190055_16092.pdf — main p. 9 affected counts.</t>
        </is>
      </c>
      <c r="D12" s="21" t="n"/>
      <c r="E12" s="21" t="inlineStr">
        <is>
          <t>protocol_report</t>
        </is>
      </c>
      <c r="F12" s="21" t="inlineStr">
        <is>
          <t>no</t>
        </is>
      </c>
      <c r="G12" s="20">
        <f>IFERROR(IF(LEN(TRIM(CLEAN(SUBSTITUTE(Setup!$B$2,CHAR(160)," "))))=0,"CHECK REVIEWER ID",IF(OR(A12="",COUNTIF($A$2:$A$14,A12)&lt;&gt;1,LEFT(A12,LEN("2019::jama.2019.7505::"))&lt;&gt;"2019::jama.2019.7505::"),"CHECK KEY",IF(OR(AND(NOT(AND(D12="retain",E12="statistical_results")),H12&lt;&gt;"",NOT(EXACT(H12,"not_applicable"))),AND(NOT(AND(D12="retain",E12="statistical_results")),I12&lt;&gt;"",NOT(EXACT(I12,"not_applicable"))),AND(NOT(AND(D12="retain",E12="statistical_results")),J12&lt;&gt;"",NOT(EXACT(J12,"not_applicable"))),AND(NOT(AND(D12="retain",OR(E12="report_internal_inconsistency",E12="plan_material"))),K12&lt;&gt;"",NOT(EXACT(K12,"not_applicable"))),AND(NOT(AND(D12="retain",E12="protocol_report")),L12&lt;&gt;"",NOT(EXACT(L12,"not_applicable")))),"CLEAR INACTIVE VALUES",IF(OR(NOT(OR(EXACT(D12,"retain"),EXACT(D12,"exclude"),EXACT(D12,"discuss"))),NOT(OR(EXACT(E12,"statistical_results"),EXACT(E12,"report_internal_inconsistency"),EXACT(E12,"plan_material"),EXACT(E12,"protocol_report"))),AND(AND(D12="retain",E12="statistical_results"),NOT(OR(EXACT(H12,"confirmed_issue"),EXACT(H12,"probable_issue"),EXACT(H12,"not_issue"),EXACT(H12,"indeterminate")))),AND(AND(D12="retain",E12="statistical_results"),NOT(OR(EXACT(I12,"substantive"),EXACT(I12,"minor_presentation"),EXACT(I12,"indeterminate")))),AND(AND(D12="retain",E12="statistical_results"),J12&lt;&gt;"",NOT(OR(EXACT(J12,"direct"),EXACT(J12,"possible"),EXACT(J12,"unlikely"),EXACT(J12,"unknown")))),AND(AND(D12="retain",OR(E12="report_internal_inconsistency",E12="plan_material")),NOT(OR(EXACT(K12,"substantive_inconsistency"),EXACT(K12,"minor_presentation"),EXACT(K12,"non_inconsistency"),EXACT(K12,"indeterminate")))),AND(AND(D12="retain",E12="protocol_report"),L12&lt;&gt;"",NOT(OR(EXACT(L12,"substantive_difference"),EXACT(L12,"minor_presentation"),EXACT(L12,"version_timing"),EXACT(L12,"non_inconsistency"),EXACT(L12,"indeterminate"))))),"CHECK FIELDS",IF(AND(F12&lt;&gt;"",NOT(OR(EXACT(F12,"no"),EXACT(F12,"primary_done")))),"CHECK COMPLETE",IF(EXACT(F12,"primary_done"),"PRIMARY READY","PRIMARY DRAFT")))))),"CHECK INPUT / KEY")</f>
        <v/>
      </c>
      <c r="H12" s="21">
        <f>IF(AND(OR(D12="retain",D12=""),E12="statistical_results"),"","not_applicable")</f>
        <v/>
      </c>
      <c r="I12" s="21">
        <f>IF(AND(OR(D12="retain",D12=""),E12="statistical_results"),"","not_applicable")</f>
        <v/>
      </c>
      <c r="J12" s="22">
        <f>IF(AND(OR(D12="retain",D12=""),E12="statistical_results"),"","not_applicable")</f>
        <v/>
      </c>
      <c r="K12" s="21">
        <f>IF(AND(OR(D12="retain",D12=""),OR(E12="report_internal_inconsistency",E12="plan_material")),"","not_applicable")</f>
        <v/>
      </c>
      <c r="L12" s="22">
        <f>IF(AND(OR(D12="retain",D12=""),E12="protocol_report"),"","not_applicable")</f>
        <v/>
      </c>
      <c r="M12" s="20" t="n"/>
      <c r="N12" s="23" t="n"/>
      <c r="O12" s="23" t="n"/>
      <c r="P12" s="23" t="n"/>
      <c r="Q12" s="23" t="n"/>
      <c r="R12" s="22" t="n"/>
    </row>
    <row r="13" ht="92" customFormat="1" customHeight="1" s="14">
      <c r="A13" s="24" t="inlineStr">
        <is>
          <t>2019::jama.2019.7505::C012</t>
        </is>
      </c>
      <c r="B13" s="24" t="inlineStr">
        <is>
          <t>Coma score inclusion threshold</t>
        </is>
      </c>
      <c r="C13" s="24" t="inlineStr">
        <is>
          <t>PLAN joi190055supp1_prod_16092.pdf — protocol p. 32 extra-pulmonary coma definition versus REPORT joi190055supp4_prod_16092.pdf — results p. 21 §2.8 coma definition; REPORT jama_bluth_2019_oi_190055_16092.pdf — main p. 9 coma/extrapulmonary composite counts. Fresh exact-source protocol-p32-coma-detail.png — protocol glyph detail is a visual derivative, with the linked PDF as authority.</t>
        </is>
      </c>
      <c r="D13" s="21" t="n"/>
      <c r="E13" s="21" t="inlineStr">
        <is>
          <t>protocol_report</t>
        </is>
      </c>
      <c r="F13" s="21" t="inlineStr">
        <is>
          <t>no</t>
        </is>
      </c>
      <c r="G13" s="24">
        <f>IFERROR(IF(LEN(TRIM(CLEAN(SUBSTITUTE(Setup!$B$2,CHAR(160)," "))))=0,"CHECK REVIEWER ID",IF(OR(A13="",COUNTIF($A$2:$A$14,A13)&lt;&gt;1,LEFT(A13,LEN("2019::jama.2019.7505::"))&lt;&gt;"2019::jama.2019.7505::"),"CHECK KEY",IF(OR(AND(NOT(AND(D13="retain",E13="statistical_results")),H13&lt;&gt;"",NOT(EXACT(H13,"not_applicable"))),AND(NOT(AND(D13="retain",E13="statistical_results")),I13&lt;&gt;"",NOT(EXACT(I13,"not_applicable"))),AND(NOT(AND(D13="retain",E13="statistical_results")),J13&lt;&gt;"",NOT(EXACT(J13,"not_applicable"))),AND(NOT(AND(D13="retain",OR(E13="report_internal_inconsistency",E13="plan_material"))),K13&lt;&gt;"",NOT(EXACT(K13,"not_applicable"))),AND(NOT(AND(D13="retain",E13="protocol_report")),L13&lt;&gt;"",NOT(EXACT(L13,"not_applicable")))),"CLEAR INACTIVE VALUES",IF(OR(NOT(OR(EXACT(D13,"retain"),EXACT(D13,"exclude"),EXACT(D13,"discuss"))),NOT(OR(EXACT(E13,"statistical_results"),EXACT(E13,"report_internal_inconsistency"),EXACT(E13,"plan_material"),EXACT(E13,"protocol_report"))),AND(AND(D13="retain",E13="statistical_results"),NOT(OR(EXACT(H13,"confirmed_issue"),EXACT(H13,"probable_issue"),EXACT(H13,"not_issue"),EXACT(H13,"indeterminate")))),AND(AND(D13="retain",E13="statistical_results"),NOT(OR(EXACT(I13,"substantive"),EXACT(I13,"minor_presentation"),EXACT(I13,"indeterminate")))),AND(AND(D13="retain",E13="statistical_results"),J13&lt;&gt;"",NOT(OR(EXACT(J13,"direct"),EXACT(J13,"possible"),EXACT(J13,"unlikely"),EXACT(J13,"unknown")))),AND(AND(D13="retain",OR(E13="report_internal_inconsistency",E13="plan_material")),NOT(OR(EXACT(K13,"substantive_inconsistency"),EXACT(K13,"minor_presentation"),EXACT(K13,"non_inconsistency"),EXACT(K13,"indeterminate")))),AND(AND(D13="retain",E13="protocol_report"),L13&lt;&gt;"",NOT(OR(EXACT(L13,"substantive_difference"),EXACT(L13,"minor_presentation"),EXACT(L13,"version_timing"),EXACT(L13,"non_inconsistency"),EXACT(L13,"indeterminate"))))),"CHECK FIELDS",IF(AND(F13&lt;&gt;"",NOT(OR(EXACT(F13,"no"),EXACT(F13,"primary_done")))),"CHECK COMPLETE",IF(EXACT(F13,"primary_done"),"PRIMARY READY","PRIMARY DRAFT")))))),"CHECK INPUT / KEY")</f>
        <v/>
      </c>
      <c r="H13" s="21">
        <f>IF(AND(OR(D13="retain",D13=""),E13="statistical_results"),"","not_applicable")</f>
        <v/>
      </c>
      <c r="I13" s="21">
        <f>IF(AND(OR(D13="retain",D13=""),E13="statistical_results"),"","not_applicable")</f>
        <v/>
      </c>
      <c r="J13" s="22">
        <f>IF(AND(OR(D13="retain",D13=""),E13="statistical_results"),"","not_applicable")</f>
        <v/>
      </c>
      <c r="K13" s="21">
        <f>IF(AND(OR(D13="retain",D13=""),OR(E13="report_internal_inconsistency",E13="plan_material")),"","not_applicable")</f>
        <v/>
      </c>
      <c r="L13" s="22">
        <f>IF(AND(OR(D13="retain",D13=""),E13="protocol_report"),"","not_applicable")</f>
        <v/>
      </c>
      <c r="M13" s="24" t="n"/>
      <c r="N13" s="23" t="n"/>
      <c r="O13" s="23" t="n"/>
      <c r="P13" s="23" t="n"/>
      <c r="Q13" s="23" t="n"/>
      <c r="R13" s="22" t="n"/>
    </row>
    <row r="14" ht="92" customFormat="1" customHeight="1" s="14">
      <c r="A14" s="20" t="inlineStr">
        <is>
          <t>2019::jama.2019.7505::C013</t>
        </is>
      </c>
      <c r="B14" s="20" t="inlineStr">
        <is>
          <t>Per-protocol cardiopulmonary-edema interval/test compatibility</t>
        </is>
      </c>
      <c r="C14" s="20" t="inlineStr">
        <is>
          <t>REPORT joi190055supp4_prod_16092.pdf — results p. 29 eTable 8 cardiopulmonary edema S355; REPORT jama_bluth_2019_oi_190055_16092.pdf — main p. 4 binary/per-protocol methods supplies context.</t>
        </is>
      </c>
      <c r="D14" s="21" t="n"/>
      <c r="E14" s="21" t="inlineStr">
        <is>
          <t>statistical_results</t>
        </is>
      </c>
      <c r="F14" s="21" t="inlineStr">
        <is>
          <t>no</t>
        </is>
      </c>
      <c r="G14" s="20">
        <f>IFERROR(IF(LEN(TRIM(CLEAN(SUBSTITUTE(Setup!$B$2,CHAR(160)," "))))=0,"CHECK REVIEWER ID",IF(OR(A14="",COUNTIF($A$2:$A$14,A14)&lt;&gt;1,LEFT(A14,LEN("2019::jama.2019.7505::"))&lt;&gt;"2019::jama.2019.7505::"),"CHECK KEY",IF(OR(AND(NOT(AND(D14="retain",E14="statistical_results")),H14&lt;&gt;"",NOT(EXACT(H14,"not_applicable"))),AND(NOT(AND(D14="retain",E14="statistical_results")),I14&lt;&gt;"",NOT(EXACT(I14,"not_applicable"))),AND(NOT(AND(D14="retain",E14="statistical_results")),J14&lt;&gt;"",NOT(EXACT(J14,"not_applicable"))),AND(NOT(AND(D14="retain",OR(E14="report_internal_inconsistency",E14="plan_material"))),K14&lt;&gt;"",NOT(EXACT(K14,"not_applicable"))),AND(NOT(AND(D14="retain",E14="protocol_report")),L14&lt;&gt;"",NOT(EXACT(L14,"not_applicable")))),"CLEAR INACTIVE VALUES",IF(OR(NOT(OR(EXACT(D14,"retain"),EXACT(D14,"exclude"),EXACT(D14,"discuss"))),NOT(OR(EXACT(E14,"statistical_results"),EXACT(E14,"report_internal_inconsistency"),EXACT(E14,"plan_material"),EXACT(E14,"protocol_report"))),AND(AND(D14="retain",E14="statistical_results"),NOT(OR(EXACT(H14,"confirmed_issue"),EXACT(H14,"probable_issue"),EXACT(H14,"not_issue"),EXACT(H14,"indeterminate")))),AND(AND(D14="retain",E14="statistical_results"),NOT(OR(EXACT(I14,"substantive"),EXACT(I14,"minor_presentation"),EXACT(I14,"indeterminate")))),AND(AND(D14="retain",E14="statistical_results"),J14&lt;&gt;"",NOT(OR(EXACT(J14,"direct"),EXACT(J14,"possible"),EXACT(J14,"unlikely"),EXACT(J14,"unknown")))),AND(AND(D14="retain",OR(E14="report_internal_inconsistency",E14="plan_material")),NOT(OR(EXACT(K14,"substantive_inconsistency"),EXACT(K14,"minor_presentation"),EXACT(K14,"non_inconsistency"),EXACT(K14,"indeterminate")))),AND(AND(D14="retain",E14="protocol_report"),L14&lt;&gt;"",NOT(OR(EXACT(L14,"substantive_difference"),EXACT(L14,"minor_presentation"),EXACT(L14,"version_timing"),EXACT(L14,"non_inconsistency"),EXACT(L14,"indeterminate"))))),"CHECK FIELDS",IF(AND(F14&lt;&gt;"",NOT(OR(EXACT(F14,"no"),EXACT(F14,"primary_done")))),"CHECK COMPLETE",IF(EXACT(F14,"primary_done"),"PRIMARY READY","PRIMARY DRAFT")))))),"CHECK INPUT / KEY")</f>
        <v/>
      </c>
      <c r="H14" s="21">
        <f>IF(AND(OR(D14="retain",D14=""),E14="statistical_results"),"","not_applicable")</f>
        <v/>
      </c>
      <c r="I14" s="21">
        <f>IF(AND(OR(D14="retain",D14=""),E14="statistical_results"),"","not_applicable")</f>
        <v/>
      </c>
      <c r="J14" s="22">
        <f>IF(AND(OR(D14="retain",D14=""),E14="statistical_results"),"","not_applicable")</f>
        <v/>
      </c>
      <c r="K14" s="21">
        <f>IF(AND(OR(D14="retain",D14=""),OR(E14="report_internal_inconsistency",E14="plan_material")),"","not_applicable")</f>
        <v/>
      </c>
      <c r="L14" s="22">
        <f>IF(AND(OR(D14="retain",D14=""),E14="protocol_report"),"","not_applicable")</f>
        <v/>
      </c>
      <c r="M14" s="20" t="n"/>
      <c r="N14" s="23" t="n"/>
      <c r="O14" s="23" t="n"/>
      <c r="P14" s="23" t="n"/>
      <c r="Q14" s="23" t="n"/>
      <c r="R14" s="22" t="n"/>
    </row>
  </sheetData>
  <autoFilter ref="A1:R14"/>
  <conditionalFormatting sqref="H2:H14">
    <cfRule type="expression" priority="8" dxfId="70">
      <formula>NOT(AND(OR($D2="retain",$D2=""),$E2="statistical_results"))</formula>
    </cfRule>
  </conditionalFormatting>
  <conditionalFormatting sqref="I2:I14">
    <cfRule type="expression" priority="9" dxfId="70">
      <formula>NOT(AND(OR($D2="retain",$D2=""),$E2="statistical_results"))</formula>
    </cfRule>
  </conditionalFormatting>
  <conditionalFormatting sqref="J2:J14">
    <cfRule type="expression" priority="10" dxfId="70">
      <formula>NOT(AND(OR($D2="retain",$D2=""),$E2="statistical_results"))</formula>
    </cfRule>
  </conditionalFormatting>
  <conditionalFormatting sqref="K2:K14">
    <cfRule type="expression" priority="11" dxfId="70">
      <formula>NOT(AND(OR($D2="retain",$D2=""),OR($E2="report_internal_inconsistency",$E2="plan_material")))</formula>
    </cfRule>
  </conditionalFormatting>
  <conditionalFormatting sqref="L2:L14">
    <cfRule type="expression" priority="12" dxfId="70">
      <formula>NOT(AND(OR($D2="retain",$D2=""),$E2="protocol_report"))</formula>
    </cfRule>
  </conditionalFormatting>
  <conditionalFormatting sqref="G2:G14">
    <cfRule type="expression" priority="13" dxfId="71">
      <formula>G2&lt;&gt;"PRIMARY READY"</formula>
    </cfRule>
  </conditionalFormatting>
  <dataValidations count="8">
    <dataValidation sqref="D2:D14" showDropDown="0" showInputMessage="0" showErrorMessage="1" allowBlank="1" errorTitle="Use a listed option" error="Choose an option; G also checks pasted entries." type="list" errorStyle="stop">
      <formula1>"retain,exclude,discuss"</formula1>
    </dataValidation>
    <dataValidation sqref="E2:E14" showDropDown="0" showInputMessage="0" showErrorMessage="1" allowBlank="1" errorTitle="Use a listed option" error="Choose an option; G also checks pasted entries." type="list" errorStyle="stop">
      <formula1>"statistical_results,report_internal_inconsistency,plan_material,protocol_report"</formula1>
    </dataValidation>
    <dataValidation sqref="F2:F14" showDropDown="0" showInputMessage="0" showErrorMessage="1" allowBlank="1" errorTitle="Use a listed option" error="Choose an option; G also checks pasted entries." type="list" errorStyle="stop">
      <formula1>"no,primary_done"</formula1>
    </dataValidation>
    <dataValidation sqref="H2:H14" showDropDown="0" showInputMessage="0" showErrorMessage="1" allowBlank="1" errorTitle="Use a listed option" error="Choose an option; G also checks pasted entries." type="list" errorStyle="stop">
      <formula1>"confirmed_issue,probable_issue,not_issue,indeterminate,not_applicable"</formula1>
    </dataValidation>
    <dataValidation sqref="I2:I14" showDropDown="0" showInputMessage="0" showErrorMessage="1" allowBlank="1" errorTitle="Use a listed option" error="Choose an option; G also checks pasted entries." type="list" errorStyle="stop">
      <formula1>"substantive,minor_presentation,indeterminate,not_applicable"</formula1>
    </dataValidation>
    <dataValidation sqref="J2:J14" showDropDown="0" showInputMessage="0" showErrorMessage="1" allowBlank="1" errorTitle="Use a listed option" error="Choose an option; G also checks pasted entries." type="list" errorStyle="stop">
      <formula1>"direct,possible,unlikely,unknown,not_applicable"</formula1>
    </dataValidation>
    <dataValidation sqref="K2:K14" showDropDown="0" showInputMessage="0" showErrorMessage="1" allowBlank="1" errorTitle="Use a listed option" error="Choose an option; G also checks pasted entries." type="list" errorStyle="stop">
      <formula1>"substantive_inconsistency,minor_presentation,non_inconsistency,indeterminate,not_applicable"</formula1>
    </dataValidation>
    <dataValidation sqref="L2:L14" showDropDown="0" showInputMessage="0" showErrorMessage="1" allowBlank="1" errorTitle="Use a listed option" error="Choose an option; G also checks pasted entries." type="list" errorStyle="stop">
      <formula1>"substantive_difference,minor_presentation,version_timing,non_inconsistency,indeterminate,not_applicable"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14" min="1" max="1"/>
    <col width="30" customWidth="1" style="14" min="2" max="2"/>
    <col width="40" customWidth="1" style="14" min="3" max="3"/>
    <col width="96" customWidth="1" style="14" min="4" max="4"/>
    <col width="28" customWidth="1" style="14" min="5" max="5"/>
  </cols>
  <sheetData>
    <row r="1" ht="42" customFormat="1" customHeight="1" s="14">
      <c r="A1" s="15" t="inlineStr">
        <is>
          <t>Field name</t>
        </is>
      </c>
      <c r="B1" s="15" t="inlineStr">
        <is>
          <t>Option / value</t>
        </is>
      </c>
      <c r="C1" s="15" t="inlineStr">
        <is>
          <t>Requirement / scope</t>
        </is>
      </c>
      <c r="D1" s="15" t="inlineStr">
        <is>
          <t>Explanation and example</t>
        </is>
      </c>
      <c r="E1" s="15" t="inlineStr">
        <is>
          <t>Internal key</t>
        </is>
      </c>
    </row>
    <row r="2" ht="100" customFormat="1" customHeight="1" s="14">
      <c r="A2" s="16" t="inlineStr">
        <is>
          <t>Working method</t>
        </is>
      </c>
      <c r="B2" s="16" t="inlineStr">
        <is>
          <t>GUIDE</t>
        </is>
      </c>
      <c r="C2" s="16" t="inlineStr">
        <is>
          <t>Independent primary</t>
        </is>
      </c>
      <c r="D2" s="16" t="inlineStr">
        <is>
          <t>Blank means no answer, never inherited. Clear obsolete literal answers after branch changes. not_applicable means inactive.</t>
        </is>
      </c>
      <c r="E2" s="16" t="n"/>
    </row>
    <row r="3" ht="100" customFormat="1" customHeight="1" s="14">
      <c r="A3" s="17" t="inlineStr">
        <is>
          <t>Required judgments</t>
        </is>
      </c>
      <c r="B3" s="17" t="inlineStr">
        <is>
          <t>GUIDE</t>
        </is>
      </c>
      <c r="C3" s="17" t="inlineStr">
        <is>
          <t>Retain only</t>
        </is>
      </c>
      <c r="D3" s="17" t="inlineStr">
        <is>
          <t>statistical_results: issue + substantiveness; report_internal_inconsistency or plan_material: internalStatus. protocol_report: no extra required judgment; interpretation is optional.</t>
        </is>
      </c>
      <c r="E3" s="17" t="n"/>
    </row>
    <row r="4" ht="100" customFormat="1" customHeight="1" s="14">
      <c r="A4" s="16" t="inlineStr">
        <is>
          <t>How to read this Codebook</t>
        </is>
      </c>
      <c r="B4" s="16" t="n"/>
      <c r="C4" s="16" t="n"/>
      <c r="D4" s="16" t="n"/>
      <c r="E4" s="16" t="n"/>
    </row>
    <row r="5" ht="100" customFormat="1" customHeight="1" s="14">
      <c r="A5" s="17" t="inlineStr">
        <is>
          <t>1  |  Common decisions and optional notes</t>
        </is>
      </c>
      <c r="B5" s="17" t="n"/>
      <c r="C5" s="17" t="n"/>
      <c r="D5" s="17" t="n"/>
      <c r="E5" s="17" t="n"/>
    </row>
    <row r="6" ht="100" customFormat="1" customHeight="1" s="14">
      <c r="A6" s="16" t="inlineStr">
        <is>
          <t>Disposition</t>
        </is>
      </c>
      <c r="B6" s="16" t="inlineStr">
        <is>
          <t>FIELD</t>
        </is>
      </c>
      <c r="C6" s="16" t="inlineStr">
        <is>
          <t>Required; all domains</t>
        </is>
      </c>
      <c r="D6" s="16" t="inlineStr">
        <is>
          <t>Keep, exclude, or defer for discussion. Blank means untouched, not discuss. No AI disposition is preselected.</t>
        </is>
      </c>
      <c r="E6" s="16" t="inlineStr">
        <is>
          <t>disposition</t>
        </is>
      </c>
    </row>
    <row r="7" ht="100" customFormat="1" customHeight="1" s="14">
      <c r="A7" s="17" t="n"/>
      <c r="B7" s="17" t="inlineStr">
        <is>
          <t>retain</t>
        </is>
      </c>
      <c r="C7" s="17" t="inlineStr">
        <is>
          <t>Option</t>
        </is>
      </c>
      <c r="D7" s="17" t="inlineStr">
        <is>
          <t>Retain candidate. After human review, keep this finding in the applicable review results; retaining a protocol discrepancy does not automatically confirm an issue.</t>
        </is>
      </c>
      <c r="E7" s="17" t="n"/>
    </row>
    <row r="8" ht="100" customFormat="1" customHeight="1" s="14">
      <c r="A8" s="16" t="n"/>
      <c r="B8" s="16" t="inlineStr">
        <is>
          <t>exclude</t>
        </is>
      </c>
      <c r="C8" s="16" t="inlineStr">
        <is>
          <t>Option</t>
        </is>
      </c>
      <c r="D8" s="16" t="inlineStr">
        <is>
          <t>Do not retain. The candidate has been assessed and should not remain as a finding, for example because the apparent mismatch has a satisfactory explanation.</t>
        </is>
      </c>
      <c r="E8" s="16" t="n"/>
    </row>
    <row r="9" ht="100" customFormat="1" customHeight="1" s="14">
      <c r="A9" s="17" t="n"/>
      <c r="B9" s="17" t="inlineStr">
        <is>
          <t>discuss</t>
        </is>
      </c>
      <c r="C9" s="17" t="inlineStr">
        <is>
          <t>Option</t>
        </is>
      </c>
      <c r="D9" s="17" t="inlineStr">
        <is>
          <t>Needs discussion. The reviewer has considered the candidate but cannot settle the disposition without further discussion. This is a decision to defer, not an untouched blank.</t>
        </is>
      </c>
      <c r="E9" s="17" t="n"/>
    </row>
    <row r="10" ht="100" customFormat="1" customHeight="1" s="14">
      <c r="A10" s="16" t="inlineStr">
        <is>
          <t>Review domain</t>
        </is>
      </c>
      <c r="B10" s="16" t="inlineStr">
        <is>
          <t>FIELD</t>
        </is>
      </c>
      <c r="C10" s="16" t="inlineStr">
        <is>
          <t>Required; all domains</t>
        </is>
      </c>
      <c r="D10" s="16" t="inlineStr">
        <is>
          <t>Choose the assessment branch first. It controls automatic not_applicable defaults and which judgments are required. All four choices are available; the frozen document relationship code does not change.</t>
        </is>
      </c>
      <c r="E10" s="16" t="inlineStr">
        <is>
          <t>domain</t>
        </is>
      </c>
    </row>
    <row r="11" ht="100" customFormat="1" customHeight="1" s="14">
      <c r="A11" s="17" t="n"/>
      <c r="B11" s="17" t="inlineStr">
        <is>
          <t>statistical_results</t>
        </is>
      </c>
      <c r="C11" s="17" t="inlineStr">
        <is>
          <t>Option</t>
        </is>
      </c>
      <c r="D11" s="17" t="inlineStr">
        <is>
          <t>Statistical results (S_C / S_W). Assess reported numbers, estimates, intervals, denominators or statistical claims in the current report materials.</t>
        </is>
      </c>
      <c r="E11" s="17" t="n"/>
    </row>
    <row r="12" ht="100" customFormat="1" customHeight="1" s="14">
      <c r="A12" s="16" t="n"/>
      <c r="B12" s="16" t="inlineStr">
        <is>
          <t>report_internal_inconsistency</t>
        </is>
      </c>
      <c r="C12" s="16" t="inlineStr">
        <is>
          <t>Option</t>
        </is>
      </c>
      <c r="D12" s="16" t="inlineStr">
        <is>
          <t>Report internal inconsistency (S_C / S_W). Assess inconsistencies within the main paper, within the updated supplement, or between the main paper and updated supplement. The name describes the report materials being compared; it is not restricted to nonstatistical content. Use statistical_results when specifically judging a statistical or numerical reporting issue.</t>
        </is>
      </c>
      <c r="E12" s="16" t="n"/>
    </row>
    <row r="13" ht="100" customFormat="1" customHeight="1" s="14">
      <c r="A13" s="17" t="n"/>
      <c r="B13" s="17" t="inlineStr">
        <is>
          <t>protocol_report</t>
        </is>
      </c>
      <c r="C13" s="17" t="inlineStr">
        <is>
          <t>Option</t>
        </is>
      </c>
      <c r="D13" s="17" t="inlineStr">
        <is>
          <t>Protocol-report (P_R). Assess whether planned and reported conduct or analyses meaningfully differ, using the compared materials. No search for acknowledgment or reasons for changes is required.</t>
        </is>
      </c>
      <c r="E13" s="17" t="n"/>
    </row>
    <row r="14" ht="100" customFormat="1" customHeight="1" s="14">
      <c r="A14" s="16" t="n"/>
      <c r="B14" s="16" t="inlineStr">
        <is>
          <t>plan_material</t>
        </is>
      </c>
      <c r="C14" s="16" t="inlineStr">
        <is>
          <t>Option</t>
        </is>
      </c>
      <c r="D14" s="16" t="inlineStr">
        <is>
          <t>Plan material (P_P). Assess an inconsistency involving planning materials themselves rather than a planned-versus-reported result. The original relationship code remains unchanged.</t>
        </is>
      </c>
      <c r="E14" s="16" t="n"/>
    </row>
    <row r="15" ht="100" customFormat="1" customHeight="1" s="14">
      <c r="A15" s="17" t="inlineStr">
        <is>
          <t>Complete</t>
        </is>
      </c>
      <c r="B15" s="17" t="inlineStr">
        <is>
          <t>FIELD</t>
        </is>
      </c>
      <c r="C15" s="17" t="inlineStr">
        <is>
          <t>Independent primary</t>
        </is>
      </c>
      <c r="D15" s="17" t="inlineStr">
        <is>
          <t>Use no while drafting; primary_done after manual review. Reset to no before editing a completed row, review again, then mark primary_done.</t>
        </is>
      </c>
      <c r="E15" s="17" t="inlineStr">
        <is>
          <t>reviewComplete</t>
        </is>
      </c>
    </row>
    <row r="16" ht="100" customFormat="1" customHeight="1" s="14">
      <c r="A16" s="16" t="n"/>
      <c r="B16" s="16" t="inlineStr">
        <is>
          <t>no</t>
        </is>
      </c>
      <c r="C16" s="16" t="inlineStr">
        <is>
          <t>Option</t>
        </is>
      </c>
      <c r="D16" s="16" t="inlineStr">
        <is>
          <t>Draft. This review stage is not yet confirmed complete; AI suggestions or partially filled fields do not count as completed human review.</t>
        </is>
      </c>
      <c r="E16" s="16" t="n"/>
    </row>
    <row r="17" ht="100" customFormat="1" customHeight="1" s="14">
      <c r="A17" s="17" t="inlineStr">
        <is>
          <t>Validation hint</t>
        </is>
      </c>
      <c r="B17" s="17" t="inlineStr">
        <is>
          <t>FIELD</t>
        </is>
      </c>
      <c r="C17" s="17" t="inlineStr">
        <is>
          <t>Calculated</t>
        </is>
      </c>
      <c r="D17" s="17" t="inlineStr">
        <is>
          <t>PRIMARY READY means valid independent primary entry and manual completion, including discuss. Other hints identify missing or invalid input. This does not establish scientific accuracy.</t>
        </is>
      </c>
      <c r="E17" s="17" t="inlineStr">
        <is>
          <t>readiness</t>
        </is>
      </c>
    </row>
    <row r="18" ht="100" customFormat="1" customHeight="1" s="14">
      <c r="A18" s="16" t="inlineStr">
        <is>
          <t>Notes (optional)</t>
        </is>
      </c>
      <c r="B18" s="16" t="inlineStr">
        <is>
          <t>FIELD</t>
        </is>
      </c>
      <c r="C18" s="16" t="inlineStr">
        <is>
          <t>Optional</t>
        </is>
      </c>
      <c r="D18" s="16" t="inlineStr">
        <is>
          <t>Optional English context. Clearing removes the text; no inheritance and no control words.</t>
        </is>
      </c>
      <c r="E18" s="16" t="inlineStr">
        <is>
          <t>notes</t>
        </is>
      </c>
    </row>
    <row r="19" ht="100" customFormat="1" customHeight="1" s="14">
      <c r="A19" s="17" t="inlineStr">
        <is>
          <t>2  |  Statistical results: two required judgments</t>
        </is>
      </c>
      <c r="B19" s="17" t="n"/>
      <c r="C19" s="17" t="n"/>
      <c r="D19" s="17" t="n"/>
      <c r="E19" s="17" t="n"/>
    </row>
    <row r="20" ht="100" customFormat="1" customHeight="1" s="14">
      <c r="A20" s="16" t="inlineStr">
        <is>
          <t>Statistical_or_numerical issue</t>
        </is>
      </c>
      <c r="B20" s="16" t="inlineStr">
        <is>
          <t>FIELD</t>
        </is>
      </c>
      <c r="C20" s="16" t="inlineStr">
        <is>
          <t>Required; retained statistical_results</t>
        </is>
      </c>
      <c r="D20" s="16" t="inlineStr">
        <is>
          <t>Does a statistical or numerical reporting issue exist? Example: a reported percentage conflicts with its stated numerator and denominator after checking definitions. Certainty is separate from importance.</t>
        </is>
      </c>
      <c r="E20" s="16" t="inlineStr">
        <is>
          <t>statisticalIssueStatus</t>
        </is>
      </c>
    </row>
    <row r="21" ht="100" customFormat="1" customHeight="1" s="14">
      <c r="A21" s="17" t="n"/>
      <c r="B21" s="17" t="inlineStr">
        <is>
          <t>confirmed_issue</t>
        </is>
      </c>
      <c r="C21" s="17" t="inlineStr">
        <is>
          <t>Option</t>
        </is>
      </c>
      <c r="D21" s="17" t="inlineStr">
        <is>
          <t>Confirmed statistical or numerical reporting issue. The available evidence establishes a reporting issue or contradiction, even if the correct replacement value is not known.</t>
        </is>
      </c>
      <c r="E21" s="17" t="n"/>
    </row>
    <row r="22" ht="100" customFormat="1" customHeight="1" s="14">
      <c r="A22" s="16" t="n"/>
      <c r="B22" s="16" t="inlineStr">
        <is>
          <t>probable_issue</t>
        </is>
      </c>
      <c r="C22" s="16" t="inlineStr">
        <is>
          <t>Option</t>
        </is>
      </c>
      <c r="D22" s="16" t="inlineStr">
        <is>
          <t>Probable statistical or numerical reporting issue. The evidence favors a reporting issue, but an unresolved limitation or plausible alternative prevents confirmation.</t>
        </is>
      </c>
      <c r="E22" s="16" t="n"/>
    </row>
    <row r="23" ht="100" customFormat="1" customHeight="1" s="14">
      <c r="A23" s="17" t="n"/>
      <c r="B23" s="17" t="inlineStr">
        <is>
          <t>not_issue</t>
        </is>
      </c>
      <c r="C23" s="17" t="inlineStr">
        <is>
          <t>Option</t>
        </is>
      </c>
      <c r="D23" s="17" t="inlineStr">
        <is>
          <t>Not a statistical or numerical issue. The apparent discrepancy is consistent with a valid calculation, definition, analysis method or reporting context.</t>
        </is>
      </c>
      <c r="E23" s="17" t="n"/>
    </row>
    <row r="24" ht="100" customFormat="1" customHeight="1" s="14">
      <c r="A24" s="16" t="n"/>
      <c r="B24" s="16" t="inlineStr">
        <is>
          <t>indeterminate</t>
        </is>
      </c>
      <c r="C24" s="16" t="inlineStr">
        <is>
          <t>Option</t>
        </is>
      </c>
      <c r="D24" s="16" t="inlineStr">
        <is>
          <t>Indeterminate. The available evidence does not support deciding whether a statistical or numerical reporting issue exists; neither confirmation nor dismissal is justified.</t>
        </is>
      </c>
      <c r="E24" s="16" t="n"/>
    </row>
    <row r="25" ht="100" customFormat="1" customHeight="1" s="14">
      <c r="A25" s="17" t="n"/>
      <c r="B25" s="17" t="inlineStr">
        <is>
          <t>not_applicable</t>
        </is>
      </c>
      <c r="C25" s="17" t="inlineStr">
        <is>
          <t>Option</t>
        </is>
      </c>
      <c r="D25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25" s="17" t="n"/>
    </row>
    <row r="26" ht="100" customFormat="1" customHeight="1" s="14">
      <c r="A26" s="16" t="inlineStr">
        <is>
          <t>Substantiveness</t>
        </is>
      </c>
      <c r="B26" s="16" t="inlineStr">
        <is>
          <t>FIELD</t>
        </is>
      </c>
      <c r="C26" s="16" t="inlineStr">
        <is>
          <t>Required; retained statistical_results</t>
        </is>
      </c>
      <c r="D26" s="16" t="inlineStr">
        <is>
          <t>Could the issue meaningfully affect interpretation or data use? A harmless spacing typo is minor_presentation; an ambiguous extractable effect estimate may be substantive. An issue can be confirmed yet minor.</t>
        </is>
      </c>
      <c r="E26" s="16" t="inlineStr">
        <is>
          <t>substantiveStatus</t>
        </is>
      </c>
    </row>
    <row r="27" ht="100" customFormat="1" customHeight="1" s="14">
      <c r="A27" s="17" t="n"/>
      <c r="B27" s="17" t="inlineStr">
        <is>
          <t>substantive</t>
        </is>
      </c>
      <c r="C27" s="17" t="inlineStr">
        <is>
          <t>Option</t>
        </is>
      </c>
      <c r="D27" s="17" t="inlineStr">
        <is>
          <t>Substantive. The issue could meaningfully change interpretation, data extraction or downstream analysis, rather than only the presentation of the result.</t>
        </is>
      </c>
      <c r="E27" s="17" t="n"/>
    </row>
    <row r="28" ht="100" customFormat="1" customHeight="1" s="14">
      <c r="A28" s="16" t="n"/>
      <c r="B28" s="16" t="inlineStr">
        <is>
          <t>minor_presentation</t>
        </is>
      </c>
      <c r="C28" s="16" t="inlineStr">
        <is>
          <t>Option</t>
        </is>
      </c>
      <c r="D28" s="16" t="inlineStr">
        <is>
          <t>Minor or presentation only. The intended result remains clear and the issue is a small formatting, labeling or typographic problem without a meaningful change in interpretation.</t>
        </is>
      </c>
      <c r="E28" s="16" t="n"/>
    </row>
    <row r="29" ht="100" customFormat="1" customHeight="1" s="14">
      <c r="A29" s="17" t="n"/>
      <c r="B29" s="17" t="inlineStr">
        <is>
          <t>indeterminate</t>
        </is>
      </c>
      <c r="C29" s="17" t="inlineStr">
        <is>
          <t>Option</t>
        </is>
      </c>
      <c r="D29" s="17" t="inlineStr">
        <is>
          <t>Indeterminate. There is not enough information to decide whether the issue is substantive or limited to presentation.</t>
        </is>
      </c>
      <c r="E29" s="17" t="n"/>
    </row>
    <row r="30" ht="100" customFormat="1" customHeight="1" s="14">
      <c r="A30" s="16" t="n"/>
      <c r="B30" s="16" t="inlineStr">
        <is>
          <t>not_applicable</t>
        </is>
      </c>
      <c r="C30" s="16" t="inlineStr">
        <is>
          <t>Option</t>
        </is>
      </c>
      <c r="D30" s="16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30" s="16" t="n"/>
    </row>
    <row r="31" ht="100" customFormat="1" customHeight="1" s="14">
      <c r="A31" s="17" t="inlineStr">
        <is>
          <t>Downstream impact</t>
        </is>
      </c>
      <c r="B31" s="17" t="inlineStr">
        <is>
          <t>FIELD</t>
        </is>
      </c>
      <c r="C31" s="17" t="inlineStr">
        <is>
          <t>Optional; retained statistical_results</t>
        </is>
      </c>
      <c r="D31" s="17" t="inlineStr">
        <is>
          <t>Add only useful information about later extraction or analysis. direct means the affected value itself may be extracted, not that harm has occurred. Blank is allowed and means not assessed; it is not unlikely or not_applicable. This field does not determine temporal eligibility.</t>
        </is>
      </c>
      <c r="E31" s="17" t="inlineStr">
        <is>
          <t>downstreamImpact</t>
        </is>
      </c>
    </row>
    <row r="32" ht="100" customFormat="1" customHeight="1" s="14">
      <c r="A32" s="16" t="n"/>
      <c r="B32" s="16" t="inlineStr">
        <is>
          <t>direct</t>
        </is>
      </c>
      <c r="C32" s="16" t="inlineStr">
        <is>
          <t>Option</t>
        </is>
      </c>
      <c r="D32" s="16" t="inlineStr">
        <is>
          <t>Direct extraction or analysis impact. The affected value or definition is itself an input to data extraction or subsequent analysis; this describes potential impact, not proven downstream harm.</t>
        </is>
      </c>
      <c r="E32" s="16" t="n"/>
    </row>
    <row r="33" ht="100" customFormat="1" customHeight="1" s="14">
      <c r="A33" s="17" t="n"/>
      <c r="B33" s="17" t="inlineStr">
        <is>
          <t>possible</t>
        </is>
      </c>
      <c r="C33" s="17" t="inlineStr">
        <is>
          <t>Option</t>
        </is>
      </c>
      <c r="D33" s="17" t="inlineStr">
        <is>
          <t>Possible downstream impact. A plausible route to affecting later interpretation, extraction or analysis exists, but the connection is indirect or uncertain.</t>
        </is>
      </c>
      <c r="E33" s="17" t="n"/>
    </row>
    <row r="34" ht="100" customFormat="1" customHeight="1" s="14">
      <c r="A34" s="16" t="n"/>
      <c r="B34" s="16" t="inlineStr">
        <is>
          <t>unlikely</t>
        </is>
      </c>
      <c r="C34" s="16" t="inlineStr">
        <is>
          <t>Option</t>
        </is>
      </c>
      <c r="D34" s="16" t="inlineStr">
        <is>
          <t>Unlikely downstream impact. The issue is unlikely to change extracted information or later analysis because the relevant result remains clear and usable.</t>
        </is>
      </c>
      <c r="E34" s="16" t="n"/>
    </row>
    <row r="35" ht="100" customFormat="1" customHeight="1" s="14">
      <c r="A35" s="17" t="n"/>
      <c r="B35" s="17" t="inlineStr">
        <is>
          <t>unknown</t>
        </is>
      </c>
      <c r="C35" s="17" t="inlineStr">
        <is>
          <t>Option</t>
        </is>
      </c>
      <c r="D35" s="17" t="inlineStr">
        <is>
          <t>Unable to assess. The materials do not establish enough about the affected information or its likely use to judge downstream impact.</t>
        </is>
      </c>
      <c r="E35" s="17" t="n"/>
    </row>
    <row r="36" ht="100" customFormat="1" customHeight="1" s="14">
      <c r="A36" s="16" t="n"/>
      <c r="B36" s="16" t="inlineStr">
        <is>
          <t>not_applicable</t>
        </is>
      </c>
      <c r="C36" s="16" t="inlineStr">
        <is>
          <t>Option</t>
        </is>
      </c>
      <c r="D36" s="16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36" s="16" t="n"/>
    </row>
    <row r="37" ht="100" customFormat="1" customHeight="1" s="14">
      <c r="A37" s="17" t="inlineStr">
        <is>
          <t>3  |  Report internal or planning-material inconsistency</t>
        </is>
      </c>
      <c r="B37" s="17" t="n"/>
      <c r="C37" s="17" t="n"/>
      <c r="D37" s="17" t="n"/>
      <c r="E37" s="17" t="n"/>
    </row>
    <row r="38" ht="100" customFormat="1" customHeight="1" s="14">
      <c r="A38" s="16" t="inlineStr">
        <is>
          <t>Report-internal or planning-material inconsistency</t>
        </is>
      </c>
      <c r="B38" s="16" t="inlineStr">
        <is>
          <t>FIELD</t>
        </is>
      </c>
      <c r="C38" s="16" t="inlineStr">
        <is>
          <t>Required; retained report_internal_inconsistency or plan_material</t>
        </is>
      </c>
      <c r="D38" s="16" t="inlineStr">
        <is>
          <t>Judge whether the compared materials are inconsistent and how much that matters. For report_internal_inconsistency, compare content within the main paper, within the updated supplement, or between those two report materials. For plan_material, compare planning materials such as protocol versus protocol or SAP. Plan versus final report belongs to protocol_report. Use statistical_results when specifically judging a statistical or numerical reporting issue.</t>
        </is>
      </c>
      <c r="E38" s="16" t="inlineStr">
        <is>
          <t>internalStatus</t>
        </is>
      </c>
    </row>
    <row r="39" ht="100" customFormat="1" customHeight="1" s="14">
      <c r="A39" s="17" t="n"/>
      <c r="B39" s="17" t="inlineStr">
        <is>
          <t>substantive_inconsistency</t>
        </is>
      </c>
      <c r="C39" s="17" t="inlineStr">
        <is>
          <t>Option</t>
        </is>
      </c>
      <c r="D39" s="17" t="inlineStr">
        <is>
          <t>Substantive inconsistency. Conflicting statements, values, labels, or descriptions in the compared report or planning materials could materially change how the study, population, procedures or results are understood.</t>
        </is>
      </c>
      <c r="E39" s="17" t="n"/>
    </row>
    <row r="40" ht="100" customFormat="1" customHeight="1" s="14">
      <c r="A40" s="16" t="n"/>
      <c r="B40" s="16" t="inlineStr">
        <is>
          <t>minor_presentation</t>
        </is>
      </c>
      <c r="C40" s="16" t="inlineStr">
        <is>
          <t>Option</t>
        </is>
      </c>
      <c r="D40" s="16" t="inlineStr">
        <is>
          <t>Minor presentation inconsistency. A real discrepancy exists, but it mainly affects presentation, including minor wording or labeling problems, and the intended meaning remains clear. Example: an imprecise label whose intended meaning is clear from context.</t>
        </is>
      </c>
      <c r="E40" s="16" t="n"/>
    </row>
    <row r="41" ht="100" customFormat="1" customHeight="1" s="14">
      <c r="A41" s="17" t="n"/>
      <c r="B41" s="17" t="inlineStr">
        <is>
          <t>non_inconsistency</t>
        </is>
      </c>
      <c r="C41" s="17" t="inlineStr">
        <is>
          <t>Option</t>
        </is>
      </c>
      <c r="D41" s="17" t="inlineStr">
        <is>
          <t>Not an inconsistency. The statements are compatible once their definitions, populations, time points or other context are taken into account. This includes different wording with the same substantive meaning. Example: participants and study participants refer to the same group.</t>
        </is>
      </c>
      <c r="E41" s="17" t="n"/>
    </row>
    <row r="42" ht="100" customFormat="1" customHeight="1" s="14">
      <c r="A42" s="16" t="n"/>
      <c r="B42" s="16" t="inlineStr">
        <is>
          <t>indeterminate</t>
        </is>
      </c>
      <c r="C42" s="16" t="inlineStr">
        <is>
          <t>Option</t>
        </is>
      </c>
      <c r="D42" s="16" t="inlineStr">
        <is>
          <t>Indeterminate. The available material is insufficient to establish whether the statements conflict or how important any conflict is.</t>
        </is>
      </c>
      <c r="E42" s="16" t="n"/>
    </row>
    <row r="43" ht="100" customFormat="1" customHeight="1" s="14">
      <c r="A43" s="17" t="n"/>
      <c r="B43" s="17" t="inlineStr">
        <is>
          <t>not_applicable</t>
        </is>
      </c>
      <c r="C43" s="17" t="inlineStr">
        <is>
          <t>Option</t>
        </is>
      </c>
      <c r="D43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43" s="17" t="n"/>
    </row>
    <row r="44" ht="100" customFormat="1" customHeight="1" s="14">
      <c r="A44" s="16" t="inlineStr">
        <is>
          <t>4  |  Protocol versus report: optional description only</t>
        </is>
      </c>
      <c r="B44" s="16" t="n"/>
      <c r="C44" s="16" t="n"/>
      <c r="D44" s="16" t="n"/>
      <c r="E44" s="16" t="n"/>
    </row>
    <row r="45" ht="100" customFormat="1" customHeight="1" s="14">
      <c r="A45" s="17" t="inlineStr">
        <is>
          <t>Protocol interpretation</t>
        </is>
      </c>
      <c r="B45" s="17" t="inlineStr">
        <is>
          <t>FIELD</t>
        </is>
      </c>
      <c r="C45" s="17" t="inlineStr">
        <is>
          <t>Optional; retained protocol_report</t>
        </is>
      </c>
      <c r="D45" s="17" t="inlineStr">
        <is>
          <t>Describe the compared plan and report only when useful: meaningful difference, minor presentation issue, version/timing ambiguity, no inconsistency, or indeterminate. Use minor_presentation for a small wording problem and non_inconsistency for equivalent wording with no actual conflict. Use the available comparison evidence; no additional search for change records or reasons is required. Blank is allowed and never blocks completion. Retained protocol differences are descriptive and excluded from temporal analysis.</t>
        </is>
      </c>
      <c r="E45" s="17" t="inlineStr">
        <is>
          <t>protocolInterpretation</t>
        </is>
      </c>
    </row>
    <row r="46" ht="100" customFormat="1" customHeight="1" s="14">
      <c r="A46" s="16" t="n"/>
      <c r="B46" s="16" t="inlineStr">
        <is>
          <t>substantive_difference</t>
        </is>
      </c>
      <c r="C46" s="16" t="inlineStr">
        <is>
          <t>Option</t>
        </is>
      </c>
      <c r="D46" s="16" t="inlineStr">
        <is>
          <t>Substantive difference. The compared plan and report meaningfully differ in an outcome, population, procedure, or analysis. This describes the difference; it does not establish an issue or an unjustified change. Example: the planned primary time point is 12 months but the report uses 6 months.</t>
        </is>
      </c>
      <c r="E46" s="16" t="n"/>
    </row>
    <row r="47" ht="100" customFormat="1" customHeight="1" s="14">
      <c r="A47" s="17" t="n"/>
      <c r="B47" s="17" t="inlineStr">
        <is>
          <t>minor_presentation</t>
        </is>
      </c>
      <c r="C47" s="17" t="inlineStr">
        <is>
          <t>Option</t>
        </is>
      </c>
      <c r="D47" s="17" t="inlineStr">
        <is>
          <t>Minor presentation difference. A minor wording, labeling or presentation problem exists, but the intended planned and reported meaning or conduct remains clear. Example: an imprecise outcome label clarified by the same definition in both documents.</t>
        </is>
      </c>
      <c r="E47" s="17" t="n"/>
    </row>
    <row r="48" ht="100" customFormat="1" customHeight="1" s="14">
      <c r="A48" s="16" t="n"/>
      <c r="B48" s="16" t="inlineStr">
        <is>
          <t>version_timing</t>
        </is>
      </c>
      <c r="C48" s="16" t="inlineStr">
        <is>
          <t>Option</t>
        </is>
      </c>
      <c r="D48" s="16" t="inlineStr">
        <is>
          <t>Version or timing ambiguity. The difference may reflect which protocol version or date is being compared; the sequence cannot be resolved from the available material.</t>
        </is>
      </c>
      <c r="E48" s="16" t="n"/>
    </row>
    <row r="49" ht="100" customFormat="1" customHeight="1" s="14">
      <c r="A49" s="17" t="n"/>
      <c r="B49" s="17" t="inlineStr">
        <is>
          <t>non_inconsistency</t>
        </is>
      </c>
      <c r="C49" s="17" t="inlineStr">
        <is>
          <t>Option</t>
        </is>
      </c>
      <c r="D49" s="17" t="inlineStr">
        <is>
          <t>No inconsistency. The compared statements are compatible after checking the population, definitions, time points, or context, including equivalent wording with no change in meaning or conduct. Example: week 12 and 12 weeks after baseline describe the same time point. Normally consider Disposition=exclude for this candidate.</t>
        </is>
      </c>
      <c r="E49" s="17" t="n"/>
    </row>
    <row r="50" ht="100" customFormat="1" customHeight="1" s="14">
      <c r="A50" s="16" t="n"/>
      <c r="B50" s="16" t="inlineStr">
        <is>
          <t>indeterminate</t>
        </is>
      </c>
      <c r="C50" s="16" t="inlineStr">
        <is>
          <t>Option</t>
        </is>
      </c>
      <c r="D50" s="16" t="inlineStr">
        <is>
          <t>Indeterminate. The available evidence cannot support a more specific interpretation of the planned-versus-reported difference.</t>
        </is>
      </c>
      <c r="E50" s="16" t="n"/>
    </row>
    <row r="51" ht="100" customFormat="1" customHeight="1" s="14">
      <c r="A51" s="17" t="n"/>
      <c r="B51" s="17" t="inlineStr">
        <is>
          <t>not_applicable</t>
        </is>
      </c>
      <c r="C51" s="17" t="inlineStr">
        <is>
          <t>Option</t>
        </is>
      </c>
      <c r="D51" s="17" t="inlineStr">
        <is>
          <t>Automatic default outside this field's review domain or for a non-retained candidate. It is not an issue verdict, missing evidence, or an unanswered applicable question. Do not choose it for an applicable field.</t>
        </is>
      </c>
      <c r="E51" s="17" t="n"/>
    </row>
    <row r="52" ht="100" customFormat="1" customHeight="1" s="14">
      <c r="A52" s="16" t="inlineStr">
        <is>
          <t>5  |  Candidate context</t>
        </is>
      </c>
      <c r="B52" s="16" t="n"/>
      <c r="C52" s="16" t="n"/>
      <c r="D52" s="16" t="n"/>
      <c r="E52" s="16" t="n"/>
    </row>
    <row r="53" ht="100" customFormat="1" customHeight="1" s="14">
      <c r="A53" s="17" t="inlineStr">
        <is>
          <t>Candidate key</t>
        </is>
      </c>
      <c r="B53" s="17" t="inlineStr">
        <is>
          <t>FIELD</t>
        </is>
      </c>
      <c r="C53" s="17" t="inlineStr">
        <is>
          <t>Reference</t>
        </is>
      </c>
      <c r="D53" s="17" t="inlineStr">
        <is>
          <t>Unique candidate identity used for matching, even after complete rows are reordered. Never edit this value.</t>
        </is>
      </c>
      <c r="E53" s="17" t="inlineStr">
        <is>
          <t>key</t>
        </is>
      </c>
    </row>
    <row r="54" ht="100" customFormat="1" customHeight="1" s="14">
      <c r="A54" s="16" t="inlineStr">
        <is>
          <t>Candidate title</t>
        </is>
      </c>
      <c r="B54" s="16" t="inlineStr">
        <is>
          <t>FIELD</t>
        </is>
      </c>
      <c r="C54" s="16" t="inlineStr">
        <is>
          <t>Reference</t>
        </is>
      </c>
      <c r="D54" s="16" t="inlineStr">
        <is>
          <t>Short candidate title. A candidate is an AI flag for human assessment, not a confirmed issue.</t>
        </is>
      </c>
      <c r="E54" s="16" t="inlineStr">
        <is>
          <t>title</t>
        </is>
      </c>
    </row>
    <row r="55" ht="100" customFormat="1" customHeight="1" s="14">
      <c r="A55" s="17" t="inlineStr">
        <is>
          <t>Source location</t>
        </is>
      </c>
      <c r="B55" s="17" t="inlineStr">
        <is>
          <t>FIELD</t>
        </is>
      </c>
      <c r="C55" s="17" t="inlineStr">
        <is>
          <t>Source reference</t>
        </is>
      </c>
      <c r="D55" s="17" t="inlineStr">
        <is>
          <t>Where to check the source claim. Open the original documents named here (file and PDF page).</t>
        </is>
      </c>
      <c r="E55" s="17" t="inlineStr">
        <is>
          <t>locations</t>
        </is>
      </c>
    </row>
    <row r="56" ht="100" customFormat="1" customHeight="1" s="14">
      <c r="A56" s="16" t="inlineStr">
        <is>
          <t>Complete</t>
        </is>
      </c>
      <c r="B56" s="16" t="inlineStr">
        <is>
          <t>primary_done</t>
        </is>
      </c>
      <c r="C56" s="16" t="inlineStr">
        <is>
          <t>Independent primary</t>
        </is>
      </c>
      <c r="D56" s="16" t="inlineStr">
        <is>
          <t>Use no while drafting; primary_done after manual review. Reset to no before editing a completed row, review again, then mark primary_done.</t>
        </is>
      </c>
      <c r="E56" s="16" t="inlineStr">
        <is>
          <t>reviewComplete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2026-09-19T05:14:09Z</dcterms:created>
  <dcterms:modified xsi:type="dcterms:W3CDTF">2026-10-11T00:00:00Z</dcterms:modified>
</cp:coreProperties>
</file>