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24.24764" sheetId="4" state="visible" r:id="rId4"/>
    <sheet name="C_jama.2024.27643" sheetId="5" state="visible" r:id="rId5"/>
    <sheet name="C_jama.2025.11178" sheetId="6" state="visible" r:id="rId6"/>
    <sheet name="C_jama.2025.15185" sheetId="7" state="visible" r:id="rId7"/>
    <sheet name="C_jama.2025.15440" sheetId="8" state="visible" r:id="rId8"/>
    <sheet name="C_jama.2025.16450" sheetId="9" state="visible" r:id="rId9"/>
    <sheet name="C_jama.2025.19563" sheetId="10" state="visible" r:id="rId10"/>
    <sheet name="C_jama.2025.19843" sheetId="11" state="visible" r:id="rId11"/>
    <sheet name="C_jama.2025.20765" sheetId="12" state="visible" r:id="rId12"/>
    <sheet name="C_jama.2025.24175" sheetId="13" state="visible" r:id="rId13"/>
    <sheet name="C_jama.2025.4390" sheetId="14" state="visible" r:id="rId14"/>
    <sheet name="C_jama.2025.7583" sheetId="15" state="visible" r:id="rId15"/>
    <sheet name="C_jama.2025.7710" sheetId="16" state="visible" r:id="rId16"/>
    <sheet name="C_jama.2025.9110" sheetId="17" state="visible" r:id="rId17"/>
    <sheet name="C_jama.2025.9663" sheetId="18" state="visible" r:id="rId18"/>
    <sheet name="Codebook" sheetId="19" state="visible" r:id="rId19"/>
  </sheets>
  <definedNames>
    <definedName name="_xlnm._FilterDatabase" localSheetId="3" hidden="1">'C_jama.2024.24764'!$A$1:$R$6</definedName>
    <definedName name="_xlnm._FilterDatabase" localSheetId="4" hidden="1">'C_jama.2024.27643'!$A$1:$R$17</definedName>
    <definedName name="_xlnm._FilterDatabase" localSheetId="5" hidden="1">'C_jama.2025.11178'!$A$1:$R$19</definedName>
    <definedName name="_xlnm._FilterDatabase" localSheetId="6" hidden="1">'C_jama.2025.15185'!$A$1:$R$7</definedName>
    <definedName name="_xlnm._FilterDatabase" localSheetId="7" hidden="1">'C_jama.2025.15440'!$A$1:$R$2</definedName>
    <definedName name="_xlnm._FilterDatabase" localSheetId="8" hidden="1">'C_jama.2025.16450'!$A$1:$R$7</definedName>
    <definedName name="_xlnm._FilterDatabase" localSheetId="9" hidden="1">'C_jama.2025.19563'!$A$1:$R$14</definedName>
    <definedName name="_xlnm._FilterDatabase" localSheetId="10" hidden="1">'C_jama.2025.19843'!$A$1:$R$8</definedName>
    <definedName name="_xlnm._FilterDatabase" localSheetId="11" hidden="1">'C_jama.2025.20765'!$A$1:$R$20</definedName>
    <definedName name="_xlnm._FilterDatabase" localSheetId="12" hidden="1">'C_jama.2025.24175'!$A$1:$R$15</definedName>
    <definedName name="_xlnm._FilterDatabase" localSheetId="13" hidden="1">'C_jama.2025.4390'!$A$1:$R$14</definedName>
    <definedName name="_xlnm._FilterDatabase" localSheetId="14" hidden="1">'C_jama.2025.7583'!$A$1:$R$5</definedName>
    <definedName name="_xlnm._FilterDatabase" localSheetId="15" hidden="1">'C_jama.2025.7710'!$A$1:$R$4</definedName>
    <definedName name="_xlnm._FilterDatabase" localSheetId="16" hidden="1">'C_jama.2025.9110'!$A$1:$R$4</definedName>
    <definedName name="_xlnm._FilterDatabase" localSheetId="17" hidden="1">'C_jama.2025.9663'!$A$1:$R$6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6">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xf numFmtId="0" fontId="0" fillId="0" borderId="0" pivotButton="0" quotePrefix="0" xfId="0"/>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n"/>
    </row>
    <row r="3" ht="42" customFormat="1" customHeight="1" s="14">
      <c r="A3" s="17" t="inlineStr">
        <is>
          <t>reviewerName (optional)</t>
        </is>
      </c>
      <c r="B3" s="18" t="n"/>
    </row>
    <row r="4" ht="42" customFormat="1" customHeight="1" s="14">
      <c r="A4" s="16" t="inlineStr">
        <is>
          <t>reviewerRole</t>
        </is>
      </c>
      <c r="B4" s="16" t="inlineStr">
        <is>
          <t>R_A</t>
        </is>
      </c>
    </row>
    <row r="5" ht="42" customFormat="1" customHeight="1" s="14">
      <c r="A5" s="17" t="inlineStr">
        <is>
          <t>year</t>
        </is>
      </c>
      <c r="B5" s="17"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133</v>
      </c>
    </row>
    <row r="4" ht="55" customFormat="1" customHeight="1" s="14">
      <c r="A4" s="16" t="inlineStr">
        <is>
          <t>Primary ready rows</t>
        </is>
      </c>
      <c r="B4" s="16">
        <f>COUNTIF('C_jama.2024.24764'!$G$2:$G$6,"PRIMARY READY")+COUNTIF('C_jama.2024.27643'!$G$2:$G$17,"PRIMARY READY")+COUNTIF('C_jama.2025.11178'!$G$2:$G$19,"PRIMARY READY")+COUNTIF('C_jama.2025.15185'!$G$2:$G$7,"PRIMARY READY")+COUNTIF('C_jama.2025.15440'!$G$2:$G$2,"PRIMARY READY")+COUNTIF('C_jama.2025.16450'!$G$2:$G$7,"PRIMARY READY")+COUNTIF('C_jama.2025.19563'!$G$2:$G$14,"PRIMARY READY")+COUNTIF('C_jama.2025.19843'!$G$2:$G$8,"PRIMARY READY")+COUNTIF('C_jama.2025.20765'!$G$2:$G$20,"PRIMARY READY")+COUNTIF('C_jama.2025.24175'!$G$2:$G$15,"PRIMARY READY")+COUNTIF('C_jama.2025.4390'!$G$2:$G$14,"PRIMARY READY")+COUNTIF('C_jama.2025.7583'!$G$2:$G$5,"PRIMARY READY")+COUNTIF('C_jama.2025.7710'!$G$2:$G$4,"PRIMARY READY")+COUNTIF('C_jama.2025.9110'!$G$2:$G$4,"PRIMARY READY")+COUNTIF('C_jama.2025.9663'!$G$2:$G$6,"PRIMARY READY")</f>
        <v/>
      </c>
    </row>
    <row r="5" ht="55" customFormat="1" customHeight="1" s="14">
      <c r="A5" s="17" t="inlineStr">
        <is>
          <t>Discuss / unresolved rows</t>
        </is>
      </c>
      <c r="B5" s="17">
        <f>COUNTIF('C_jama.2024.24764'!$D$2:$D$6,"discuss")+COUNTIF('C_jama.2024.27643'!$D$2:$D$17,"discuss")+COUNTIF('C_jama.2025.11178'!$D$2:$D$19,"discuss")+COUNTIF('C_jama.2025.15185'!$D$2:$D$7,"discuss")+COUNTIF('C_jama.2025.15440'!$D$2:$D$2,"discuss")+COUNTIF('C_jama.2025.16450'!$D$2:$D$7,"discuss")+COUNTIF('C_jama.2025.19563'!$D$2:$D$14,"discuss")+COUNTIF('C_jama.2025.19843'!$D$2:$D$8,"discuss")+COUNTIF('C_jama.2025.20765'!$D$2:$D$20,"discuss")+COUNTIF('C_jama.2025.24175'!$D$2:$D$15,"discuss")+COUNTIF('C_jama.2025.4390'!$D$2:$D$14,"discuss")+COUNTIF('C_jama.2025.7583'!$D$2:$D$5,"discuss")+COUNTIF('C_jama.2025.7710'!$D$2:$D$4,"discuss")+COUNTIF('C_jama.2025.9110'!$D$2:$D$4,"discuss")+COUNTIF('C_jama.2025.9663'!$D$2:$D$6,"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the C_ sheets. Save and deliver this file after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38" customWidth="1" style="14" min="2" max="2"/>
    <col width="18" customWidth="1" style="14" min="3" max="3"/>
  </cols>
  <sheetData>
    <row r="1" ht="42" customFormat="1" customHeight="1" s="14">
      <c r="A1" s="15" t="inlineStr">
        <is>
          <t>Paper</t>
        </is>
      </c>
      <c r="B1" s="15" t="inlineStr">
        <is>
          <t>Review worksheet</t>
        </is>
      </c>
      <c r="C1" s="15" t="inlineStr">
        <is>
          <t>Candidates</t>
        </is>
      </c>
    </row>
    <row r="2" ht="36" customHeight="1" s="25">
      <c r="A2" s="16" t="inlineStr">
        <is>
          <t>jama.2024.24764</t>
        </is>
      </c>
      <c r="B2" s="16" t="inlineStr">
        <is>
          <t>C_jama.2024.24764</t>
        </is>
      </c>
      <c r="C2" s="16" t="n">
        <v>5</v>
      </c>
    </row>
    <row r="3" ht="36" customHeight="1" s="25">
      <c r="A3" s="17" t="inlineStr">
        <is>
          <t>jama.2024.27643</t>
        </is>
      </c>
      <c r="B3" s="17" t="inlineStr">
        <is>
          <t>C_jama.2024.27643</t>
        </is>
      </c>
      <c r="C3" s="17" t="n">
        <v>16</v>
      </c>
    </row>
    <row r="4" ht="36" customHeight="1" s="25">
      <c r="A4" s="16" t="inlineStr">
        <is>
          <t>jama.2025.11178</t>
        </is>
      </c>
      <c r="B4" s="16" t="inlineStr">
        <is>
          <t>C_jama.2025.11178</t>
        </is>
      </c>
      <c r="C4" s="16" t="n">
        <v>18</v>
      </c>
    </row>
    <row r="5" ht="36" customHeight="1" s="25">
      <c r="A5" s="17" t="inlineStr">
        <is>
          <t>jama.2025.15185</t>
        </is>
      </c>
      <c r="B5" s="17" t="inlineStr">
        <is>
          <t>C_jama.2025.15185</t>
        </is>
      </c>
      <c r="C5" s="17" t="n">
        <v>6</v>
      </c>
    </row>
    <row r="6" ht="36" customHeight="1" s="25">
      <c r="A6" s="16" t="inlineStr">
        <is>
          <t>jama.2025.15440</t>
        </is>
      </c>
      <c r="B6" s="16" t="inlineStr">
        <is>
          <t>C_jama.2025.15440</t>
        </is>
      </c>
      <c r="C6" s="16" t="n">
        <v>1</v>
      </c>
    </row>
    <row r="7" ht="36" customHeight="1" s="25">
      <c r="A7" s="17" t="inlineStr">
        <is>
          <t>jama.2025.16450</t>
        </is>
      </c>
      <c r="B7" s="17" t="inlineStr">
        <is>
          <t>C_jama.2025.16450</t>
        </is>
      </c>
      <c r="C7" s="17" t="n">
        <v>6</v>
      </c>
    </row>
    <row r="8" ht="36" customHeight="1" s="25">
      <c r="A8" s="16" t="inlineStr">
        <is>
          <t>jama.2025.19563</t>
        </is>
      </c>
      <c r="B8" s="16" t="inlineStr">
        <is>
          <t>C_jama.2025.19563</t>
        </is>
      </c>
      <c r="C8" s="16" t="n">
        <v>13</v>
      </c>
    </row>
    <row r="9" ht="36" customHeight="1" s="25">
      <c r="A9" s="17" t="inlineStr">
        <is>
          <t>jama.2025.19843</t>
        </is>
      </c>
      <c r="B9" s="17" t="inlineStr">
        <is>
          <t>C_jama.2025.19843</t>
        </is>
      </c>
      <c r="C9" s="17" t="n">
        <v>7</v>
      </c>
    </row>
    <row r="10" ht="36" customHeight="1" s="25">
      <c r="A10" s="16" t="inlineStr">
        <is>
          <t>jama.2025.20765</t>
        </is>
      </c>
      <c r="B10" s="16" t="inlineStr">
        <is>
          <t>C_jama.2025.20765</t>
        </is>
      </c>
      <c r="C10" s="16" t="n">
        <v>19</v>
      </c>
    </row>
    <row r="11" ht="36" customHeight="1" s="25">
      <c r="A11" s="17" t="inlineStr">
        <is>
          <t>jama.2025.24175</t>
        </is>
      </c>
      <c r="B11" s="17" t="inlineStr">
        <is>
          <t>C_jama.2025.24175</t>
        </is>
      </c>
      <c r="C11" s="17" t="n">
        <v>14</v>
      </c>
    </row>
    <row r="12" ht="36" customHeight="1" s="25">
      <c r="A12" s="16" t="inlineStr">
        <is>
          <t>jama.2025.4390</t>
        </is>
      </c>
      <c r="B12" s="16" t="inlineStr">
        <is>
          <t>C_jama.2025.4390</t>
        </is>
      </c>
      <c r="C12" s="16" t="n">
        <v>13</v>
      </c>
    </row>
    <row r="13" ht="36" customHeight="1" s="25">
      <c r="A13" s="17" t="inlineStr">
        <is>
          <t>jama.2025.7583</t>
        </is>
      </c>
      <c r="B13" s="17" t="inlineStr">
        <is>
          <t>C_jama.2025.7583</t>
        </is>
      </c>
      <c r="C13" s="17" t="n">
        <v>4</v>
      </c>
    </row>
    <row r="14" ht="36" customHeight="1" s="25">
      <c r="A14" s="16" t="inlineStr">
        <is>
          <t>jama.2025.7710</t>
        </is>
      </c>
      <c r="B14" s="16" t="inlineStr">
        <is>
          <t>C_jama.2025.7710</t>
        </is>
      </c>
      <c r="C14" s="16" t="n">
        <v>3</v>
      </c>
    </row>
    <row r="15" ht="36" customHeight="1" s="25">
      <c r="A15" s="17" t="inlineStr">
        <is>
          <t>jama.2025.9110</t>
        </is>
      </c>
      <c r="B15" s="17" t="inlineStr">
        <is>
          <t>C_jama.2025.9110</t>
        </is>
      </c>
      <c r="C15" s="17" t="n">
        <v>3</v>
      </c>
    </row>
    <row r="16" ht="36" customHeight="1" s="25">
      <c r="A16" s="16" t="inlineStr">
        <is>
          <t>jama.2025.9663</t>
        </is>
      </c>
      <c r="B16" s="16" t="inlineStr">
        <is>
          <t>C_jama.2025.9663</t>
        </is>
      </c>
      <c r="C16" s="16"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2025::jama.2024.24764::C001</t>
        </is>
      </c>
      <c r="B2" s="20" t="inlineStr">
        <is>
          <t>Quality-of-life conclusion versus the day-7 index test</t>
        </is>
      </c>
      <c r="C2" s="20" t="inlineStr">
        <is>
          <t>REPORT jama_atherton_2025_oi_240145_1741627844.85412.pdf — main article abstract, PDF p. 1; REPORT jama_atherton_2025_oi_240145_1741627844.85412.pdf — main Secondary Outcomes, PDF p. 6; REPORT joi240145supp3_prod_1741627844.89412.pdf — results supplement eTable 3, day-7 index, later-time rows and interaction, PDF p. 4. Corroborating PLAN joi240145supp1_prod_1741627844.87412.pdf — SAP §§5.1–5.2, PDF p. 12.</t>
        </is>
      </c>
      <c r="D2" s="21" t="n"/>
      <c r="E2" s="21" t="inlineStr">
        <is>
          <t>statistical_results</t>
        </is>
      </c>
      <c r="F2" s="21" t="inlineStr">
        <is>
          <t>no</t>
        </is>
      </c>
      <c r="G2" s="20">
        <f>IFERROR(IF(LEN(TRIM(CLEAN(SUBSTITUTE(Setup!$B$2,CHAR(160)," "))))=0,"CHECK REVIEWER ID",IF(OR(A2="",COUNTIF($A$2:$A$6,A2)&lt;&gt;1,LEFT(A2,LEN("2025::jama.2024.24764::"))&lt;&gt;"2025::jama.2024.24764::"),"CHECK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25">
      <c r="A3" s="24" t="inlineStr">
        <is>
          <t>2025::jama.2024.24764::C002</t>
        </is>
      </c>
      <c r="B3" s="24" t="inlineStr">
        <is>
          <t>Planned hospital-stay differences versus reported geometric ratios</t>
        </is>
      </c>
      <c r="C3" s="24" t="inlineStr">
        <is>
          <t>PLAN joi240145supp1_prod_1741627844.87412.pdf — SAP §9.2, PDF p. 15, joi240145supp1_prod_1741627844.87412.pdf — SAP §9.6, PDF p. 25, joi240145supp1_prod_1741627844.87412.pdf — SAP Appendix D7 shell, PDF p. 42; PLAN joi240145supp4_prod_1741627844.90412.pdf — protocol UK definition, PDF p. 24, joi240145supp4_prod_1741627844.90412.pdf — protocol §14.2.2, PDF p. 39; REPORT jama_atherton_2025_oi_240145_1741627844.85412.pdf — main abstract, PDF p. 1, jama_atherton_2025_oi_240145_1741627844.85412.pdf — Statistical Analysis, PDF p. 4, jama_atherton_2025_oi_240145_1741627844.85412.pdf — Secondary Outcomes, PDF p. 6, jama_atherton_2025_oi_240145_1741627844.85412.pdf — Table 3 UK/pooled rows and footnote c, PDF p. 8.</t>
        </is>
      </c>
      <c r="D3" s="21" t="n"/>
      <c r="E3" s="21" t="inlineStr">
        <is>
          <t>protocol_report</t>
        </is>
      </c>
      <c r="F3" s="21" t="inlineStr">
        <is>
          <t>no</t>
        </is>
      </c>
      <c r="G3" s="24">
        <f>IFERROR(IF(LEN(TRIM(CLEAN(SUBSTITUTE(Setup!$B$2,CHAR(160)," "))))=0,"CHECK REVIEWER ID",IF(OR(A3="",COUNTIF($A$2:$A$6,A3)&lt;&gt;1,LEFT(A3,LEN("2025::jama.2024.24764::"))&lt;&gt;"2025::jama.2024.24764::"),"CHECK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25">
      <c r="A4" s="20" t="inlineStr">
        <is>
          <t>2025::jama.2024.24764::C003</t>
        </is>
      </c>
      <c r="B4" s="20" t="inlineStr">
        <is>
          <t>Reported predicted-survival exclusion versus supplied eligibility criteria</t>
        </is>
      </c>
      <c r="C4" s="20" t="inlineStr">
        <is>
          <t>REPORT jama_atherton_2025_oi_240145_1741627844.85412.pdf — main Eligibility Criteria, PDF p. 2 and jama_atherton_2025_oi_240145_1741627844.85412.pdf — mortality interpretation, PDF p. 10; PLAN joi240145supp4_prod_1741627844.90412.pdf — protocol §§5.1–5.2, PDF p. 17, joi240145supp4_prod_1741627844.90412.pdf — Key Eligibility Criteria summary, PDF p. 8, and joi240145supp4_prod_1741627844.90412.pdf — amendment context, PDF p. 2.</t>
        </is>
      </c>
      <c r="D4" s="21" t="n"/>
      <c r="E4" s="21" t="inlineStr">
        <is>
          <t>protocol_report</t>
        </is>
      </c>
      <c r="F4" s="21" t="inlineStr">
        <is>
          <t>no</t>
        </is>
      </c>
      <c r="G4" s="20">
        <f>IFERROR(IF(LEN(TRIM(CLEAN(SUBSTITUTE(Setup!$B$2,CHAR(160)," "))))=0,"CHECK REVIEWER ID",IF(OR(A4="",COUNTIF($A$2:$A$6,A4)&lt;&gt;1,LEFT(A4,LEN("2025::jama.2024.24764::"))&lt;&gt;"2025::jama.2024.24764::"),"CHECK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25">
      <c r="A5" s="24" t="inlineStr">
        <is>
          <t>2025::jama.2024.24764::C004</t>
        </is>
      </c>
      <c r="B5" s="24" t="inlineStr">
        <is>
          <t>Unstructured versus independent quality-of-life covariance</t>
        </is>
      </c>
      <c r="C5" s="24" t="inlineStr">
        <is>
          <t>PLAN joi240145supp1_prod_1741627844.87412.pdf — SAP §9.6 SF-12 and EQ-5D paragraphs, PDF p. 26; REPORT jama_atherton_2025_oi_240145_1741627844.85412.pdf — main Statistical Analysis, PDF p. 4; affected REPORT jama_atherton_2025_oi_240145_1741627844.85412.pdf — main Table 3 day-30 SF-12 rows, PDF p. 8, joi240145supp3_prod_1741627844.89412.pdf — results eTable 2, all PCS/MCS rows and interactions, PDF p. 3, joi240145supp3_prod_1741627844.89412.pdf — results eTable 3 index rows/interaction, PDF p. 4, and joi240145supp3_prod_1741627844.89412.pdf — results eTable 4 health rows/interaction, PDF p. 4.</t>
        </is>
      </c>
      <c r="D5" s="21" t="n"/>
      <c r="E5" s="21" t="inlineStr">
        <is>
          <t>protocol_report</t>
        </is>
      </c>
      <c r="F5" s="21" t="inlineStr">
        <is>
          <t>no</t>
        </is>
      </c>
      <c r="G5" s="24">
        <f>IFERROR(IF(LEN(TRIM(CLEAN(SUBSTITUTE(Setup!$B$2,CHAR(160)," "))))=0,"CHECK REVIEWER ID",IF(OR(A5="",COUNTIF($A$2:$A$6,A5)&lt;&gt;1,LEFT(A5,LEN("2025::jama.2024.24764::"))&lt;&gt;"2025::jama.2024.24764::"),"CHECK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25">
      <c r="A6" s="20" t="inlineStr">
        <is>
          <t>2025::jama.2024.24764::C005</t>
        </is>
      </c>
      <c r="B6" s="20" t="inlineStr">
        <is>
          <t>SAP fixed-participant parameterization and adjusted contrasts</t>
        </is>
      </c>
      <c r="C6" s="20" t="inlineStr">
        <is>
          <t>PLAN joi240145supp1_prod_1741627844.87412.pdf — SAP §9.6 SF-12 fixed-parameter declaration, PDF p. 26; PLAN joi240145supp1_prod_1741627844.87412.pdf — same paragraph's assessment-time, baseline adjustment and time-specific contrast declarations, PDF p. 26; inherited PLAN joi240145supp1_prod_1741627844.87412.pdf — EQ-5D index/health methods paragraph, PDF p. 26. No REPORT location is a conflicting party.</t>
        </is>
      </c>
      <c r="D6" s="21" t="n"/>
      <c r="E6" s="21" t="inlineStr">
        <is>
          <t>plan_material</t>
        </is>
      </c>
      <c r="F6" s="21" t="inlineStr">
        <is>
          <t>no</t>
        </is>
      </c>
      <c r="G6" s="20">
        <f>IFERROR(IF(LEN(TRIM(CLEAN(SUBSTITUTE(Setup!$B$2,CHAR(160)," "))))=0,"CHECK REVIEWER ID",IF(OR(A6="",COUNTIF($A$2:$A$6,A6)&lt;&gt;1,LEFT(A6,LEN("2025::jama.2024.24764::"))&lt;&gt;"2025::jama.2024.24764::"),"CHECK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17"/>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2025::jama.2024.27643::C001</t>
        </is>
      </c>
      <c r="B2" s="20" t="inlineStr">
        <is>
          <t>Muscle-strength outcome status</t>
        </is>
      </c>
      <c r="C2" s="20" t="inlineStr">
        <is>
          <t>Physical PDF pages; PLAN/REPORT roles are stated above and within the evidence. joi240158supp1_prod_1742927563.7611.pdf — PDF p. 112; joi240158supp1_prod_1742927563.7611.pdf — PDF p. 184; joi240158supp2_prod_1742927563.7711.pdf — PDF p. 76; joi240158supp2_prod_1742927563.7711.pdf — PDF p. 77; joi240158supp2_prod_1742927563.7711.pdf — PDF p. 78; joi240158supp2_prod_1742927563.7711.pdf — PDF p. 109; joi240158supp2_prod_1742927563.7711.pdf — PDF p. 110; joi240158supp2_prod_1742927563.7711.pdf — PDF p. 111; joi240158supp2_prod_1742927563.7711.pdf — PDF p. 112; jama_berry_2025_oi_240158_1742927563.7361.pdf — PDF p. 3; joi240158supp3_prod_1742927563.7911.pdf — PDF p. 5; joi240158supp3_prod_1742927563.7911.pdf — PDF p. 6; joi240158supp2_prod_1742927563.7711.pdf — PDF p. 104</t>
        </is>
      </c>
      <c r="D2" s="21" t="n"/>
      <c r="E2" s="21" t="inlineStr">
        <is>
          <t>protocol_report</t>
        </is>
      </c>
      <c r="F2" s="21" t="inlineStr">
        <is>
          <t>no</t>
        </is>
      </c>
      <c r="G2" s="20">
        <f>IFERROR(IF(LEN(TRIM(CLEAN(SUBSTITUTE(Setup!$B$2,CHAR(160)," "))))=0,"CHECK REVIEWER ID",IF(OR(A2="",COUNTIF($A$2:$A$17,A2)&lt;&gt;1,LEFT(A2,LEN("2025::jama.2024.27643::"))&lt;&gt;"2025::jama.2024.27643::"),"CHECK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25">
      <c r="A3" s="24" t="inlineStr">
        <is>
          <t>2025::jama.2024.27643::C002</t>
        </is>
      </c>
      <c r="B3" s="24" t="inlineStr">
        <is>
          <t>Plasma NfL prespecification</t>
        </is>
      </c>
      <c r="C3" s="24" t="inlineStr">
        <is>
          <t>Physical PDF pages; PLAN/REPORT roles are stated above and within the evidence. jama_berry_2025_oi_240158_1742927563.7361.pdf — PDF p. 3; joi240158supp3_prod_1742927563.7911.pdf — PDF p. 6; joi240158supp3_prod_1742927563.7911.pdf — PDF p. 11; joi240158supp2_prod_1742927563.7711.pdf — PDF p. 110; joi240158supp2_prod_1742927563.7711.pdf — PDF p. 112; joi240158supp2_prod_1742927563.7711.pdf — PDF p. 127; joi240158supp2_prod_1742927563.7711.pdf — PDF p. 114; jama_berry_2025_oi_240158_1742927563.7361.pdf — PDF p. 8; joi240158supp3_prod_1742927563.7911.pdf — PDF p. 17</t>
        </is>
      </c>
      <c r="D3" s="21" t="n"/>
      <c r="E3" s="21" t="inlineStr">
        <is>
          <t>protocol_report</t>
        </is>
      </c>
      <c r="F3" s="21" t="inlineStr">
        <is>
          <t>no</t>
        </is>
      </c>
      <c r="G3" s="24">
        <f>IFERROR(IF(LEN(TRIM(CLEAN(SUBSTITUTE(Setup!$B$2,CHAR(160)," "))))=0,"CHECK REVIEWER ID",IF(OR(A3="",COUNTIF($A$2:$A$17,A3)&lt;&gt;1,LEFT(A3,LEN("2025::jama.2024.27643::"))&lt;&gt;"2025::jama.2024.27643::"),"CHECK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25">
      <c r="A4" s="20" t="inlineStr">
        <is>
          <t>2025::jama.2024.27643::C003</t>
        </is>
      </c>
      <c r="B4" s="20" t="inlineStr">
        <is>
          <t>Unreported named planned primary/key-secondary analyses</t>
        </is>
      </c>
      <c r="C4" s="20" t="inlineStr">
        <is>
          <t>Physical PDF pages; PLAN/REPORT roles are stated above and within the evidence. joi240158supp2_prod_1742927563.7711.pdf — PDF p. 116; joi240158supp2_prod_1742927563.7711.pdf — PDF p. 117; jama_berry_2025_oi_240158_1742927563.7361.pdf — PDF p. 4; joi240158supp3_prod_1742927563.7911.pdf — PDF p. 15; joi240158supp3_prod_1742927563.7911.pdf — PDF p. 9; joi240158supp2_prod_1742927563.7711.pdf — PDF p. 119; jama_berry_2025_oi_240158_1742927563.7361.pdf — PDF p. 3; joi240158supp3_prod_1742927563.7911.pdf — PDF p. 10; joi240158supp3_prod_1742927563.7911.pdf — PDF p. 16; joi240158supp3_prod_1742927563.7911.pdf — PDF p. 17; joi240158supp2_prod_1742927563.7711.pdf — PDF p. 125; jama_berry_2025_oi_240158_1742927563.7361.pdf — PDF p. 8; joi240158supp2_prod_1742927563.7711.pdf — PDF p. 113; joi240158supp2_prod_1742927563.7711.pdf — PDF p. 121; jama_berry_2025_oi_240158_1742927563.7361.pdf — PDF p. 7; joi240158supp3_prod_1742927563.7911.pdf — PDF p. 12; joi240158supp2_prod_1742927563.7711.pdf — PDF p. 126; joi240158supp3_prod_1742927563.7911.pdf — PDF p. 13; joi240158supp3_prod_1742927563.7911.pdf — PDF p. 18; joi240158supp3_prod_1742927563.7911.pdf — PDF p. 19; joi240158supp3_prod_1742927563.7911.pdf — PDF p. 20; joi240158supp3_prod_1742927563.7911.pdf — PDF p. 25; joi240158supp3_prod_1742927563.7911.pdf — PDF p. 1</t>
        </is>
      </c>
      <c r="D4" s="21" t="n"/>
      <c r="E4" s="21" t="inlineStr">
        <is>
          <t>protocol_report</t>
        </is>
      </c>
      <c r="F4" s="21" t="inlineStr">
        <is>
          <t>no</t>
        </is>
      </c>
      <c r="G4" s="20">
        <f>IFERROR(IF(LEN(TRIM(CLEAN(SUBSTITUTE(Setup!$B$2,CHAR(160)," "))))=0,"CHECK REVIEWER ID",IF(OR(A4="",COUNTIF($A$2:$A$17,A4)&lt;&gt;1,LEFT(A4,LEN("2025::jama.2024.27643::"))&lt;&gt;"2025::jama.2024.27643::"),"CHECK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25">
      <c r="A5" s="24" t="inlineStr">
        <is>
          <t>2025::jama.2024.27643::C004</t>
        </is>
      </c>
      <c r="B5" s="24" t="inlineStr">
        <is>
          <t>Adjusted planned CAFS versus reported Wilcoxon</t>
        </is>
      </c>
      <c r="C5" s="24" t="inlineStr">
        <is>
          <t>Physical PDF pages; PLAN/REPORT roles are stated above and within the evidence. joi240158supp2_prod_1742927563.7711.pdf — PDF p. 118; joi240158supp2_prod_1742927563.7711.pdf — PDF p. 119; jama_berry_2025_oi_240158_1742927563.7361.pdf — PDF p. 3; jama_berry_2025_oi_240158_1742927563.7361.pdf — PDF p. 4; joi240158supp3_prod_1742927563.7911.pdf — PDF p. 9; joi240158supp2_prod_1742927563.7711.pdf — PDF p. 84; joi240158supp2_prod_1742927563.7711.pdf — PDF p. 97</t>
        </is>
      </c>
      <c r="D5" s="21" t="n"/>
      <c r="E5" s="21" t="inlineStr">
        <is>
          <t>protocol_report</t>
        </is>
      </c>
      <c r="F5" s="21" t="inlineStr">
        <is>
          <t>no</t>
        </is>
      </c>
      <c r="G5" s="24">
        <f>IFERROR(IF(LEN(TRIM(CLEAN(SUBSTITUTE(Setup!$B$2,CHAR(160)," "))))=0,"CHECK REVIEWER ID",IF(OR(A5="",COUNTIF($A$2:$A$17,A5)&lt;&gt;1,LEFT(A5,LEN("2025::jama.2024.27643::"))&lt;&gt;"2025::jama.2024.27643::"),"CHECK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25">
      <c r="A6" s="20" t="inlineStr">
        <is>
          <t>2025::jama.2024.27643::C005</t>
        </is>
      </c>
      <c r="B6" s="20" t="inlineStr">
        <is>
          <t>Planned survival logrank result</t>
        </is>
      </c>
      <c r="C6" s="20" t="inlineStr">
        <is>
          <t>Physical PDF pages; PLAN/REPORT roles are stated above and within the evidence. joi240158supp2_prod_1742927563.7711.pdf — PDF p. 117; joi240158supp2_prod_1742927563.7711.pdf — PDF p. 121; joi240158supp2_prod_1742927563.7711.pdf — PDF p. 85; joi240158supp2_prod_1742927563.7711.pdf — PDF p. 86; jama_berry_2025_oi_240158_1742927563.7361.pdf — PDF p. 3; jama_berry_2025_oi_240158_1742927563.7361.pdf — PDF p. 4; jama_berry_2025_oi_240158_1742927563.7361.pdf — PDF p. 7; joi240158supp3_prod_1742927563.7911.pdf — PDF p. 10; joi240158supp2_prod_1742927563.7711.pdf — PDF p. 118</t>
        </is>
      </c>
      <c r="D6" s="21" t="n"/>
      <c r="E6" s="21" t="inlineStr">
        <is>
          <t>protocol_report</t>
        </is>
      </c>
      <c r="F6" s="21" t="inlineStr">
        <is>
          <t>no</t>
        </is>
      </c>
      <c r="G6" s="20">
        <f>IFERROR(IF(LEN(TRIM(CLEAN(SUBSTITUTE(Setup!$B$2,CHAR(160)," "))))=0,"CHECK REVIEWER ID",IF(OR(A6="",COUNTIF($A$2:$A$17,A6)&lt;&gt;1,LEFT(A6,LEN("2025::jama.2024.27643::"))&lt;&gt;"2025::jama.2024.27643::"),"CHECK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25">
      <c r="A7" s="24" t="inlineStr">
        <is>
          <t>2025::jama.2024.27643::C006</t>
        </is>
      </c>
      <c r="B7" s="24" t="inlineStr">
        <is>
          <t>Survival covariate-set descriptions</t>
        </is>
      </c>
      <c r="C7" s="24" t="inlineStr">
        <is>
          <t>Physical PDF pages; PLAN/REPORT roles are stated above and within the evidence. jama_berry_2025_oi_240158_1742927563.7361.pdf — PDF p. 3; joi240158supp3_prod_1742927563.7911.pdf — PDF p. 10; jama_berry_2025_oi_240158_1742927563.7361.pdf — PDF p. 7; joi240158supp3_prod_1742927563.7911.pdf — PDF p. 12; joi240158supp2_prod_1742927563.7711.pdf — PDF p. 121</t>
        </is>
      </c>
      <c r="D7" s="21" t="n"/>
      <c r="E7" s="21" t="inlineStr">
        <is>
          <t>statistical_results</t>
        </is>
      </c>
      <c r="F7" s="21" t="inlineStr">
        <is>
          <t>no</t>
        </is>
      </c>
      <c r="G7" s="24">
        <f>IFERROR(IF(LEN(TRIM(CLEAN(SUBSTITUTE(Setup!$B$2,CHAR(160)," "))))=0,"CHECK REVIEWER ID",IF(OR(A7="",COUNTIF($A$2:$A$17,A7)&lt;&gt;1,LEFT(A7,LEN("2025::jama.2024.27643::"))&lt;&gt;"2025::jama.2024.27643::"),"CHECK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25">
      <c r="A8" s="20" t="inlineStr">
        <is>
          <t>2025::jama.2024.27643::C007</t>
        </is>
      </c>
      <c r="B8" s="20" t="inlineStr">
        <is>
          <t>Mortality component estimates</t>
        </is>
      </c>
      <c r="C8" s="20" t="inlineStr">
        <is>
          <t>Physical PDF pages; PLAN/REPORT roles are stated above and within the evidence. jama_berry_2025_oi_240158_1742927563.7361.pdf — PDF p. 4; joi240158supp3_prod_1742927563.7911.pdf — PDF p. 15</t>
        </is>
      </c>
      <c r="D8" s="21" t="n"/>
      <c r="E8" s="21" t="inlineStr">
        <is>
          <t>statistical_results</t>
        </is>
      </c>
      <c r="F8" s="21" t="inlineStr">
        <is>
          <t>no</t>
        </is>
      </c>
      <c r="G8" s="20">
        <f>IFERROR(IF(LEN(TRIM(CLEAN(SUBSTITUTE(Setup!$B$2,CHAR(160)," "))))=0,"CHECK REVIEWER ID",IF(OR(A8="",COUNTIF($A$2:$A$17,A8)&lt;&gt;1,LEFT(A8,LEN("2025::jama.2024.27643::"))&lt;&gt;"2025::jama.2024.27643::"),"CHECK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25">
      <c r="A9" s="24" t="inlineStr">
        <is>
          <t>2025::jama.2024.27643::C008</t>
        </is>
      </c>
      <c r="B9" s="24" t="inlineStr">
        <is>
          <t>SVC change versus monthly rate</t>
        </is>
      </c>
      <c r="C9" s="24" t="inlineStr">
        <is>
          <t>Physical PDF pages; PLAN/REPORT roles are stated above and within the evidence. jama_berry_2025_oi_240158_1742927563.7361.pdf — PDF p. 4; joi240158supp3_prod_1742927563.7911.pdf — PDF p. 16; jama_berry_2025_oi_240158_1742927563.7361.pdf — PDF p. 3; joi240158supp3_prod_1742927563.7911.pdf — PDF p. 10; joi240158supp2_prod_1742927563.7711.pdf — PDF p. 119; joi240158supp2_prod_1742927563.7711.pdf — PDF p. 120; joi240158supp2_prod_1742927563.7711.pdf — PDF p. 121; joi240158supp2_prod_1742927563.7711.pdf — PDF p. 122; joi240158supp2_prod_1742927563.7711.pdf — PDF p. 123</t>
        </is>
      </c>
      <c r="D9" s="21" t="n"/>
      <c r="E9" s="21" t="inlineStr">
        <is>
          <t>report_internal_inconsistency</t>
        </is>
      </c>
      <c r="F9" s="21" t="inlineStr">
        <is>
          <t>no</t>
        </is>
      </c>
      <c r="G9" s="24">
        <f>IFERROR(IF(LEN(TRIM(CLEAN(SUBSTITUTE(Setup!$B$2,CHAR(160)," "))))=0,"CHECK REVIEWER ID",IF(OR(A9="",COUNTIF($A$2:$A$17,A9)&lt;&gt;1,LEFT(A9,LEN("2025::jama.2024.27643::"))&lt;&gt;"2025::jama.2024.27643::"),"CHECK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Height="1" s="25">
      <c r="A10" s="20" t="inlineStr">
        <is>
          <t>2025::jama.2024.27643::C009</t>
        </is>
      </c>
      <c r="B10" s="20" t="inlineStr">
        <is>
          <t>Survival regimen-placebo exclusions and denominator</t>
        </is>
      </c>
      <c r="C10" s="20" t="inlineStr">
        <is>
          <t>Physical PDF pages; PLAN/REPORT roles are stated above and within the evidence. jama_berry_2025_oi_240158_1742927563.7361.pdf — PDF p. 4; jama_berry_2025_oi_240158_1742927563.7361.pdf — PDF p. 7</t>
        </is>
      </c>
      <c r="D10" s="21" t="n"/>
      <c r="E10" s="21" t="inlineStr">
        <is>
          <t>statistical_results</t>
        </is>
      </c>
      <c r="F10" s="21" t="inlineStr">
        <is>
          <t>no</t>
        </is>
      </c>
      <c r="G10" s="20">
        <f>IFERROR(IF(LEN(TRIM(CLEAN(SUBSTITUTE(Setup!$B$2,CHAR(160)," "))))=0,"CHECK REVIEWER ID",IF(OR(A10="",COUNTIF($A$2:$A$17,A10)&lt;&gt;1,LEFT(A10,LEN("2025::jama.2024.27643::"))&lt;&gt;"2025::jama.2024.27643::"),"CHECK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Height="1" s="25">
      <c r="A11" s="24" t="inlineStr">
        <is>
          <t>2025::jama.2024.27643::C010</t>
        </is>
      </c>
      <c r="B11" s="24" t="inlineStr">
        <is>
          <t>Prespecified subgroup partitions</t>
        </is>
      </c>
      <c r="C11" s="24" t="inlineStr">
        <is>
          <t>Physical PDF pages; PLAN/REPORT roles are stated above and within the evidence. joi240158supp2_prod_1742927563.7711.pdf — PDF p. 89; joi240158supp2_prod_1742927563.7711.pdf — PDF p. 126; joi240158supp3_prod_1742927563.7911.pdf — PDF p. 13; joi240158supp3_prod_1742927563.7911.pdf — PDF p. 20; joi240158supp2_prod_1742927563.7711.pdf — PDF p. 88; joi240158supp3_prod_1742927563.7911.pdf — PDF p. 19; jama_berry_2025_oi_240158_1742927563.7361.pdf — PDF p. 8</t>
        </is>
      </c>
      <c r="D11" s="21" t="n"/>
      <c r="E11" s="21" t="inlineStr">
        <is>
          <t>protocol_report</t>
        </is>
      </c>
      <c r="F11" s="21" t="inlineStr">
        <is>
          <t>no</t>
        </is>
      </c>
      <c r="G11" s="24">
        <f>IFERROR(IF(LEN(TRIM(CLEAN(SUBSTITUTE(Setup!$B$2,CHAR(160)," "))))=0,"CHECK REVIEWER ID",IF(OR(A11="",COUNTIF($A$2:$A$17,A11)&lt;&gt;1,LEFT(A11,LEN("2025::jama.2024.27643::"))&lt;&gt;"2025::jama.2024.27643::"),"CHECK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Height="1" s="25">
      <c r="A12" s="20" t="inlineStr">
        <is>
          <t>2025::jama.2024.27643::C011</t>
        </is>
      </c>
      <c r="B12" s="20" t="inlineStr">
        <is>
          <t>Six-point functional-decline composite inside PLAN</t>
        </is>
      </c>
      <c r="C12" s="20" t="inlineStr">
        <is>
          <t>Physical PDF pages; PLAN/REPORT roles are stated above and within the evidence. joi240158supp1_prod_1742927563.7611.pdf — PDF p. 112; joi240158supp1_prod_1742927563.7611.pdf — PDF p. 184; joi240158supp2_prod_1742927563.7711.pdf — PDF p. 78; joi240158supp2_prod_1742927563.7711.pdf — PDF p. 111; joi240158supp2_prod_1742927563.7711.pdf — PDF p. 113; jama_berry_2025_oi_240158_1742927563.7361.pdf — PDF p. 3; joi240158supp2_prod_1742927563.7711.pdf — PDF p. 104</t>
        </is>
      </c>
      <c r="D12" s="21" t="n"/>
      <c r="E12" s="21" t="inlineStr">
        <is>
          <t>plan_material</t>
        </is>
      </c>
      <c r="F12" s="21" t="inlineStr">
        <is>
          <t>no</t>
        </is>
      </c>
      <c r="G12" s="20">
        <f>IFERROR(IF(LEN(TRIM(CLEAN(SUBSTITUTE(Setup!$B$2,CHAR(160)," "))))=0,"CHECK REVIEWER ID",IF(OR(A12="",COUNTIF($A$2:$A$17,A12)&lt;&gt;1,LEFT(A12,LEN("2025::jama.2024.27643::"))&lt;&gt;"2025::jama.2024.27643::"),"CHECK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Height="1" s="25">
      <c r="A13" s="24" t="inlineStr">
        <is>
          <t>2025::jama.2024.27643::C012</t>
        </is>
      </c>
      <c r="B13" s="24" t="inlineStr">
        <is>
          <t>NfL interval versus P display pattern</t>
        </is>
      </c>
      <c r="C13" s="24" t="inlineStr">
        <is>
          <t>Physical PDF pages; PLAN/REPORT roles are stated above and within the evidence. joi240158supp3_prod_1742927563.7911.pdf — PDF p. 17; jama_berry_2025_oi_240158_1742927563.7361.pdf — PDF p. 4; jama_berry_2025_oi_240158_1742927563.7361.pdf — PDF p. 8</t>
        </is>
      </c>
      <c r="D13" s="21" t="n"/>
      <c r="E13" s="21" t="inlineStr">
        <is>
          <t>statistical_results</t>
        </is>
      </c>
      <c r="F13" s="21" t="inlineStr">
        <is>
          <t>no</t>
        </is>
      </c>
      <c r="G13" s="24">
        <f>IFERROR(IF(LEN(TRIM(CLEAN(SUBSTITUTE(Setup!$B$2,CHAR(160)," "))))=0,"CHECK REVIEWER ID",IF(OR(A13="",COUNTIF($A$2:$A$17,A13)&lt;&gt;1,LEFT(A13,LEN("2025::jama.2024.27643::"))&lt;&gt;"2025::jama.2024.27643::"),"CHECK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Height="1" s="25">
      <c r="A14" s="20" t="inlineStr">
        <is>
          <t>2025::jama.2024.27643::C013</t>
        </is>
      </c>
      <c r="B14" s="20" t="inlineStr">
        <is>
          <t>Serum NfL contrast scale</t>
        </is>
      </c>
      <c r="C14" s="20" t="inlineStr">
        <is>
          <t>Physical PDF pages; PLAN/REPORT roles are stated above and within the evidence. joi240158supp3_prod_1742927563.7911.pdf — PDF p. 17; jama_berry_2025_oi_240158_1742927563.7361.pdf — PDF p. 8</t>
        </is>
      </c>
      <c r="D14" s="21" t="n"/>
      <c r="E14" s="21" t="inlineStr">
        <is>
          <t>statistical_results</t>
        </is>
      </c>
      <c r="F14" s="21" t="inlineStr">
        <is>
          <t>no</t>
        </is>
      </c>
      <c r="G14" s="20">
        <f>IFERROR(IF(LEN(TRIM(CLEAN(SUBSTITUTE(Setup!$B$2,CHAR(160)," "))))=0,"CHECK REVIEWER ID",IF(OR(A14="",COUNTIF($A$2:$A$17,A14)&lt;&gt;1,LEFT(A14,LEN("2025::jama.2024.27643::"))&lt;&gt;"2025::jama.2024.27643::"),"CHECK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Height="1" s="25">
      <c r="A15" s="24" t="inlineStr">
        <is>
          <t>2025::jama.2024.27643::C014</t>
        </is>
      </c>
      <c r="B15" s="24" t="inlineStr">
        <is>
          <t>Estimated DRR direction in planned operating characteristics</t>
        </is>
      </c>
      <c r="C15" s="24" t="inlineStr">
        <is>
          <t>Physical PDF pages; PLAN/REPORT roles are stated above and within the evidence. joi240158supp2_prod_1742927563.7711.pdf — PDF p. 50; joi240158supp1_prod_1742927563.7611.pdf — PDF p. 65; joi240158supp1_prod_1742927563.7611.pdf — PDF p. 137; joi240158supp1_prod_1742927563.7611.pdf — PDF p. 212; joi240158supp2_prod_1742927563.7711.pdf — PDF p. 8; joi240158supp2_prod_1742927563.7711.pdf — PDF p. 63</t>
        </is>
      </c>
      <c r="D15" s="21" t="n"/>
      <c r="E15" s="21" t="inlineStr">
        <is>
          <t>plan_material</t>
        </is>
      </c>
      <c r="F15" s="21" t="inlineStr">
        <is>
          <t>no</t>
        </is>
      </c>
      <c r="G15" s="24">
        <f>IFERROR(IF(LEN(TRIM(CLEAN(SUBSTITUTE(Setup!$B$2,CHAR(160)," "))))=0,"CHECK REVIEWER ID",IF(OR(A15="",COUNTIF($A$2:$A$17,A15)&lt;&gt;1,LEFT(A15,LEN("2025::jama.2024.27643::"))&lt;&gt;"2025::jama.2024.27643::"),"CHECK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row r="16" ht="92" customHeight="1" s="25">
      <c r="A16" s="20" t="inlineStr">
        <is>
          <t>2025::jama.2024.27643::C015</t>
        </is>
      </c>
      <c r="B16" s="20" t="inlineStr">
        <is>
          <t>Signed CAFS P value in illustrative PLAN prose</t>
        </is>
      </c>
      <c r="C16" s="20" t="inlineStr">
        <is>
          <t>Physical PDF pages; PLAN/REPORT roles are stated above and within the evidence. joi240158supp2_prod_1742927563.7711.pdf — PDF p. 59; joi240158supp2_prod_1742927563.7711.pdf — PDF p. 58; joi240158supp2_prod_1742927563.7711.pdf — PDF p. 8; joi240158supp2_prod_1742927563.7711.pdf — PDF p. 63</t>
        </is>
      </c>
      <c r="D16" s="21" t="n"/>
      <c r="E16" s="21" t="inlineStr">
        <is>
          <t>plan_material</t>
        </is>
      </c>
      <c r="F16" s="21" t="inlineStr">
        <is>
          <t>no</t>
        </is>
      </c>
      <c r="G16" s="20">
        <f>IFERROR(IF(LEN(TRIM(CLEAN(SUBSTITUTE(Setup!$B$2,CHAR(160)," "))))=0,"CHECK REVIEWER ID",IF(OR(A16="",COUNTIF($A$2:$A$17,A16)&lt;&gt;1,LEFT(A16,LEN("2025::jama.2024.27643::"))&lt;&gt;"2025::jama.2024.27643::"),"CHECK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n"/>
    </row>
    <row r="17" ht="92" customHeight="1" s="25">
      <c r="A17" s="24" t="inlineStr">
        <is>
          <t>2025::jama.2024.27643::C016</t>
        </is>
      </c>
      <c r="B17" s="24" t="inlineStr">
        <is>
          <t>Serum NfL below-quantitation substitution rule</t>
        </is>
      </c>
      <c r="C17" s="24" t="inlineStr">
        <is>
          <t>Physical PDF pages; PLAN/REPORT roles are stated above and within the evidence. joi240158supp2_prod_1742927563.7711.pdf — PDF p. 112; joi240158supp3_prod_1742927563.7911.pdf — PDF p. 11; joi240158supp3_prod_1742927563.7911.pdf — PDF p. 10; joi240158supp3_prod_1742927563.7911.pdf — PDF p. 12; jama_berry_2025_oi_240158_1742927563.7361.pdf — PDF p. 8; joi240158supp3_prod_1742927563.7911.pdf — PDF p. 17</t>
        </is>
      </c>
      <c r="D17" s="21" t="n"/>
      <c r="E17" s="21" t="inlineStr">
        <is>
          <t>protocol_report</t>
        </is>
      </c>
      <c r="F17" s="21" t="inlineStr">
        <is>
          <t>no</t>
        </is>
      </c>
      <c r="G17" s="24">
        <f>IFERROR(IF(LEN(TRIM(CLEAN(SUBSTITUTE(Setup!$B$2,CHAR(160)," "))))=0,"CHECK REVIEWER ID",IF(OR(A17="",COUNTIF($A$2:$A$17,A17)&lt;&gt;1,LEFT(A17,LEN("2025::jama.2024.27643::"))&lt;&gt;"2025::jama.2024.27643::"),"CHECK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f>IF(AND(OR(D17="retain",D17=""),OR(E17="report_internal_inconsistency",E17="plan_material")),"","not_applicable")</f>
        <v/>
      </c>
      <c r="L17" s="22">
        <f>IF(AND(OR(D17="retain",D17=""),E17="protocol_report"),"","not_applicable")</f>
        <v/>
      </c>
      <c r="M17" s="24" t="n"/>
      <c r="N17" s="23" t="n"/>
      <c r="O17" s="23" t="n"/>
      <c r="P17" s="23" t="n"/>
      <c r="Q17" s="23" t="n"/>
      <c r="R17" s="22" t="n"/>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0" showErrorMessage="1" allowBlank="1" errorTitle="Use a listed option" error="Choose an option; G also checks pasted entries." type="list" errorStyle="stop">
      <formula1>"retain,exclude,discuss"</formula1>
    </dataValidation>
    <dataValidation sqref="E2:E1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7" showDropDown="0" showInputMessage="0" showErrorMessage="1" allowBlank="1" errorTitle="Use a listed option" error="Choose an option; G also checks pasted entries." type="list" errorStyle="stop">
      <formula1>"no,primary_done"</formula1>
    </dataValidation>
    <dataValidation sqref="H2:H1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7" showDropDown="0" showInputMessage="0" showErrorMessage="1" allowBlank="1" errorTitle="Use a listed option" error="Choose an option; G also checks pasted entries." type="list" errorStyle="stop">
      <formula1>"direct,possible,unlikely,unknown,not_applicable"</formula1>
    </dataValidation>
    <dataValidation sqref="K2:K1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19"/>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2025::jama.2025.11178::C001</t>
        </is>
      </c>
      <c r="B2" s="20" t="inlineStr">
        <is>
          <t>Planned versus reported online session duration</t>
        </is>
      </c>
      <c r="C2" s="20" t="inlineStr">
        <is>
          <t>Yes, all five locations: REPORT main p.3, Health Coach Program and Online Program — jama_debar_2025_oi_250046_1755300121.13587.pdf; PLAN protocol p.43 §10.1.1 — joi250046supp1_prod_1755300121.14087.pdf and p.44 coach overview — joi250046supp1_prod_1755300121.14087.pdf; REPORT TIDieR p.3 Procedures — joi250046supp3_prod_1755300121.15087.pdf and p.4 When and How Much — joi250046supp3_prod_1755300121.15087.pdf.</t>
        </is>
      </c>
      <c r="D2" s="21" t="n"/>
      <c r="E2" s="21" t="inlineStr">
        <is>
          <t>protocol_report</t>
        </is>
      </c>
      <c r="F2" s="21" t="inlineStr">
        <is>
          <t>no</t>
        </is>
      </c>
      <c r="G2" s="20">
        <f>IFERROR(IF(LEN(TRIM(CLEAN(SUBSTITUTE(Setup!$B$2,CHAR(160)," "))))=0,"CHECK REVIEWER ID",IF(OR(A2="",COUNTIF($A$2:$A$19,A2)&lt;&gt;1,LEFT(A2,LEN("2025::jama.2025.11178::"))&lt;&gt;"2025::jama.2025.11178::"),"CHECK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25">
      <c r="A3" s="24" t="inlineStr">
        <is>
          <t>2025::jama.2025.11178::C002</t>
        </is>
      </c>
      <c r="B3" s="24" t="inlineStr">
        <is>
          <t>Therapeutic-dose adherence percentage</t>
        </is>
      </c>
      <c r="C3" s="24" t="inlineStr">
        <is>
          <t>Yes: REPORT main p.4 Results adherence paragraph — jama_debar_2025_oi_250046_1755300121.13587.pdf and p.5 Figure 1 PT allocation/session counts — jama_debar_2025_oi_250046_1755300121.13587.pdf.</t>
        </is>
      </c>
      <c r="D3" s="21" t="n"/>
      <c r="E3" s="21" t="inlineStr">
        <is>
          <t>statistical_results</t>
        </is>
      </c>
      <c r="F3" s="21" t="inlineStr">
        <is>
          <t>no</t>
        </is>
      </c>
      <c r="G3" s="24">
        <f>IFERROR(IF(LEN(TRIM(CLEAN(SUBSTITUTE(Setup!$B$2,CHAR(160)," "))))=0,"CHECK REVIEWER ID",IF(OR(A3="",COUNTIF($A$2:$A$19,A3)&lt;&gt;1,LEFT(A3,LEN("2025::jama.2025.11178::"))&lt;&gt;"2025::jama.2025.11178::"),"CHECK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25">
      <c r="A4" s="20" t="inlineStr">
        <is>
          <t>2025::jama.2025.11178::C003</t>
        </is>
      </c>
      <c r="B4" s="20" t="inlineStr">
        <is>
          <t>SMD construction across Table 3</t>
        </is>
      </c>
      <c r="C4" s="20" t="inlineStr">
        <is>
          <t>Yes: REPORT main p.4 SMD definition — jama_debar_2025_oi_250046_1755300121.13587.pdf, p.10 Table 3 — jama_debar_2025_oi_250046_1755300121.13587.pdf, and p.11 continuation and footnote d — jama_debar_2025_oi_250046_1755300121.13587.pdf. All twenty registered outcome/time rows and all three point-contrast columns per row were read directly.</t>
        </is>
      </c>
      <c r="D4" s="21" t="n"/>
      <c r="E4" s="21" t="inlineStr">
        <is>
          <t>statistical_results</t>
        </is>
      </c>
      <c r="F4" s="21" t="inlineStr">
        <is>
          <t>no</t>
        </is>
      </c>
      <c r="G4" s="20">
        <f>IFERROR(IF(LEN(TRIM(CLEAN(SUBSTITUTE(Setup!$B$2,CHAR(160)," "))))=0,"CHECK REVIEWER ID",IF(OR(A4="",COUNTIF($A$2:$A$19,A4)&lt;&gt;1,LEFT(A4,LEN("2025::jama.2025.11178::"))&lt;&gt;"2025::jama.2025.11178::"),"CHECK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25">
      <c r="A5" s="24" t="inlineStr">
        <is>
          <t>2025::jama.2025.11178::C004</t>
        </is>
      </c>
      <c r="B5" s="24" t="inlineStr">
        <is>
          <t>Reciprocal NNT point-reproduction pattern</t>
        </is>
      </c>
      <c r="C5" s="24" t="inlineStr">
        <is>
          <t>Yes: REPORT main p.4 NNT definition — jama_debar_2025_oi_250046_1755300121.13587.pdf; REPORT main p.9 Table 2 severity 6-month HC/UC, interference 6-month HC/UC and footnote d — jama_debar_2025_oi_250046_1755300121.13587.pdf; REPORT results p.14 eTable 8 reminder-letter 6-month PT/UC and footnote d — joi250046supp4_prod_1755300121.15587.pdf. All three affected rows were read.</t>
        </is>
      </c>
      <c r="D5" s="21" t="n"/>
      <c r="E5" s="21" t="inlineStr">
        <is>
          <t>statistical_results</t>
        </is>
      </c>
      <c r="F5" s="21" t="inlineStr">
        <is>
          <t>no</t>
        </is>
      </c>
      <c r="G5" s="24">
        <f>IFERROR(IF(LEN(TRIM(CLEAN(SUBSTITUTE(Setup!$B$2,CHAR(160)," "))))=0,"CHECK REVIEWER ID",IF(OR(A5="",COUNTIF($A$2:$A$19,A5)&lt;&gt;1,LEFT(A5,LEN("2025::jama.2025.11178::"))&lt;&gt;"2025::jama.2025.11178::"),"CHECK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25">
      <c r="A6" s="20" t="inlineStr">
        <is>
          <t>2025::jama.2025.11178::C005</t>
        </is>
      </c>
      <c r="B6" s="20" t="inlineStr">
        <is>
          <t>Age as a prespecified base adjustment covariate</t>
        </is>
      </c>
      <c r="C6" s="20" t="inlineStr">
        <is>
          <t>Yes: PLAN protocol p.56 §15.5 — joi250046supp1_prod_1755300121.14087.pdf; PLAN SAP p.20 §§13–14 — joi250046supp2_prod_1755300121.15087.pdf; REPORT main p.4 adjustment sentence — jama_debar_2025_oi_250046_1755300121.13587.pdf; REPORT results p.4 Adjustment — joi250046supp4_prod_1755300121.15587.pdf, p.7 eTable 2 all-model variables — joi250046supp4_prod_1755300121.15587.pdf, p.8 eTable 3 age — joi250046supp4_prod_1755300121.15587.pdf, p.9 eTable 4 age — joi250046supp4_prod_1755300121.15587.pdf, p.10 eTable 5 age — joi250046supp4_prod_1755300121.15587.pdf; REPORT workbook — joi250046supp5_prod_1755300121.16087.xlsx, worksheet eTable 3, cells G2, A10, G10, directly decoded.</t>
        </is>
      </c>
      <c r="D6" s="21" t="n"/>
      <c r="E6" s="21" t="inlineStr">
        <is>
          <t>protocol_report</t>
        </is>
      </c>
      <c r="F6" s="21" t="inlineStr">
        <is>
          <t>no</t>
        </is>
      </c>
      <c r="G6" s="20">
        <f>IFERROR(IF(LEN(TRIM(CLEAN(SUBSTITUTE(Setup!$B$2,CHAR(160)," "))))=0,"CHECK REVIEWER ID",IF(OR(A6="",COUNTIF($A$2:$A$19,A6)&lt;&gt;1,LEFT(A6,LEN("2025::jama.2025.11178::"))&lt;&gt;"2025::jama.2025.11178::"),"CHECK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25">
      <c r="A7" s="24" t="inlineStr">
        <is>
          <t>2025::jama.2025.11178::C006</t>
        </is>
      </c>
      <c r="B7" s="24" t="inlineStr">
        <is>
          <t>Secondary-analysis adjustment specification</t>
        </is>
      </c>
      <c r="C7" s="24" t="inlineStr">
        <is>
          <t>Yes: PLAN protocol p.57 §15.6 — joi250046supp1_prod_1755300121.14087.pdf; PLAN SAP p.21 §15 — joi250046supp2_prod_1755300121.15087.pdf; REPORT main p.4 secondary methods — jama_debar_2025_oi_250046_1755300121.13587.pdf, p.10 Table 3 — jama_debar_2025_oi_250046_1755300121.13587.pdf and p.11 continuation — jama_debar_2025_oi_250046_1755300121.13587.pdf.</t>
        </is>
      </c>
      <c r="D7" s="21" t="n"/>
      <c r="E7" s="21" t="inlineStr">
        <is>
          <t>protocol_report</t>
        </is>
      </c>
      <c r="F7" s="21" t="inlineStr">
        <is>
          <t>no</t>
        </is>
      </c>
      <c r="G7" s="24">
        <f>IFERROR(IF(LEN(TRIM(CLEAN(SUBSTITUTE(Setup!$B$2,CHAR(160)," "))))=0,"CHECK REVIEWER ID",IF(OR(A7="",COUNTIF($A$2:$A$19,A7)&lt;&gt;1,LEFT(A7,LEN("2025::jama.2025.11178::"))&lt;&gt;"2025::jama.2025.11178::"),"CHECK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25">
      <c r="A8" s="20" t="inlineStr">
        <is>
          <t>2025::jama.2025.11178::C007</t>
        </is>
      </c>
      <c r="B8" s="20" t="inlineStr">
        <is>
          <t>Primary versus sensitivity missing-data analysis roles</t>
        </is>
      </c>
      <c r="C8" s="20" t="inlineStr">
        <is>
          <t>Yes: PLAN SAP p.19 §11 — joi250046supp2_prod_1755300121.15087.pdf, PLAN p.4 July 17, 2024 amendment — joi250046supp2_prod_1755300121.15087.pdf; REPORT main p.4 missing-data paragraph — jama_debar_2025_oi_250046_1755300121.13587.pdf; REPORT results p.4 Missing Data — joi250046supp4_prod_1755300121.15587.pdf, p.5 Non-Response Weighting — joi250046supp4_prod_1755300121.15587.pdf, p.9 eTable 4 — joi250046supp4_prod_1755300121.15587.pdf, p.11 sensitivity narrative and complete-case block — joi250046supp4_prod_1755300121.15587.pdf. P.5 was read as disclosed-amendment context in addition to the registered comparisons.</t>
        </is>
      </c>
      <c r="D8" s="21" t="n"/>
      <c r="E8" s="21" t="inlineStr">
        <is>
          <t>protocol_report</t>
        </is>
      </c>
      <c r="F8" s="21" t="inlineStr">
        <is>
          <t>no</t>
        </is>
      </c>
      <c r="G8" s="20">
        <f>IFERROR(IF(LEN(TRIM(CLEAN(SUBSTITUTE(Setup!$B$2,CHAR(160)," "))))=0,"CHECK REVIEWER ID",IF(OR(A8="",COUNTIF($A$2:$A$19,A8)&lt;&gt;1,LEFT(A8,LEN("2025::jama.2025.11178::"))&lt;&gt;"2025::jama.2025.11178::"),"CHECK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25">
      <c r="A9" s="24" t="inlineStr">
        <is>
          <t>2025::jama.2025.11178::C008</t>
        </is>
      </c>
      <c r="B9" s="24" t="inlineStr">
        <is>
          <t>RR versus finite NNT null coverage</t>
        </is>
      </c>
      <c r="C9" s="24" t="inlineStr">
        <is>
          <t>Yes: REPORT main p.9 Table 2 HC/PT columns and footnotes b,d,e — jama_debar_2025_oi_250046_1755300121.13587.pdf, all six registered contrast/time rows; REPORT p.4 binary model and NNT method — jama_debar_2025_oi_250046_1755300121.13587.pdf.</t>
        </is>
      </c>
      <c r="D9" s="21" t="n"/>
      <c r="E9" s="21" t="inlineStr">
        <is>
          <t>statistical_results</t>
        </is>
      </c>
      <c r="F9" s="21" t="inlineStr">
        <is>
          <t>no</t>
        </is>
      </c>
      <c r="G9" s="24">
        <f>IFERROR(IF(LEN(TRIM(CLEAN(SUBSTITUTE(Setup!$B$2,CHAR(160)," "))))=0,"CHECK REVIEWER ID",IF(OR(A9="",COUNTIF($A$2:$A$19,A9)&lt;&gt;1,LEFT(A9,LEN("2025::jama.2025.11178::"))&lt;&gt;"2025::jama.2025.11178::"),"CHECK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Height="1" s="25">
      <c r="A10" s="20" t="inlineStr">
        <is>
          <t>2025::jama.2025.11178::C009</t>
        </is>
      </c>
      <c r="B10" s="20" t="inlineStr">
        <is>
          <t>NNT point outside its confidence interval</t>
        </is>
      </c>
      <c r="C10" s="20" t="inlineStr">
        <is>
          <t>Yes: REPORT main p.9 Table 2 pain intensity 12 months, HC/PT NNT column — jama_debar_2025_oi_250046_1755300121.13587.pdf.</t>
        </is>
      </c>
      <c r="D10" s="21" t="n"/>
      <c r="E10" s="21" t="inlineStr">
        <is>
          <t>statistical_results</t>
        </is>
      </c>
      <c r="F10" s="21" t="inlineStr">
        <is>
          <t>no</t>
        </is>
      </c>
      <c r="G10" s="20">
        <f>IFERROR(IF(LEN(TRIM(CLEAN(SUBSTITUTE(Setup!$B$2,CHAR(160)," "))))=0,"CHECK REVIEWER ID",IF(OR(A10="",COUNTIF($A$2:$A$19,A10)&lt;&gt;1,LEFT(A10,LEN("2025::jama.2025.11178::"))&lt;&gt;"2025::jama.2025.11178::"),"CHECK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Height="1" s="25">
      <c r="A11" s="24" t="inlineStr">
        <is>
          <t>2025::jama.2025.11178::C010</t>
        </is>
      </c>
      <c r="B11" s="24" t="inlineStr">
        <is>
          <t>SMD points outside printed confidence intervals</t>
        </is>
      </c>
      <c r="C11" s="24" t="inlineStr">
        <is>
          <t>Yes: REPORT main p.10 Table 3 — jama_debar_2025_oi_250046_1755300121.13587.pdf and p.11 PGIC-pain continuation — jama_debar_2025_oi_250046_1755300121.13587.pdf. Every one of the fourteen registered tuples was read directly; all matched the ledger.</t>
        </is>
      </c>
      <c r="D11" s="21" t="n"/>
      <c r="E11" s="21" t="inlineStr">
        <is>
          <t>statistical_results</t>
        </is>
      </c>
      <c r="F11" s="21" t="inlineStr">
        <is>
          <t>no</t>
        </is>
      </c>
      <c r="G11" s="24">
        <f>IFERROR(IF(LEN(TRIM(CLEAN(SUBSTITUTE(Setup!$B$2,CHAR(160)," "))))=0,"CHECK REVIEWER ID",IF(OR(A11="",COUNTIF($A$2:$A$19,A11)&lt;&gt;1,LEFT(A11,LEN("2025::jama.2025.11178::"))&lt;&gt;"2025::jama.2025.11178::"),"CHECK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Height="1" s="25">
      <c r="A12" s="20" t="inlineStr">
        <is>
          <t>2025::jama.2025.11178::C011</t>
        </is>
      </c>
      <c r="B12" s="20" t="inlineStr">
        <is>
          <t>Covariate set of restricted primary analyses</t>
        </is>
      </c>
      <c r="C12" s="20" t="inlineStr">
        <is>
          <t>Yes: REPORT results p.4 Adjustment — joi250046supp4_prod_1755300121.15587.pdf, p.7 eTable 2 final imputation/estimation set — joi250046supp4_prod_1755300121.15587.pdf, p.13 Protocol Change Subset Analyses — joi250046supp4_prod_1755300121.15587.pdf, p.14 eTable 8 all three blocks and footnote b — joi250046supp4_prod_1755300121.15587.pdf. Fitted education/employment terms at p.8 — joi250046supp4_prod_1755300121.15587.pdf and p.9 — joi250046supp4_prod_1755300121.15587.pdf were also read as corroboration.</t>
        </is>
      </c>
      <c r="D12" s="21" t="n"/>
      <c r="E12" s="21" t="inlineStr">
        <is>
          <t>statistical_results</t>
        </is>
      </c>
      <c r="F12" s="21" t="inlineStr">
        <is>
          <t>no</t>
        </is>
      </c>
      <c r="G12" s="20">
        <f>IFERROR(IF(LEN(TRIM(CLEAN(SUBSTITUTE(Setup!$B$2,CHAR(160)," "))))=0,"CHECK REVIEWER ID",IF(OR(A12="",COUNTIF($A$2:$A$19,A12)&lt;&gt;1,LEFT(A12,LEN("2025::jama.2025.11178::"))&lt;&gt;"2025::jama.2025.11178::"),"CHECK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Height="1" s="25">
      <c r="A13" s="24" t="inlineStr">
        <is>
          <t>2025::jama.2025.11178::C012</t>
        </is>
      </c>
      <c r="B13" s="24" t="inlineStr">
        <is>
          <t>Final response-weight model predictor membership</t>
        </is>
      </c>
      <c r="C13" s="24" t="inlineStr">
        <is>
          <t>Yes: REPORT results p.4 Adjustment/selection — joi250046supp4_prod_1755300121.15587.pdf, p.5 Non-Response Weighting — joi250046supp4_prod_1755300121.15587.pdf, p.7 eTable 2 final nonresponse predictors — joi250046supp4_prod_1755300121.15587.pdf, p.10 eTable 5 full coefficient display — joi250046supp4_prod_1755300121.15587.pdf; corroborating REPORT workbook — joi250046supp5_prod_1755300121.16087.xlsx, worksheet eTable 3, cells A18, H18, I18, J18.</t>
        </is>
      </c>
      <c r="D13" s="21" t="n"/>
      <c r="E13" s="21" t="inlineStr">
        <is>
          <t>statistical_results</t>
        </is>
      </c>
      <c r="F13" s="21" t="inlineStr">
        <is>
          <t>no</t>
        </is>
      </c>
      <c r="G13" s="24">
        <f>IFERROR(IF(LEN(TRIM(CLEAN(SUBSTITUTE(Setup!$B$2,CHAR(160)," "))))=0,"CHECK REVIEWER ID",IF(OR(A13="",COUNTIF($A$2:$A$19,A13)&lt;&gt;1,LEFT(A13,LEN("2025::jama.2025.11178::"))&lt;&gt;"2025::jama.2025.11178::"),"CHECK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Height="1" s="25">
      <c r="A14" s="20" t="inlineStr">
        <is>
          <t>2025::jama.2025.11178::C013</t>
        </is>
      </c>
      <c r="B14" s="20" t="inlineStr">
        <is>
          <t>Education coding and coefficient attribution</t>
        </is>
      </c>
      <c r="C14" s="20" t="inlineStr">
        <is>
          <t>Yes: REPORT results p.7 eTable 2 final primary predictor list — joi250046supp4_prod_1755300121.15587.pdf, p.8 eTable 3 all three education rows — joi250046supp4_prod_1755300121.15587.pdf, p.9 eTable 4 all three education rows — joi250046supp4_prod_1755300121.15587.pdf; corroborating REPORT workbook — joi250046supp5_prod_1755300121.16087.xlsx, worksheet eTable 3, cells A12:A16.</t>
        </is>
      </c>
      <c r="D14" s="21" t="n"/>
      <c r="E14" s="21" t="inlineStr">
        <is>
          <t>statistical_results</t>
        </is>
      </c>
      <c r="F14" s="21" t="inlineStr">
        <is>
          <t>no</t>
        </is>
      </c>
      <c r="G14" s="20">
        <f>IFERROR(IF(LEN(TRIM(CLEAN(SUBSTITUTE(Setup!$B$2,CHAR(160)," "))))=0,"CHECK REVIEWER ID",IF(OR(A14="",COUNTIF($A$2:$A$19,A14)&lt;&gt;1,LEFT(A14,LEN("2025::jama.2025.11178::"))&lt;&gt;"2025::jama.2025.11178::"),"CHECK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Height="1" s="25">
      <c r="A15" s="24" t="inlineStr">
        <is>
          <t>2025::jama.2025.11178::C014</t>
        </is>
      </c>
      <c r="B15" s="24" t="inlineStr">
        <is>
          <t>Coefficient CI versus P-value null-significance pattern</t>
        </is>
      </c>
      <c r="C15" s="24" t="inlineStr">
        <is>
          <t>Yes: REPORT results p.8 eTable 3 seven registered rows — joi250046supp4_prod_1755300121.15587.pdf, p.9 eTable 4 age and second AA rows — joi250046supp4_prod_1755300121.15587.pdf, p.10 eTable 5 PEG row — joi250046supp4_prod_1755300121.15587.pdf. Method context was read at results p.4 — joi250046supp4_prod_1755300121.15587.pdf, p.5 — joi250046supp4_prod_1755300121.15587.pdf, and REPORT main p.4 two-sided alpha=.05 — jama_debar_2025_oi_250046_1755300121.13587.pdf.</t>
        </is>
      </c>
      <c r="D15" s="21" t="n"/>
      <c r="E15" s="21" t="inlineStr">
        <is>
          <t>statistical_results</t>
        </is>
      </c>
      <c r="F15" s="21" t="inlineStr">
        <is>
          <t>no</t>
        </is>
      </c>
      <c r="G15" s="24">
        <f>IFERROR(IF(LEN(TRIM(CLEAN(SUBSTITUTE(Setup!$B$2,CHAR(160)," "))))=0,"CHECK REVIEWER ID",IF(OR(A15="",COUNTIF($A$2:$A$19,A15)&lt;&gt;1,LEFT(A15,LEN("2025::jama.2025.11178::"))&lt;&gt;"2025::jama.2025.11178::"),"CHECK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row r="16" ht="92" customHeight="1" s="25">
      <c r="A16" s="20" t="inlineStr">
        <is>
          <t>2025::jama.2025.11178::C015</t>
        </is>
      </c>
      <c r="B16" s="20" t="inlineStr">
        <is>
          <t>Within-header three-month subset counts</t>
        </is>
      </c>
      <c r="C16" s="20" t="inlineStr">
        <is>
          <t>Yes: REPORT results p.14 eTable 8 first subgroup header — joi250046supp4_prod_1755300121.15587.pdf; corroborating REPORT p.7 eTable 1 — joi250046supp4_prod_1755300121.15587.pdf, p.13 subset definition — joi250046supp4_prod_1755300121.15587.pdf, and the second/third headers on p.14.</t>
        </is>
      </c>
      <c r="D16" s="21" t="n"/>
      <c r="E16" s="21" t="inlineStr">
        <is>
          <t>statistical_results</t>
        </is>
      </c>
      <c r="F16" s="21" t="inlineStr">
        <is>
          <t>no</t>
        </is>
      </c>
      <c r="G16" s="20">
        <f>IFERROR(IF(LEN(TRIM(CLEAN(SUBSTITUTE(Setup!$B$2,CHAR(160)," "))))=0,"CHECK REVIEWER ID",IF(OR(A16="",COUNTIF($A$2:$A$19,A16)&lt;&gt;1,LEFT(A16,LEN("2025::jama.2025.11178::"))&lt;&gt;"2025::jama.2025.11178::"),"CHECK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n"/>
    </row>
    <row r="17" ht="92" customHeight="1" s="25">
      <c r="A17" s="24" t="inlineStr">
        <is>
          <t>2025::jama.2025.11178::C016</t>
        </is>
      </c>
      <c r="B17" s="24" t="inlineStr">
        <is>
          <t>Raw-score summary statistic and bounds in eTable 11</t>
        </is>
      </c>
      <c r="C17" s="24" t="inlineStr">
        <is>
          <t>Yes: REPORT results p.15 Additional Unadjusted Data and Analyses — joi250046supp4_prod_1755300121.15587.pdf, p.17 eTable 11 title/header and all 21 rows — joi250046supp4_prod_1755300121.15587.pdf, p.18 note b — joi250046supp4_prod_1755300121.15587.pdf; corroborating REPORT main p.11 PGIC footnotes h/i — jama_debar_2025_oi_250046_1755300121.13587.pdf.</t>
        </is>
      </c>
      <c r="D17" s="21" t="n"/>
      <c r="E17" s="21" t="inlineStr">
        <is>
          <t>statistical_results</t>
        </is>
      </c>
      <c r="F17" s="21" t="inlineStr">
        <is>
          <t>no</t>
        </is>
      </c>
      <c r="G17" s="24">
        <f>IFERROR(IF(LEN(TRIM(CLEAN(SUBSTITUTE(Setup!$B$2,CHAR(160)," "))))=0,"CHECK REVIEWER ID",IF(OR(A17="",COUNTIF($A$2:$A$19,A17)&lt;&gt;1,LEFT(A17,LEN("2025::jama.2025.11178::"))&lt;&gt;"2025::jama.2025.11178::"),"CHECK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f>IF(AND(OR(D17="retain",D17=""),OR(E17="report_internal_inconsistency",E17="plan_material")),"","not_applicable")</f>
        <v/>
      </c>
      <c r="L17" s="22">
        <f>IF(AND(OR(D17="retain",D17=""),E17="protocol_report"),"","not_applicable")</f>
        <v/>
      </c>
      <c r="M17" s="24" t="n"/>
      <c r="N17" s="23" t="n"/>
      <c r="O17" s="23" t="n"/>
      <c r="P17" s="23" t="n"/>
      <c r="Q17" s="23" t="n"/>
      <c r="R17" s="22" t="n"/>
    </row>
    <row r="18" ht="92" customHeight="1" s="25">
      <c r="A18" s="20" t="inlineStr">
        <is>
          <t>2025::jama.2025.11178::C017</t>
        </is>
      </c>
      <c r="B18" s="20" t="inlineStr">
        <is>
          <t>Workbook All Observed depression percentage</t>
        </is>
      </c>
      <c r="C18" s="20" t="inlineStr">
        <is>
          <t>Yes: supplied REPORT workbook — joi250046supp5_prod_1755300121.16087.xlsx, worksheet exactly eTable 3, E3, A82, E82, A83, E83, A110. Direct workbook.xml confirms worksheet name and worksheet relationship; direct sheet1.xml/sharedStrings.xml confirms all cells. B82/C82/D82 were also read as count-partition corroboration.</t>
        </is>
      </c>
      <c r="D18" s="21" t="n"/>
      <c r="E18" s="21" t="inlineStr">
        <is>
          <t>statistical_results</t>
        </is>
      </c>
      <c r="F18" s="21" t="inlineStr">
        <is>
          <t>no</t>
        </is>
      </c>
      <c r="G18" s="20">
        <f>IFERROR(IF(LEN(TRIM(CLEAN(SUBSTITUTE(Setup!$B$2,CHAR(160)," "))))=0,"CHECK REVIEWER ID",IF(OR(A18="",COUNTIF($A$2:$A$19,A18)&lt;&gt;1,LEFT(A18,LEN("2025::jama.2025.11178::"))&lt;&gt;"2025::jama.2025.11178::"),"CHECK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f>IF(AND(OR(D18="retain",D18=""),E18="statistical_results"),"","not_applicable")</f>
        <v/>
      </c>
      <c r="I18" s="21">
        <f>IF(AND(OR(D18="retain",D18=""),E18="statistical_results"),"","not_applicable")</f>
        <v/>
      </c>
      <c r="J18" s="22">
        <f>IF(AND(OR(D18="retain",D18=""),E18="statistical_results"),"","not_applicable")</f>
        <v/>
      </c>
      <c r="K18" s="21">
        <f>IF(AND(OR(D18="retain",D18=""),OR(E18="report_internal_inconsistency",E18="plan_material")),"","not_applicable")</f>
        <v/>
      </c>
      <c r="L18" s="22">
        <f>IF(AND(OR(D18="retain",D18=""),E18="protocol_report"),"","not_applicable")</f>
        <v/>
      </c>
      <c r="M18" s="20" t="n"/>
      <c r="N18" s="23" t="n"/>
      <c r="O18" s="23" t="n"/>
      <c r="P18" s="23" t="n"/>
      <c r="Q18" s="23" t="n"/>
      <c r="R18" s="22" t="n"/>
    </row>
    <row r="19" ht="92" customHeight="1" s="25">
      <c r="A19" s="24" t="inlineStr">
        <is>
          <t>2025::jama.2025.11178::C018</t>
        </is>
      </c>
      <c r="B19" s="24" t="inlineStr">
        <is>
          <t>Physical-function omnibus P values and contrast intervals</t>
        </is>
      </c>
      <c r="C19" s="24" t="inlineStr">
        <is>
          <t>Results supplement PDF p17, eTable 11 Physical Functioning 6 months — joi250046supp4_prod_1755300121.15587.pdf (REPORT); Results supplement PDF p17, eTable 11 Physical Functioning 12 months — joi250046supp4_prod_1755300121.15587.pdf (REPORT); Results supplement PDF p17, all other 19 eTable 11 outcome/time rows — joi250046supp4_prod_1755300121.15587.pdf (REPORT, same-display corroboration); Results supplement PDF p18, eTable 11 note b — joi250046supp4_prod_1755300121.15587.pdf (REPORT); Results supplement PDF page 15, Additional Unadjusted Data and Analyses — joi250046supp4_prod_1755300121.15587.pdf (REPORT); Main article PDF p11, Table 3 note c — jama_debar_2025_oi_250046_1755300121.13587.pdf (REPORT, corroboration only); Main article PDF p4, Statistical Analysis — jama_debar_2025_oi_250046_1755300121.13587.pdf (REPORT, corroboration only); The rendered p17 heading is unadjusted between-group mean differences (95%CI), with PT vs UC, HC vs UC and HC vs PT columns and a separately named omnibus P column. No pairwise P value is printed. The comparison does not equate raw medians with fitted means, and does not equate a single pairwise null with the omnibus null</t>
        </is>
      </c>
      <c r="D19" s="21" t="n"/>
      <c r="E19" s="21" t="inlineStr">
        <is>
          <t>statistical_results</t>
        </is>
      </c>
      <c r="F19" s="21" t="inlineStr">
        <is>
          <t>no</t>
        </is>
      </c>
      <c r="G19" s="24">
        <f>IFERROR(IF(LEN(TRIM(CLEAN(SUBSTITUTE(Setup!$B$2,CHAR(160)," "))))=0,"CHECK REVIEWER ID",IF(OR(A19="",COUNTIF($A$2:$A$19,A19)&lt;&gt;1,LEFT(A19,LEN("2025::jama.2025.11178::"))&lt;&gt;"2025::jama.2025.11178::"),"CHECK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f>IF(AND(OR(D19="retain",D19=""),E19="statistical_results"),"","not_applicable")</f>
        <v/>
      </c>
      <c r="I19" s="21">
        <f>IF(AND(OR(D19="retain",D19=""),E19="statistical_results"),"","not_applicable")</f>
        <v/>
      </c>
      <c r="J19" s="22">
        <f>IF(AND(OR(D19="retain",D19=""),E19="statistical_results"),"","not_applicable")</f>
        <v/>
      </c>
      <c r="K19" s="21">
        <f>IF(AND(OR(D19="retain",D19=""),OR(E19="report_internal_inconsistency",E19="plan_material")),"","not_applicable")</f>
        <v/>
      </c>
      <c r="L19" s="22">
        <f>IF(AND(OR(D19="retain",D19=""),E19="protocol_report"),"","not_applicable")</f>
        <v/>
      </c>
      <c r="M19" s="24" t="n"/>
      <c r="N19" s="23" t="n"/>
      <c r="O19" s="23" t="n"/>
      <c r="P19" s="23" t="n"/>
      <c r="Q19" s="23" t="n"/>
      <c r="R19" s="22" t="n"/>
    </row>
  </sheetData>
  <autoFilter ref="A1:R19"/>
  <conditionalFormatting sqref="H2:H19">
    <cfRule type="expression" priority="8" dxfId="70">
      <formula>NOT(AND(OR($D2="retain",$D2=""),$E2="statistical_results"))</formula>
    </cfRule>
  </conditionalFormatting>
  <conditionalFormatting sqref="I2:I19">
    <cfRule type="expression" priority="9" dxfId="70">
      <formula>NOT(AND(OR($D2="retain",$D2=""),$E2="statistical_results"))</formula>
    </cfRule>
  </conditionalFormatting>
  <conditionalFormatting sqref="J2:J19">
    <cfRule type="expression" priority="10" dxfId="70">
      <formula>NOT(AND(OR($D2="retain",$D2=""),$E2="statistical_results"))</formula>
    </cfRule>
  </conditionalFormatting>
  <conditionalFormatting sqref="K2:K19">
    <cfRule type="expression" priority="11" dxfId="70">
      <formula>NOT(AND(OR($D2="retain",$D2=""),OR($E2="report_internal_inconsistency",$E2="plan_material")))</formula>
    </cfRule>
  </conditionalFormatting>
  <conditionalFormatting sqref="L2:L19">
    <cfRule type="expression" priority="12" dxfId="70">
      <formula>NOT(AND(OR($D2="retain",$D2=""),$E2="protocol_report"))</formula>
    </cfRule>
  </conditionalFormatting>
  <conditionalFormatting sqref="G2:G19">
    <cfRule type="expression" priority="13" dxfId="71">
      <formula>G2&lt;&gt;"PRIMARY READY"</formula>
    </cfRule>
  </conditionalFormatting>
  <dataValidations count="8">
    <dataValidation sqref="D2:D19" showDropDown="0" showInputMessage="0" showErrorMessage="1" allowBlank="1" errorTitle="Use a listed option" error="Choose an option; G also checks pasted entries." type="list" errorStyle="stop">
      <formula1>"retain,exclude,discuss"</formula1>
    </dataValidation>
    <dataValidation sqref="E2:E1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9" showDropDown="0" showInputMessage="0" showErrorMessage="1" allowBlank="1" errorTitle="Use a listed option" error="Choose an option; G also checks pasted entries." type="list" errorStyle="stop">
      <formula1>"no,primary_done"</formula1>
    </dataValidation>
    <dataValidation sqref="H2:H1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9" showDropDown="0" showInputMessage="0" showErrorMessage="1" allowBlank="1" errorTitle="Use a listed option" error="Choose an option; G also checks pasted entries." type="list" errorStyle="stop">
      <formula1>"direct,possible,unlikely,unknown,not_applicable"</formula1>
    </dataValidation>
    <dataValidation sqref="K2:K1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7"/>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2025::jama.2025.15185::C001</t>
        </is>
      </c>
      <c r="B2" s="20" t="inlineStr">
        <is>
          <t>PROMIS-29 scalar scoring and direction are not specified</t>
        </is>
      </c>
      <c r="C2" s="20" t="inlineStr">
        <is>
          <t>jama_engelter_2025_oi_250066_1761597796.45511.pdf — p. 3, Secondary Outcomes: domain definition and direction; jama_engelter_2025_oi_250066_1761597796.45511.pdf — p. 6, Secondary Outcomes: single scalar result; joi250066supp3_prod_1761597796.4701.pdf — p. 15, eTable 4, PROMIS 29 row: corroborating scalar and adjusted result; joi250066supp1_prod_1761597796.4601.pdf — p. 70, PROMIS assessment: contextual scale description</t>
        </is>
      </c>
      <c r="D2" s="21" t="n"/>
      <c r="E2" s="21" t="inlineStr">
        <is>
          <t>statistical_results</t>
        </is>
      </c>
      <c r="F2" s="21" t="inlineStr">
        <is>
          <t>no</t>
        </is>
      </c>
      <c r="G2" s="20">
        <f>IFERROR(IF(LEN(TRIM(CLEAN(SUBSTITUTE(Setup!$B$2,CHAR(160)," "))))=0,"CHECK REVIEWER ID",IF(OR(A2="",COUNTIF($A$2:$A$7,A2)&lt;&gt;1,LEFT(A2,LEN("2025::jama.2025.15185::"))&lt;&gt;"2025::jama.2025.15185::"),"CHECK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25">
      <c r="A3" s="24" t="inlineStr">
        <is>
          <t>2025::jama.2025.15185::C002</t>
        </is>
      </c>
      <c r="B3" s="24" t="inlineStr">
        <is>
          <t>Primary analysis population changes from all randomized participants to survivors</t>
        </is>
      </c>
      <c r="C3" s="24" t="inlineStr">
        <is>
          <t>joi250066supp1_prod_1761597796.4601.pdf — p. 86, §§11.4.1–11.4.2: FAS and primary assignment; joi250066supp1_prod_1761597796.4601.pdf — p. 87, §11.5: missing-data rule; joi250066supp2_prod_1761597796.4701.pdf — p. 4, §3.2 and footnote: deceased participants' contribution; joi250066supp2_prod_1761597796.4701.pdf — p. 6, §4.3: primary/supportive status; joi250066supp2_prod_1761597796.4701.pdf — p. 7, §§4.3.1–4.3.3: primary versus death-inclusive strategy; jama_engelter_2025_oi_250066_1761597796.45511.pdf — p. 4, Statistical Analyses: survivor-primary rule; jama_engelter_2025_oi_250066_1761597796.45511.pdf — p. 5, flow and SAP explanation: participant totals and timing; joi250066supp3_prod_1761597796.4701.pdf — p. 12, population definitions: primary death exclusion; joi250066supp3_prod_1761597796.4701.pdf — p. 13, eTable 2, estimands 1, 3 and 4: primary and death-inclusive results</t>
        </is>
      </c>
      <c r="D3" s="21" t="n"/>
      <c r="E3" s="21" t="inlineStr">
        <is>
          <t>protocol_report</t>
        </is>
      </c>
      <c r="F3" s="21" t="inlineStr">
        <is>
          <t>no</t>
        </is>
      </c>
      <c r="G3" s="24">
        <f>IFERROR(IF(LEN(TRIM(CLEAN(SUBSTITUTE(Setup!$B$2,CHAR(160)," "))))=0,"CHECK REVIEWER ID",IF(OR(A3="",COUNTIF($A$2:$A$7,A3)&lt;&gt;1,LEFT(A3,LEN("2025::jama.2025.15185::"))&lt;&gt;"2025::jama.2025.15185::"),"CHECK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25">
      <c r="A4" s="20" t="inlineStr">
        <is>
          <t>2025::jama.2025.15185::C003</t>
        </is>
      </c>
      <c r="B4" s="20" t="inlineStr">
        <is>
          <t>Primary mixed-model terms are absent from the implemented linear model</t>
        </is>
      </c>
      <c r="C4" s="20" t="inlineStr">
        <is>
          <t>joi250066supp1_prod_1761597796.4601.pdf — p. 56, statistical synopsis: final mixed-model summary; joi250066supp1_prod_1761597796.4601.pdf — p. 86, §11.4.2: final primary formula/variance structure; joi250066supp2_prod_1761597796.4701.pdf — p. 10, §5.2: baseline/treatment linear model; jama_engelter_2025_oi_250066_1761597796.45511.pdf — p. 4, Statistical Analyses: reported model; jama_engelter_2025_oi_250066_1761597796.45511.pdf — p. 5, alignment explanation: SAP timing and alignment context; jama_engelter_2025_oi_250066_1761597796.45511.pdf — p. 6, Primary Outcome: affected primary result; joi250066supp5_prod_1761597796.4751.pdf — p. 1, code lines 19–26 and 31–32: explicit implementation and pooling; joi250066supp1_prod_1761597796.4601.pdf — p. 10, earlier synopsis: historical center-term context; joi250066supp1_prod_1761597796.4601.pdf — p. 39, earlier §11.4.2: historical center-term context</t>
        </is>
      </c>
      <c r="D4" s="21" t="n"/>
      <c r="E4" s="21" t="inlineStr">
        <is>
          <t>protocol_report</t>
        </is>
      </c>
      <c r="F4" s="21" t="inlineStr">
        <is>
          <t>no</t>
        </is>
      </c>
      <c r="G4" s="20">
        <f>IFERROR(IF(LEN(TRIM(CLEAN(SUBSTITUTE(Setup!$B$2,CHAR(160)," "))))=0,"CHECK REVIEWER ID",IF(OR(A4="",COUNTIF($A$2:$A$7,A4)&lt;&gt;1,LEFT(A4,LEN("2025::jama.2025.15185::"))&lt;&gt;"2025::jama.2025.15185::"),"CHECK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25">
      <c r="A5" s="24" t="inlineStr">
        <is>
          <t>2025::jama.2025.15185::C004</t>
        </is>
      </c>
      <c r="B5" s="24" t="inlineStr">
        <is>
          <t>Secondary missing-data procedures differ from the SAP rule</t>
        </is>
      </c>
      <c r="C5" s="24" t="inlineStr">
        <is>
          <t>joi250066supp2_prod_1761597796.4701.pdf — p. 5, §4.2: secondary-outcome status; joi250066supp2_prod_1761597796.4701.pdf — p. 11, §6: general imputation rule; jama_engelter_2025_oi_250066_1761597796.45511.pdf — p. 5, secondary methods: reported nonimputation; jama_engelter_2025_oi_250066_1761597796.45511.pdf — p. 6, mRS/PRAI results: affected outcomes; joi250066supp3_prod_1761597796.4701.pdf — p. 7, deviations: mRS death assignment and PRAI exception; joi250066supp3_prod_1761597796.4701.pdf — p. 15, eTable 4: mRS/PRAI results and populations</t>
        </is>
      </c>
      <c r="D5" s="21" t="n"/>
      <c r="E5" s="21" t="inlineStr">
        <is>
          <t>protocol_report</t>
        </is>
      </c>
      <c r="F5" s="21" t="inlineStr">
        <is>
          <t>no</t>
        </is>
      </c>
      <c r="G5" s="24">
        <f>IFERROR(IF(LEN(TRIM(CLEAN(SUBSTITUTE(Setup!$B$2,CHAR(160)," "))))=0,"CHECK REVIEWER ID",IF(OR(A5="",COUNTIF($A$2:$A$7,A5)&lt;&gt;1,LEFT(A5,LEN("2025::jama.2025.15185::"))&lt;&gt;"2025::jama.2025.15185::"),"CHECK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25">
      <c r="A6" s="20" t="inlineStr">
        <is>
          <t>2025::jama.2025.15185::C005</t>
        </is>
      </c>
      <c r="B6" s="20" t="inlineStr">
        <is>
          <t>Planned primary-endpoint supplementary analyses are not identified in the report</t>
        </is>
      </c>
      <c r="C6" s="20" t="inlineStr">
        <is>
          <t>joi250066supp1_prod_1761597796.4601.pdf — p. 86, §§11.4.1 and 11.4.3: primary sensitivities and bounded PP context; joi250066supp2_prod_1761597796.4701.pdf — p. 11, §7: center interaction model; joi250066supp2_prod_1761597796.4701.pdf — p. 12, §7.2: seven-variable subgroup package; joi250066supp2_prod_1761597796.4701.pdf — p. 15, addendum: subgroup directions and median splits; jama_engelter_2025_oi_250066_1761597796.45511.pdf — p. 4, supplementary/post hoc estimands: reported analysis and adherence context; jama_engelter_2025_oi_250066_1761597796.45511.pdf — p. 5, subgroup/center/spline methods: related reported analyses and prespecification statement; jama_engelter_2025_oi_250066_1761597796.45511.pdf — p. 6, primary/sensitivity results: affected primary analysis package; jama_engelter_2025_oi_250066_1761597796.45511.pdf — p. 7, Additional Post Hoc Analyses: baseline analyses; joi250066supp3_prod_1761597796.4701.pdf — p. 1, complete display index: nine eTables and seven eFigures; joi250066supp3_prod_1761597796.4701.pdf — p. 13, eTable 2: eight prespecified estimands; joi250066supp3_prod_1761597796.4701.pdf — p. 14, eTable 3: post hoc estimands; joi250066supp3_prod_1761597796.4701.pdf — p. 18, eTables 7–8: baseline interaction/spline models; joi250066supp3_prod_1761597796.4701.pdf — p. 25, eFigure 5: center graph; joi250066supp3_prod_1761597796.4701.pdf — p. 27, eFigure 7: post hoc forest</t>
        </is>
      </c>
      <c r="D6" s="21" t="n"/>
      <c r="E6" s="21" t="inlineStr">
        <is>
          <t>protocol_report</t>
        </is>
      </c>
      <c r="F6" s="21" t="inlineStr">
        <is>
          <t>no</t>
        </is>
      </c>
      <c r="G6" s="20">
        <f>IFERROR(IF(LEN(TRIM(CLEAN(SUBSTITUTE(Setup!$B$2,CHAR(160)," "))))=0,"CHECK REVIEWER ID",IF(OR(A6="",COUNTIF($A$2:$A$7,A6)&lt;&gt;1,LEFT(A6,LEN("2025::jama.2025.15185::"))&lt;&gt;"2025::jama.2025.15185::"),"CHECK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25">
      <c r="A7" s="24" t="inlineStr">
        <is>
          <t>2025::jama.2025.15185::C006</t>
        </is>
      </c>
      <c r="B7" s="24" t="inlineStr">
        <is>
          <t>Serious-event hierarchy counts do not reconcile with their parent totals</t>
        </is>
      </c>
      <c r="C7" s="24" t="inlineStr">
        <is>
          <t>jama_engelter_2025_oi_250066_1761597796.45511.pdf — p. 6, Table 2, levodopa serious-event parent and all 13 top-level category rows; jama_engelter_2025_oi_250066_1761597796.45511.pdf — p. 6, Table 2, placebo infection parent and all six infection subtype rows; jama_engelter_2025_oi_250066_1761597796.45511.pdf — p. 6, Adverse Events narrative and table notes: corroborating event totals and unit context</t>
        </is>
      </c>
      <c r="D7" s="21" t="n"/>
      <c r="E7" s="21" t="inlineStr">
        <is>
          <t>statistical_results</t>
        </is>
      </c>
      <c r="F7" s="21" t="inlineStr">
        <is>
          <t>no</t>
        </is>
      </c>
      <c r="G7" s="24">
        <f>IFERROR(IF(LEN(TRIM(CLEAN(SUBSTITUTE(Setup!$B$2,CHAR(160)," "))))=0,"CHECK REVIEWER ID",IF(OR(A7="",COUNTIF($A$2:$A$7,A7)&lt;&gt;1,LEFT(A7,LEN("2025::jama.2025.15185::"))&lt;&gt;"2025::jama.2025.15185::"),"CHECK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2025::jama.2025.15440::C001</t>
        </is>
      </c>
      <c r="B2" s="20" t="inlineStr">
        <is>
          <t>Age-under-75 subgroup power does not reconcile with a reproducing same-table calculation</t>
        </is>
      </c>
      <c r="C2" s="20" t="inlineStr">
        <is>
          <t>joi250068supp1_prod_1760999665.28862.pdf — Protocol, PDF p. 22, Table 4, age &lt;75 row, rightmost “Power for total of 5000, 2p&lt;0.01” cell; all input and other-power comparison cells in the same Table 4. Contextual design support only: joi250068supp1_prod_1760999665.28862.pdf — protocol, PDF p. 20, Table 2, continuity-corrected sample-size heading, and joi250068supp1_prod_1760999665.28862.pdf — protocol, PDF p. 21, Table 3, whole-trial power design.</t>
        </is>
      </c>
      <c r="D2" s="21" t="n"/>
      <c r="E2" s="21" t="inlineStr">
        <is>
          <t>plan_material</t>
        </is>
      </c>
      <c r="F2" s="21" t="inlineStr">
        <is>
          <t>no</t>
        </is>
      </c>
      <c r="G2" s="20">
        <f>IFERROR(IF(LEN(TRIM(CLEAN(SUBSTITUTE(Setup!$B$2,CHAR(160)," "))))=0,"CHECK REVIEWER ID",IF(OR(A2="",COUNTIF($A$2:$A$2,A2)&lt;&gt;1,LEFT(A2,LEN("2025::jama.2025.15440::"))&lt;&gt;"2025::jama.2025.15440::"),"CHECK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sheetData>
  <autoFilter ref="A1:R2"/>
  <conditionalFormatting sqref="H2">
    <cfRule type="expression" priority="8" dxfId="70">
      <formula>NOT(AND(OR($D2="retain",$D2=""),$E2="statistical_results"))</formula>
    </cfRule>
  </conditionalFormatting>
  <conditionalFormatting sqref="I2">
    <cfRule type="expression" priority="9" dxfId="70">
      <formula>NOT(AND(OR($D2="retain",$D2=""),$E2="statistical_results"))</formula>
    </cfRule>
  </conditionalFormatting>
  <conditionalFormatting sqref="J2">
    <cfRule type="expression" priority="10" dxfId="70">
      <formula>NOT(AND(OR($D2="retain",$D2=""),$E2="statistical_results"))</formula>
    </cfRule>
  </conditionalFormatting>
  <conditionalFormatting sqref="K2">
    <cfRule type="expression" priority="11" dxfId="70">
      <formula>NOT(AND(OR($D2="retain",$D2=""),OR($E2="report_internal_inconsistency",$E2="plan_material")))</formula>
    </cfRule>
  </conditionalFormatting>
  <conditionalFormatting sqref="L2">
    <cfRule type="expression" priority="12" dxfId="70">
      <formula>NOT(AND(OR($D2="retain",$D2=""),$E2="protocol_report"))</formula>
    </cfRule>
  </conditionalFormatting>
  <conditionalFormatting sqref="G2">
    <cfRule type="expression" priority="13" dxfId="71">
      <formula>G2&lt;&gt;"PRIMARY READY"</formula>
    </cfRule>
  </conditionalFormatting>
  <dataValidations count="8">
    <dataValidation sqref="D2" showDropDown="0" showInputMessage="0" showErrorMessage="1" allowBlank="1" errorTitle="Use a listed option" error="Choose an option; G also checks pasted entries." type="list" errorStyle="stop">
      <formula1>"retain,exclude,discuss"</formula1>
    </dataValidation>
    <dataValidation sqref="E2"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 showDropDown="0" showInputMessage="0" showErrorMessage="1" allowBlank="1" errorTitle="Use a listed option" error="Choose an option; G also checks pasted entries." type="list" errorStyle="stop">
      <formula1>"no,primary_done"</formula1>
    </dataValidation>
    <dataValidation sqref="H2"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 showDropDown="0" showInputMessage="0" showErrorMessage="1" allowBlank="1" errorTitle="Use a listed option" error="Choose an option; G also checks pasted entries." type="list" errorStyle="stop">
      <formula1>"substantive,minor_presentation,indeterminate,not_applicable"</formula1>
    </dataValidation>
    <dataValidation sqref="J2" showDropDown="0" showInputMessage="0" showErrorMessage="1" allowBlank="1" errorTitle="Use a listed option" error="Choose an option; G also checks pasted entries." type="list" errorStyle="stop">
      <formula1>"direct,possible,unlikely,unknown,not_applicable"</formula1>
    </dataValidation>
    <dataValidation sqref="K2"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7"/>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2025::jama.2025.16450::C001</t>
        </is>
      </c>
      <c r="B2" s="20" t="inlineStr">
        <is>
          <t>Moderate-hyperglycemia qualification pathway differs across report and plan descriptions</t>
        </is>
      </c>
      <c r="C2" s="20" t="inlineStr">
        <is>
          <t>jama_ambalavanan_2025_oi_250072_1761000786.6838.pdf — Main PDF p. 1, abstract; jama_ambalavanan_2025_oi_250072_1761000786.6838.pdf — main PDF p. 3, Outcomes; jama_ambalavanan_2025_oi_250072_1761000786.6838.pdf — main PDF p. 6, Safety Outcomes; joi250072supp4_prod_1761000786.6988.pdf — results PDF p. 5, eTable 3 hyperglycemia; joi250072supp2_prod_1761000786.6938.pdf — manual PDF p. 39, moderate, severe and life-threatening hyperglycemia narrative; joi250072supp2_prod_1761000786.6938.pdf — manual PDF p. 59, Appendix A hyperglycemia row; joi250072supp3_prod_1761000786.6988.pdf — SAP PDF p. 11, §3.2.4.1.</t>
        </is>
      </c>
      <c r="D2" s="21" t="n"/>
      <c r="E2" s="21" t="inlineStr">
        <is>
          <t>protocol_report</t>
        </is>
      </c>
      <c r="F2" s="21" t="inlineStr">
        <is>
          <t>no</t>
        </is>
      </c>
      <c r="G2" s="20">
        <f>IFERROR(IF(LEN(TRIM(CLEAN(SUBSTITUTE(Setup!$B$2,CHAR(160)," "))))=0,"CHECK REVIEWER ID",IF(OR(A2="",COUNTIF($A$2:$A$7,A2)&lt;&gt;1,LEFT(A2,LEN("2025::jama.2025.16450::"))&lt;&gt;"2025::jama.2025.16450::"),"CHECK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25">
      <c r="A3" s="24" t="inlineStr">
        <is>
          <t>2025::jama.2025.16450::C002</t>
        </is>
      </c>
      <c r="B3" s="24" t="inlineStr">
        <is>
          <t>Reported BPD-severity contrasts differ from the planned ordinal model</t>
        </is>
      </c>
      <c r="C3" s="24" t="inlineStr">
        <is>
          <t>jama_ambalavanan_2025_oi_250072_1761000786.6838.pdf — Main PDF p. 3, secondary/exploratory BPD outcomes; jama_ambalavanan_2025_oi_250072_1761000786.6838.pdf — main PDF p. 8, Table 3 severity rows and footnote a; joi250072supp1_prod_1761000786.68881.pdf — protocol PDF p. 21, ordered severity outcomes; joi250072supp1_prod_1761000786.68881.pdf — protocol PDF p. 25, §5.1; joi250072supp3_prod_1761000786.6988.pdf — SAP PDF p. 32, pragmatic ordinal outcome; joi250072supp3_prod_1761000786.6988.pdf — SAP PDF p. 33, pragmatic coding; joi250072supp3_prod_1761000786.6988.pdf — SAP PDF p. 34, NIH ordinal outcome; joi250072supp3_prod_1761000786.6988.pdf — SAP PDF p. 35, NIH coding; joi250072supp3_prod_1761000786.6988.pdf — SAP PDF p. 39, §9.5.</t>
        </is>
      </c>
      <c r="D3" s="21" t="n"/>
      <c r="E3" s="21" t="inlineStr">
        <is>
          <t>protocol_report</t>
        </is>
      </c>
      <c r="F3" s="21" t="inlineStr">
        <is>
          <t>no</t>
        </is>
      </c>
      <c r="G3" s="24">
        <f>IFERROR(IF(LEN(TRIM(CLEAN(SUBSTITUTE(Setup!$B$2,CHAR(160)," "))))=0,"CHECK REVIEWER ID",IF(OR(A3="",COUNTIF($A$2:$A$7,A3)&lt;&gt;1,LEFT(A3,LEN("2025::jama.2025.16450::"))&lt;&gt;"2025::jama.2025.16450::"),"CHECK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25">
      <c r="A4" s="20" t="inlineStr">
        <is>
          <t>2025::jama.2025.16450::C003</t>
        </is>
      </c>
      <c r="B4" s="20" t="inlineStr">
        <is>
          <t>Prespecified primary-analysis outputs are absent or displayed with different definitions</t>
        </is>
      </c>
      <c r="C4" s="20" t="inlineStr">
        <is>
          <t>joi250072supp1_prod_1761000786.68881.pdf — Protocol PDF p. 25, §5.1 treatment-received analyses; joi250072supp3_prod_1761000786.6988.pdf — SAP PDF p. 22, §5 population definitions; joi250072supp3_prod_1761000786.6988.pdf — SAP PDF p. 29, §7.7 interactions; joi250072supp3_prod_1761000786.6988.pdf — SAP PDF p. 36, §9.3 response coding; joi250072supp3_prod_1761000786.6988.pdf — SAP PDF p. 37, coding and sample model; joi250072supp3_prod_1761000786.6988.pdf — SAP PDF p. 38, §§9.4.1–9.4.2; jama_ambalavanan_2025_oi_250072_1761000786.6838.pdf — main PDF p. 3, statistical analysis; jama_ambalavanan_2025_oi_250072_1761000786.6838.pdf — main PDF p. 4, Figure 1 and footnotes f/j; jama_ambalavanan_2025_oi_250072_1761000786.6838.pdf — main PDF p. 7, Table 2 and sensitivity/subgroup text; jama_ambalavanan_2025_oi_250072_1761000786.6838.pdf — main PDF p. 9, Figure 2, caption and footnote a; joi250072supp4_prod_1761000786.6988.pdf — results PDF p. 2, eTable 1. The absence comparison covers all main PDF pages 1–11 and all results PDF pages 1–16, including all eight supplementary tables, rather than only these displayed anchors.</t>
        </is>
      </c>
      <c r="D4" s="21" t="n"/>
      <c r="E4" s="21" t="inlineStr">
        <is>
          <t>protocol_report</t>
        </is>
      </c>
      <c r="F4" s="21" t="inlineStr">
        <is>
          <t>no</t>
        </is>
      </c>
      <c r="G4" s="20">
        <f>IFERROR(IF(LEN(TRIM(CLEAN(SUBSTITUTE(Setup!$B$2,CHAR(160)," "))))=0,"CHECK REVIEWER ID",IF(OR(A4="",COUNTIF($A$2:$A$7,A4)&lt;&gt;1,LEFT(A4,LEN("2025::jama.2025.16450::"))&lt;&gt;"2025::jama.2025.16450::"),"CHECK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25">
      <c r="A5" s="24" t="inlineStr">
        <is>
          <t>2025::jama.2025.16450::C004</t>
        </is>
      </c>
      <c r="B5" s="24" t="inlineStr">
        <is>
          <t>Historical Grade 3 BPD count and percentage do not reconcile in one protocol cell</t>
        </is>
      </c>
      <c r="C5" s="24" t="inlineStr">
        <is>
          <t>joi250072supp1_prod_1761000786.68881.pdf — Protocol PDF p. 12, Table 2, NICHD BPD Workshop Grading 2018: Grade 3 surfactant cell, combination comparator, Grade 3-or-death, Death, No BPD, Grade 1 and Grade 2.</t>
        </is>
      </c>
      <c r="D5" s="21" t="n"/>
      <c r="E5" s="21" t="inlineStr">
        <is>
          <t>plan_material</t>
        </is>
      </c>
      <c r="F5" s="21" t="inlineStr">
        <is>
          <t>no</t>
        </is>
      </c>
      <c r="G5" s="24">
        <f>IFERROR(IF(LEN(TRIM(CLEAN(SUBSTITUTE(Setup!$B$2,CHAR(160)," "))))=0,"CHECK REVIEWER ID",IF(OR(A5="",COUNTIF($A$2:$A$7,A5)&lt;&gt;1,LEFT(A5,LEN("2025::jama.2025.16450::"))&lt;&gt;"2025::jama.2025.16450::"),"CHECK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25">
      <c r="A6" s="20" t="inlineStr">
        <is>
          <t>2025::jama.2025.16450::C005</t>
        </is>
      </c>
      <c r="B6" s="20" t="inlineStr">
        <is>
          <t>One nasal-cannula factor cell differs from the reproducible table relationship</t>
        </is>
      </c>
      <c r="C6" s="20" t="inlineStr">
        <is>
          <t>joi250072supp2_prod_1761000786.6938.pdf — Manual PDF p. 152, Appendix J Table 1: 0.125 LPM/1⁄8 LPM by 2.5 kg cell, all other 143 factor cells and nearest-input instructions; joi250072supp2_prod_1761000786.6938.pdf — manual PDF p. 154, Table 2: factor 4 and factor 5 at 100% oxygen.</t>
        </is>
      </c>
      <c r="D6" s="21" t="n"/>
      <c r="E6" s="21" t="inlineStr">
        <is>
          <t>plan_material</t>
        </is>
      </c>
      <c r="F6" s="21" t="inlineStr">
        <is>
          <t>no</t>
        </is>
      </c>
      <c r="G6" s="20">
        <f>IFERROR(IF(LEN(TRIM(CLEAN(SUBSTITUTE(Setup!$B$2,CHAR(160)," "))))=0,"CHECK REVIEWER ID",IF(OR(A6="",COUNTIF($A$2:$A$7,A6)&lt;&gt;1,LEFT(A6,LEN("2025::jama.2025.16450::"))&lt;&gt;"2025::jama.2025.16450::"),"CHECK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25">
      <c r="A7" s="24" t="inlineStr">
        <is>
          <t>2025::jama.2025.16450::C006</t>
        </is>
      </c>
      <c r="B7" s="24" t="inlineStr">
        <is>
          <t>Sparse intervals described as exact reproduce a log-Wald pattern</t>
        </is>
      </c>
      <c r="C7" s="24" t="inlineStr">
        <is>
          <t>joi250072supp4_prod_1761000786.6988.pdf — Results PDF p. 5, eTable 3: AE endotracheal tube blockage, AE prolonged hypoxemia/bradycardia, SAE endotracheal tube blockage, SAE prolonged hypoxemia/bradycardia; joi250072supp4_prod_1761000786.6988.pdf — results PDF p. 6, eTable 3: SAE hyperglycemia, early-onset sepsis, late-onset sepsis and footnote b; joi250072supp4_prod_1761000786.6988.pdf — results PDF p. 7, eTable 4: PDA managed with surgery/cardiac catheterization; joi250072supp4_prod_1761000786.6988.pdf — results PDF p. 8, eTable 4 footnote b and nonmissing-denominator definition.</t>
        </is>
      </c>
      <c r="D7" s="21" t="n"/>
      <c r="E7" s="21" t="inlineStr">
        <is>
          <t>statistical_results</t>
        </is>
      </c>
      <c r="F7" s="21" t="inlineStr">
        <is>
          <t>no</t>
        </is>
      </c>
      <c r="G7" s="24">
        <f>IFERROR(IF(LEN(TRIM(CLEAN(SUBSTITUTE(Setup!$B$2,CHAR(160)," "))))=0,"CHECK REVIEWER ID",IF(OR(A7="",COUNTIF($A$2:$A$7,A7)&lt;&gt;1,LEFT(A7,LEN("2025::jama.2025.16450::"))&lt;&gt;"2025::jama.2025.16450::"),"CHECK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4"/>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2025::jama.2025.19563::C001</t>
        </is>
      </c>
      <c r="B2" s="20" t="inlineStr">
        <is>
          <t>Added diabetes-range HbA1c primary-composite disqualifier</t>
        </is>
      </c>
      <c r="C2" s="20" t="inlineStr">
        <is>
          <t>joi250084supp1_prod_1765403089.61351.pdf — DOC-002 p6 synopsis; joi250084supp1_prod_1765403089.61351.pdf — p15 §3.2; joi250084supp1_prod_1765403089.61351.pdf — p86 incident-diabetes SAP-change row; jama_mathioudakis_2025_oi_250084_1765403089.60451.pdf — main p3 Outcomes; jama_mathioudakis_2025_oi_250084_1765403089.60451.pdf — p4 Primary Analysis; joi250084supp2_prod_1765403089.61751.pdf — DOC-003 p29 eTable13 method begins; joi250084supp2_prod_1765403089.61751.pdf — p30 method continuation; joi250084supp2_prod_1765403089.61751.pdf — p56 eTable13</t>
        </is>
      </c>
      <c r="D2" s="21" t="n"/>
      <c r="E2" s="21" t="inlineStr">
        <is>
          <t>protocol_report</t>
        </is>
      </c>
      <c r="F2" s="21" t="inlineStr">
        <is>
          <t>no</t>
        </is>
      </c>
      <c r="G2" s="20">
        <f>IFERROR(IF(LEN(TRIM(CLEAN(SUBSTITUTE(Setup!$B$2,CHAR(160)," "))))=0,"CHECK REVIEWER ID",IF(OR(A2="",COUNTIF($A$2:$A$14,A2)&lt;&gt;1,LEFT(A2,LEN("2025::jama.2025.19563::"))&lt;&gt;"2025::jama.2025.19563::"),"CHECK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25">
      <c r="A3" s="24" t="inlineStr">
        <is>
          <t>2025::jama.2025.19563::C002</t>
        </is>
      </c>
      <c r="B3" s="24" t="inlineStr">
        <is>
          <t>Primary PA window and endpoint-specific mapping</t>
        </is>
      </c>
      <c r="C3" s="24" t="inlineStr">
        <is>
          <t>joi250084supp1_prod_1765403089.61351.pdf — DOC-002 p6 synopsis; joi250084supp1_prod_1765403089.61351.pdf — p15 §3.2; joi250084supp1_prod_1765403089.61351.pdf — p80 version 1.4 amendment begins; joi250084supp1_prod_1765403089.61351.pdf — p81 continuation; jama_mathioudakis_2025_oi_250084_1765403089.60451.pdf — main p3 primary branch; jama_mathioudakis_2025_oi_250084_1765403089.60451.pdf — p7 Figure2; joi250084supp2_prod_1765403089.61751.pdf — DOC-003 p13 Aggregation; joi250084supp2_prod_1765403089.61751.pdf — p49 postbaseline assessments</t>
        </is>
      </c>
      <c r="D3" s="21" t="n"/>
      <c r="E3" s="21" t="inlineStr">
        <is>
          <t>protocol_report</t>
        </is>
      </c>
      <c r="F3" s="21" t="inlineStr">
        <is>
          <t>no</t>
        </is>
      </c>
      <c r="G3" s="24">
        <f>IFERROR(IF(LEN(TRIM(CLEAN(SUBSTITUTE(Setup!$B$2,CHAR(160)," "))))=0,"CHECK REVIEWER ID",IF(OR(A3="",COUNTIF($A$2:$A$14,A3)&lt;&gt;1,LEFT(A3,LEN("2025::jama.2025.19563::"))&lt;&gt;"2025::jama.2025.19563::"),"CHECK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25">
      <c r="A4" s="20" t="inlineStr">
        <is>
          <t>2025::jama.2025.19563::C003</t>
        </is>
      </c>
      <c r="B4" s="20" t="inlineStr">
        <is>
          <t>Primary HbA1c branch restricted to baseline subset</t>
        </is>
      </c>
      <c r="C4" s="20" t="inlineStr">
        <is>
          <t>joi250084supp1_prod_1765403089.61351.pdf — DOC-002 p15 original §3.2; joi250084supp1_prod_1765403089.61351.pdf — p80 version 1.4 modification begins; joi250084supp1_prod_1765403089.61351.pdf — p81 subset and eligibility continuation; jama_mathioudakis_2025_oi_250084_1765403089.60451.pdf — main p3 Outcomes; jama_mathioudakis_2025_oi_250084_1765403089.60451.pdf — p7 Figure2 row/footnote</t>
        </is>
      </c>
      <c r="D4" s="21" t="n"/>
      <c r="E4" s="21" t="inlineStr">
        <is>
          <t>protocol_report</t>
        </is>
      </c>
      <c r="F4" s="21" t="inlineStr">
        <is>
          <t>no</t>
        </is>
      </c>
      <c r="G4" s="20">
        <f>IFERROR(IF(LEN(TRIM(CLEAN(SUBSTITUTE(Setup!$B$2,CHAR(160)," "))))=0,"CHECK REVIEWER ID",IF(OR(A4="",COUNTIF($A$2:$A$14,A4)&lt;&gt;1,LEFT(A4,LEN("2025::jama.2025.19563::"))&lt;&gt;"2025::jama.2025.19563::"),"CHECK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25">
      <c r="A5" s="24" t="inlineStr">
        <is>
          <t>2025::jama.2025.19563::C004</t>
        </is>
      </c>
      <c r="B5" s="24" t="inlineStr">
        <is>
          <t>Primary exclusions replaced by all-randomized failure assignment</t>
        </is>
      </c>
      <c r="C5" s="24" t="inlineStr">
        <is>
          <t>joi250084supp1_prod_1765403089.61351.pdf — DOC-002 p37 §9.3; joi250084supp1_prod_1765403089.61351.pdf — p86 first SAP-change row; jama_mathioudakis_2025_oi_250084_1765403089.60451.pdf — main p4 primary methods/results; jama_mathioudakis_2025_oi_250084_1765403089.60451.pdf — p5 Figure1; joi250084supp2_prod_1765403089.61751.pdf — DOC-003 p27 primary cohort; joi250084supp2_prod_1765403089.61751.pdf — p50 eTable8c</t>
        </is>
      </c>
      <c r="D5" s="21" t="n"/>
      <c r="E5" s="21" t="inlineStr">
        <is>
          <t>protocol_report</t>
        </is>
      </c>
      <c r="F5" s="21" t="inlineStr">
        <is>
          <t>no</t>
        </is>
      </c>
      <c r="G5" s="24">
        <f>IFERROR(IF(LEN(TRIM(CLEAN(SUBSTITUTE(Setup!$B$2,CHAR(160)," "))))=0,"CHECK REVIEWER ID",IF(OR(A5="",COUNTIF($A$2:$A$14,A5)&lt;&gt;1,LEFT(A5,LEN("2025::jama.2025.19563::"))&lt;&gt;"2025::jama.2025.19563::"),"CHECK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25">
      <c r="A6" s="20" t="inlineStr">
        <is>
          <t>2025::jama.2025.19563::C005</t>
        </is>
      </c>
      <c r="B6" s="20" t="inlineStr">
        <is>
          <t>Clustered logistic primary model replaced by binomial RD regression</t>
        </is>
      </c>
      <c r="C6" s="20" t="inlineStr">
        <is>
          <t>joi250084supp1_prod_1765403089.61351.pdf — DOC-002 p37 §9.4.1; joi250084supp1_prod_1765403089.61351.pdf — p38 §9.4.7; joi250084supp1_prod_1765403089.61351.pdf — p86 model change; jama_mathioudakis_2025_oi_250084_1765403089.60451.pdf — main p4 primary model and sensitivity 5; joi250084supp2_prod_1765403089.61751.pdf — DOC-003 p31 cluster methods; joi250084supp2_prod_1765403089.61751.pdf — p62 eTables19a–b</t>
        </is>
      </c>
      <c r="D6" s="21" t="n"/>
      <c r="E6" s="21" t="inlineStr">
        <is>
          <t>protocol_report</t>
        </is>
      </c>
      <c r="F6" s="21" t="inlineStr">
        <is>
          <t>no</t>
        </is>
      </c>
      <c r="G6" s="20">
        <f>IFERROR(IF(LEN(TRIM(CLEAN(SUBSTITUTE(Setup!$B$2,CHAR(160)," "))))=0,"CHECK REVIEWER ID",IF(OR(A6="",COUNTIF($A$2:$A$14,A6)&lt;&gt;1,LEFT(A6,LEN("2025::jama.2025.19563::"))&lt;&gt;"2025::jama.2025.19563::"),"CHECK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25">
      <c r="A7" s="24" t="inlineStr">
        <is>
          <t>2025::jama.2025.19563::C006</t>
        </is>
      </c>
      <c r="B7" s="24" t="inlineStr">
        <is>
          <t>Primary PA missing-data procedure and linked sensitivity replaced</t>
        </is>
      </c>
      <c r="C7" s="24" t="inlineStr">
        <is>
          <t>joi250084supp1_prod_1765403089.61351.pdf — DOC-002 p38 §9.4.2; joi250084supp1_prod_1765403089.61351.pdf — p39 §9.4.8 continuation; joi250084supp1_prod_1765403089.61351.pdf — p86 missing-PA change; jama_mathioudakis_2025_oi_250084_1765403089.60451.pdf — main p4 sensitivities; joi250084supp2_prod_1765403089.61751.pdf — DOC-003 p13 PA processing; joi250084supp2_prod_1765403089.61751.pdf — p30 eTables16–18 descriptions; joi250084supp2_prod_1765403089.61751.pdf — p49 eTable8b; joi250084supp2_prod_1765403089.61751.pdf — p59 MI sensitivity; joi250084supp2_prod_1765403089.61751.pdf — p60 MNAR sensitivity; joi250084supp2_prod_1765403089.61751.pdf — p61 two PA sensitivities</t>
        </is>
      </c>
      <c r="D7" s="21" t="n"/>
      <c r="E7" s="21" t="inlineStr">
        <is>
          <t>protocol_report</t>
        </is>
      </c>
      <c r="F7" s="21" t="inlineStr">
        <is>
          <t>no</t>
        </is>
      </c>
      <c r="G7" s="24">
        <f>IFERROR(IF(LEN(TRIM(CLEAN(SUBSTITUTE(Setup!$B$2,CHAR(160)," "))))=0,"CHECK REVIEWER ID",IF(OR(A7="",COUNTIF($A$2:$A$14,A7)&lt;&gt;1,LEFT(A7,LEN("2025::jama.2025.19563::"))&lt;&gt;"2025::jama.2025.19563::"),"CHECK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25">
      <c r="A8" s="20" t="inlineStr">
        <is>
          <t>2025::jama.2025.19563::C007</t>
        </is>
      </c>
      <c r="B8" s="20" t="inlineStr">
        <is>
          <t>Program-completer analysis replaced by complete-data/no-medication cohort</t>
        </is>
      </c>
      <c r="C8" s="20" t="inlineStr">
        <is>
          <t>joi250084supp1_prod_1765403089.61351.pdf — DOC-002 p16 §3.3 completion criteria; joi250084supp1_prod_1765403089.61351.pdf — p37 §9.3; joi250084supp1_prod_1765403089.61351.pdf — p86 PP change starts; joi250084supp1_prod_1765403089.61351.pdf — p87 continuation; jama_mathioudakis_2025_oi_250084_1765403089.60451.pdf — main p4 restricted analysis; jama_mathioudakis_2025_oi_250084_1765403089.60451.pdf — p9 Figure4; joi250084supp2_prod_1765403089.61751.pdf — DOC-003 p27 cohort definition; joi250084supp2_prod_1765403089.61751.pdf — p58 eTable15</t>
        </is>
      </c>
      <c r="D8" s="21" t="n"/>
      <c r="E8" s="21" t="inlineStr">
        <is>
          <t>protocol_report</t>
        </is>
      </c>
      <c r="F8" s="21" t="inlineStr">
        <is>
          <t>no</t>
        </is>
      </c>
      <c r="G8" s="20">
        <f>IFERROR(IF(LEN(TRIM(CLEAN(SUBSTITUTE(Setup!$B$2,CHAR(160)," "))))=0,"CHECK REVIEWER ID",IF(OR(A8="",COUNTIF($A$2:$A$14,A8)&lt;&gt;1,LEFT(A8,LEN("2025::jama.2025.19563::"))&lt;&gt;"2025::jama.2025.19563::"),"CHECK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25">
      <c r="A9" s="24" t="inlineStr">
        <is>
          <t>2025::jama.2025.19563::C008</t>
        </is>
      </c>
      <c r="B9" s="24" t="inlineStr">
        <is>
          <t>Recruitment-pool portal percentages and counts</t>
        </is>
      </c>
      <c r="C9" s="24" t="inlineStr">
        <is>
          <t>joi250084supp1_prod_1765403089.61351.pdf — DOC-002 p18, Table 1 and §5.5.1 paragraph; joi250084supp1_prod_1765403089.61351.pdf — DOC-002 p18 Table1 Johns Hopkins: 13,910/21,346 (56%); joi250084supp1_prod_1765403089.61351.pdf — DOC-002 p18 Table1 Reading: 4,892/8,751 (60%); joi250084supp1_prod_1765403089.61351.pdf — DOC-002 p18 §5.5.1 paragraph: 13,910/21,410 (56%)</t>
        </is>
      </c>
      <c r="D9" s="21" t="n"/>
      <c r="E9" s="21" t="inlineStr">
        <is>
          <t>plan_material</t>
        </is>
      </c>
      <c r="F9" s="21" t="inlineStr">
        <is>
          <t>no</t>
        </is>
      </c>
      <c r="G9" s="24">
        <f>IFERROR(IF(LEN(TRIM(CLEAN(SUBSTITUTE(Setup!$B$2,CHAR(160)," "))))=0,"CHECK REVIEWER ID",IF(OR(A9="",COUNTIF($A$2:$A$14,A9)&lt;&gt;1,LEFT(A9,LEN("2025::jama.2025.19563::"))&lt;&gt;"2025::jama.2025.19563::"),"CHECK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Height="1" s="25">
      <c r="A10" s="20" t="inlineStr">
        <is>
          <t>2025::jama.2025.19563::C009</t>
        </is>
      </c>
      <c r="B10" s="20" t="inlineStr">
        <is>
          <t>Interpolated PA vector and printed summary inputs</t>
        </is>
      </c>
      <c r="C10" s="20" t="inlineStr">
        <is>
          <t>joi250084supp2_prod_1765403089.61751.pdf — DOC-003 p13 preprocessing/calculation; joi250084supp2_prod_1765403089.61751.pdf — p15 activity summary loop; joi250084supp2_prod_1765403089.61751.pdf — p16 bout loop</t>
        </is>
      </c>
      <c r="D10" s="21" t="n"/>
      <c r="E10" s="21" t="inlineStr">
        <is>
          <t>statistical_results</t>
        </is>
      </c>
      <c r="F10" s="21" t="inlineStr">
        <is>
          <t>no</t>
        </is>
      </c>
      <c r="G10" s="20">
        <f>IFERROR(IF(LEN(TRIM(CLEAN(SUBSTITUTE(Setup!$B$2,CHAR(160)," "))))=0,"CHECK REVIEWER ID",IF(OR(A10="",COUNTIF($A$2:$A$14,A10)&lt;&gt;1,LEFT(A10,LEN("2025::jama.2025.19563::"))&lt;&gt;"2025::jama.2025.19563::"),"CHECK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Height="1" s="25">
      <c r="A11" s="24" t="inlineStr">
        <is>
          <t>2025::jama.2025.19563::C010</t>
        </is>
      </c>
      <c r="B11" s="24" t="inlineStr">
        <is>
          <t>PA averaging denominator after zero assignment</t>
        </is>
      </c>
      <c r="C11" s="24" t="inlineStr">
        <is>
          <t>joi250084supp2_prod_1765403089.61751.pdf — DOC-003 p13 Aggregation/compliance; joi250084supp2_prod_1765403089.61751.pdf — p30 eTable18a method; joi250084supp2_prod_1765403089.61751.pdf — p49 eTable8b zero assignment</t>
        </is>
      </c>
      <c r="D11" s="21" t="n"/>
      <c r="E11" s="21" t="inlineStr">
        <is>
          <t>statistical_results</t>
        </is>
      </c>
      <c r="F11" s="21" t="inlineStr">
        <is>
          <t>no</t>
        </is>
      </c>
      <c r="G11" s="24">
        <f>IFERROR(IF(LEN(TRIM(CLEAN(SUBSTITUTE(Setup!$B$2,CHAR(160)," "))))=0,"CHECK REVIEWER ID",IF(OR(A11="",COUNTIF($A$2:$A$14,A11)&lt;&gt;1,LEFT(A11,LEN("2025::jama.2025.19563::"))&lt;&gt;"2025::jama.2025.19563::"),"CHECK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Height="1" s="25">
      <c r="A12" s="20" t="inlineStr">
        <is>
          <t>2025::jama.2025.19563::C011</t>
        </is>
      </c>
      <c r="B12" s="20" t="inlineStr">
        <is>
          <t>Two AI-version exposure percentages</t>
        </is>
      </c>
      <c r="C12" s="20" t="inlineStr">
        <is>
          <t>joi250084supp2_prod_1765403089.61751.pdf — DOC-003 p37 eTable1b; joi250084supp2_prod_1765403089.61751.pdf — p27 primary cohort; joi250084supp2_prod_1765403089.61751.pdf — p41 randomized AI N=183; joi250084supp2_prod_1765403089.61751.pdf — p34 primary forest denominator; joi250084supp2_prod_1765403089.61751.pdf — DOC-003 p37 eTable1b version 11.100.131, September 2023; joi250084supp2_prod_1765403089.61751.pdf — DOC-003 p37 eTable1b version 122.100.407, December 2024</t>
        </is>
      </c>
      <c r="D12" s="21" t="n"/>
      <c r="E12" s="21" t="inlineStr">
        <is>
          <t>statistical_results</t>
        </is>
      </c>
      <c r="F12" s="21" t="inlineStr">
        <is>
          <t>no</t>
        </is>
      </c>
      <c r="G12" s="20">
        <f>IFERROR(IF(LEN(TRIM(CLEAN(SUBSTITUTE(Setup!$B$2,CHAR(160)," "))))=0,"CHECK REVIEWER ID",IF(OR(A12="",COUNTIF($A$2:$A$14,A12)&lt;&gt;1,LEFT(A12,LEN("2025::jama.2025.19563::"))&lt;&gt;"2025::jama.2025.19563::"),"CHECK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Height="1" s="25">
      <c r="A13" s="24" t="inlineStr">
        <is>
          <t>2025::jama.2025.19563::C012</t>
        </is>
      </c>
      <c r="B13" s="24" t="inlineStr">
        <is>
          <t>Baseline HbA1c-subgroup categorical P-value mapping</t>
        </is>
      </c>
      <c r="C13" s="24" t="inlineStr">
        <is>
          <t>joi250084supp2_prod_1765403089.61751.pdf — DOC-003 p44 eTable6 counts; joi250084supp2_prod_1765403089.61751.pdf — p45 footnote 1 P values; joi250084supp2_prod_1765403089.61751.pdf — p29 eTable6 method index; joi250084supp2_prod_1765403089.61751.pdf — p28 main baseline-method pointer; joi250084supp1_prod_1765403089.61351.pdf — DOC-002 p37 general categorical baseline tests; joi250084supp2_prod_1765403089.61751.pdf — DOC-003 p44 eTable6 site rows, 79/164 and 29/96; joi250084supp2_prod_1765403089.61751.pdf — DOC-003 p45 footnote 1 site P=.024; joi250084supp2_prod_1765403089.61751.pdf — DOC-003 p44 eTable6 all four ethnicity rows; joi250084supp2_prod_1765403089.61751.pdf — DOC-003 p45 footnote 1 ethnicity P=.018</t>
        </is>
      </c>
      <c r="D13" s="21" t="n"/>
      <c r="E13" s="21" t="inlineStr">
        <is>
          <t>statistical_results</t>
        </is>
      </c>
      <c r="F13" s="21" t="inlineStr">
        <is>
          <t>no</t>
        </is>
      </c>
      <c r="G13" s="24">
        <f>IFERROR(IF(LEN(TRIM(CLEAN(SUBSTITUTE(Setup!$B$2,CHAR(160)," "))))=0,"CHECK REVIEWER ID",IF(OR(A13="",COUNTIF($A$2:$A$14,A13)&lt;&gt;1,LEFT(A13,LEN("2025::jama.2025.19563::"))&lt;&gt;"2025::jama.2025.19563::"),"CHECK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Height="1" s="25">
      <c r="A14" s="20" t="inlineStr">
        <is>
          <t>2025::jama.2025.19563::C013</t>
        </is>
      </c>
      <c r="B14" s="20" t="inlineStr">
        <is>
          <t>MI-pooled risks and displayed risk-difference mapping</t>
        </is>
      </c>
      <c r="C14" s="20" t="inlineStr">
        <is>
          <t>joi250084supp2_prod_1765403089.61751.pdf — DOC-003 p59 eTable16; joi250084supp2_prod_1765403089.61751.pdf — p30 MI methods; joi250084supp1_prod_1765403089.61351.pdf — DOC-002 p88 MICE method</t>
        </is>
      </c>
      <c r="D14" s="21" t="n"/>
      <c r="E14" s="21" t="inlineStr">
        <is>
          <t>statistical_results</t>
        </is>
      </c>
      <c r="F14" s="21" t="inlineStr">
        <is>
          <t>no</t>
        </is>
      </c>
      <c r="G14" s="20">
        <f>IFERROR(IF(LEN(TRIM(CLEAN(SUBSTITUTE(Setup!$B$2,CHAR(160)," "))))=0,"CHECK REVIEWER ID",IF(OR(A14="",COUNTIF($A$2:$A$14,A14)&lt;&gt;1,LEFT(A14,LEN("2025::jama.2025.19563::"))&lt;&gt;"2025::jama.2025.19563::"),"CHECK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8"/>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2025::jama.2025.19843::C001</t>
        </is>
      </c>
      <c r="B2" s="20" t="inlineStr">
        <is>
          <t>Primary adjustment covariate descriptions do not reconcile</t>
        </is>
      </c>
      <c r="C2" s="20" t="inlineStr">
        <is>
          <t>jama_combes_2025_oi_250087_1766516490.94011.pdf — main PDF p.2; jama_combes_2025_oi_250087_1766516490.94011.pdf — main PDF p.3; jama_combes_2025_oi_250087_1766516490.94011.pdf — main PDF p.6; joi250087supp2_prod_1766516490.96511.pdf — SAP PDF p.6, corroboration only</t>
        </is>
      </c>
      <c r="D2" s="21" t="n"/>
      <c r="E2" s="21" t="inlineStr">
        <is>
          <t>statistical_results</t>
        </is>
      </c>
      <c r="F2" s="21" t="inlineStr">
        <is>
          <t>no</t>
        </is>
      </c>
      <c r="G2" s="20">
        <f>IFERROR(IF(LEN(TRIM(CLEAN(SUBSTITUTE(Setup!$B$2,CHAR(160)," "))))=0,"CHECK REVIEWER ID",IF(OR(A2="",COUNTIF($A$2:$A$8,A2)&lt;&gt;1,LEFT(A2,LEN("2025::jama.2025.19843::"))&lt;&gt;"2025::jama.2025.19843::"),"CHECK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25">
      <c r="A3" s="24" t="inlineStr">
        <is>
          <t>2025::jama.2025.19843::C002</t>
        </is>
      </c>
      <c r="B3" s="24" t="inlineStr">
        <is>
          <t>Organ-failure threshold differs between SAP and report</t>
        </is>
      </c>
      <c r="C3" s="24" t="inlineStr">
        <is>
          <t>joi250087supp2_prod_1766516490.96511.pdf — sap PDF p.4; joi250087supp2_prod_1766516490.96511.pdf — sap PDF p.7; jama_combes_2025_oi_250087_1766516490.94011.pdf — main PDF p.3; joi250087supp3_prod_1766516490.97011.pdf — results PDF p.5; joi250087supp3_prod_1766516490.97011.pdf — results PDF p.12</t>
        </is>
      </c>
      <c r="D3" s="21" t="n"/>
      <c r="E3" s="21" t="inlineStr">
        <is>
          <t>protocol_report</t>
        </is>
      </c>
      <c r="F3" s="21" t="inlineStr">
        <is>
          <t>no</t>
        </is>
      </c>
      <c r="G3" s="24">
        <f>IFERROR(IF(LEN(TRIM(CLEAN(SUBSTITUTE(Setup!$B$2,CHAR(160)," "))))=0,"CHECK REVIEWER ID",IF(OR(A3="",COUNTIF($A$2:$A$8,A3)&lt;&gt;1,LEFT(A3,LEN("2025::jama.2025.19843::"))&lt;&gt;"2025::jama.2025.19843::"),"CHECK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25">
      <c r="A4" s="20" t="inlineStr">
        <is>
          <t>2025::jama.2025.19843::C003</t>
        </is>
      </c>
      <c r="B4" s="20" t="inlineStr">
        <is>
          <t>Planned day-60 free-day results are absent from supplied reports</t>
        </is>
      </c>
      <c r="C4" s="20" t="inlineStr">
        <is>
          <t>Every repeated protocol endpoint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SAP: joi250087supp2_prod_1766516490.96511.pdf — sap PDF p.4; joi250087supp2_prod_1766516490.96511.pdf — sap PDF p.7; joi250087supp2_prod_1766516490.96511.pdf — sap PDF p.8. REPORT: jama_combes_2025_oi_250087_1766516490.94011.pdf — main PDF p.1; jama_combes_2025_oi_250087_1766516490.94011.pdf — main PDF p.3; jama_combes_2025_oi_250087_1766516490.94011.pdf — main PDF p.6; joi250087supp3_prod_1766516490.97011.pdf — results PDF p.5</t>
        </is>
      </c>
      <c r="D4" s="21" t="n"/>
      <c r="E4" s="21" t="inlineStr">
        <is>
          <t>protocol_report</t>
        </is>
      </c>
      <c r="F4" s="21" t="inlineStr">
        <is>
          <t>no</t>
        </is>
      </c>
      <c r="G4" s="20">
        <f>IFERROR(IF(LEN(TRIM(CLEAN(SUBSTITUTE(Setup!$B$2,CHAR(160)," "))))=0,"CHECK REVIEWER ID",IF(OR(A4="",COUNTIF($A$2:$A$8,A4)&lt;&gt;1,LEFT(A4,LEN("2025::jama.2025.19843::"))&lt;&gt;"2025::jama.2025.19843::"),"CHECK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25">
      <c r="A5" s="24" t="inlineStr">
        <is>
          <t>2025::jama.2025.19843::C004</t>
        </is>
      </c>
      <c r="B5" s="24" t="inlineStr">
        <is>
          <t>Planned hierarchical LV-function composite differs from reported LVEF contrast</t>
        </is>
      </c>
      <c r="C5" s="24" t="inlineStr">
        <is>
          <t>Protocol context, every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joi250087supp2_prod_1766516490.96511.pdf — SAP PDF p.8, Left Ventricular Function; jama_combes_2025_oi_250087_1766516490.94011.pdf — main PDF p.3; joi250087supp3_prod_1766516490.97011.pdf — results PDF p.5; joi250087supp3_prod_1766516490.97011.pdf — results PDF p.6</t>
        </is>
      </c>
      <c r="D5" s="21" t="n"/>
      <c r="E5" s="21" t="inlineStr">
        <is>
          <t>protocol_report</t>
        </is>
      </c>
      <c r="F5" s="21" t="inlineStr">
        <is>
          <t>no</t>
        </is>
      </c>
      <c r="G5" s="24">
        <f>IFERROR(IF(LEN(TRIM(CLEAN(SUBSTITUTE(Setup!$B$2,CHAR(160)," "))))=0,"CHECK REVIEWER ID",IF(OR(A5="",COUNTIF($A$2:$A$8,A5)&lt;&gt;1,LEFT(A5,LEN("2025::jama.2025.19843::"))&lt;&gt;"2025::jama.2025.19843::"),"CHECK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25">
      <c r="A6" s="20" t="inlineStr">
        <is>
          <t>2025::jama.2025.19843::C005</t>
        </is>
      </c>
      <c r="B6" s="20" t="inlineStr">
        <is>
          <t>Dialysis membership differs across MACE definitions</t>
        </is>
      </c>
      <c r="C6" s="20" t="inlineStr">
        <is>
          <t>Every repeated protocol composite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SAP: joi250087supp2_prod_1766516490.96511.pdf — sap PDF p.4; joi250087supp2_prod_1766516490.96511.pdf — sap PDF p.7. Main: jama_combes_2025_oi_250087_1766516490.94011.pdf — main PDF p.3. Results contents, component rows and figure: joi250087supp3_prod_1766516490.97011.pdf — results PDF p.1; joi250087supp3_prod_1766516490.97011.pdf — results PDF p.5; joi250087supp3_prod_1766516490.97011.pdf — results PDF p.6; joi250087supp3_prod_1766516490.97011.pdf — results PDF p.13</t>
        </is>
      </c>
      <c r="D6" s="21" t="n"/>
      <c r="E6" s="21" t="inlineStr">
        <is>
          <t>protocol_report</t>
        </is>
      </c>
      <c r="F6" s="21" t="inlineStr">
        <is>
          <t>no</t>
        </is>
      </c>
      <c r="G6" s="20">
        <f>IFERROR(IF(LEN(TRIM(CLEAN(SUBSTITUTE(Setup!$B$2,CHAR(160)," "))))=0,"CHECK REVIEWER ID",IF(OR(A6="",COUNTIF($A$2:$A$8,A6)&lt;&gt;1,LEFT(A6,LEN("2025::jama.2025.19843::"))&lt;&gt;"2025::jama.2025.19843::"),"CHECK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25">
      <c r="A7" s="24" t="inlineStr">
        <is>
          <t>2025::jama.2025.19843::C006</t>
        </is>
      </c>
      <c r="B7" s="24" t="inlineStr">
        <is>
          <t>Planned post-arrest subgroup differs from reported predefined other-etiology subgroup</t>
        </is>
      </c>
      <c r="C7" s="24" t="inlineStr">
        <is>
          <t>Every repeated endpoint/subgroup prescription: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joi250087supp1_prod_1766516490.96011.pdf — Protocol PDF p.107, allocation/minimization. Complete SAP boundary: joi250087supp2_prod_1766516490.96511.pdf — sap PDF p.1; joi250087supp2_prod_1766516490.96511.pdf — sap PDF p.2; joi250087supp2_prod_1766516490.96511.pdf — sap PDF p.3; joi250087supp2_prod_1766516490.96511.pdf — sap PDF p.4; joi250087supp2_prod_1766516490.96511.pdf — sap PDF p.5; joi250087supp2_prod_1766516490.96511.pdf — sap PDF p.6; joi250087supp2_prod_1766516490.96511.pdf — sap PDF p.7; joi250087supp2_prod_1766516490.96511.pdf — sap PDF p.8; joi250087supp2_prod_1766516490.96511.pdf — sap PDF p.9. REPORT: jama_combes_2025_oi_250087_1766516490.94011.pdf — main PDF p.4; jama_combes_2025_oi_250087_1766516490.94011.pdf — main PDF p.7; joi250087supp3_prod_1766516490.97011.pdf — results PDF p.9; joi250087supp3_prod_1766516490.97011.pdf — results PDF p.18</t>
        </is>
      </c>
      <c r="D7" s="21" t="n"/>
      <c r="E7" s="21" t="inlineStr">
        <is>
          <t>protocol_report</t>
        </is>
      </c>
      <c r="F7" s="21" t="inlineStr">
        <is>
          <t>no</t>
        </is>
      </c>
      <c r="G7" s="24">
        <f>IFERROR(IF(LEN(TRIM(CLEAN(SUBSTITUTE(Setup!$B$2,CHAR(160)," "))))=0,"CHECK REVIEWER ID",IF(OR(A7="",COUNTIF($A$2:$A$8,A7)&lt;&gt;1,LEFT(A7,LEN("2025::jama.2025.19843::"))&lt;&gt;"2025::jama.2025.19843::"),"CHECK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25">
      <c r="A8" s="20" t="inlineStr">
        <is>
          <t>2025::jama.2025.19843::C007</t>
        </is>
      </c>
      <c r="B8" s="20" t="inlineStr">
        <is>
          <t>Planned adjusted key-secondary analyses lack supplied outputs</t>
        </is>
      </c>
      <c r="C8" s="20" t="inlineStr">
        <is>
          <t>Every protocol adjusted-analysis occurrence: joi250087supp1_prod_1766516490.96011.pdf — protocol PDF p.35; joi250087supp1_prod_1766516490.96011.pdf — protocol PDF p.37; joi250087supp1_prod_1766516490.96011.pdf — protocol PDF p.81; joi250087supp1_prod_1766516490.96011.pdf — protocol PDF p.82; joi250087supp1_prod_1766516490.96011.pdf — protocol PDF p.83; joi250087supp1_prod_1766516490.96011.pdf — protocol PDF p.84; joi250087supp1_prod_1766516490.96011.pdf — protocol PDF p.127; joi250087supp1_prod_1766516490.96011.pdf — protocol PDF p.128; joi250087supp1_prod_1766516490.96011.pdf — protocol PDF p.129; joi250087supp1_prod_1766516490.96011.pdf — protocol PDF p.130. SAP model prescriptions: joi250087supp2_prod_1766516490.96511.pdf — sap PDF p.7; joi250087supp2_prod_1766516490.96511.pdf — sap PDF p.8; joi250087supp2_prod_1766516490.96511.pdf — sap PDF p.9. Main abstract/methods/tables: jama_combes_2025_oi_250087_1766516490.94011.pdf — main PDF p.1; jama_combes_2025_oi_250087_1766516490.94011.pdf — main PDF p.4; jama_combes_2025_oi_250087_1766516490.94011.pdf — main PDF p.6; jama_combes_2025_oi_250087_1766516490.94011.pdf — main PDF p.7. Results and retained contextual displays: joi250087supp3_prod_1766516490.97011.pdf — results PDF p.5; joi250087supp3_prod_1766516490.97011.pdf — results PDF p.6; joi250087supp3_prod_1766516490.97011.pdf — results PDF p.11; joi250087supp3_prod_1766516490.97011.pdf — results PDF p.13; joi250087supp3_prod_1766516490.97011.pdf — results PDF p.16; joi250087supp3_prod_1766516490.97011.pdf — results PDF p.17</t>
        </is>
      </c>
      <c r="D8" s="21" t="n"/>
      <c r="E8" s="21" t="inlineStr">
        <is>
          <t>protocol_report</t>
        </is>
      </c>
      <c r="F8" s="21" t="inlineStr">
        <is>
          <t>no</t>
        </is>
      </c>
      <c r="G8" s="20">
        <f>IFERROR(IF(LEN(TRIM(CLEAN(SUBSTITUTE(Setup!$B$2,CHAR(160)," "))))=0,"CHECK REVIEWER ID",IF(OR(A8="",COUNTIF($A$2:$A$8,A8)&lt;&gt;1,LEFT(A8,LEN("2025::jama.2025.19843::"))&lt;&gt;"2025::jama.2025.19843::"),"CHECK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20"/>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2025::jama.2025.20765::C001</t>
        </is>
      </c>
      <c r="B2" s="20" t="inlineStr">
        <is>
          <t>Protocol SMS totals and frequency schedules do not reconcile</t>
        </is>
      </c>
      <c r="C2" s="20" t="inlineStr">
        <is>
          <t>jama_zahid_2025_oi_250093_1768590553.08463.pdf — DOC-001 — PDF p. 1, abstract intervention; REPORT; jama_zahid_2025_oi_250093_1768590553.08463.pdf — DOC-001 — PDF p. 3, Trial Intervention; REPORT; joi250093supp1_prod_1768590553.08963.pdf — DOC-002 — PDF p. 16, lines386–390, earlier-component dose paragraph; PLAN; joi250093supp1_prod_1768590553.08963.pdf — DOC-002 — PDF p. 53, lines1526–1530, later-component dose paragraph; PLAN; joi250093supp1_prod_1768590553.08963.pdf — DOC-002 — PDF p. 77, change note; PLAN; joi250093supp1_prod_1768590553.08963.pdf — DOC-002 — PDF p. 80, lines2532–2536, SAP dose; PLAN</t>
        </is>
      </c>
      <c r="D2" s="21" t="n"/>
      <c r="E2" s="21" t="inlineStr">
        <is>
          <t>protocol_report</t>
        </is>
      </c>
      <c r="F2" s="21" t="inlineStr">
        <is>
          <t>no</t>
        </is>
      </c>
      <c r="G2" s="20">
        <f>IFERROR(IF(LEN(TRIM(CLEAN(SUBSTITUTE(Setup!$B$2,CHAR(160)," "))))=0,"CHECK REVIEWER ID",IF(OR(A2="",COUNTIF($A$2:$A$20,A2)&lt;&gt;1,LEFT(A2,LEN("2025::jama.2025.20765::"))&lt;&gt;"2025::jama.2025.20765::"),"CHECK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25">
      <c r="A3" s="24" t="inlineStr">
        <is>
          <t>2025::jama.2025.20765::C002</t>
        </is>
      </c>
      <c r="B3" s="24" t="inlineStr">
        <is>
          <t>Operational eligibility criteria differ from the plan list</t>
        </is>
      </c>
      <c r="C3" s="24" t="inlineStr">
        <is>
          <t>jama_zahid_2025_oi_250093_1768590553.08463.pdf — DOC-001 — PDF p. 2, eligibility paragraph; REPORT; jama_zahid_2025_oi_250093_1768590553.08463.pdf — DOC-001 — PDF p. 4, Figure1 exclusions; REPORT; joi250093supp1_prod_1768590553.08963.pdf — DOC-002 — PDF p. 11, lines235–255 complete participant lists; PLAN; joi250093supp1_prod_1768590553.08963.pdf — DOC-002 — PDF p. 49, lines1375–1395 complete participant lists; PLAN; joi250093supp2_prod_1768590553.09463.pdf — DOC-003 — PDF p. 3, eTable1 smoking and SMS-reader reasons; REPORT</t>
        </is>
      </c>
      <c r="D3" s="21" t="n"/>
      <c r="E3" s="21" t="inlineStr">
        <is>
          <t>protocol_report</t>
        </is>
      </c>
      <c r="F3" s="21" t="inlineStr">
        <is>
          <t>no</t>
        </is>
      </c>
      <c r="G3" s="24">
        <f>IFERROR(IF(LEN(TRIM(CLEAN(SUBSTITUTE(Setup!$B$2,CHAR(160)," "))))=0,"CHECK REVIEWER ID",IF(OR(A3="",COUNTIF($A$2:$A$20,A3)&lt;&gt;1,LEFT(A3,LEN("2025::jama.2025.20765::"))&lt;&gt;"2025::jama.2025.20765::"),"CHECK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25">
      <c r="A4" s="20" t="inlineStr">
        <is>
          <t>2025::jama.2025.20765::C003</t>
        </is>
      </c>
      <c r="B4" s="20" t="inlineStr">
        <is>
          <t>Prospective quit-date and reminder calendar differ from the report</t>
        </is>
      </c>
      <c r="C4" s="20" t="inlineStr">
        <is>
          <t>jama_zahid_2025_oi_250093_1768590553.08463.pdf — DOC-001 — PDF p. 3, Trial Outcomes and Trial Intervention; REPORT; joi250093supp1_prod_1768590553.08963.pdf — DOC-002 — PDF p. 101, enrollment Q(−8)/Tx(+1), message6 and footnotes; PLAN; joi250093supp1_prod_1768590553.08963.pdf — DOC-002 — PDF p. 103, Q(−1)/Tx(+8) and quit transition; PLAN; joi250093supp1_prod_1768590553.08963.pdf — DOC-002 — PDF p. 104, quit-date ordinal label and messages39–44; PLAN; joi250093supp1_prod_1768590553.08963.pdf — DOC-002 — PDF p. 109, messages129–134 and follow-up phase; PLAN</t>
        </is>
      </c>
      <c r="D4" s="21" t="n"/>
      <c r="E4" s="21" t="inlineStr">
        <is>
          <t>protocol_report</t>
        </is>
      </c>
      <c r="F4" s="21" t="inlineStr">
        <is>
          <t>no</t>
        </is>
      </c>
      <c r="G4" s="20">
        <f>IFERROR(IF(LEN(TRIM(CLEAN(SUBSTITUTE(Setup!$B$2,CHAR(160)," "))))=0,"CHECK REVIEWER ID",IF(OR(A4="",COUNTIF($A$2:$A$20,A4)&lt;&gt;1,LEFT(A4,LEN("2025::jama.2025.20765::"))&lt;&gt;"2025::jama.2025.20765::"),"CHECK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25">
      <c r="A5" s="24" t="inlineStr">
        <is>
          <t>2025::jama.2025.20765::C004</t>
        </is>
      </c>
      <c r="B5" s="24" t="inlineStr">
        <is>
          <t>Primary cotinine verification lacks a planned-to-reported criterion crosswalk</t>
        </is>
      </c>
      <c r="C5" s="24" t="inlineStr">
        <is>
          <t>jama_zahid_2025_oi_250093_1768590553.08463.pdf — DOC-001 — PDF p. 3, Trial Outcomes cotinine verification; REPORT; joi250093supp1_prod_1768590553.08963.pdf — DOC-002 — PDF p. 8, lines158–161 primary endpoint; PLAN; joi250093supp1_prod_1768590553.08963.pdf — DOC-002 — PDF p. 47, lines1298–1301 primary endpoint; PLAN; joi250093supp1_prod_1768590553.08963.pdf — DOC-002 — PDF p. 84, lines2661–2665 SAP primary endpoint; PLAN</t>
        </is>
      </c>
      <c r="D5" s="21" t="n"/>
      <c r="E5" s="21" t="inlineStr">
        <is>
          <t>protocol_report</t>
        </is>
      </c>
      <c r="F5" s="21" t="inlineStr">
        <is>
          <t>no</t>
        </is>
      </c>
      <c r="G5" s="24">
        <f>IFERROR(IF(LEN(TRIM(CLEAN(SUBSTITUTE(Setup!$B$2,CHAR(160)," "))))=0,"CHECK REVIEWER ID",IF(OR(A5="",COUNTIF($A$2:$A$20,A5)&lt;&gt;1,LEFT(A5,LEN("2025::jama.2025.20765::"))&lt;&gt;"2025::jama.2025.20765::"),"CHECK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25">
      <c r="A6" s="20" t="inlineStr">
        <is>
          <t>2025::jama.2025.20765::C005</t>
        </is>
      </c>
      <c r="B6" s="20" t="inlineStr">
        <is>
          <t>Primary model changes from protocol Poisson/log link to SAP/report logistic</t>
        </is>
      </c>
      <c r="C6" s="20" t="inlineStr">
        <is>
          <t>jama_zahid_2025_oi_250093_1768590553.08463.pdf — DOC-001 — PDF p. 3, Statistical Analysis; REPORT; joi250093supp1_prod_1768590553.08963.pdf — DOC-002 — PDF p. 28, lines759–764 statistical-analysis paragraph; PLAN; joi250093supp1_prod_1768590553.08963.pdf — DOC-002 — PDF p. 66, lines2011–2016 statistical-analysis paragraph; PLAN; joi250093supp1_prod_1768590553.08963.pdf — DOC-002 — PDF p. 77, change note; PLAN; joi250093supp1_prod_1768590553.08963.pdf — DOC-002 — PDF p. 91, lines2884–2889 primary model; PLAN; joi250093supp1_prod_1768590553.08963.pdf — DOC-002 — PDF p. 92, lines2919–2926 adjusted model; PLAN</t>
        </is>
      </c>
      <c r="D6" s="21" t="n"/>
      <c r="E6" s="21" t="inlineStr">
        <is>
          <t>protocol_report</t>
        </is>
      </c>
      <c r="F6" s="21" t="inlineStr">
        <is>
          <t>no</t>
        </is>
      </c>
      <c r="G6" s="20">
        <f>IFERROR(IF(LEN(TRIM(CLEAN(SUBSTITUTE(Setup!$B$2,CHAR(160)," "))))=0,"CHECK REVIEWER ID",IF(OR(A6="",COUNTIF($A$2:$A$20,A6)&lt;&gt;1,LEFT(A6,LEN("2025::jama.2025.20765::"))&lt;&gt;"2025::jama.2025.20765::"),"CHECK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25">
      <c r="A7" s="24" t="inlineStr">
        <is>
          <t>2025::jama.2025.20765::C006</t>
        </is>
      </c>
      <c r="B7" s="24" t="inlineStr">
        <is>
          <t>Risk-ratio derivation from stated logistic analysis is unclear</t>
        </is>
      </c>
      <c r="C7" s="24" t="inlineStr">
        <is>
          <t>jama_zahid_2025_oi_250093_1768590553.08463.pdf — DOC-001 — PDF p. 3, Statistical Analysis categorical model; REPORT; jama_zahid_2025_oi_250093_1768590553.08463.pdf — DOC-001 — PDF p. 6, Table2 RR columns and notea; REPORT; joi250093supp2_prod_1768590553.09463.pdf — DOC-003 — PDF p. 11, eTable7 relative-risk row; REPORT; joi250093supp2_prod_1768590553.09463.pdf — DOC-003 — PDF p. 13, eTable9 RR columns; REPORT; joi250093supp2_prod_1768590553.09463.pdf — DOC-003 — PDF p. 14, eTable9 notee; REPORT</t>
        </is>
      </c>
      <c r="D7" s="21" t="n"/>
      <c r="E7" s="21" t="inlineStr">
        <is>
          <t>statistical_results</t>
        </is>
      </c>
      <c r="F7" s="21" t="inlineStr">
        <is>
          <t>no</t>
        </is>
      </c>
      <c r="G7" s="24">
        <f>IFERROR(IF(LEN(TRIM(CLEAN(SUBSTITUTE(Setup!$B$2,CHAR(160)," "))))=0,"CHECK REVIEWER ID",IF(OR(A7="",COUNTIF($A$2:$A$20,A7)&lt;&gt;1,LEFT(A7,LEN("2025::jama.2025.20765::"))&lt;&gt;"2025::jama.2025.20765::"),"CHECK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25">
      <c r="A8" s="20" t="inlineStr">
        <is>
          <t>2025::jama.2025.20765::C007</t>
        </is>
      </c>
      <c r="B8" s="20" t="inlineStr">
        <is>
          <t>Planned tobacco-use-form adjustment has no reported primary counterpart</t>
        </is>
      </c>
      <c r="C8" s="20" t="inlineStr">
        <is>
          <t>jama_zahid_2025_oi_250093_1768590553.08463.pdf — DOC-001 — PDF p. 3, finite post hoc fixed-effect list; REPORT; jama_zahid_2025_oi_250093_1768590553.08463.pdf — DOC-001 — PDF p. 4, Primary Outcome adjusted analysis; REPORT; jama_zahid_2025_oi_250093_1768590553.08463.pdf — DOC-001 — PDF p. 6, Table2 notea; REPORT; joi250093supp1_prod_1768590553.08963.pdf — DOC-002 — PDF p. 92, lines2919–2926 fully adjusted models; PLAN; joi250093supp2_prod_1768590553.09463.pdf — DOC-003 — PDF p. 14, eTable9 notee; REPORT</t>
        </is>
      </c>
      <c r="D8" s="21" t="n"/>
      <c r="E8" s="21" t="inlineStr">
        <is>
          <t>protocol_report</t>
        </is>
      </c>
      <c r="F8" s="21" t="inlineStr">
        <is>
          <t>no</t>
        </is>
      </c>
      <c r="G8" s="20">
        <f>IFERROR(IF(LEN(TRIM(CLEAN(SUBSTITUTE(Setup!$B$2,CHAR(160)," "))))=0,"CHECK REVIEWER ID",IF(OR(A8="",COUNTIF($A$2:$A$20,A8)&lt;&gt;1,LEFT(A8,LEN("2025::jama.2025.20765::"))&lt;&gt;"2025::jama.2025.20765::"),"CHECK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25">
      <c r="A9" s="24" t="inlineStr">
        <is>
          <t>2025::jama.2025.20765::C008</t>
        </is>
      </c>
      <c r="B9" s="24" t="inlineStr">
        <is>
          <t>CO&lt;6 sensitivity results appear under a primary-outcome status label</t>
        </is>
      </c>
      <c r="C9" s="24" t="inlineStr">
        <is>
          <t>jama_zahid_2025_oi_250093_1768590553.08463.pdf — DOC-001 — PDF p. 3, primaryCO&lt;10 and posthocCO&lt;6 sensitivity; REPORT; jama_zahid_2025_oi_250093_1768590553.08463.pdf — DOC-001 — PDF p. 6, Table2 Primary outcome block, both CO&lt;6 ITT and PP rows; REPORT; joi250093supp1_prod_1768590553.08963.pdf — DOC-002 — PDF p. 84, lines2653–2669 primary endpoint; PLAN; joi250093supp2_prod_1768590553.09463.pdf — DOC-003 — PDF p. 13, eTable9 Primary outcomes CO&lt;6row; REPORT</t>
        </is>
      </c>
      <c r="D9" s="21" t="n"/>
      <c r="E9" s="21" t="inlineStr">
        <is>
          <t>protocol_report</t>
        </is>
      </c>
      <c r="F9" s="21" t="inlineStr">
        <is>
          <t>no</t>
        </is>
      </c>
      <c r="G9" s="24">
        <f>IFERROR(IF(LEN(TRIM(CLEAN(SUBSTITUTE(Setup!$B$2,CHAR(160)," "))))=0,"CHECK REVIEWER ID",IF(OR(A9="",COUNTIF($A$2:$A$20,A9)&lt;&gt;1,LEFT(A9,LEN("2025::jama.2025.20765::"))&lt;&gt;"2025::jama.2025.20765::"),"CHECK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Height="1" s="25">
      <c r="A10" s="20" t="inlineStr">
        <is>
          <t>2025::jama.2025.20765::C009</t>
        </is>
      </c>
      <c r="B10" s="20" t="inlineStr">
        <is>
          <t>Primary missing-outcome handling differs between protocol and SAP/report</t>
        </is>
      </c>
      <c r="C10" s="20" t="inlineStr">
        <is>
          <t>jama_zahid_2025_oi_250093_1768590553.08463.pdf — DOC-001 — PDF p. 3, missing-primary-outcome paragraph; REPORT; jama_zahid_2025_oi_250093_1768590553.08463.pdf — DOC-001 — PDF p. 4, Figure1 attrition and analysis totals; REPORT; joi250093supp1_prod_1768590553.08963.pdf — DOC-002 — PDF p. 28, lines759–764 separately headed Statistical analysis; PLAN; joi250093supp1_prod_1768590553.08963.pdf — DOC-002 — PDF p. 66, lines2012–2016 separately headed Statistical analysis; PLAN; joi250093supp1_prod_1768590553.08963.pdf — DOC-002 — PDF p. 91, lines2890–2892 ITT and Russell Standard; PLAN</t>
        </is>
      </c>
      <c r="D10" s="21" t="n"/>
      <c r="E10" s="21" t="inlineStr">
        <is>
          <t>protocol_report</t>
        </is>
      </c>
      <c r="F10" s="21" t="inlineStr">
        <is>
          <t>no</t>
        </is>
      </c>
      <c r="G10" s="20">
        <f>IFERROR(IF(LEN(TRIM(CLEAN(SUBSTITUTE(Setup!$B$2,CHAR(160)," "))))=0,"CHECK REVIEWER ID",IF(OR(A10="",COUNTIF($A$2:$A$20,A10)&lt;&gt;1,LEFT(A10,LEN("2025::jama.2025.20765::"))&lt;&gt;"2025::jama.2025.20765::"),"CHECK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Height="1" s="25">
      <c r="A11" s="24" t="inlineStr">
        <is>
          <t>2025::jama.2025.20765::C010</t>
        </is>
      </c>
      <c r="B11" s="24" t="inlineStr">
        <is>
          <t>Prespecified gender-specific primary analyses are not reported</t>
        </is>
      </c>
      <c r="C11" s="24" t="inlineStr">
        <is>
          <t>jama_zahid_2025_oi_250093_1768590553.08463.pdf — DOC-001 — PDF p. 3, prespecified subgroup list; REPORT; jama_zahid_2025_oi_250093_1768590553.08463.pdf — DOC-001 — PDF p. 5, subgroup consistency narrative; REPORT; joi250093supp1_prod_1768590553.08963.pdf — DOC-002 — PDF p. 92, lines2936–2939 subgroup analysis introduction; PLAN; joi250093supp1_prod_1768590553.08963.pdf — DOC-002 — PDF p. 93, lines2940–2952, gender and interval disclosure; PLAN; joi250093supp1_prod_1768590553.08963.pdf — DOC-002 — PDF p. 99, Gender Male/Female table shell; PLAN; joi250093supp2_prod_1768590553.09463.pdf — DOC-003 — PDF p. 12, complete eTable8; REPORT</t>
        </is>
      </c>
      <c r="D11" s="21" t="n"/>
      <c r="E11" s="21" t="inlineStr">
        <is>
          <t>protocol_report</t>
        </is>
      </c>
      <c r="F11" s="21" t="inlineStr">
        <is>
          <t>no</t>
        </is>
      </c>
      <c r="G11" s="24">
        <f>IFERROR(IF(LEN(TRIM(CLEAN(SUBSTITUTE(Setup!$B$2,CHAR(160)," "))))=0,"CHECK REVIEWER ID",IF(OR(A11="",COUNTIF($A$2:$A$20,A11)&lt;&gt;1,LEFT(A11,LEN("2025::jama.2025.20765::"))&lt;&gt;"2025::jama.2025.20765::"),"CHECK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Height="1" s="25">
      <c r="A12" s="20" t="inlineStr">
        <is>
          <t>2025::jama.2025.20765::C011</t>
        </is>
      </c>
      <c r="B12" s="20" t="inlineStr">
        <is>
          <t>Current primary-data attrition assumptions differ</t>
        </is>
      </c>
      <c r="C12" s="20" t="inlineStr">
        <is>
          <t>jama_zahid_2025_oi_250093_1768590553.08463.pdf — DOC-001 — PDF p. 3, sample-size20%attrition; REPORT; joi250093supp1_prod_1768590553.08963.pdf — DOC-002 — PDF p. 48, lines1344–1347 primary-data10%; PLAN; joi250093supp1_prod_1768590553.08963.pdf — DOC-002 — PDF p. 62, lines1861–1863 primary-data10%; PLAN; joi250093supp1_prod_1768590553.08963.pdf — DOC-002 — PDF p. 63, lines1894–1898 Phase3 20%calculation; PLAN; joi250093supp1_prod_1768590553.08963.pdf — DOC-002 — PDF p. 64, lines1936–1938 Phase4 contextual20%calculation; PLAN; joi250093supp1_prod_1768590553.08963.pdf — DOC-002 — PDF p. 77, sample-sizeamendment; PLAN; joi250093supp1_prod_1768590553.08963.pdf — DOC-002 — PDF p. 83, lines2624–2638 SAP20%; PLAN</t>
        </is>
      </c>
      <c r="D12" s="21" t="n"/>
      <c r="E12" s="21" t="inlineStr">
        <is>
          <t>protocol_report</t>
        </is>
      </c>
      <c r="F12" s="21" t="inlineStr">
        <is>
          <t>no</t>
        </is>
      </c>
      <c r="G12" s="20">
        <f>IFERROR(IF(LEN(TRIM(CLEAN(SUBSTITUTE(Setup!$B$2,CHAR(160)," "))))=0,"CHECK REVIEWER ID",IF(OR(A12="",COUNTIF($A$2:$A$20,A12)&lt;&gt;1,LEFT(A12,LEN("2025::jama.2025.20765::"))&lt;&gt;"2025::jama.2025.20765::"),"CHECK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Height="1" s="25">
      <c r="A13" s="24" t="inlineStr">
        <is>
          <t>2025::jama.2025.20765::C012</t>
        </is>
      </c>
      <c r="B13" s="24" t="inlineStr">
        <is>
          <t>All-cause mortality percentage is attributed to TB-specific mortality</t>
        </is>
      </c>
      <c r="C13" s="24" t="inlineStr">
        <is>
          <t>jama_zahid_2025_oi_250093_1768590553.08463.pdf — DOC-001 — PDF p. 1, 1080randomized,corroboratingdenominator; REPORT; jama_zahid_2025_oi_250093_1768590553.08463.pdf — DOC-001 — PDF p. 4, Figure1 death25/27 and1080enrolled; REPORT; jama_zahid_2025_oi_250093_1768590553.08463.pdf — DOC-001 — PDF p. 5, TBcause32/52; REPORT; jama_zahid_2025_oi_250093_1768590553.08463.pdf — DOC-001 — PDF p. 6, Table2 deaths25/720and27/360; REPORT; jama_zahid_2025_oi_250093_1768590553.08463.pdf — DOC-001 — PDF p. 8, discussion4.8%diedofTB; REPORT; joi250093supp2_prod_1768590553.09463.pdf — DOC-003 — PDF p. 6, eTable4 total52 andTB32; REPORT</t>
        </is>
      </c>
      <c r="D13" s="21" t="n"/>
      <c r="E13" s="21" t="inlineStr">
        <is>
          <t>report_internal_inconsistency</t>
        </is>
      </c>
      <c r="F13" s="21" t="inlineStr">
        <is>
          <t>no</t>
        </is>
      </c>
      <c r="G13" s="24">
        <f>IFERROR(IF(LEN(TRIM(CLEAN(SUBSTITUTE(Setup!$B$2,CHAR(160)," "))))=0,"CHECK REVIEWER ID",IF(OR(A13="",COUNTIF($A$2:$A$20,A13)&lt;&gt;1,LEFT(A13,LEN("2025::jama.2025.20765::"))&lt;&gt;"2025::jama.2025.20765::"),"CHECK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Height="1" s="25">
      <c r="A14" s="20" t="inlineStr">
        <is>
          <t>2025::jama.2025.20765::C013</t>
        </is>
      </c>
      <c r="B14" s="20" t="inlineStr">
        <is>
          <t>Adverse-event narrative reverses two any-symptom arm directions</t>
        </is>
      </c>
      <c r="C14" s="20" t="inlineStr">
        <is>
          <t>jama_zahid_2025_oi_250093_1768590553.08463.pdf — DOC-001 — PDF p. 5, Adverse Events ordered percentages and summarysentence; REPORT; joi250093supp2_prod_1768590553.09463.pdf — DOC-003 — PDF p. 15, eTable10 irritability/anxiety severity rows; REPORT</t>
        </is>
      </c>
      <c r="D14" s="21" t="n"/>
      <c r="E14" s="21" t="inlineStr">
        <is>
          <t>statistical_results</t>
        </is>
      </c>
      <c r="F14" s="21" t="inlineStr">
        <is>
          <t>no</t>
        </is>
      </c>
      <c r="G14" s="20">
        <f>IFERROR(IF(LEN(TRIM(CLEAN(SUBSTITUTE(Setup!$B$2,CHAR(160)," "))))=0,"CHECK REVIEWER ID",IF(OR(A14="",COUNTIF($A$2:$A$20,A14)&lt;&gt;1,LEFT(A14,LEN("2025::jama.2025.20765::"))&lt;&gt;"2025::jama.2025.20765::"),"CHECK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Height="1" s="25">
      <c r="A15" s="24" t="inlineStr">
        <is>
          <t>2025::jama.2025.20765::C014</t>
        </is>
      </c>
      <c r="B15" s="24" t="inlineStr">
        <is>
          <t>Fourteen interval rows do not reproduce a rule fitting other display rows</t>
        </is>
      </c>
      <c r="C15" s="24" t="inlineStr">
        <is>
          <t>jama_zahid_2025_oi_250093_1768590553.08463.pdf — DOC-001 — PDF p. 6, Table2CO10PPadjusted,CO6PPcrude/adjusted,self-reportadjusted; REPORT; joi250093supp2_prod_1768590553.09463.pdf — DOC-003 — PDF p. 12, eTable8All,age≥40,primary,secondary,active,dependent,smoking&lt;24,readingNo; REPORT; joi250093supp2_prod_1768590553.09463.pdf — DOC-003 — PDF p. 13, eTable9CO10crude/adjusted; REPORT; joi250093supp2_prod_1768590553.09463.pdf — DOC-003 — PDF p. 14, population/adjustmentnotes; REPORT</t>
        </is>
      </c>
      <c r="D15" s="21" t="n"/>
      <c r="E15" s="21" t="inlineStr">
        <is>
          <t>statistical_results</t>
        </is>
      </c>
      <c r="F15" s="21" t="inlineStr">
        <is>
          <t>no</t>
        </is>
      </c>
      <c r="G15" s="24">
        <f>IFERROR(IF(LEN(TRIM(CLEAN(SUBSTITUTE(Setup!$B$2,CHAR(160)," "))))=0,"CHECK REVIEWER ID",IF(OR(A15="",COUNTIF($A$2:$A$20,A15)&lt;&gt;1,LEFT(A15,LEN("2025::jama.2025.20765::"))&lt;&gt;"2025::jama.2025.20765::"),"CHECK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row r="16" ht="92" customHeight="1" s="25">
      <c r="A16" s="20" t="inlineStr">
        <is>
          <t>2025::jama.2025.20765::C015</t>
        </is>
      </c>
      <c r="B16" s="20" t="inlineStr">
        <is>
          <t>Latest protocol and SAP prescribe different failure windows</t>
        </is>
      </c>
      <c r="C16" s="20" t="inlineStr">
        <is>
          <t>joi250093supp1_prod_1768590553.08963.pdf — DOC-002 — PDF p. 9, lines179–180 month-5 definition, explicitly headed V6.0; PLAN; joi250093supp1_prod_1768590553.08963.pdf — DOC-002 — PDF p. 47, lines1319–1320month6definition; PLAN; joi250093supp1_prod_1768590553.08963.pdf — DOC-002 — PDF p. 77, lines2413–2415 explicit5→6amendment; PLAN; joi250093supp1_prod_1768590553.08963.pdf — DOC-002 — PDF p. 85, lines2685–2686SAPmonth5; PLAN; jama_zahid_2025_oi_250093_1768590553.08463.pdf — DOC-001 — PDF p. 1, key-secondaryfailureproportions; REPORT; jama_zahid_2025_oi_250093_1768590553.08463.pdf — DOC-001 — PDF p. 3, outcomedetailpointer; REPORT; jama_zahid_2025_oi_250093_1768590553.08463.pdf — DOC-001 — PDF p. 6, Table2failure1/720versus2/360; REPORT</t>
        </is>
      </c>
      <c r="D16" s="21" t="n"/>
      <c r="E16" s="21" t="inlineStr">
        <is>
          <t>plan_material</t>
        </is>
      </c>
      <c r="F16" s="21" t="inlineStr">
        <is>
          <t>no</t>
        </is>
      </c>
      <c r="G16" s="20">
        <f>IFERROR(IF(LEN(TRIM(CLEAN(SUBSTITUTE(Setup!$B$2,CHAR(160)," "))))=0,"CHECK REVIEWER ID",IF(OR(A16="",COUNTIF($A$2:$A$20,A16)&lt;&gt;1,LEFT(A16,LEN("2025::jama.2025.20765::"))&lt;&gt;"2025::jama.2025.20765::"),"CHECK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n"/>
    </row>
    <row r="17" ht="92" customHeight="1" s="25">
      <c r="A17" s="24" t="inlineStr">
        <is>
          <t>2025::jama.2025.20765::C016</t>
        </is>
      </c>
      <c r="B17" s="24" t="inlineStr">
        <is>
          <t>Current Phase 3 power statements retain different cluster allocations</t>
        </is>
      </c>
      <c r="C17" s="24" t="inlineStr">
        <is>
          <t>joi250093supp1_prod_1768590553.08963.pdf — DOC-002 — PDF p. 48, lines1348–1353poweroverview; PLAN; joi250093supp1_prod_1768590553.08963.pdf — DOC-002 — PDF p. 63, lines1886–1907Phase3power/allocation; PLAN; joi250093supp1_prod_1768590553.08963.pdf — DOC-002 — PDF p. 64, Phase4allocationcontext; PLAN; joi250093supp1_prod_1768590553.08963.pdf — DOC-002 — PDF p. 65, lines1958–1963repeatedpowerparagraph; PLAN; joi250093supp1_prod_1768590553.08963.pdf — DOC-002 — PDF p. 77, lines2416–2424allocationamendment; PLAN; joi250093supp1_prod_1768590553.08963.pdf — DOC-002 — PDF p. 83, lines2629–2642SAPallocation; PLAN</t>
        </is>
      </c>
      <c r="D17" s="21" t="n"/>
      <c r="E17" s="21" t="inlineStr">
        <is>
          <t>plan_material</t>
        </is>
      </c>
      <c r="F17" s="21" t="inlineStr">
        <is>
          <t>no</t>
        </is>
      </c>
      <c r="G17" s="24">
        <f>IFERROR(IF(LEN(TRIM(CLEAN(SUBSTITUTE(Setup!$B$2,CHAR(160)," "))))=0,"CHECK REVIEWER ID",IF(OR(A17="",COUNTIF($A$2:$A$20,A17)&lt;&gt;1,LEFT(A17,LEN("2025::jama.2025.20765::"))&lt;&gt;"2025::jama.2025.20765::"),"CHECK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f>IF(AND(OR(D17="retain",D17=""),OR(E17="report_internal_inconsistency",E17="plan_material")),"","not_applicable")</f>
        <v/>
      </c>
      <c r="L17" s="22">
        <f>IF(AND(OR(D17="retain",D17=""),E17="protocol_report"),"","not_applicable")</f>
        <v/>
      </c>
      <c r="M17" s="24" t="n"/>
      <c r="N17" s="23" t="n"/>
      <c r="O17" s="23" t="n"/>
      <c r="P17" s="23" t="n"/>
      <c r="Q17" s="23" t="n"/>
      <c r="R17" s="22" t="n"/>
    </row>
    <row r="18" ht="92" customHeight="1" s="25">
      <c r="A18" s="20" t="inlineStr">
        <is>
          <t>2025::jama.2025.20765::C017</t>
        </is>
      </c>
      <c r="B18" s="20" t="inlineStr">
        <is>
          <t>Two cause-of-death percentages do not reconcile within eTable 4</t>
        </is>
      </c>
      <c r="C18" s="20" t="inlineStr">
        <is>
          <t>joi250093supp2_prod_1768590553.09463.pdf — DOC-003 — PDF p. 6, eTable4usual-careDruguser,Severepneumonia,Totaldeaths; REPORT</t>
        </is>
      </c>
      <c r="D18" s="21" t="n"/>
      <c r="E18" s="21" t="inlineStr">
        <is>
          <t>statistical_results</t>
        </is>
      </c>
      <c r="F18" s="21" t="inlineStr">
        <is>
          <t>no</t>
        </is>
      </c>
      <c r="G18" s="20">
        <f>IFERROR(IF(LEN(TRIM(CLEAN(SUBSTITUTE(Setup!$B$2,CHAR(160)," "))))=0,"CHECK REVIEWER ID",IF(OR(A18="",COUNTIF($A$2:$A$20,A18)&lt;&gt;1,LEFT(A18,LEN("2025::jama.2025.20765::"))&lt;&gt;"2025::jama.2025.20765::"),"CHECK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f>IF(AND(OR(D18="retain",D18=""),E18="statistical_results"),"","not_applicable")</f>
        <v/>
      </c>
      <c r="I18" s="21">
        <f>IF(AND(OR(D18="retain",D18=""),E18="statistical_results"),"","not_applicable")</f>
        <v/>
      </c>
      <c r="J18" s="22">
        <f>IF(AND(OR(D18="retain",D18=""),E18="statistical_results"),"","not_applicable")</f>
        <v/>
      </c>
      <c r="K18" s="21">
        <f>IF(AND(OR(D18="retain",D18=""),OR(E18="report_internal_inconsistency",E18="plan_material")),"","not_applicable")</f>
        <v/>
      </c>
      <c r="L18" s="22">
        <f>IF(AND(OR(D18="retain",D18=""),E18="protocol_report"),"","not_applicable")</f>
        <v/>
      </c>
      <c r="M18" s="20" t="n"/>
      <c r="N18" s="23" t="n"/>
      <c r="O18" s="23" t="n"/>
      <c r="P18" s="23" t="n"/>
      <c r="Q18" s="23" t="n"/>
      <c r="R18" s="22" t="n"/>
    </row>
    <row r="19" ht="92" customHeight="1" s="25">
      <c r="A19" s="24" t="inlineStr">
        <is>
          <t>2025::jama.2025.20765::C018</t>
        </is>
      </c>
      <c r="B19" s="24" t="inlineStr">
        <is>
          <t>Site 2008 death count and percentage do not reproduce the table denominator</t>
        </is>
      </c>
      <c r="C19" s="24" t="inlineStr">
        <is>
          <t>joi250093supp2_prod_1768590553.09463.pdf — DOC-003 — PDF p. 9, eTable6Controlsite2008cell5(7.5),otherdeathrows; REPORT; joi250093supp2_prod_1768590553.09463.pdf — DOC-003 — PDF p. 8, eTable5site2008recruitmentandITT40,observed35; REPORT</t>
        </is>
      </c>
      <c r="D19" s="21" t="n"/>
      <c r="E19" s="21" t="inlineStr">
        <is>
          <t>statistical_results</t>
        </is>
      </c>
      <c r="F19" s="21" t="inlineStr">
        <is>
          <t>no</t>
        </is>
      </c>
      <c r="G19" s="24">
        <f>IFERROR(IF(LEN(TRIM(CLEAN(SUBSTITUTE(Setup!$B$2,CHAR(160)," "))))=0,"CHECK REVIEWER ID",IF(OR(A19="",COUNTIF($A$2:$A$20,A19)&lt;&gt;1,LEFT(A19,LEN("2025::jama.2025.20765::"))&lt;&gt;"2025::jama.2025.20765::"),"CHECK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f>IF(AND(OR(D19="retain",D19=""),E19="statistical_results"),"","not_applicable")</f>
        <v/>
      </c>
      <c r="I19" s="21">
        <f>IF(AND(OR(D19="retain",D19=""),E19="statistical_results"),"","not_applicable")</f>
        <v/>
      </c>
      <c r="J19" s="22">
        <f>IF(AND(OR(D19="retain",D19=""),E19="statistical_results"),"","not_applicable")</f>
        <v/>
      </c>
      <c r="K19" s="21">
        <f>IF(AND(OR(D19="retain",D19=""),OR(E19="report_internal_inconsistency",E19="plan_material")),"","not_applicable")</f>
        <v/>
      </c>
      <c r="L19" s="22">
        <f>IF(AND(OR(D19="retain",D19=""),E19="protocol_report"),"","not_applicable")</f>
        <v/>
      </c>
      <c r="M19" s="24" t="n"/>
      <c r="N19" s="23" t="n"/>
      <c r="O19" s="23" t="n"/>
      <c r="P19" s="23" t="n"/>
      <c r="Q19" s="23" t="n"/>
      <c r="R19" s="22" t="n"/>
    </row>
    <row r="20" ht="92" customHeight="1" s="25">
      <c r="A20" s="20" t="inlineStr">
        <is>
          <t>2025::jama.2025.20765::C019</t>
        </is>
      </c>
      <c r="B20" s="20" t="inlineStr">
        <is>
          <t>Treatment-failure absolute difference has the opposite signed contrast</t>
        </is>
      </c>
      <c r="C20" s="20" t="inlineStr">
        <is>
          <t>joi250093supp2_prod_1768590553.09463.pdf — DOC-003 — PDF p. 13, eTable9TreatmentFailuresabsolute-difference0.5andarmrisks; REPORT; joi250093supp2_prod_1768590553.09463.pdf — DOC-003 — PDF p. 14, notebAbsolute difference; REPORT</t>
        </is>
      </c>
      <c r="D20" s="21" t="n"/>
      <c r="E20" s="21" t="inlineStr">
        <is>
          <t>statistical_results</t>
        </is>
      </c>
      <c r="F20" s="21" t="inlineStr">
        <is>
          <t>no</t>
        </is>
      </c>
      <c r="G20" s="20">
        <f>IFERROR(IF(LEN(TRIM(CLEAN(SUBSTITUTE(Setup!$B$2,CHAR(160)," "))))=0,"CHECK REVIEWER ID",IF(OR(A20="",COUNTIF($A$2:$A$20,A20)&lt;&gt;1,LEFT(A20,LEN("2025::jama.2025.20765::"))&lt;&gt;"2025::jama.2025.20765::"),"CHECK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f>IF(AND(OR(D20="retain",D20=""),E20="statistical_results"),"","not_applicable")</f>
        <v/>
      </c>
      <c r="I20" s="21">
        <f>IF(AND(OR(D20="retain",D20=""),E20="statistical_results"),"","not_applicable")</f>
        <v/>
      </c>
      <c r="J20" s="22">
        <f>IF(AND(OR(D20="retain",D20=""),E20="statistical_results"),"","not_applicable")</f>
        <v/>
      </c>
      <c r="K20" s="21">
        <f>IF(AND(OR(D20="retain",D20=""),OR(E20="report_internal_inconsistency",E20="plan_material")),"","not_applicable")</f>
        <v/>
      </c>
      <c r="L20" s="22">
        <f>IF(AND(OR(D20="retain",D20=""),E20="protocol_report"),"","not_applicable")</f>
        <v/>
      </c>
      <c r="M20" s="20" t="n"/>
      <c r="N20" s="23" t="n"/>
      <c r="O20" s="23" t="n"/>
      <c r="P20" s="23" t="n"/>
      <c r="Q20" s="23" t="n"/>
      <c r="R20" s="22" t="n"/>
    </row>
  </sheetData>
  <autoFilter ref="A1:R20"/>
  <conditionalFormatting sqref="H2:H20">
    <cfRule type="expression" priority="8" dxfId="70">
      <formula>NOT(AND(OR($D2="retain",$D2=""),$E2="statistical_results"))</formula>
    </cfRule>
  </conditionalFormatting>
  <conditionalFormatting sqref="I2:I20">
    <cfRule type="expression" priority="9" dxfId="70">
      <formula>NOT(AND(OR($D2="retain",$D2=""),$E2="statistical_results"))</formula>
    </cfRule>
  </conditionalFormatting>
  <conditionalFormatting sqref="J2:J20">
    <cfRule type="expression" priority="10" dxfId="70">
      <formula>NOT(AND(OR($D2="retain",$D2=""),$E2="statistical_results"))</formula>
    </cfRule>
  </conditionalFormatting>
  <conditionalFormatting sqref="K2:K20">
    <cfRule type="expression" priority="11" dxfId="70">
      <formula>NOT(AND(OR($D2="retain",$D2=""),OR($E2="report_internal_inconsistency",$E2="plan_material")))</formula>
    </cfRule>
  </conditionalFormatting>
  <conditionalFormatting sqref="L2:L20">
    <cfRule type="expression" priority="12" dxfId="70">
      <formula>NOT(AND(OR($D2="retain",$D2=""),$E2="protocol_report"))</formula>
    </cfRule>
  </conditionalFormatting>
  <conditionalFormatting sqref="G2:G20">
    <cfRule type="expression" priority="13" dxfId="71">
      <formula>G2&lt;&gt;"PRIMARY READY"</formula>
    </cfRule>
  </conditionalFormatting>
  <dataValidations count="8">
    <dataValidation sqref="D2:D20" showDropDown="0" showInputMessage="0" showErrorMessage="1" allowBlank="1" errorTitle="Use a listed option" error="Choose an option; G also checks pasted entries." type="list" errorStyle="stop">
      <formula1>"retain,exclude,discuss"</formula1>
    </dataValidation>
    <dataValidation sqref="E2:E20"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0" showDropDown="0" showInputMessage="0" showErrorMessage="1" allowBlank="1" errorTitle="Use a listed option" error="Choose an option; G also checks pasted entries." type="list" errorStyle="stop">
      <formula1>"no,primary_done"</formula1>
    </dataValidation>
    <dataValidation sqref="H2:H20"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0"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0" showDropDown="0" showInputMessage="0" showErrorMessage="1" allowBlank="1" errorTitle="Use a listed option" error="Choose an option; G also checks pasted entries." type="list" errorStyle="stop">
      <formula1>"direct,possible,unlikely,unknown,not_applicable"</formula1>
    </dataValidation>
    <dataValidation sqref="K2:K20"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0"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5"/>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2025::jama.2025.24175::C001</t>
        </is>
      </c>
      <c r="B2" s="20" t="inlineStr">
        <is>
          <t>Primary mean/Welch versus responder/Fisher specification</t>
        </is>
      </c>
      <c r="C2" s="20" t="inlineStr">
        <is>
          <t>PLAN joi250116supp1_prod_1771885794.26255.pdf — DOC-002 p.7 synopsis, joi250116supp1_prod_1771885794.26255.pdf — p.24 primary endpoint/death rule, joi250116supp1_prod_1771885794.26255.pdf — p.25 corresponding day-15 mean, joi250116supp1_prod_1771885794.26255.pdf — p.27 Welch analysis, joi250116supp1_prod_1771885794.26255.pdf — p.66 SAP responder/death rule, joi250116supp1_prod_1771885794.26255.pdf — p.67 Fisher analysis, joi250116supp1_prod_1771885794.26255.pdf — p.68 day-15 construction, joi250116supp1_prod_1771885794.26255.pdf — p.69 day-15 responder continuation; REPORT jama_giamarellosbourboulis_2025_oi_250116_1771885794.23757.pdf — DOC-001 p.3 endpoint, jama_giamarellosbourboulis_2025_oi_250116_1771885794.23757.pdf — p.5 imputation/secondary definition, jama_giamarellosbourboulis_2025_oi_250116_1771885794.23757.pdf — p.6 Table 2 and statistical analyses.</t>
        </is>
      </c>
      <c r="D2" s="21" t="n"/>
      <c r="E2" s="21" t="inlineStr">
        <is>
          <t>protocol_report</t>
        </is>
      </c>
      <c r="F2" s="21" t="inlineStr">
        <is>
          <t>no</t>
        </is>
      </c>
      <c r="G2" s="20">
        <f>IFERROR(IF(LEN(TRIM(CLEAN(SUBSTITUTE(Setup!$B$2,CHAR(160)," "))))=0,"CHECK REVIEWER ID",IF(OR(A2="",COUNTIF($A$2:$A$15,A2)&lt;&gt;1,LEFT(A2,LEN("2025::jama.2025.24175::"))&lt;&gt;"2025::jama.2025.24175::"),"CHECK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25">
      <c r="A3" s="24" t="inlineStr">
        <is>
          <t>2025::jama.2025.24175::C002</t>
        </is>
      </c>
      <c r="B3" s="24" t="inlineStr">
        <is>
          <t>Home-discharge versus ICU-discharge carry-forward eligibility</t>
        </is>
      </c>
      <c r="C3" s="24" t="inlineStr">
        <is>
          <t>PLAN joi250116supp1_prod_1771885794.26255.pdf — DOC-002 p.66; REPORT jama_giamarellosbourboulis_2025_oi_250116_1771885794.23757.pdf — DOC-001 p.3 daily ICU observation, jama_giamarellosbourboulis_2025_oi_250116_1771885794.23757.pdf — p.5 home-discharge rule, jama_giamarellosbourboulis_2025_oi_250116_1771885794.23757.pdf — p.6 ICU-discharge result, joi250116supp2_prod_1771885794.27755.pdf — DOC-003 p.20 eTable 8, joi250116supp2_prod_1771885794.27755.pdf — p.46 sensitivity population.</t>
        </is>
      </c>
      <c r="D3" s="21" t="n"/>
      <c r="E3" s="21" t="inlineStr">
        <is>
          <t>protocol_report</t>
        </is>
      </c>
      <c r="F3" s="21" t="inlineStr">
        <is>
          <t>no</t>
        </is>
      </c>
      <c r="G3" s="24">
        <f>IFERROR(IF(LEN(TRIM(CLEAN(SUBSTITUTE(Setup!$B$2,CHAR(160)," "))))=0,"CHECK REVIEWER ID",IF(OR(A3="",COUNTIF($A$2:$A$15,A3)&lt;&gt;1,LEFT(A3,LEN("2025::jama.2025.24175::"))&lt;&gt;"2025::jama.2025.24175::"),"CHECK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25">
      <c r="A4" s="20" t="inlineStr">
        <is>
          <t>2025::jama.2025.24175::C003</t>
        </is>
      </c>
      <c r="B4" s="20" t="inlineStr">
        <is>
          <t>Infection and omics outcome-status pattern</t>
        </is>
      </c>
      <c r="C4" s="20" t="inlineStr">
        <is>
          <t>PLAN joi250116supp1_prod_1771885794.26255.pdf — DOC-002 p.7 synopsis, joi250116supp1_prod_1771885794.26255.pdf — p.25 detailed hierarchy, joi250116supp1_prod_1771885794.26255.pdf — p.27 infection test hierarchy, joi250116supp1_prod_1771885794.26255.pdf — p.57 resolution appendix, joi250116supp1_prod_1771885794.26255.pdf — p.70 SAP infection; REPORT jama_giamarellosbourboulis_2025_oi_250116_1771885794.23757.pdf — DOC-001 p.5 prespecified secondary endpoints, jama_giamarellosbourboulis_2025_oi_250116_1771885794.23757.pdf — p.6 main secondary table, jama_giamarellosbourboulis_2025_oi_250116_1771885794.23757.pdf — p.7 sixth secondary result.</t>
        </is>
      </c>
      <c r="D4" s="21" t="n"/>
      <c r="E4" s="21" t="inlineStr">
        <is>
          <t>protocol_report</t>
        </is>
      </c>
      <c r="F4" s="21" t="inlineStr">
        <is>
          <t>no</t>
        </is>
      </c>
      <c r="G4" s="20">
        <f>IFERROR(IF(LEN(TRIM(CLEAN(SUBSTITUTE(Setup!$B$2,CHAR(160)," "))))=0,"CHECK REVIEWER ID",IF(OR(A4="",COUNTIF($A$2:$A$15,A4)&lt;&gt;1,LEFT(A4,LEN("2025::jama.2025.24175::"))&lt;&gt;"2025::jama.2025.24175::"),"CHECK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25">
      <c r="A5" s="24" t="inlineStr">
        <is>
          <t>2025::jama.2025.24175::C004</t>
        </is>
      </c>
      <c r="B5" s="24" t="inlineStr">
        <is>
          <t>Immune-reversal endpoint window, composite and ascertainment</t>
        </is>
      </c>
      <c r="C5" s="24" t="inlineStr">
        <is>
          <t>PLAN joi250116supp1_prod_1771885794.26255.pdf — DOC-002 p.25, joi250116supp1_prod_1771885794.26255.pdf — p.69, joi250116supp1_prod_1771885794.26255.pdf — p.70 continuation; REPORT jama_giamarellosbourboulis_2025_oi_250116_1771885794.23757.pdf — DOC-001 p.5 definition, jama_giamarellosbourboulis_2025_oi_250116_1771885794.23757.pdf — p.6 Table 2/footnote, jama_giamarellosbourboulis_2025_oi_250116_1771885794.23757.pdf — p.7 by-day-28 result, joi250116supp2_prod_1771885794.27755.pdf — DOC-003 p.50 eFigure 6.</t>
        </is>
      </c>
      <c r="D5" s="21" t="n"/>
      <c r="E5" s="21" t="inlineStr">
        <is>
          <t>protocol_report</t>
        </is>
      </c>
      <c r="F5" s="21" t="inlineStr">
        <is>
          <t>no</t>
        </is>
      </c>
      <c r="G5" s="24">
        <f>IFERROR(IF(LEN(TRIM(CLEAN(SUBSTITUTE(Setup!$B$2,CHAR(160)," "))))=0,"CHECK REVIEWER ID",IF(OR(A5="",COUNTIF($A$2:$A$15,A5)&lt;&gt;1,LEFT(A5,LEN("2025::jama.2025.24175::"))&lt;&gt;"2025::jama.2025.24175::"),"CHECK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25">
      <c r="A6" s="20" t="inlineStr">
        <is>
          <t>2025::jama.2025.24175::C005</t>
        </is>
      </c>
      <c r="B6" s="20" t="inlineStr">
        <is>
          <t>Continuous versus binary primary-outcome power basis</t>
        </is>
      </c>
      <c r="C6" s="20" t="inlineStr">
        <is>
          <t>PLAN joi250116supp1_prod_1771885794.26255.pdf — DOC-002 p.25 power introduction, joi250116supp1_prod_1771885794.26255.pdf — p.26 calculation; REPORT jama_giamarellosbourboulis_2025_oi_250116_1771885794.23757.pdf — DOC-001 p.5 Sample Size Calculation. The complete supplied SAP pp.63–72 has no revised binary power calculation.</t>
        </is>
      </c>
      <c r="D6" s="21" t="n"/>
      <c r="E6" s="21" t="inlineStr">
        <is>
          <t>protocol_report</t>
        </is>
      </c>
      <c r="F6" s="21" t="inlineStr">
        <is>
          <t>no</t>
        </is>
      </c>
      <c r="G6" s="20">
        <f>IFERROR(IF(LEN(TRIM(CLEAN(SUBSTITUTE(Setup!$B$2,CHAR(160)," "))))=0,"CHECK REVIEWER ID",IF(OR(A6="",COUNTIF($A$2:$A$15,A6)&lt;&gt;1,LEFT(A6,LEN("2025::jama.2025.24175::"))&lt;&gt;"2025::jama.2025.24175::"),"CHECK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25">
      <c r="A7" s="24" t="inlineStr">
        <is>
          <t>2025::jama.2025.24175::C006</t>
        </is>
      </c>
      <c r="B7" s="24" t="inlineStr">
        <is>
          <t>Binary planned versus ordinal reported infection analysis</t>
        </is>
      </c>
      <c r="C7" s="24" t="inlineStr">
        <is>
          <t>PLAN joi250116supp1_prod_1771885794.26255.pdf — DOC-002 p.27 Fisher/Mantel–Haenszel infection analysis, joi250116supp1_prod_1771885794.26255.pdf — p.70 binary resolved/not-resolved SAP analysis; REPORT jama_giamarellosbourboulis_2025_oi_250116_1771885794.23757.pdf — DOC-001 p.6 Table 2/statistical analysis/SAP-following statement, jama_giamarellosbourboulis_2025_oi_250116_1771885794.23757.pdf — p.7 ordinal result, joi250116supp2_prod_1771885794.27755.pdf — DOC-003 p.49 four-state figure.</t>
        </is>
      </c>
      <c r="D7" s="21" t="n"/>
      <c r="E7" s="21" t="inlineStr">
        <is>
          <t>protocol_report</t>
        </is>
      </c>
      <c r="F7" s="21" t="inlineStr">
        <is>
          <t>no</t>
        </is>
      </c>
      <c r="G7" s="24">
        <f>IFERROR(IF(LEN(TRIM(CLEAN(SUBSTITUTE(Setup!$B$2,CHAR(160)," "))))=0,"CHECK REVIEWER ID",IF(OR(A7="",COUNTIF($A$2:$A$15,A7)&lt;&gt;1,LEFT(A7,LEN("2025::jama.2025.24175::"))&lt;&gt;"2025::jama.2025.24175::"),"CHECK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25">
      <c r="A8" s="20" t="inlineStr">
        <is>
          <t>2025::jama.2025.24175::C007</t>
        </is>
      </c>
      <c r="B8" s="20" t="inlineStr">
        <is>
          <t>Prespecified primary and key-secondary analysis families not located</t>
        </is>
      </c>
      <c r="C8" s="20" t="inlineStr">
        <is>
          <t>PLAN joi250116supp1_prod_1771885794.26255.pdf — DOC-002 p.67 immune-state response homogeneity, joi250116supp1_prod_1771885794.26255.pdf — p.68 survivor secondary means and 28-day immune-state mortality, joi250116supp1_prod_1771885794.26255.pdf — p.71 severity/homogeneity and antibiotics, joi250116supp1_prod_1771885794.26255.pdf — p.72 antibiotic-primary continuation; REPORT jama_giamarellosbourboulis_2025_oi_250116_1771885794.23757.pdf — DOC-001 p.5 endpoint definitions, jama_giamarellosbourboulis_2025_oi_250116_1771885794.23757.pdf — p.6 methods/results, jama_giamarellosbourboulis_2025_oi_250116_1771885794.23757.pdf — p.7 response/mortality/post hoc results, jama_giamarellosbourboulis_2025_oi_250116_1771885794.23757.pdf — p.8 interaction continuation, joi250116supp2_prod_1771885794.27755.pdf — DOC-003 p.16 antibiotic footnote, joi250116supp2_prod_1771885794.27755.pdf — p.21 primary model, joi250116supp2_prod_1771885794.27755.pdf — p.22 immune response, joi250116supp2_prod_1771885794.27755.pdf — p.23 subset baseline, joi250116supp2_prod_1771885794.27755.pdf — p.24 subset baseline continuation, joi250116supp2_prod_1771885794.27755.pdf — p.47 overall mortality, joi250116supp2_prod_1771885794.27755.pdf — p.51 primary severity, joi250116supp2_prod_1771885794.27755.pdf — p.52 28-day severity, joi250116supp2_prod_1771885794.27755.pdf — p.53 90-day severity, with absence assessed against complete DOC-001 pp.1–12 and DOC-003 pp.1–54 result maps and source-linked text.</t>
        </is>
      </c>
      <c r="D8" s="21" t="n"/>
      <c r="E8" s="21" t="inlineStr">
        <is>
          <t>protocol_report</t>
        </is>
      </c>
      <c r="F8" s="21" t="inlineStr">
        <is>
          <t>no</t>
        </is>
      </c>
      <c r="G8" s="20">
        <f>IFERROR(IF(LEN(TRIM(CLEAN(SUBSTITUTE(Setup!$B$2,CHAR(160)," "))))=0,"CHECK REVIEWER ID",IF(OR(A8="",COUNTIF($A$2:$A$15,A8)&lt;&gt;1,LEFT(A8,LEN("2025::jama.2025.24175::"))&lt;&gt;"2025::jama.2025.24175::"),"CHECK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25">
      <c r="A9" s="24" t="inlineStr">
        <is>
          <t>2025::jama.2025.24175::C008</t>
        </is>
      </c>
      <c r="B9" s="24" t="inlineStr">
        <is>
          <t>Unadjusted day-15 immunoparalysis odds ratio does not reconcile with its counts</t>
        </is>
      </c>
      <c r="C9" s="24" t="inlineStr">
        <is>
          <t>joi250116supp2_prod_1771885794.27755.pdf — physical PDF p.22, eTable 10, final day-15 immunoparalysis row and all three companion rows.</t>
        </is>
      </c>
      <c r="D9" s="21" t="n"/>
      <c r="E9" s="21" t="inlineStr">
        <is>
          <t>statistical_results</t>
        </is>
      </c>
      <c r="F9" s="21" t="inlineStr">
        <is>
          <t>no</t>
        </is>
      </c>
      <c r="G9" s="24">
        <f>IFERROR(IF(LEN(TRIM(CLEAN(SUBSTITUTE(Setup!$B$2,CHAR(160)," "))))=0,"CHECK REVIEWER ID",IF(OR(A9="",COUNTIF($A$2:$A$15,A9)&lt;&gt;1,LEFT(A9,LEN("2025::jama.2025.24175::"))&lt;&gt;"2025::jama.2025.24175::"),"CHECK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Height="1" s="25">
      <c r="A10" s="20" t="inlineStr">
        <is>
          <t>2025::jama.2025.24175::C009</t>
        </is>
      </c>
      <c r="B10" s="20" t="inlineStr">
        <is>
          <t>MALS number-needed-to-harm direction does not reconcile with patient risks</t>
        </is>
      </c>
      <c r="C10" s="20" t="inlineStr">
        <is>
          <t>joi250116supp2_prod_1771885794.27755.pdf — physical PDF p.27, eTable 13, MALS Any SAE row; joi250116supp2_prod_1771885794.27755.pdf — physical PDF p.44, eTable 15, MALS NNH1 and induce-harm definition. Definition support: joi250116supp2_prod_1771885794.27755.pdf — physical PDF p.29, eTable 13 footnote a.</t>
        </is>
      </c>
      <c r="D10" s="21" t="n"/>
      <c r="E10" s="21" t="inlineStr">
        <is>
          <t>statistical_results</t>
        </is>
      </c>
      <c r="F10" s="21" t="inlineStr">
        <is>
          <t>no</t>
        </is>
      </c>
      <c r="G10" s="20">
        <f>IFERROR(IF(LEN(TRIM(CLEAN(SUBSTITUTE(Setup!$B$2,CHAR(160)," "))))=0,"CHECK REVIEWER ID",IF(OR(A10="",COUNTIF($A$2:$A$15,A10)&lt;&gt;1,LEFT(A10,LEN("2025::jama.2025.24175::"))&lt;&gt;"2025::jama.2025.24175::"),"CHECK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Height="1" s="25">
      <c r="A11" s="24" t="inlineStr">
        <is>
          <t>2025::jama.2025.24175::C010</t>
        </is>
      </c>
      <c r="B11" s="24" t="inlineStr">
        <is>
          <t>Finite NNH1 intervals versus nonsignificant source-specified safety comparisons</t>
        </is>
      </c>
      <c r="C11" s="24" t="inlineStr">
        <is>
          <t>joi250116supp2_prod_1771885794.27755.pdf — physical PDF p.27, eTable 13, MALS and immunoparalysis Any SAE patient rows; joi250116supp2_prod_1771885794.27755.pdf — physical PDF p.44, eTable 15, both NNH1 intervals. Patient-count support: joi250116supp2_prod_1771885794.27755.pdf — physical PDF p.29, footnote a. Test corroboration: jama_giamarellosbourboulis_2025_oi_250116_1771885794.23757.pdf — physical PDF p.6, significance and SAP-following statements; joi250116supp1_prod_1771885794.26255.pdf — physical PDF p.70, SAP Safety and two-sided significance specification.</t>
        </is>
      </c>
      <c r="D11" s="21" t="n"/>
      <c r="E11" s="21" t="inlineStr">
        <is>
          <t>statistical_results</t>
        </is>
      </c>
      <c r="F11" s="21" t="inlineStr">
        <is>
          <t>no</t>
        </is>
      </c>
      <c r="G11" s="24">
        <f>IFERROR(IF(LEN(TRIM(CLEAN(SUBSTITUTE(Setup!$B$2,CHAR(160)," "))))=0,"CHECK REVIEWER ID",IF(OR(A11="",COUNTIF($A$2:$A$15,A11)&lt;&gt;1,LEFT(A11,LEN("2025::jama.2025.24175::"))&lt;&gt;"2025::jama.2025.24175::"),"CHECK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Height="1" s="25">
      <c r="A12" s="20" t="inlineStr">
        <is>
          <t>2025::jama.2025.24175::C011</t>
        </is>
      </c>
      <c r="B12" s="20" t="inlineStr">
        <is>
          <t>Five subgroup P values do not reproduce under the companion-row test</t>
        </is>
      </c>
      <c r="C12" s="20" t="inlineStr">
        <is>
          <t>joi250116supp2_prod_1771885794.27755.pdf — physical PDF p.51, eFigure 7 panel A, primary response, APACHE II≥25, CCI≥5 and SOFA≥10 rows; joi250116supp2_prod_1771885794.27755.pdf — physical PDF p.52, eFigure 8 panel A, 28-day mortality, SOFA≥10 row; joi250116supp2_prod_1771885794.27755.pdf — physical PDF p.53, eFigure 9 panel A, 90-day mortality, SOFA≥10 row. Each page's remaining panel-A rows supplies companion evidence. Corroborating methods: jama_giamarellosbourboulis_2025_oi_250116_1771885794.23757.pdf — physical PDF p.6.</t>
        </is>
      </c>
      <c r="D12" s="21" t="n"/>
      <c r="E12" s="21" t="inlineStr">
        <is>
          <t>statistical_results</t>
        </is>
      </c>
      <c r="F12" s="21" t="inlineStr">
        <is>
          <t>no</t>
        </is>
      </c>
      <c r="G12" s="20">
        <f>IFERROR(IF(LEN(TRIM(CLEAN(SUBSTITUTE(Setup!$B$2,CHAR(160)," "))))=0,"CHECK REVIEWER ID",IF(OR(A12="",COUNTIF($A$2:$A$15,A12)&lt;&gt;1,LEFT(A12,LEN("2025::jama.2025.24175::"))&lt;&gt;"2025::jama.2025.24175::"),"CHECK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Height="1" s="25">
      <c r="A13" s="24" t="inlineStr">
        <is>
          <t>2025::jama.2025.24175::C012</t>
        </is>
      </c>
      <c r="B13" s="24" t="inlineStr">
        <is>
          <t>Repeated APACHE coefficient does not reproduce the companion interval construction</t>
        </is>
      </c>
      <c r="C13" s="24" t="inlineStr">
        <is>
          <t>joi250116supp2_prod_1771885794.27755.pdf — physical PDF p.51, eFigure 7 panel B, APACHE II≥25 main-effect row and five companions; joi250116supp2_prod_1771885794.27755.pdf — physical PDF p.52, eFigure 8 panel B, corresponding row and five companions.</t>
        </is>
      </c>
      <c r="D13" s="21" t="n"/>
      <c r="E13" s="21" t="inlineStr">
        <is>
          <t>statistical_results</t>
        </is>
      </c>
      <c r="F13" s="21" t="inlineStr">
        <is>
          <t>no</t>
        </is>
      </c>
      <c r="G13" s="24">
        <f>IFERROR(IF(LEN(TRIM(CLEAN(SUBSTITUTE(Setup!$B$2,CHAR(160)," "))))=0,"CHECK REVIEWER ID",IF(OR(A13="",COUNTIF($A$2:$A$15,A13)&lt;&gt;1,LEFT(A13,LEN("2025::jama.2025.24175::"))&lt;&gt;"2025::jama.2025.24175::"),"CHECK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Height="1" s="25">
      <c r="A14" s="20" t="inlineStr">
        <is>
          <t>2025::jama.2025.24175::C013</t>
        </is>
      </c>
      <c r="B14" s="20" t="inlineStr">
        <is>
          <t>Complete six-row output has unresolved attribution to two outcomes</t>
        </is>
      </c>
      <c r="C14" s="20" t="inlineStr">
        <is>
          <t>joi250116supp2_prod_1771885794.27755.pdf — physical PDF p.51, eFigure 7 complete panel B and primary-response caption; joi250116supp2_prod_1771885794.27755.pdf — physical PDF p.52, eFigure 8 complete panel B and 28-day-mortality caption. Narrative corroboration: jama_giamarellosbourboulis_2025_oi_250116_1771885794.23757.pdf — physical PDF p.7, Post Hoc and Subgroup Analyses opening; jama_giamarellosbourboulis_2025_oi_250116_1771885794.23757.pdf — physical PDF p.8, interaction continuation.</t>
        </is>
      </c>
      <c r="D14" s="21" t="n"/>
      <c r="E14" s="21" t="inlineStr">
        <is>
          <t>report_internal_inconsistency</t>
        </is>
      </c>
      <c r="F14" s="21" t="inlineStr">
        <is>
          <t>no</t>
        </is>
      </c>
      <c r="G14" s="20">
        <f>IFERROR(IF(LEN(TRIM(CLEAN(SUBSTITUTE(Setup!$B$2,CHAR(160)," "))))=0,"CHECK REVIEWER ID",IF(OR(A14="",COUNTIF($A$2:$A$15,A14)&lt;&gt;1,LEFT(A14,LEN("2025::jama.2025.24175::"))&lt;&gt;"2025::jama.2025.24175::"),"CHECK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Height="1" s="25">
      <c r="A15" s="24" t="inlineStr">
        <is>
          <t>2025::jama.2025.24175::C014</t>
        </is>
      </c>
      <c r="B15" s="24" t="inlineStr">
        <is>
          <t>90-day APACHE-treatment point lies outside its stated confidence interval</t>
        </is>
      </c>
      <c r="C15" s="24" t="inlineStr">
        <is>
          <t>joi250116supp2_prod_1771885794.27755.pdf — physical PDF p.53, eFigure 9 panel B, APACHE II≥25×precision-immunotherapy row and 90-day-mortality caption.</t>
        </is>
      </c>
      <c r="D15" s="21" t="n"/>
      <c r="E15" s="21" t="inlineStr">
        <is>
          <t>statistical_results</t>
        </is>
      </c>
      <c r="F15" s="21" t="inlineStr">
        <is>
          <t>no</t>
        </is>
      </c>
      <c r="G15" s="24">
        <f>IFERROR(IF(LEN(TRIM(CLEAN(SUBSTITUTE(Setup!$B$2,CHAR(160)," "))))=0,"CHECK REVIEWER ID",IF(OR(A15="",COUNTIF($A$2:$A$15,A15)&lt;&gt;1,LEFT(A15,LEN("2025::jama.2025.24175::"))&lt;&gt;"2025::jama.2025.24175::"),"CHECK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4"/>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2025::jama.2025.4390::C001</t>
        </is>
      </c>
      <c r="B2" s="20" t="inlineStr">
        <is>
          <t>Figure 3 primary and subgroup rate quantity/scale</t>
        </is>
      </c>
      <c r="C2" s="20" t="inlineStr">
        <is>
          <t>REPORT jama_garrison_2025_oi_250019_1749674951.29054.pdf — physical PDF p. 9; REPORT jama_garrison_2025_oi_250019_1749674951.29054.pdf — physical PDF p. 8; REPORT jama_garrison_2025_oi_250019_1749674951.29054.pdf — physical PDF p. 1; REPORT jama_garrison_2025_oi_250019_1749674951.29054.pdf — physical PDF p. 2; REPORT jama_garrison_2025_oi_250019_1749674951.29054.pdf — physical PDF p. 6</t>
        </is>
      </c>
      <c r="D2" s="21" t="n"/>
      <c r="E2" s="21" t="inlineStr">
        <is>
          <t>statistical_results</t>
        </is>
      </c>
      <c r="F2" s="21" t="inlineStr">
        <is>
          <t>no</t>
        </is>
      </c>
      <c r="G2" s="20">
        <f>IFERROR(IF(LEN(TRIM(CLEAN(SUBSTITUTE(Setup!$B$2,CHAR(160)," "))))=0,"CHECK REVIEWER ID",IF(OR(A2="",COUNTIF($A$2:$A$14,A2)&lt;&gt;1,LEFT(A2,LEN("2025::jama.2025.4390::"))&lt;&gt;"2025::jama.2025.4390::"),"CHECK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25">
      <c r="A3" s="24" t="inlineStr">
        <is>
          <t>2025::jama.2025.4390::C002</t>
        </is>
      </c>
      <c r="B3" s="24" t="inlineStr">
        <is>
          <t>Utilization endpoint restriction</t>
        </is>
      </c>
      <c r="C3" s="24" t="inlineStr">
        <is>
          <t>PLAN joi250019supp1_prod_1749674951.29554.pdf — physical PDF p. 3; PLAN joi250019supp2_prod_1749674951.30054.pdf — physical PDF p. 2; PLAN joi250019supp2_prod_1749674951.30054.pdf — physical PDF p. 4; REPORT jama_garrison_2025_oi_250019_1749674951.29054.pdf — physical PDF p. 1; REPORT jama_garrison_2025_oi_250019_1749674951.29054.pdf — physical PDF p. 3; REPORT jama_garrison_2025_oi_250019_1749674951.29054.pdf — physical PDF p. 8; REPORT joi250019supp3_prod_1749674951.30054.pdf — physical PDF p. 15</t>
        </is>
      </c>
      <c r="D3" s="21" t="n"/>
      <c r="E3" s="21" t="inlineStr">
        <is>
          <t>protocol_report</t>
        </is>
      </c>
      <c r="F3" s="21" t="inlineStr">
        <is>
          <t>no</t>
        </is>
      </c>
      <c r="G3" s="24">
        <f>IFERROR(IF(LEN(TRIM(CLEAN(SUBSTITUTE(Setup!$B$2,CHAR(160)," "))))=0,"CHECK REVIEWER ID",IF(OR(A3="",COUNTIF($A$2:$A$14,A3)&lt;&gt;1,LEFT(A3,LEN("2025::jama.2025.4390::"))&lt;&gt;"2025::jama.2025.4390::"),"CHECK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25">
      <c r="A4" s="20" t="inlineStr">
        <is>
          <t>2025::jama.2025.4390::C003</t>
        </is>
      </c>
      <c r="B4" s="20" t="inlineStr">
        <is>
          <t>Adaptive diuretic decision time/population</t>
        </is>
      </c>
      <c r="C4" s="20" t="inlineStr">
        <is>
          <t>PLAN joi250019supp1_prod_1749674951.29554.pdf — physical PDF p. 4; REPORT jama_garrison_2025_oi_250019_1749674951.29054.pdf — physical PDF p. 2</t>
        </is>
      </c>
      <c r="D4" s="21" t="n"/>
      <c r="E4" s="21" t="inlineStr">
        <is>
          <t>protocol_report</t>
        </is>
      </c>
      <c r="F4" s="21" t="inlineStr">
        <is>
          <t>no</t>
        </is>
      </c>
      <c r="G4" s="20">
        <f>IFERROR(IF(LEN(TRIM(CLEAN(SUBSTITUTE(Setup!$B$2,CHAR(160)," "))))=0,"CHECK REVIEWER ID",IF(OR(A4="",COUNTIF($A$2:$A$14,A4)&lt;&gt;1,LEFT(A4,LEN("2025::jama.2025.4390::"))&lt;&gt;"2025::jama.2025.4390::"),"CHECK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25">
      <c r="A5" s="24" t="inlineStr">
        <is>
          <t>2025::jama.2025.4390::C004</t>
        </is>
      </c>
      <c r="B5" s="24" t="inlineStr">
        <is>
          <t>Allocation specification</t>
        </is>
      </c>
      <c r="C5" s="24" t="inlineStr">
        <is>
          <t>PLAN joi250019supp1_prod_1749674951.29554.pdf — physical PDF p. 4; REPORT jama_garrison_2025_oi_250019_1749674951.29054.pdf — physical PDF p. 3; REPORT jama_garrison_2025_oi_250019_1749674951.29054.pdf — physical PDF p. 7; PLAN joi250019supp2_prod_1749674951.30054.pdf — physical PDF p. 4</t>
        </is>
      </c>
      <c r="D5" s="21" t="n"/>
      <c r="E5" s="21" t="inlineStr">
        <is>
          <t>protocol_report</t>
        </is>
      </c>
      <c r="F5" s="21" t="inlineStr">
        <is>
          <t>no</t>
        </is>
      </c>
      <c r="G5" s="24">
        <f>IFERROR(IF(LEN(TRIM(CLEAN(SUBSTITUTE(Setup!$B$2,CHAR(160)," "))))=0,"CHECK REVIEWER ID",IF(OR(A5="",COUNTIF($A$2:$A$14,A5)&lt;&gt;1,LEFT(A5,LEN("2025::jama.2025.4390::"))&lt;&gt;"2025::jama.2025.4390::"),"CHECK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25">
      <c r="A6" s="20" t="inlineStr">
        <is>
          <t>2025::jama.2025.4390::C005</t>
        </is>
      </c>
      <c r="B6" s="20" t="inlineStr">
        <is>
          <t>LTC medication-control criterion</t>
        </is>
      </c>
      <c r="C6" s="20" t="inlineStr">
        <is>
          <t>PLAN joi250019supp2_prod_1749674951.30054.pdf — physical PDF p. 2; REPORT jama_garrison_2025_oi_250019_1749674951.29054.pdf — physical PDF p. 3; REPORT jama_garrison_2025_oi_250019_1749674951.29054.pdf — physical PDF p. 8; REPORT joi250019supp3_prod_1749674951.30054.pdf — physical PDF p. 16</t>
        </is>
      </c>
      <c r="D6" s="21" t="n"/>
      <c r="E6" s="21" t="inlineStr">
        <is>
          <t>protocol_report</t>
        </is>
      </c>
      <c r="F6" s="21" t="inlineStr">
        <is>
          <t>no</t>
        </is>
      </c>
      <c r="G6" s="20">
        <f>IFERROR(IF(LEN(TRIM(CLEAN(SUBSTITUTE(Setup!$B$2,CHAR(160)," "))))=0,"CHECK REVIEWER ID",IF(OR(A6="",COUNTIF($A$2:$A$14,A6)&lt;&gt;1,LEFT(A6,LEN("2025::jama.2025.4390::"))&lt;&gt;"2025::jama.2025.4390::"),"CHECK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25">
      <c r="A7" s="24" t="inlineStr">
        <is>
          <t>2025::jama.2025.4390::C006</t>
        </is>
      </c>
      <c r="B7" s="24" t="inlineStr">
        <is>
          <t>Versioned health/glaucoma outcome hierarchy</t>
        </is>
      </c>
      <c r="C7" s="24" t="inlineStr">
        <is>
          <t>PLAN joi250019supp1_prod_1749674951.29554.pdf — physical PDF p. 3; PLAN joi250019supp2_prod_1749674951.30054.pdf — physical PDF p. 2; PLAN joi250019supp2_prod_1749674951.30054.pdf — physical PDF p. 3; REPORT jama_garrison_2025_oi_250019_1749674951.29054.pdf — physical PDF p. 3; REPORT jama_garrison_2025_oi_250019_1749674951.29054.pdf — physical PDF p. 7; REPORT jama_garrison_2025_oi_250019_1749674951.29054.pdf — physical PDF p. 8; REPORT joi250019supp3_prod_1749674951.30054.pdf — physical PDF p. 21</t>
        </is>
      </c>
      <c r="D7" s="21" t="n"/>
      <c r="E7" s="21" t="inlineStr">
        <is>
          <t>protocol_report</t>
        </is>
      </c>
      <c r="F7" s="21" t="inlineStr">
        <is>
          <t>no</t>
        </is>
      </c>
      <c r="G7" s="24">
        <f>IFERROR(IF(LEN(TRIM(CLEAN(SUBSTITUTE(Setup!$B$2,CHAR(160)," "))))=0,"CHECK REVIEWER ID",IF(OR(A7="",COUNTIF($A$2:$A$14,A7)&lt;&gt;1,LEFT(A7,LEN("2025::jama.2025.4390::"))&lt;&gt;"2025::jama.2025.4390::"),"CHECK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25">
      <c r="A8" s="20" t="inlineStr">
        <is>
          <t>2025::jama.2025.4390::C007</t>
        </is>
      </c>
      <c r="B8" s="20" t="inlineStr">
        <is>
          <t>Vision recall reference and aggregation</t>
        </is>
      </c>
      <c r="C8" s="20" t="inlineStr">
        <is>
          <t>PLAN joi250019supp1_prod_1749674951.29554.pdf — physical PDF p. 3; PLAN joi250019supp2_prod_1749674951.30054.pdf — physical PDF p. 2; REPORT jama_garrison_2025_oi_250019_1749674951.29054.pdf — physical PDF p. 3; REPORT jama_garrison_2025_oi_250019_1749674951.29054.pdf — physical PDF p. 8</t>
        </is>
      </c>
      <c r="D8" s="21" t="n"/>
      <c r="E8" s="21" t="inlineStr">
        <is>
          <t>protocol_report</t>
        </is>
      </c>
      <c r="F8" s="21" t="inlineStr">
        <is>
          <t>no</t>
        </is>
      </c>
      <c r="G8" s="20">
        <f>IFERROR(IF(LEN(TRIM(CLEAN(SUBSTITUTE(Setup!$B$2,CHAR(160)," "))))=0,"CHECK REVIEWER ID",IF(OR(A8="",COUNTIF($A$2:$A$14,A8)&lt;&gt;1,LEFT(A8,LEN("2025::jama.2025.4390::"))&lt;&gt;"2025::jama.2025.4390::"),"CHECK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25">
      <c r="A9" s="24" t="inlineStr">
        <is>
          <t>2025::jama.2025.4390::C008</t>
        </is>
      </c>
      <c r="B9" s="24" t="inlineStr">
        <is>
          <t>Six medication-class subgroup prespecification axes</t>
        </is>
      </c>
      <c r="C9" s="24" t="inlineStr">
        <is>
          <t>PLAN joi250019supp2_prod_1749674951.30054.pdf — physical PDF p. 6; REPORT jama_garrison_2025_oi_250019_1749674951.29054.pdf — physical PDF p. 6; REPORT jama_garrison_2025_oi_250019_1749674951.29054.pdf — physical PDF p. 9</t>
        </is>
      </c>
      <c r="D9" s="21" t="n"/>
      <c r="E9" s="21" t="inlineStr">
        <is>
          <t>protocol_report</t>
        </is>
      </c>
      <c r="F9" s="21" t="inlineStr">
        <is>
          <t>no</t>
        </is>
      </c>
      <c r="G9" s="24">
        <f>IFERROR(IF(LEN(TRIM(CLEAN(SUBSTITUTE(Setup!$B$2,CHAR(160)," "))))=0,"CHECK REVIEWER ID",IF(OR(A9="",COUNTIF($A$2:$A$14,A9)&lt;&gt;1,LEFT(A9,LEN("2025::jama.2025.4390::"))&lt;&gt;"2025::jama.2025.4390::"),"CHECK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Height="1" s="25">
      <c r="A10" s="20" t="inlineStr">
        <is>
          <t>2025::jama.2025.4390::C009</t>
        </is>
      </c>
      <c r="B10" s="20" t="inlineStr">
        <is>
          <t>Planned within-arm withdrawal sensitivity contrast</t>
        </is>
      </c>
      <c r="C10" s="20" t="inlineStr">
        <is>
          <t>PLAN joi250019supp2_prod_1749674951.30054.pdf — physical PDF p. 6; REPORT joi250019supp3_prod_1749674951.30054.pdf — physical PDF p. 33; REPORT joi250019supp3_prod_1749674951.30054.pdf — physical PDF p. 34; REPORT joi250019supp3_prod_1749674951.30054.pdf — physical PDF p. 35; REPORT joi250019supp3_prod_1749674951.30054.pdf — physical PDF p. 36; REPORT joi250019supp3_prod_1749674951.30054.pdf — physical PDF p. 37; REPORT joi250019supp3_prod_1749674951.30054.pdf — physical PDF p. 38; REPORT joi250019supp3_prod_1749674951.30054.pdf — physical PDF p. 39; REPORT joi250019supp3_prod_1749674951.30054.pdf — physical PDF p. 40</t>
        </is>
      </c>
      <c r="D10" s="21" t="n"/>
      <c r="E10" s="21" t="inlineStr">
        <is>
          <t>protocol_report</t>
        </is>
      </c>
      <c r="F10" s="21" t="inlineStr">
        <is>
          <t>no</t>
        </is>
      </c>
      <c r="G10" s="20">
        <f>IFERROR(IF(LEN(TRIM(CLEAN(SUBSTITUTE(Setup!$B$2,CHAR(160)," "))))=0,"CHECK REVIEWER ID",IF(OR(A10="",COUNTIF($A$2:$A$14,A10)&lt;&gt;1,LEFT(A10,LEN("2025::jama.2025.4390::"))&lt;&gt;"2025::jama.2025.4390::"),"CHECK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Height="1" s="25">
      <c r="A11" s="24" t="inlineStr">
        <is>
          <t>2025::jama.2025.4390::C010</t>
        </is>
      </c>
      <c r="B11" s="24" t="inlineStr">
        <is>
          <t>eTable 4 chronotype test reproduction</t>
        </is>
      </c>
      <c r="C11" s="24" t="inlineStr">
        <is>
          <t>REPORT joi250019supp3_prod_1749674951.30054.pdf — physical PDF p. 33; REPORT joi250019supp3_prod_1749674951.30054.pdf — physical PDF p. 34; REPORT joi250019supp3_prod_1749674951.30054.pdf — physical PDF p. 35; REPORT joi250019supp3_prod_1749674951.30054.pdf — physical PDF p. 36</t>
        </is>
      </c>
      <c r="D11" s="21" t="n"/>
      <c r="E11" s="21" t="inlineStr">
        <is>
          <t>statistical_results</t>
        </is>
      </c>
      <c r="F11" s="21" t="inlineStr">
        <is>
          <t>no</t>
        </is>
      </c>
      <c r="G11" s="24">
        <f>IFERROR(IF(LEN(TRIM(CLEAN(SUBSTITUTE(Setup!$B$2,CHAR(160)," "))))=0,"CHECK REVIEWER ID",IF(OR(A11="",COUNTIF($A$2:$A$14,A11)&lt;&gt;1,LEFT(A11,LEN("2025::jama.2025.4390::"))&lt;&gt;"2025::jama.2025.4390::"),"CHECK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Height="1" s="25">
      <c r="A12" s="20" t="inlineStr">
        <is>
          <t>2025::jama.2025.4390::C011</t>
        </is>
      </c>
      <c r="B12" s="20" t="inlineStr">
        <is>
          <t>eTable 5 ethnicity totals</t>
        </is>
      </c>
      <c r="C12" s="20" t="inlineStr">
        <is>
          <t>REPORT joi250019supp3_prod_1749674951.30054.pdf — physical PDF p. 37; REPORT joi250019supp3_prod_1749674951.30054.pdf — physical PDF p. 40</t>
        </is>
      </c>
      <c r="D12" s="21" t="n"/>
      <c r="E12" s="21" t="inlineStr">
        <is>
          <t>statistical_results</t>
        </is>
      </c>
      <c r="F12" s="21" t="inlineStr">
        <is>
          <t>no</t>
        </is>
      </c>
      <c r="G12" s="20">
        <f>IFERROR(IF(LEN(TRIM(CLEAN(SUBSTITUTE(Setup!$B$2,CHAR(160)," "))))=0,"CHECK REVIEWER ID",IF(OR(A12="",COUNTIF($A$2:$A$14,A12)&lt;&gt;1,LEFT(A12,LEN("2025::jama.2025.4390::"))&lt;&gt;"2025::jama.2025.4390::"),"CHECK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Height="1" s="25">
      <c r="A13" s="24" t="inlineStr">
        <is>
          <t>2025::jama.2025.4390::C012</t>
        </is>
      </c>
      <c r="B13" s="24" t="inlineStr">
        <is>
          <t>Identical medication tables, differing P values</t>
        </is>
      </c>
      <c r="C13" s="24" t="inlineStr">
        <is>
          <t>REPORT joi250019supp3_prod_1749674951.30054.pdf — physical PDF p. 39; REPORT joi250019supp3_prod_1749674951.30054.pdf — physical PDF p. 37; REPORT joi250019supp3_prod_1749674951.30054.pdf — physical PDF p. 40</t>
        </is>
      </c>
      <c r="D13" s="21" t="n"/>
      <c r="E13" s="21" t="inlineStr">
        <is>
          <t>statistical_results</t>
        </is>
      </c>
      <c r="F13" s="21" t="inlineStr">
        <is>
          <t>no</t>
        </is>
      </c>
      <c r="G13" s="24">
        <f>IFERROR(IF(LEN(TRIM(CLEAN(SUBSTITUTE(Setup!$B$2,CHAR(160)," "))))=0,"CHECK REVIEWER ID",IF(OR(A13="",COUNTIF($A$2:$A$14,A13)&lt;&gt;1,LEFT(A13,LEN("2025::jama.2025.4390::"))&lt;&gt;"2025::jama.2025.4390::"),"CHECK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Height="1" s="25">
      <c r="A14" s="20" t="inlineStr">
        <is>
          <t>2025::jama.2025.4390::C013</t>
        </is>
      </c>
      <c r="B14" s="20" t="inlineStr">
        <is>
          <t>ARB bedtime Other Reason fraction</t>
        </is>
      </c>
      <c r="C14" s="20" t="inlineStr">
        <is>
          <t>REPORT joi250019supp3_prod_1749674951.30054.pdf — physical PDF p. 46; REPORT joi250019supp3_prod_1749674951.30054.pdf — physical PDF p. 45; REPORT joi250019supp3_prod_1749674951.30054.pdf — physical PDF p. 48</t>
        </is>
      </c>
      <c r="D14" s="21" t="n"/>
      <c r="E14" s="21" t="inlineStr">
        <is>
          <t>statistical_results</t>
        </is>
      </c>
      <c r="F14" s="21" t="inlineStr">
        <is>
          <t>no</t>
        </is>
      </c>
      <c r="G14" s="20">
        <f>IFERROR(IF(LEN(TRIM(CLEAN(SUBSTITUTE(Setup!$B$2,CHAR(160)," "))))=0,"CHECK REVIEWER ID",IF(OR(A14="",COUNTIF($A$2:$A$14,A14)&lt;&gt;1,LEFT(A14,LEN("2025::jama.2025.4390::"))&lt;&gt;"2025::jama.2025.4390::"),"CHECK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5"/>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2025::jama.2025.7583::C001</t>
        </is>
      </c>
      <c r="B2" s="20" t="inlineStr">
        <is>
          <t>Planned complication comparison has no supplied comparative result</t>
        </is>
      </c>
      <c r="C2" s="20" t="inlineStr">
        <is>
          <t>PLAN joi250033supp1_prod_1750956987.76581.pdf — p. 50, secondary-endpoint analysis; PLAN joi250033supp5_prod_1750956987.78281.pdf — p. 4, section 2.2, joi250033supp5_prod_1750956987.78281.pdf — p. 7, section 3.6 fifth bullet. REPORT jama_shotar_2025_oi_250033_1750956987.75881.pdf — p. 1, abstract, jama_shotar_2025_oi_250033_1750956987.75881.pdf — p. 3, Secondary End Points/Statistical Analysis, jama_shotar_2025_oi_250033_1750956987.75881.pdf — p. 6, Table 2 complication rows, footnote j and narrative, jama_shotar_2025_oi_250033_1750956987.75881.pdf — p. 7, complication narrative. REPORT joi250033supp4_prod_1750956987.77981.pdf — p. 12, eTable 3, joi250033supp4_prod_1750956987.77981.pdf — p. 13, eTable 3 continuation.</t>
        </is>
      </c>
      <c r="D2" s="21" t="n"/>
      <c r="E2" s="21" t="inlineStr">
        <is>
          <t>protocol_report</t>
        </is>
      </c>
      <c r="F2" s="21" t="inlineStr">
        <is>
          <t>no</t>
        </is>
      </c>
      <c r="G2" s="20">
        <f>IFERROR(IF(LEN(TRIM(CLEAN(SUBSTITUTE(Setup!$B$2,CHAR(160)," "))))=0,"CHECK REVIEWER ID",IF(OR(A2="",COUNTIF($A$2:$A$5,A2)&lt;&gt;1,LEFT(A2,LEN("2025::jama.2025.7583::"))&lt;&gt;"2025::jama.2025.7583::"),"CHECK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25">
      <c r="A3" s="24" t="inlineStr">
        <is>
          <t>2025::jama.2025.7583::C002</t>
        </is>
      </c>
      <c r="B3" s="24" t="inlineStr">
        <is>
          <t>Strict versus inclusive primary recurrence boundary</t>
        </is>
      </c>
      <c r="C3" s="24" t="inlineStr">
        <is>
          <t>PLAN joi250033supp5_prod_1750956987.78281.pdf — p. 3, section 2.1 first bullet. PLAN joi250033supp1_prod_1750956987.76581.pdf — p. 7, synopsis, joi250033supp1_prod_1750956987.76581.pdf — p. 16, section 4.1.1 primary endpoint, joi250033supp1_prod_1750956987.76581.pdf — p. 21, both follow-up recurrence definitions, joi250033supp1_prod_1750956987.76581.pdf — p. 31, section 8.1. REPORT jama_shotar_2025_oi_250033_1750956987.75881.pdf — p. 3, End Points. REPORT joi250033supp4_prod_1750956987.77981.pdf — p. 11, eTable 2 criteria 1 and 1a, joi250033supp4_prod_1750956987.77981.pdf — p. 15, EMPROTECT primary endpoint.</t>
        </is>
      </c>
      <c r="D3" s="21" t="n"/>
      <c r="E3" s="21" t="inlineStr">
        <is>
          <t>protocol_report</t>
        </is>
      </c>
      <c r="F3" s="21" t="inlineStr">
        <is>
          <t>no</t>
        </is>
      </c>
      <c r="G3" s="24">
        <f>IFERROR(IF(LEN(TRIM(CLEAN(SUBSTITUTE(Setup!$B$2,CHAR(160)," "))))=0,"CHECK REVIEWER ID",IF(OR(A3="",COUNTIF($A$2:$A$5,A3)&lt;&gt;1,LEFT(A3,LEN("2025::jama.2025.7583::"))&lt;&gt;"2025::jama.2025.7583::"),"CHECK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25">
      <c r="A4" s="20" t="inlineStr">
        <is>
          <t>2025::jama.2025.7583::C003</t>
        </is>
      </c>
      <c r="B4" s="20" t="inlineStr">
        <is>
          <t>Disclosed cause-restricted death amendment in primary composite</t>
        </is>
      </c>
      <c r="C4" s="20" t="inlineStr">
        <is>
          <t>PLAN joi250033supp1_prod_1750956987.76581.pdf — p. 48, interim analysis, joi250033supp1_prod_1750956987.76581.pdf — p. 49, final primary analysis. PLAN joi250033supp5_prod_1750956987.78281.pdf — p. 5, interim analysis, joi250033supp5_prod_1750956987.78281.pdf — p. 6, final analysis, joi250033supp5_prod_1750956987.78281.pdf — p. 8, version-change table. REPORT jama_shotar_2025_oi_250033_1750956987.75881.pdf — p. 3, Statistical Analysis, jama_shotar_2025_oi_250033_1750956987.75881.pdf — p. 4, Figure 1, jama_shotar_2025_oi_250033_1750956987.75881.pdf — p. 5, Primary End Point narrative, jama_shotar_2025_oi_250033_1750956987.75881.pdf — p. 6, Table 2. REPORT joi250033supp4_prod_1750956987.77981.pdf — p. 5, imputation methods, joi250033supp4_prod_1750956987.77981.pdf — p. 9, no-imputation sensitivity footnote, joi250033supp4_prod_1750956987.77981.pdf — p. 11, recurrence/death criteria.</t>
        </is>
      </c>
      <c r="D4" s="21" t="n"/>
      <c r="E4" s="21" t="inlineStr">
        <is>
          <t>protocol_report</t>
        </is>
      </c>
      <c r="F4" s="21" t="inlineStr">
        <is>
          <t>no</t>
        </is>
      </c>
      <c r="G4" s="20">
        <f>IFERROR(IF(LEN(TRIM(CLEAN(SUBSTITUTE(Setup!$B$2,CHAR(160)," "))))=0,"CHECK REVIEWER ID",IF(OR(A4="",COUNTIF($A$2:$A$5,A4)&lt;&gt;1,LEFT(A4,LEN("2025::jama.2025.7583::"))&lt;&gt;"2025::jama.2025.7583::"),"CHECK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25">
      <c r="A5" s="24" t="inlineStr">
        <is>
          <t>2025::jama.2025.7583::C004</t>
        </is>
      </c>
      <c r="B5" s="24" t="inlineStr">
        <is>
          <t>Midline-shift samples exceed stated unilateral populations</t>
        </is>
      </c>
      <c r="C5" s="24" t="inlineStr">
        <is>
          <t>REPORT jama_shotar_2025_oi_250033_1750956987.75881.pdf — physical p. 5, Table 1 headers, Unilateral CSDH row, Midline shift row and continuation footnote d. Physical p. 5 is printed journal p. 131; evidence links use physical pagination.</t>
        </is>
      </c>
      <c r="D5" s="21" t="n"/>
      <c r="E5" s="21" t="inlineStr">
        <is>
          <t>statistical_results</t>
        </is>
      </c>
      <c r="F5" s="21" t="inlineStr">
        <is>
          <t>no</t>
        </is>
      </c>
      <c r="G5" s="24">
        <f>IFERROR(IF(LEN(TRIM(CLEAN(SUBSTITUTE(Setup!$B$2,CHAR(160)," "))))=0,"CHECK REVIEWER ID",IF(OR(A5="",COUNTIF($A$2:$A$5,A5)&lt;&gt;1,LEFT(A5,LEN("2025::jama.2025.7583::"))&lt;&gt;"2025::jama.2025.7583::"),"CHECK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onditionalFormatting>
  <dataValidations count="8">
    <dataValidation sqref="D2:D5" showDropDown="0" showInputMessage="0" showErrorMessage="1" allowBlank="1" errorTitle="Use a listed option" error="Choose an option; G also checks pasted entries." type="list" errorStyle="stop">
      <formula1>"retain,exclude,discuss"</formula1>
    </dataValidation>
    <dataValidation sqref="E2:E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5" showDropDown="0" showInputMessage="0" showErrorMessage="1" allowBlank="1" errorTitle="Use a listed option" error="Choose an option; G also checks pasted entries." type="list" errorStyle="stop">
      <formula1>"no,primary_done"</formula1>
    </dataValidation>
    <dataValidation sqref="H2:H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5" showDropDown="0" showInputMessage="0" showErrorMessage="1" allowBlank="1" errorTitle="Use a listed option" error="Choose an option; G also checks pasted entries." type="list" errorStyle="stop">
      <formula1>"direct,possible,unlikely,unknown,not_applicable"</formula1>
    </dataValidation>
    <dataValidation sqref="K2:K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4"/>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2025::jama.2025.7710::C001</t>
        </is>
      </c>
      <c r="B2" s="20" t="inlineStr">
        <is>
          <t>Planned prognostic-adjusted primary result is not identified</t>
        </is>
      </c>
      <c r="C2" s="20" t="inlineStr">
        <is>
          <t>PLAN joi250034supp1_prod_1750956984.09018.pdf — protocol p.20, §13.2; joi250034supp2_prod_1750956984.11521.pdf — SAP p.12, §3.2, joi250034supp2_prod_1750956984.11521.pdf — SAP p.13, §3.9, and joi250034supp2_prod_1750956984.11521.pdf — SAP p.26, Table 12. REPORT jama_kumar_2025_oi_250034_1750956984.08518.pdf — main p.3, Statistical Analysis, jama_kumar_2025_oi_250034_1750956984.08518.pdf — main p.6, primary/sensitivity paragraph, jama_kumar_2025_oi_250034_1750956984.08518.pdf — main p.7, Table 3, jama_kumar_2025_oi_250034_1750956984.08518.pdf — main p.8, Figure 2/Table 4, and joi250034supp3_prod_1750956984.12018.pdf — results p.2, eTable 1. All main pp.1–11 and results-supplement pp.1–6 were inspected for the output. joi250034supp2_prod_1750956984.11521.pdf — SAP p.4 supplies blinded-development context only.</t>
        </is>
      </c>
      <c r="D2" s="21" t="n"/>
      <c r="E2" s="21" t="inlineStr">
        <is>
          <t>protocol_report</t>
        </is>
      </c>
      <c r="F2" s="21" t="inlineStr">
        <is>
          <t>no</t>
        </is>
      </c>
      <c r="G2" s="20">
        <f>IFERROR(IF(LEN(TRIM(CLEAN(SUBSTITUTE(Setup!$B$2,CHAR(160)," "))))=0,"CHECK REVIEWER ID",IF(OR(A2="",COUNTIF($A$2:$A$4,A2)&lt;&gt;1,LEFT(A2,LEN("2025::jama.2025.7710::"))&lt;&gt;"2025::jama.2025.7710::"),"CHECK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25">
      <c r="A3" s="24" t="inlineStr">
        <is>
          <t>2025::jama.2025.7710::C002</t>
        </is>
      </c>
      <c r="B3" s="24" t="inlineStr">
        <is>
          <t>Planned component multiplicity adjustment differs from reported rule</t>
        </is>
      </c>
      <c r="C3" s="24" t="inlineStr">
        <is>
          <t>PLAN joi250034supp1_prod_1750956984.09018.pdf — protocol p.20, §13.2, with contextual continuation joi250034supp1_prod_1750956984.09018.pdf — p.21; joi250034supp2_prod_1750956984.11521.pdf — SAP p.12, §3.2, and joi250034supp2_prod_1750956984.11521.pdf — SAP p.25, Table 11 adjusted-P column. REPORT jama_kumar_2025_oi_250034_1750956984.08518.pdf — main p.3, outcome/interpretation paragraphs, jama_kumar_2025_oi_250034_1750956984.08518.pdf — main p.4, no-adjustment statement, and jama_kumar_2025_oi_250034_1750956984.08518.pdf — main p.7, Table 3, every component P-value row.</t>
        </is>
      </c>
      <c r="D3" s="21" t="n"/>
      <c r="E3" s="21" t="inlineStr">
        <is>
          <t>protocol_report</t>
        </is>
      </c>
      <c r="F3" s="21" t="inlineStr">
        <is>
          <t>no</t>
        </is>
      </c>
      <c r="G3" s="24">
        <f>IFERROR(IF(LEN(TRIM(CLEAN(SUBSTITUTE(Setup!$B$2,CHAR(160)," "))))=0,"CHECK REVIEWER ID",IF(OR(A3="",COUNTIF($A$2:$A$4,A3)&lt;&gt;1,LEFT(A3,LEN("2025::jama.2025.7710::"))&lt;&gt;"2025::jama.2025.7710::"),"CHECK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25">
      <c r="A4" s="20" t="inlineStr">
        <is>
          <t>2025::jama.2025.7710::C003</t>
        </is>
      </c>
      <c r="B4" s="20" t="inlineStr">
        <is>
          <t>Prior-cesarean subgroup history window differs from protocol</t>
        </is>
      </c>
      <c r="C4" s="20" t="inlineStr">
        <is>
          <t>PLAN comparator joi250034supp1_prod_1750956984.09018.pdf — protocol p.17, §8 subgroup 4. REPORT jama_kumar_2025_oi_250034_1750956984.08518.pdf — main p.4, prespecified-subgroup paragraph, jama_kumar_2025_oi_250034_1750956984.08518.pdf — main p.7, repeated subgroup-results description, and jama_kumar_2025_oi_250034_1750956984.08518.pdf — main p.8, Figure 2 preceding-pregnancy-cesarean family/caption. Corroborating PLAN joi250034supp2_prod_1750956984.11521.pdf — SAP p.14, §3.11, joi250034supp2_prod_1750956984.11521.pdf — SAP p.29, Table 15, and joi250034supp2_prod_1750956984.11521.pdf — SAP p.4, revision history/blinded-preparation declaration. Additional timing/process context: jama_kumar_2025_oi_250034_1750956984.08518.pdf — main p.3, prespecification-before-lock statement and joi250034supp1_prod_1750956984.09018.pdf — protocol p.22, §15.3 amendment process.</t>
        </is>
      </c>
      <c r="D4" s="21" t="n"/>
      <c r="E4" s="21" t="inlineStr">
        <is>
          <t>protocol_report</t>
        </is>
      </c>
      <c r="F4" s="21" t="inlineStr">
        <is>
          <t>no</t>
        </is>
      </c>
      <c r="G4" s="20">
        <f>IFERROR(IF(LEN(TRIM(CLEAN(SUBSTITUTE(Setup!$B$2,CHAR(160)," "))))=0,"CHECK REVIEWER ID",IF(OR(A4="",COUNTIF($A$2:$A$4,A4)&lt;&gt;1,LEFT(A4,LEN("2025::jama.2025.7710::"))&lt;&gt;"2025::jama.2025.7710::"),"CHECK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0" showErrorMessage="1" allowBlank="1" errorTitle="Use a listed option" error="Choose an option; G also checks pasted entries." type="list" errorStyle="stop">
      <formula1>"retain,exclude,discuss"</formula1>
    </dataValidation>
    <dataValidation sqref="E2:E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4" showDropDown="0" showInputMessage="0" showErrorMessage="1" allowBlank="1" errorTitle="Use a listed option" error="Choose an option; G also checks pasted entries." type="list" errorStyle="stop">
      <formula1>"no,primary_done"</formula1>
    </dataValidation>
    <dataValidation sqref="H2:H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4" showDropDown="0" showInputMessage="0" showErrorMessage="1" allowBlank="1" errorTitle="Use a listed option" error="Choose an option; G also checks pasted entries." type="list" errorStyle="stop">
      <formula1>"direct,possible,unlikely,unknown,not_applicable"</formula1>
    </dataValidation>
    <dataValidation sqref="K2:K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4"/>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2025::jama.2025.9110::C001</t>
        </is>
      </c>
      <c r="B2" s="20" t="inlineStr">
        <is>
          <t>Planned ventilation Cox analysis replaced by a tobit mean contrast</t>
        </is>
      </c>
      <c r="C2" s="20" t="inlineStr">
        <is>
          <t>REPORT jama_summers_2025_oi_250040_1753124024.36498.pdf — main article p. 1, abstract ventilation effect; REPORT jama_summers_2025_oi_250040_1753124024.36498.pdf — main article p. 4, SAP-concordance statement; REPORT jama_summers_2025_oi_250040_1753124024.36498.pdf — main article p. 5, repeated ventilation mean contrast; REPORT jama_summers_2025_oi_250040_1753124024.36498.pdf — main article p. 7, Table 2 ventilation row; PLAN joi250040supp1_prod_1753124024.37199.pdf — protocol p. 21, lines 679–684; PLAN joi250040supp2_prod_1753124024.37799.pdf — SAP p. 18, lines 416–431; PLAN joi250040supp2_prod_1753124024.37799.pdf — SAP p. 28, Table 1 ventilation analysis; REPORT joi250040supp3_prod_1753124024.38098.pdf — results supplement p. 4, Duration of invasive ventilation; REPORT joi250040supp3_prod_1753124024.38098.pdf — results supplement p. 6, metobit/margins</t>
        </is>
      </c>
      <c r="D2" s="21" t="n"/>
      <c r="E2" s="21" t="inlineStr">
        <is>
          <t>protocol_report</t>
        </is>
      </c>
      <c r="F2" s="21" t="inlineStr">
        <is>
          <t>no</t>
        </is>
      </c>
      <c r="G2" s="20">
        <f>IFERROR(IF(LEN(TRIM(CLEAN(SUBSTITUTE(Setup!$B$2,CHAR(160)," "))))=0,"CHECK REVIEWER ID",IF(OR(A2="",COUNTIF($A$2:$A$4,A2)&lt;&gt;1,LEFT(A2,LEN("2025::jama.2025.9110::"))&lt;&gt;"2025::jama.2025.9110::"),"CHECK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25">
      <c r="A3" s="24" t="inlineStr">
        <is>
          <t>2025::jama.2025.9110::C002</t>
        </is>
      </c>
      <c r="B3" s="24" t="inlineStr">
        <is>
          <t>Printed ICU confidence interval and P value have different null-status readings</t>
        </is>
      </c>
      <c r="C3" s="24" t="inlineStr">
        <is>
          <t>REPORT jama_summers_2025_oi_250040_1753124024.36498.pdf — main article p. 1, abstract ICU-discharge interval; REPORT jama_summers_2025_oi_250040_1753124024.36498.pdf — main article p. 4, two-sided testing and threshold; REPORT jama_summers_2025_oi_250040_1753124024.36498.pdf — main article p. 5, secondary-outcome ICU interval; REPORT jama_summers_2025_oi_250040_1753124024.36498.pdf — main article p. 7, Table 2 ICU row and footnote b</t>
        </is>
      </c>
      <c r="D3" s="21" t="n"/>
      <c r="E3" s="21" t="inlineStr">
        <is>
          <t>statistical_results</t>
        </is>
      </c>
      <c r="F3" s="21" t="inlineStr">
        <is>
          <t>no</t>
        </is>
      </c>
      <c r="G3" s="24">
        <f>IFERROR(IF(LEN(TRIM(CLEAN(SUBSTITUTE(Setup!$B$2,CHAR(160)," "))))=0,"CHECK REVIEWER ID",IF(OR(A3="",COUNTIF($A$2:$A$4,A3)&lt;&gt;1,LEFT(A3,LEN("2025::jama.2025.9110::"))&lt;&gt;"2025::jama.2025.9110::"),"CHECK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25">
      <c r="A4" s="20" t="inlineStr">
        <is>
          <t>2025::jama.2025.9110::C003</t>
        </is>
      </c>
      <c r="B4" s="20" t="inlineStr">
        <is>
          <t>Original primary-power correlation assumptions differ between SAP and report</t>
        </is>
      </c>
      <c r="C4" s="20" t="inlineStr">
        <is>
          <t>REPORT jama_summers_2025_oi_250040_1753124024.36498.pdf — main article p. 3, original sample-size rationale begins; REPORT jama_summers_2025_oi_250040_1753124024.36498.pdf — main article p. 4, correlation assumptions and continuation; PLAN joi250040supp2_prod_1753124024.37799.pdf — SAP p. 13, lines 301–308; PLAN joi250040supp2_prod_1753124024.37799.pdf — SAP p. 14, lines 309–321; Corroborating PLAN joi250040supp1_prod_1753124024.37199.pdf — protocol p. 20, lines 651–665</t>
        </is>
      </c>
      <c r="D4" s="21" t="n"/>
      <c r="E4" s="21" t="inlineStr">
        <is>
          <t>protocol_report</t>
        </is>
      </c>
      <c r="F4" s="21" t="inlineStr">
        <is>
          <t>no</t>
        </is>
      </c>
      <c r="G4" s="20">
        <f>IFERROR(IF(LEN(TRIM(CLEAN(SUBSTITUTE(Setup!$B$2,CHAR(160)," "))))=0,"CHECK REVIEWER ID",IF(OR(A4="",COUNTIF($A$2:$A$4,A4)&lt;&gt;1,LEFT(A4,LEN("2025::jama.2025.9110::"))&lt;&gt;"2025::jama.2025.9110::"),"CHECK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0" showErrorMessage="1" allowBlank="1" errorTitle="Use a listed option" error="Choose an option; G also checks pasted entries." type="list" errorStyle="stop">
      <formula1>"retain,exclude,discuss"</formula1>
    </dataValidation>
    <dataValidation sqref="E2:E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4" showDropDown="0" showInputMessage="0" showErrorMessage="1" allowBlank="1" errorTitle="Use a listed option" error="Choose an option; G also checks pasted entries." type="list" errorStyle="stop">
      <formula1>"no,primary_done"</formula1>
    </dataValidation>
    <dataValidation sqref="H2:H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4" showDropDown="0" showInputMessage="0" showErrorMessage="1" allowBlank="1" errorTitle="Use a listed option" error="Choose an option; G also checks pasted entries." type="list" errorStyle="stop">
      <formula1>"direct,possible,unlikely,unknown,not_applicable"</formula1>
    </dataValidation>
    <dataValidation sqref="K2:K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6"/>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2025::jama.2025.9663::C001</t>
        </is>
      </c>
      <c r="B2" s="20" t="inlineStr">
        <is>
          <t>Missing stratification-only primary-outcome analysis</t>
        </is>
      </c>
      <c r="C2" s="20" t="inlineStr">
        <is>
          <t>PLAN original protocol: joi250042supp1_prod_1753377747.92525.pdf — p. 30, §4.2.2; PLAN final protocol: joi250042supp1_prod_1753377747.92525.pdf — p. 70, §4.2.2; REPORT model description: jama_martin_2025_oi_250042_1753377747.91025.pdf — p. 3, Statistical Analysis; REPORT narrative effects: jama_martin_2025_oi_250042_1753377747.91025.pdf — p. 6, Primary and Secondary Outcomes; REPORT tabulated effects and adjustment sets: jama_martin_2025_oi_250042_1753377747.91025.pdf — p. 8, Table 2 and footnotes a/b; PLAN alternative specification: joi250042supp1_prod_1753377747.92525.pdf — p. 126, §5.3.1, joi250042supp1_prod_1753377747.92525.pdf — p. 127, continuation, and joi250042supp1_prod_1753377747.92525.pdf — p. 136, SAP changes</t>
        </is>
      </c>
      <c r="D2" s="21" t="n"/>
      <c r="E2" s="21" t="inlineStr">
        <is>
          <t>protocol_report</t>
        </is>
      </c>
      <c r="F2" s="21" t="inlineStr">
        <is>
          <t>no</t>
        </is>
      </c>
      <c r="G2" s="20">
        <f>IFERROR(IF(LEN(TRIM(CLEAN(SUBSTITUTE(Setup!$B$2,CHAR(160)," "))))=0,"CHECK REVIEWER ID",IF(OR(A2="",COUNTIF($A$2:$A$6,A2)&lt;&gt;1,LEFT(A2,LEN("2025::jama.2025.9663::"))&lt;&gt;"2025::jama.2025.9663::"),"CHECK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25">
      <c r="A3" s="24" t="inlineStr">
        <is>
          <t>2025::jama.2025.9663::C002</t>
        </is>
      </c>
      <c r="B3" s="24" t="inlineStr">
        <is>
          <t>Retained protocol stay test versus SAP/report stay method</t>
        </is>
      </c>
      <c r="C3" s="24" t="inlineStr">
        <is>
          <t>PLAN original protocol: joi250042supp1_prod_1753377747.92525.pdf — p. 30, §4.2.2; PLAN final protocol: joi250042supp1_prod_1753377747.92525.pdf — p. 70, §4.2.2, and joi250042supp1_prod_1753377747.92525.pdf — p. 71, continuation; PLAN original SAP: joi250042supp1_prod_1753377747.92525.pdf — p. 104, §5.3.2; PLAN final SAP: joi250042supp1_prod_1753377747.92525.pdf — p. 128, §5.3.4; REPORT methods: jama_martin_2025_oi_250042_1753377747.91025.pdf — p. 3, Statistical Analysis; REPORT stay results: jama_martin_2025_oi_250042_1753377747.91025.pdf — p. 8, Table 2; PLAN amendment context: joi250042supp1_prod_1753377747.92525.pdf — p. 136, SAP changes</t>
        </is>
      </c>
      <c r="D3" s="21" t="n"/>
      <c r="E3" s="21" t="inlineStr">
        <is>
          <t>protocol_report</t>
        </is>
      </c>
      <c r="F3" s="21" t="inlineStr">
        <is>
          <t>no</t>
        </is>
      </c>
      <c r="G3" s="24">
        <f>IFERROR(IF(LEN(TRIM(CLEAN(SUBSTITUTE(Setup!$B$2,CHAR(160)," "))))=0,"CHECK REVIEWER ID",IF(OR(A3="",COUNTIF($A$2:$A$6,A3)&lt;&gt;1,LEFT(A3,LEN("2025::jama.2025.9663::"))&lt;&gt;"2025::jama.2025.9663::"),"CHECK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25">
      <c r="A4" s="20" t="inlineStr">
        <is>
          <t>2025::jama.2025.9663::C003</t>
        </is>
      </c>
      <c r="B4" s="20" t="inlineStr">
        <is>
          <t>SAP all-outcome MICE versus reported selected predictors and stay censoring</t>
        </is>
      </c>
      <c r="C4" s="20" t="inlineStr">
        <is>
          <t>PLAN final SAP: joi250042supp1_prod_1753377747.92525.pdf — p. 131, §7 start, and joi250042supp1_prod_1753377747.92525.pdf — p. 132, §7 continuation; REPORT imputation description: jama_martin_2025_oi_250042_1753377747.91025.pdf — p. 3, imputation paragraph; REPORT effects and duration exception: jama_martin_2025_oi_250042_1753377747.91025.pdf — p. 8, all imputed Table 2 outcomes and footnote b; REPORT complete outcome-specific model/auxiliary rows and baseline footnote: joi250042supp2_prod_1753377747.93025.pdf — p. 24, eTable 7, every row and footnote a; REPORT missing ICU/hospital duration handling: joi250042supp2_prod_1753377747.93025.pdf — p. 24, duration rows and footnote e; PLAN amendment context: joi250042supp1_prod_1753377747.92525.pdf — p. 136, expanded missing-data description</t>
        </is>
      </c>
      <c r="D4" s="21" t="n"/>
      <c r="E4" s="21" t="inlineStr">
        <is>
          <t>protocol_report</t>
        </is>
      </c>
      <c r="F4" s="21" t="inlineStr">
        <is>
          <t>no</t>
        </is>
      </c>
      <c r="G4" s="20">
        <f>IFERROR(IF(LEN(TRIM(CLEAN(SUBSTITUTE(Setup!$B$2,CHAR(160)," "))))=0,"CHECK REVIEWER ID",IF(OR(A4="",COUNTIF($A$2:$A$6,A4)&lt;&gt;1,LEFT(A4,LEN("2025::jama.2025.9663::"))&lt;&gt;"2025::jama.2025.9663::"),"CHECK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25">
      <c r="A5" s="24" t="inlineStr">
        <is>
          <t>2025::jama.2025.9663::C004</t>
        </is>
      </c>
      <c r="B5" s="24" t="inlineStr">
        <is>
          <t>Hospital missing-duration censoring at one hour versus one day</t>
        </is>
      </c>
      <c r="C5" s="24" t="inlineStr">
        <is>
          <t>REPORT hospital effect and censoring definition: jama_martin_2025_oi_250042_1753377747.91025.pdf — p. 8, Table 2 acute-hospital stay row and footnote b; REPORT hospital missing count and outcome-specific censoring definition: joi250042supp2_prod_1753377747.93025.pdf — p. 24, eTable 7 acute-hospital duration row and footnote e</t>
        </is>
      </c>
      <c r="D5" s="21" t="n"/>
      <c r="E5" s="21" t="inlineStr">
        <is>
          <t>statistical_results</t>
        </is>
      </c>
      <c r="F5" s="21" t="inlineStr">
        <is>
          <t>no</t>
        </is>
      </c>
      <c r="G5" s="24">
        <f>IFERROR(IF(LEN(TRIM(CLEAN(SUBSTITUTE(Setup!$B$2,CHAR(160)," "))))=0,"CHECK REVIEWER ID",IF(OR(A5="",COUNTIF($A$2:$A$6,A5)&lt;&gt;1,LEFT(A5,LEN("2025::jama.2025.9663::"))&lt;&gt;"2025::jama.2025.9663::"),"CHECK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25">
      <c r="A6" s="20" t="inlineStr">
        <is>
          <t>2025::jama.2025.9663::C005</t>
        </is>
      </c>
      <c r="B6" s="20" t="inlineStr">
        <is>
          <t>Pilot adherence numerator and progression direction</t>
        </is>
      </c>
      <c r="C6" s="20" t="inlineStr">
        <is>
          <t>PLAN original SAP numerator and thresholds: joi250042supp1_prod_1753377747.92525.pdf — p. 95, Table 1 and footnote; PLAN original SAP adherence definition: joi250042supp1_prod_1753377747.92525.pdf — p. 98, §3.2.2 continuation; PLAN final SAP repeated numerator and thresholds: joi250042supp1_prod_1753377747.92525.pdf — p. 118, Table 1 and footnote; PLAN final protocol adherence definition: joi250042supp1_prod_1753377747.92525.pdf — p. 69, Table 2 adherence footnote; PLAN decision consequences: joi250042supp1_prod_1753377747.92525.pdf — p. 70, §4.2.1, joi250042supp1_prod_1753377747.92525.pdf — p. 96, original SAP pilot continuation, and joi250042supp1_prod_1753377747.92525.pdf — p. 119, final SAP pilot continuation</t>
        </is>
      </c>
      <c r="D6" s="21" t="n"/>
      <c r="E6" s="21" t="inlineStr">
        <is>
          <t>plan_material</t>
        </is>
      </c>
      <c r="F6" s="21" t="inlineStr">
        <is>
          <t>no</t>
        </is>
      </c>
      <c r="G6" s="20">
        <f>IFERROR(IF(LEN(TRIM(CLEAN(SUBSTITUTE(Setup!$B$2,CHAR(160)," "))))=0,"CHECK REVIEWER ID",IF(OR(A6="",COUNTIF($A$2:$A$6,A6)&lt;&gt;1,LEFT(A6,LEN("2025::jama.2025.9663::"))&lt;&gt;"2025::jama.2025.9663::"),"CHECK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Statistical_or_numerical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5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2026-09-19T05:14:09Z</dcterms:created>
  <dcterms:modified xsi:type="dcterms:W3CDTF">2026-10-14T18:58:39Z</dcterms:modified>
</cp:coreProperties>
</file>