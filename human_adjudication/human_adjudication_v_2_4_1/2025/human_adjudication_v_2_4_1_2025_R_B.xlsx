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wsl.localhost\Debian\home\bulun-debian\ai-paper-val\human_adjudication\human_adjudication_v_2_4_1\2025\"/>
    </mc:Choice>
  </mc:AlternateContent>
  <xr:revisionPtr revIDLastSave="0" documentId="13_ncr:1_{C1B834C5-6C0B-4E1D-A8D5-DF7652FE51A1}" xr6:coauthVersionLast="47" xr6:coauthVersionMax="47" xr10:uidLastSave="{00000000-0000-0000-0000-000000000000}"/>
  <bookViews>
    <workbookView xWindow="-108" yWindow="-108" windowWidth="23256" windowHeight="12456" tabRatio="967" firstSheet="10" activeTab="10" xr2:uid="{00000000-000D-0000-FFFF-FFFF00000000}"/>
  </bookViews>
  <sheets>
    <sheet name="Setup" sheetId="1" r:id="rId1"/>
    <sheet name="Checks" sheetId="2" r:id="rId2"/>
    <sheet name="Papers" sheetId="3" r:id="rId3"/>
    <sheet name="C_jama.2024.24764" sheetId="4" r:id="rId4"/>
    <sheet name="C_jama.2024.27643" sheetId="5" r:id="rId5"/>
    <sheet name="C_jama.2025.11178" sheetId="6" r:id="rId6"/>
    <sheet name="C_jama.2025.15185" sheetId="7" r:id="rId7"/>
    <sheet name="C_jama.2025.15440" sheetId="8" r:id="rId8"/>
    <sheet name="C_jama.2025.16450" sheetId="9" r:id="rId9"/>
    <sheet name="C_jama.2025.19563" sheetId="10" r:id="rId10"/>
    <sheet name="C_jama.2025.19843" sheetId="11" r:id="rId11"/>
    <sheet name="C_jama.2025.20765" sheetId="12" r:id="rId12"/>
    <sheet name="C_jama.2025.24175" sheetId="13" r:id="rId13"/>
    <sheet name="C_jama.2025.4390" sheetId="14" r:id="rId14"/>
    <sheet name="C_jama.2025.7583" sheetId="15" r:id="rId15"/>
    <sheet name="C_jama.2025.7710" sheetId="16" r:id="rId16"/>
    <sheet name="C_jama.2025.9110" sheetId="17" r:id="rId17"/>
    <sheet name="C_jama.2025.9663" sheetId="18" r:id="rId18"/>
    <sheet name="Codebook" sheetId="19" r:id="rId19"/>
  </sheets>
  <definedNames>
    <definedName name="_xlnm._FilterDatabase" localSheetId="3" hidden="1">'C_jama.2024.24764'!$A$1:$R$6</definedName>
    <definedName name="_xlnm._FilterDatabase" localSheetId="4" hidden="1">'C_jama.2024.27643'!$A$1:$R$17</definedName>
    <definedName name="_xlnm._FilterDatabase" localSheetId="5" hidden="1">'C_jama.2025.11178'!$A$1:$R$19</definedName>
    <definedName name="_xlnm._FilterDatabase" localSheetId="6" hidden="1">'C_jama.2025.15185'!$A$1:$R$7</definedName>
    <definedName name="_xlnm._FilterDatabase" localSheetId="7" hidden="1">'C_jama.2025.15440'!$A$1:$R$2</definedName>
    <definedName name="_xlnm._FilterDatabase" localSheetId="8" hidden="1">'C_jama.2025.16450'!$A$1:$R$7</definedName>
    <definedName name="_xlnm._FilterDatabase" localSheetId="9" hidden="1">'C_jama.2025.19563'!$A$1:$R$14</definedName>
    <definedName name="_xlnm._FilterDatabase" localSheetId="10" hidden="1">'C_jama.2025.19843'!$A$1:$R$8</definedName>
    <definedName name="_xlnm._FilterDatabase" localSheetId="11" hidden="1">'C_jama.2025.20765'!$A$1:$R$20</definedName>
    <definedName name="_xlnm._FilterDatabase" localSheetId="12" hidden="1">'C_jama.2025.24175'!$A$1:$R$15</definedName>
    <definedName name="_xlnm._FilterDatabase" localSheetId="13" hidden="1">'C_jama.2025.4390'!$A$1:$R$14</definedName>
    <definedName name="_xlnm._FilterDatabase" localSheetId="14" hidden="1">'C_jama.2025.7583'!$A$1:$R$5</definedName>
    <definedName name="_xlnm._FilterDatabase" localSheetId="15" hidden="1">'C_jama.2025.7710'!$A$1:$R$4</definedName>
    <definedName name="_xlnm._FilterDatabase" localSheetId="16" hidden="1">'C_jama.2025.9110'!$A$1:$R$4</definedName>
    <definedName name="_xlnm._FilterDatabase" localSheetId="17" hidden="1">'C_jama.2025.9663'!$A$1:$R$6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 i="5" l="1"/>
  <c r="L6" i="18"/>
  <c r="K6" i="18"/>
  <c r="J6" i="18"/>
  <c r="I6" i="18"/>
  <c r="H6" i="18"/>
  <c r="L5" i="18"/>
  <c r="K5" i="18"/>
  <c r="J5" i="18"/>
  <c r="I5" i="18"/>
  <c r="H5" i="18"/>
  <c r="L4" i="18"/>
  <c r="K4" i="18"/>
  <c r="J4" i="18"/>
  <c r="I4" i="18"/>
  <c r="H4" i="18"/>
  <c r="L3" i="18"/>
  <c r="K3" i="18"/>
  <c r="J3" i="18"/>
  <c r="I3" i="18"/>
  <c r="H3" i="18"/>
  <c r="L2" i="18"/>
  <c r="K2" i="18"/>
  <c r="J2" i="18"/>
  <c r="I2" i="18"/>
  <c r="H2" i="18"/>
  <c r="L4" i="17"/>
  <c r="K4" i="17"/>
  <c r="J4" i="17"/>
  <c r="I4" i="17"/>
  <c r="H4" i="17"/>
  <c r="L3" i="17"/>
  <c r="K3" i="17"/>
  <c r="J3" i="17"/>
  <c r="I3" i="17"/>
  <c r="H3" i="17"/>
  <c r="L2" i="17"/>
  <c r="K2" i="17"/>
  <c r="J2" i="17"/>
  <c r="I2" i="17"/>
  <c r="H2" i="17"/>
  <c r="L4" i="16"/>
  <c r="K4" i="16"/>
  <c r="J4" i="16"/>
  <c r="I4" i="16"/>
  <c r="H4" i="16"/>
  <c r="L3" i="16"/>
  <c r="K3" i="16"/>
  <c r="J3" i="16"/>
  <c r="I3" i="16"/>
  <c r="H3" i="16"/>
  <c r="L2" i="16"/>
  <c r="K2" i="16"/>
  <c r="J2" i="16"/>
  <c r="I2" i="16"/>
  <c r="H2" i="16"/>
  <c r="L5" i="15"/>
  <c r="K5" i="15"/>
  <c r="J5" i="15"/>
  <c r="I5" i="15"/>
  <c r="H5" i="15"/>
  <c r="L4" i="15"/>
  <c r="K4" i="15"/>
  <c r="J4" i="15"/>
  <c r="I4" i="15"/>
  <c r="H4" i="15"/>
  <c r="L3" i="15"/>
  <c r="K3" i="15"/>
  <c r="J3" i="15"/>
  <c r="I3" i="15"/>
  <c r="H3" i="15"/>
  <c r="L2" i="15"/>
  <c r="K2" i="15"/>
  <c r="J2" i="15"/>
  <c r="I2" i="15"/>
  <c r="H2" i="15"/>
  <c r="L14" i="14"/>
  <c r="K14" i="14"/>
  <c r="J14" i="14"/>
  <c r="I14" i="14"/>
  <c r="H14" i="14"/>
  <c r="L13" i="14"/>
  <c r="K13" i="14"/>
  <c r="J13" i="14"/>
  <c r="I13" i="14"/>
  <c r="H13" i="14"/>
  <c r="L12" i="14"/>
  <c r="K12" i="14"/>
  <c r="J12" i="14"/>
  <c r="I12" i="14"/>
  <c r="H12" i="14"/>
  <c r="L11" i="14"/>
  <c r="K11" i="14"/>
  <c r="J11" i="14"/>
  <c r="I11" i="14"/>
  <c r="H11" i="14"/>
  <c r="L10" i="14"/>
  <c r="K10" i="14"/>
  <c r="J10" i="14"/>
  <c r="I10" i="14"/>
  <c r="H10" i="14"/>
  <c r="L9" i="14"/>
  <c r="K9" i="14"/>
  <c r="J9" i="14"/>
  <c r="I9" i="14"/>
  <c r="H9" i="14"/>
  <c r="L8" i="14"/>
  <c r="K8" i="14"/>
  <c r="J8" i="14"/>
  <c r="I8" i="14"/>
  <c r="H8" i="14"/>
  <c r="L7" i="14"/>
  <c r="K7" i="14"/>
  <c r="J7" i="14"/>
  <c r="I7" i="14"/>
  <c r="H7" i="14"/>
  <c r="L6" i="14"/>
  <c r="K6" i="14"/>
  <c r="J6" i="14"/>
  <c r="I6" i="14"/>
  <c r="H6" i="14"/>
  <c r="L5" i="14"/>
  <c r="K5" i="14"/>
  <c r="J5" i="14"/>
  <c r="I5" i="14"/>
  <c r="H5" i="14"/>
  <c r="L4" i="14"/>
  <c r="K4" i="14"/>
  <c r="J4" i="14"/>
  <c r="I4" i="14"/>
  <c r="H4" i="14"/>
  <c r="L3" i="14"/>
  <c r="K3" i="14"/>
  <c r="J3" i="14"/>
  <c r="I3" i="14"/>
  <c r="H3" i="14"/>
  <c r="L2" i="14"/>
  <c r="K2" i="14"/>
  <c r="J2" i="14"/>
  <c r="I2" i="14"/>
  <c r="H2" i="14"/>
  <c r="L15" i="13"/>
  <c r="K15" i="13"/>
  <c r="J15" i="13"/>
  <c r="I15" i="13"/>
  <c r="H15" i="13"/>
  <c r="L14" i="13"/>
  <c r="K14" i="13"/>
  <c r="J14" i="13"/>
  <c r="I14" i="13"/>
  <c r="H14" i="13"/>
  <c r="L13" i="13"/>
  <c r="K13" i="13"/>
  <c r="J13" i="13"/>
  <c r="I13" i="13"/>
  <c r="H13" i="13"/>
  <c r="L12" i="13"/>
  <c r="K12" i="13"/>
  <c r="J12" i="13"/>
  <c r="I12" i="13"/>
  <c r="H12" i="13"/>
  <c r="L11" i="13"/>
  <c r="K11" i="13"/>
  <c r="J11" i="13"/>
  <c r="I11" i="13"/>
  <c r="H11" i="13"/>
  <c r="L10" i="13"/>
  <c r="K10" i="13"/>
  <c r="J10" i="13"/>
  <c r="I10" i="13"/>
  <c r="H10" i="13"/>
  <c r="L9" i="13"/>
  <c r="K9" i="13"/>
  <c r="J9" i="13"/>
  <c r="I9" i="13"/>
  <c r="H9" i="13"/>
  <c r="L8" i="13"/>
  <c r="K8" i="13"/>
  <c r="J8" i="13"/>
  <c r="I8" i="13"/>
  <c r="H8" i="13"/>
  <c r="L7" i="13"/>
  <c r="K7" i="13"/>
  <c r="J7" i="13"/>
  <c r="I7" i="13"/>
  <c r="H7" i="13"/>
  <c r="L6" i="13"/>
  <c r="K6" i="13"/>
  <c r="J6" i="13"/>
  <c r="I6" i="13"/>
  <c r="H6" i="13"/>
  <c r="L5" i="13"/>
  <c r="K5" i="13"/>
  <c r="J5" i="13"/>
  <c r="I5" i="13"/>
  <c r="H5" i="13"/>
  <c r="L4" i="13"/>
  <c r="K4" i="13"/>
  <c r="J4" i="13"/>
  <c r="I4" i="13"/>
  <c r="H4" i="13"/>
  <c r="L3" i="13"/>
  <c r="K3" i="13"/>
  <c r="J3" i="13"/>
  <c r="I3" i="13"/>
  <c r="H3" i="13"/>
  <c r="L2" i="13"/>
  <c r="K2" i="13"/>
  <c r="J2" i="13"/>
  <c r="I2" i="13"/>
  <c r="H2" i="13"/>
  <c r="L20" i="12"/>
  <c r="K20" i="12"/>
  <c r="J20" i="12"/>
  <c r="I20" i="12"/>
  <c r="H20" i="12"/>
  <c r="L19" i="12"/>
  <c r="K19" i="12"/>
  <c r="J19" i="12"/>
  <c r="I19" i="12"/>
  <c r="H19" i="12"/>
  <c r="L18" i="12"/>
  <c r="K18" i="12"/>
  <c r="J18" i="12"/>
  <c r="I18" i="12"/>
  <c r="H18" i="12"/>
  <c r="L17" i="12"/>
  <c r="K17" i="12"/>
  <c r="J17" i="12"/>
  <c r="I17" i="12"/>
  <c r="H17" i="12"/>
  <c r="L16" i="12"/>
  <c r="K16" i="12"/>
  <c r="J16" i="12"/>
  <c r="I16" i="12"/>
  <c r="H16" i="12"/>
  <c r="L15" i="12"/>
  <c r="K15" i="12"/>
  <c r="J15" i="12"/>
  <c r="I15" i="12"/>
  <c r="H15" i="12"/>
  <c r="L14" i="12"/>
  <c r="K14" i="12"/>
  <c r="J14" i="12"/>
  <c r="I14" i="12"/>
  <c r="H14" i="12"/>
  <c r="L13" i="12"/>
  <c r="K13" i="12"/>
  <c r="J13" i="12"/>
  <c r="I13" i="12"/>
  <c r="H13" i="12"/>
  <c r="L12" i="12"/>
  <c r="K12" i="12"/>
  <c r="J12" i="12"/>
  <c r="I12" i="12"/>
  <c r="H12" i="12"/>
  <c r="L11" i="12"/>
  <c r="K11" i="12"/>
  <c r="J11" i="12"/>
  <c r="I11" i="12"/>
  <c r="H11" i="12"/>
  <c r="L10" i="12"/>
  <c r="K10" i="12"/>
  <c r="J10" i="12"/>
  <c r="I10" i="12"/>
  <c r="H10" i="12"/>
  <c r="L9" i="12"/>
  <c r="K9" i="12"/>
  <c r="J9" i="12"/>
  <c r="I9" i="12"/>
  <c r="H9" i="12"/>
  <c r="L8" i="12"/>
  <c r="K8" i="12"/>
  <c r="J8" i="12"/>
  <c r="I8" i="12"/>
  <c r="H8" i="12"/>
  <c r="L7" i="12"/>
  <c r="K7" i="12"/>
  <c r="J7" i="12"/>
  <c r="I7" i="12"/>
  <c r="H7" i="12"/>
  <c r="L6" i="12"/>
  <c r="K6" i="12"/>
  <c r="J6" i="12"/>
  <c r="I6" i="12"/>
  <c r="H6" i="12"/>
  <c r="L5" i="12"/>
  <c r="K5" i="12"/>
  <c r="J5" i="12"/>
  <c r="I5" i="12"/>
  <c r="H5" i="12"/>
  <c r="L4" i="12"/>
  <c r="K4" i="12"/>
  <c r="J4" i="12"/>
  <c r="I4" i="12"/>
  <c r="H4" i="12"/>
  <c r="L3" i="12"/>
  <c r="K3" i="12"/>
  <c r="J3" i="12"/>
  <c r="I3" i="12"/>
  <c r="H3" i="12"/>
  <c r="L2" i="12"/>
  <c r="K2" i="12"/>
  <c r="J2" i="12"/>
  <c r="I2" i="12"/>
  <c r="H2" i="12"/>
  <c r="K8" i="11"/>
  <c r="J8" i="11"/>
  <c r="I8" i="11"/>
  <c r="H8" i="11"/>
  <c r="K7" i="11"/>
  <c r="J7" i="11"/>
  <c r="I7" i="11"/>
  <c r="H7" i="11"/>
  <c r="K6" i="11"/>
  <c r="J6" i="11"/>
  <c r="I6" i="11"/>
  <c r="H6" i="11"/>
  <c r="K5" i="11"/>
  <c r="J5" i="11"/>
  <c r="I5" i="11"/>
  <c r="K4" i="11"/>
  <c r="J4" i="11"/>
  <c r="I4" i="11"/>
  <c r="H4" i="11"/>
  <c r="K3" i="11"/>
  <c r="J3" i="11"/>
  <c r="I3" i="11"/>
  <c r="H3" i="11"/>
  <c r="L2" i="11"/>
  <c r="K2" i="11"/>
  <c r="L14" i="10"/>
  <c r="K14" i="10"/>
  <c r="L13" i="10"/>
  <c r="K13" i="10"/>
  <c r="L12" i="10"/>
  <c r="K12" i="10"/>
  <c r="L11" i="10"/>
  <c r="K11" i="10"/>
  <c r="J11" i="10"/>
  <c r="I11" i="10"/>
  <c r="H11" i="10"/>
  <c r="L10" i="10"/>
  <c r="K10" i="10"/>
  <c r="L9" i="10"/>
  <c r="K9" i="10"/>
  <c r="J9" i="10"/>
  <c r="I9" i="10"/>
  <c r="H9" i="10"/>
  <c r="K8" i="10"/>
  <c r="J8" i="10"/>
  <c r="I8" i="10"/>
  <c r="H8" i="10"/>
  <c r="K7" i="10"/>
  <c r="J7" i="10"/>
  <c r="I7" i="10"/>
  <c r="H7" i="10"/>
  <c r="K6" i="10"/>
  <c r="J6" i="10"/>
  <c r="I6" i="10"/>
  <c r="H6" i="10"/>
  <c r="L5" i="10"/>
  <c r="K5" i="10"/>
  <c r="J5" i="10"/>
  <c r="I5" i="10"/>
  <c r="H5" i="10"/>
  <c r="K4" i="10"/>
  <c r="J4" i="10"/>
  <c r="I4" i="10"/>
  <c r="H4" i="10"/>
  <c r="K3" i="10"/>
  <c r="J3" i="10"/>
  <c r="I3" i="10"/>
  <c r="H3" i="10"/>
  <c r="K2" i="10"/>
  <c r="J2" i="10"/>
  <c r="I2" i="10"/>
  <c r="H2" i="10"/>
  <c r="L7" i="9"/>
  <c r="K7" i="9"/>
  <c r="L6" i="9"/>
  <c r="J6" i="9"/>
  <c r="I6" i="9"/>
  <c r="H6" i="9"/>
  <c r="L5" i="9"/>
  <c r="J5" i="9"/>
  <c r="I5" i="9"/>
  <c r="H5" i="9"/>
  <c r="K4" i="9"/>
  <c r="J4" i="9"/>
  <c r="I4" i="9"/>
  <c r="H4" i="9"/>
  <c r="K3" i="9"/>
  <c r="J3" i="9"/>
  <c r="I3" i="9"/>
  <c r="H3" i="9"/>
  <c r="K2" i="9"/>
  <c r="J2" i="9"/>
  <c r="I2" i="9"/>
  <c r="H2" i="9"/>
  <c r="L2" i="8"/>
  <c r="J2" i="8"/>
  <c r="I2" i="8"/>
  <c r="H2" i="8"/>
  <c r="L7" i="7"/>
  <c r="K7" i="7"/>
  <c r="K6" i="7"/>
  <c r="J6" i="7"/>
  <c r="I6" i="7"/>
  <c r="H6" i="7"/>
  <c r="K5" i="7"/>
  <c r="J5" i="7"/>
  <c r="I5" i="7"/>
  <c r="H5" i="7"/>
  <c r="K4" i="7"/>
  <c r="J4" i="7"/>
  <c r="I4" i="7"/>
  <c r="H4" i="7"/>
  <c r="K3" i="7"/>
  <c r="J3" i="7"/>
  <c r="I3" i="7"/>
  <c r="H3" i="7"/>
  <c r="L2" i="7"/>
  <c r="K2" i="7"/>
  <c r="L19" i="6"/>
  <c r="K19" i="6"/>
  <c r="L18" i="6"/>
  <c r="K18" i="6"/>
  <c r="L17" i="6"/>
  <c r="K17" i="6"/>
  <c r="L16" i="6"/>
  <c r="K16" i="6"/>
  <c r="L15" i="6"/>
  <c r="K15" i="6"/>
  <c r="L14" i="6"/>
  <c r="K14" i="6"/>
  <c r="L13" i="6"/>
  <c r="K13" i="6"/>
  <c r="L12" i="6"/>
  <c r="K12" i="6"/>
  <c r="L11" i="6"/>
  <c r="K11" i="6"/>
  <c r="L10" i="6"/>
  <c r="K10" i="6"/>
  <c r="L9" i="6"/>
  <c r="K9" i="6"/>
  <c r="K8" i="6"/>
  <c r="J8" i="6"/>
  <c r="I8" i="6"/>
  <c r="H8" i="6"/>
  <c r="K7" i="6"/>
  <c r="J7" i="6"/>
  <c r="I7" i="6"/>
  <c r="H7" i="6"/>
  <c r="K6" i="6"/>
  <c r="J6" i="6"/>
  <c r="I6" i="6"/>
  <c r="H6" i="6"/>
  <c r="L5" i="6"/>
  <c r="K5" i="6"/>
  <c r="L4" i="6"/>
  <c r="K4" i="6"/>
  <c r="L3" i="6"/>
  <c r="K3" i="6"/>
  <c r="K2" i="6"/>
  <c r="J2" i="6"/>
  <c r="I2" i="6"/>
  <c r="H2" i="6"/>
  <c r="K17" i="5"/>
  <c r="J17" i="5"/>
  <c r="I17" i="5"/>
  <c r="H17" i="5"/>
  <c r="L16" i="5"/>
  <c r="K16" i="5"/>
  <c r="J16" i="5"/>
  <c r="I16" i="5"/>
  <c r="H16" i="5"/>
  <c r="J15" i="5"/>
  <c r="I15" i="5"/>
  <c r="H15" i="5"/>
  <c r="L14" i="5"/>
  <c r="K14" i="5"/>
  <c r="L13" i="5"/>
  <c r="K13" i="5"/>
  <c r="L12" i="5"/>
  <c r="J12" i="5"/>
  <c r="I12" i="5"/>
  <c r="H12" i="5"/>
  <c r="K11" i="5"/>
  <c r="J11" i="5"/>
  <c r="I11" i="5"/>
  <c r="H11" i="5"/>
  <c r="L10" i="5"/>
  <c r="K10" i="5"/>
  <c r="L9" i="5"/>
  <c r="J9" i="5"/>
  <c r="I9" i="5"/>
  <c r="H9" i="5"/>
  <c r="L8" i="5"/>
  <c r="K8" i="5"/>
  <c r="L7" i="5"/>
  <c r="K7" i="5"/>
  <c r="K6" i="5"/>
  <c r="J6" i="5"/>
  <c r="I6" i="5"/>
  <c r="H6" i="5"/>
  <c r="K5" i="5"/>
  <c r="J5" i="5"/>
  <c r="I5" i="5"/>
  <c r="H5" i="5"/>
  <c r="K4" i="5"/>
  <c r="J4" i="5"/>
  <c r="I4" i="5"/>
  <c r="H4" i="5"/>
  <c r="K3" i="5"/>
  <c r="J3" i="5"/>
  <c r="I3" i="5"/>
  <c r="H3" i="5"/>
  <c r="L2" i="5"/>
  <c r="K2" i="5"/>
  <c r="J2" i="5"/>
  <c r="I2" i="5"/>
  <c r="H2" i="5"/>
  <c r="J6" i="4"/>
  <c r="I6" i="4"/>
  <c r="H6" i="4"/>
  <c r="K5" i="4"/>
  <c r="J5" i="4"/>
  <c r="I5" i="4"/>
  <c r="H5" i="4"/>
  <c r="K4" i="4"/>
  <c r="J4" i="4"/>
  <c r="I4" i="4"/>
  <c r="H4" i="4"/>
  <c r="K3" i="4"/>
  <c r="J3" i="4"/>
  <c r="I3" i="4"/>
  <c r="H3" i="4"/>
  <c r="L2" i="4"/>
  <c r="K2" i="4"/>
  <c r="B5" i="2"/>
  <c r="B2" i="2"/>
  <c r="G10" i="14" l="1"/>
  <c r="G11" i="12"/>
  <c r="G5" i="14"/>
  <c r="G6" i="13"/>
  <c r="G15" i="13"/>
  <c r="G13" i="5"/>
  <c r="G13" i="13"/>
  <c r="G2" i="12"/>
  <c r="G10" i="13"/>
  <c r="G4" i="13"/>
  <c r="G2" i="11"/>
  <c r="G19" i="12"/>
  <c r="G14" i="10"/>
  <c r="G3" i="11"/>
  <c r="G11" i="6"/>
  <c r="G12" i="14"/>
  <c r="G6" i="11"/>
  <c r="G8" i="11"/>
  <c r="G4" i="12"/>
  <c r="G2" i="17"/>
  <c r="G12" i="13"/>
  <c r="G9" i="13"/>
  <c r="G20" i="12"/>
  <c r="G7" i="12"/>
  <c r="G4" i="11"/>
  <c r="G5" i="13"/>
  <c r="G2" i="7"/>
  <c r="G15" i="6"/>
  <c r="G2" i="4"/>
  <c r="G3" i="18"/>
  <c r="G16" i="5"/>
  <c r="G3" i="9"/>
  <c r="G6" i="12"/>
  <c r="G5" i="4"/>
  <c r="G17" i="12"/>
  <c r="G3" i="16"/>
  <c r="G9" i="10"/>
  <c r="G16" i="6"/>
  <c r="G4" i="17"/>
  <c r="G3" i="10"/>
  <c r="G3" i="14"/>
  <c r="G2" i="14"/>
  <c r="G5" i="11"/>
  <c r="G6" i="4"/>
  <c r="G2" i="15"/>
  <c r="G3" i="15"/>
  <c r="G14" i="12"/>
  <c r="G4" i="18"/>
  <c r="G5" i="12"/>
  <c r="G6" i="10"/>
  <c r="G15" i="5"/>
  <c r="G7" i="10"/>
  <c r="G15" i="12"/>
  <c r="G3" i="12"/>
  <c r="G12" i="6"/>
  <c r="G4" i="4"/>
  <c r="G14" i="13"/>
  <c r="G3" i="13"/>
  <c r="G6" i="9"/>
  <c r="G18" i="12"/>
  <c r="G13" i="6"/>
  <c r="G5" i="9"/>
  <c r="G17" i="6"/>
  <c r="G5" i="5"/>
  <c r="G13" i="12"/>
  <c r="G6" i="14"/>
  <c r="G2" i="10"/>
  <c r="G11" i="5"/>
  <c r="G12" i="5"/>
  <c r="G2" i="18"/>
  <c r="G7" i="7"/>
  <c r="G3" i="7"/>
  <c r="G8" i="5"/>
  <c r="G12" i="12"/>
  <c r="G10" i="12"/>
  <c r="G10" i="6"/>
  <c r="G8" i="10"/>
  <c r="G4" i="9"/>
  <c r="G18" i="6"/>
  <c r="G12" i="10"/>
  <c r="G16" i="12"/>
  <c r="G7" i="14"/>
  <c r="G13" i="14"/>
  <c r="G11" i="13"/>
  <c r="G5" i="18"/>
  <c r="G9" i="6"/>
  <c r="G2" i="8"/>
  <c r="G17" i="5"/>
  <c r="G7" i="5"/>
  <c r="G6" i="5"/>
  <c r="G10" i="5"/>
  <c r="G19" i="6"/>
  <c r="G13" i="10"/>
  <c r="G9" i="14"/>
  <c r="G2" i="16"/>
  <c r="G14" i="5"/>
  <c r="G3" i="4"/>
  <c r="G3" i="6"/>
  <c r="G8" i="6"/>
  <c r="G7" i="6"/>
  <c r="G4" i="6"/>
  <c r="G4" i="7"/>
  <c r="G3" i="5"/>
  <c r="G2" i="5"/>
  <c r="G11" i="14"/>
  <c r="G7" i="13"/>
  <c r="G5" i="15"/>
  <c r="G4" i="15"/>
  <c r="G4" i="16"/>
  <c r="G5" i="6"/>
  <c r="G2" i="6"/>
  <c r="G2" i="9"/>
  <c r="G14" i="14"/>
  <c r="G9" i="5"/>
  <c r="G5" i="7"/>
  <c r="G6" i="18"/>
  <c r="G5" i="10"/>
  <c r="G4" i="10"/>
  <c r="G14" i="6"/>
  <c r="G4" i="5"/>
  <c r="G7" i="11"/>
  <c r="G7" i="9"/>
  <c r="G10" i="10"/>
  <c r="G8" i="14"/>
  <c r="G4" i="14"/>
  <c r="G8" i="12"/>
  <c r="G6" i="6"/>
  <c r="G11" i="10"/>
  <c r="G6" i="7"/>
  <c r="G2" i="13"/>
  <c r="G3" i="17"/>
  <c r="G8" i="13"/>
  <c r="G9" i="12"/>
  <c r="B4" i="2" l="1"/>
  <c r="B6" i="2" l="1"/>
  <c r="B7" i="2"/>
</calcChain>
</file>

<file path=xl/sharedStrings.xml><?xml version="1.0" encoding="utf-8"?>
<sst xmlns="http://schemas.openxmlformats.org/spreadsheetml/2006/main" count="1369" uniqueCount="644">
  <si>
    <t>Field</t>
  </si>
  <si>
    <t>Value</t>
  </si>
  <si>
    <t>reviewerId</t>
  </si>
  <si>
    <t>reviewerName (optional)</t>
  </si>
  <si>
    <t>reviewerRole</t>
  </si>
  <si>
    <t>year</t>
  </si>
  <si>
    <t>Check</t>
  </si>
  <si>
    <t>Result</t>
  </si>
  <si>
    <t>Reviewer role</t>
  </si>
  <si>
    <t>Candidates</t>
  </si>
  <si>
    <t>Primary ready rows</t>
  </si>
  <si>
    <t>Discuss / unresolved rows</t>
  </si>
  <si>
    <t>Unfinished rows</t>
  </si>
  <si>
    <t>Workflow status</t>
  </si>
  <si>
    <t>Meaning</t>
  </si>
  <si>
    <t>PRIMARY READY means independent entry is complete. Discuss remains unresolved and is not counted as absence of error.</t>
  </si>
  <si>
    <t>Next action</t>
  </si>
  <si>
    <t>Inspect G on the C_ sheets. Save and deliver this file after review.</t>
  </si>
  <si>
    <t>Paper</t>
  </si>
  <si>
    <t>Review worksheet</t>
  </si>
  <si>
    <t>jama.2024.24764</t>
  </si>
  <si>
    <t>C_jama.2024.24764</t>
  </si>
  <si>
    <t>jama.2024.27643</t>
  </si>
  <si>
    <t>C_jama.2024.27643</t>
  </si>
  <si>
    <t>jama.2025.11178</t>
  </si>
  <si>
    <t>C_jama.2025.11178</t>
  </si>
  <si>
    <t>jama.2025.15185</t>
  </si>
  <si>
    <t>C_jama.2025.15185</t>
  </si>
  <si>
    <t>jama.2025.15440</t>
  </si>
  <si>
    <t>C_jama.2025.15440</t>
  </si>
  <si>
    <t>jama.2025.16450</t>
  </si>
  <si>
    <t>C_jama.2025.16450</t>
  </si>
  <si>
    <t>jama.2025.19563</t>
  </si>
  <si>
    <t>C_jama.2025.19563</t>
  </si>
  <si>
    <t>jama.2025.19843</t>
  </si>
  <si>
    <t>C_jama.2025.19843</t>
  </si>
  <si>
    <t>jama.2025.20765</t>
  </si>
  <si>
    <t>C_jama.2025.20765</t>
  </si>
  <si>
    <t>jama.2025.24175</t>
  </si>
  <si>
    <t>C_jama.2025.24175</t>
  </si>
  <si>
    <t>jama.2025.4390</t>
  </si>
  <si>
    <t>C_jama.2025.4390</t>
  </si>
  <si>
    <t>jama.2025.7583</t>
  </si>
  <si>
    <t>C_jama.2025.7583</t>
  </si>
  <si>
    <t>jama.2025.7710</t>
  </si>
  <si>
    <t>C_jama.2025.7710</t>
  </si>
  <si>
    <t>jama.2025.9110</t>
  </si>
  <si>
    <t>C_jama.2025.9110</t>
  </si>
  <si>
    <t>jama.2025.9663</t>
  </si>
  <si>
    <t>C_jama.2025.9663</t>
  </si>
  <si>
    <t>Candidate key</t>
  </si>
  <si>
    <t>Candidate title</t>
  </si>
  <si>
    <t>Source location</t>
  </si>
  <si>
    <t>Disposition</t>
  </si>
  <si>
    <t>Review domain (AI suggestion; editable)</t>
  </si>
  <si>
    <t>Complete</t>
  </si>
  <si>
    <t>Validation hint</t>
  </si>
  <si>
    <t>Statistical_or_numerical issue</t>
  </si>
  <si>
    <t>Substantiveness</t>
  </si>
  <si>
    <t>Downstream impact</t>
  </si>
  <si>
    <t>Report-internal or planning-material inconsistency</t>
  </si>
  <si>
    <t>Protocol interpretation</t>
  </si>
  <si>
    <t>Notes (optional)</t>
  </si>
  <si>
    <t>2025::jama.2024.24764::C001</t>
  </si>
  <si>
    <t>Quality-of-life conclusion versus the day-7 index test</t>
  </si>
  <si>
    <t>REPORT jama_atherton_2025_oi_240145_1741627844.85412.pdf — main article abstract, PDF p. 1; REPORT jama_atherton_2025_oi_240145_1741627844.85412.pdf — main Secondary Outcomes, PDF p. 6; REPORT joi240145supp3_prod_1741627844.89412.pdf — results supplement eTable 3, day-7 index, later-time rows and interaction, PDF p. 4. Corroborating PLAN joi240145supp1_prod_1741627844.87412.pdf — SAP §§5.1–5.2, PDF p. 12.</t>
  </si>
  <si>
    <t>statistical_results</t>
  </si>
  <si>
    <t>no</t>
  </si>
  <si>
    <t>2025::jama.2024.24764::C002</t>
  </si>
  <si>
    <t>Planned hospital-stay differences versus reported geometric ratios</t>
  </si>
  <si>
    <t>PLAN joi240145supp1_prod_1741627844.87412.pdf — SAP §9.2, PDF p. 15, joi240145supp1_prod_1741627844.87412.pdf — SAP §9.6, PDF p. 25, joi240145supp1_prod_1741627844.87412.pdf — SAP Appendix D7 shell, PDF p. 42; PLAN joi240145supp4_prod_1741627844.90412.pdf — protocol UK definition, PDF p. 24, joi240145supp4_prod_1741627844.90412.pdf — protocol §14.2.2, PDF p. 39; REPORT jama_atherton_2025_oi_240145_1741627844.85412.pdf — main abstract, PDF p. 1, jama_atherton_2025_oi_240145_1741627844.85412.pdf — Statistical Analysis, PDF p. 4, jama_atherton_2025_oi_240145_1741627844.85412.pdf — Secondary Outcomes, PDF p. 6, jama_atherton_2025_oi_240145_1741627844.85412.pdf — Table 3 UK/pooled rows and footnote c, PDF p. 8.</t>
  </si>
  <si>
    <t>protocol_report</t>
  </si>
  <si>
    <t>2025::jama.2024.24764::C003</t>
  </si>
  <si>
    <t>Reported predicted-survival exclusion versus supplied eligibility criteria</t>
  </si>
  <si>
    <t>REPORT jama_atherton_2025_oi_240145_1741627844.85412.pdf — main Eligibility Criteria, PDF p. 2 and jama_atherton_2025_oi_240145_1741627844.85412.pdf — mortality interpretation, PDF p. 10; PLAN joi240145supp4_prod_1741627844.90412.pdf — protocol §§5.1–5.2, PDF p. 17, joi240145supp4_prod_1741627844.90412.pdf — Key Eligibility Criteria summary, PDF p. 8, and joi240145supp4_prod_1741627844.90412.pdf — amendment context, PDF p. 2.</t>
  </si>
  <si>
    <t>2025::jama.2024.24764::C004</t>
  </si>
  <si>
    <t>Unstructured versus independent quality-of-life covariance</t>
  </si>
  <si>
    <t>PLAN joi240145supp1_prod_1741627844.87412.pdf — SAP §9.6 SF-12 and EQ-5D paragraphs, PDF p. 26; REPORT jama_atherton_2025_oi_240145_1741627844.85412.pdf — main Statistical Analysis, PDF p. 4; affected REPORT jama_atherton_2025_oi_240145_1741627844.85412.pdf — main Table 3 day-30 SF-12 rows, PDF p. 8, joi240145supp3_prod_1741627844.89412.pdf — results eTable 2, all PCS/MCS rows and interactions, PDF p. 3, joi240145supp3_prod_1741627844.89412.pdf — results eTable 3 index rows/interaction, PDF p. 4, and joi240145supp3_prod_1741627844.89412.pdf — results eTable 4 health rows/interaction, PDF p. 4.</t>
  </si>
  <si>
    <t>2025::jama.2024.24764::C005</t>
  </si>
  <si>
    <t>SAP fixed-participant parameterization and adjusted contrasts</t>
  </si>
  <si>
    <t>PLAN joi240145supp1_prod_1741627844.87412.pdf — SAP §9.6 SF-12 fixed-parameter declaration, PDF p. 26; PLAN joi240145supp1_prod_1741627844.87412.pdf — same paragraph's assessment-time, baseline adjustment and time-specific contrast declarations, PDF p. 26; inherited PLAN joi240145supp1_prod_1741627844.87412.pdf — EQ-5D index/health methods paragraph, PDF p. 26. No REPORT location is a conflicting party.</t>
  </si>
  <si>
    <t>plan_material</t>
  </si>
  <si>
    <t>2025::jama.2024.27643::C001</t>
  </si>
  <si>
    <t>Muscle-strength outcome status</t>
  </si>
  <si>
    <t>Physical PDF pages; PLAN/REPORT roles are stated above and within the evidence. joi240158supp1_prod_1742927563.7611.pdf — PDF p. 112; joi240158supp1_prod_1742927563.7611.pdf — PDF p. 184; joi240158supp2_prod_1742927563.7711.pdf — PDF p. 76; joi240158supp2_prod_1742927563.7711.pdf — PDF p. 77; joi240158supp2_prod_1742927563.7711.pdf — PDF p. 78; joi240158supp2_prod_1742927563.7711.pdf — PDF p. 109; joi240158supp2_prod_1742927563.7711.pdf — PDF p. 110; joi240158supp2_prod_1742927563.7711.pdf — PDF p. 111; joi240158supp2_prod_1742927563.7711.pdf — PDF p. 112; jama_berry_2025_oi_240158_1742927563.7361.pdf — PDF p. 3; joi240158supp3_prod_1742927563.7911.pdf — PDF p. 5; joi240158supp3_prod_1742927563.7911.pdf — PDF p. 6; joi240158supp2_prod_1742927563.7711.pdf — PDF p. 104</t>
  </si>
  <si>
    <t>2025::jama.2024.27643::C002</t>
  </si>
  <si>
    <t>Plasma NfL prespecification</t>
  </si>
  <si>
    <t>Physical PDF pages; PLAN/REPORT roles are stated above and within the evidence. jama_berry_2025_oi_240158_1742927563.7361.pdf — PDF p. 3; joi240158supp3_prod_1742927563.7911.pdf — PDF p. 6; joi240158supp3_prod_1742927563.7911.pdf — PDF p. 11; joi240158supp2_prod_1742927563.7711.pdf — PDF p. 110; joi240158supp2_prod_1742927563.7711.pdf — PDF p. 112; joi240158supp2_prod_1742927563.7711.pdf — PDF p. 127; joi240158supp2_prod_1742927563.7711.pdf — PDF p. 114; jama_berry_2025_oi_240158_1742927563.7361.pdf — PDF p. 8; joi240158supp3_prod_1742927563.7911.pdf — PDF p. 17</t>
  </si>
  <si>
    <t>2025::jama.2024.27643::C003</t>
  </si>
  <si>
    <t>Unreported named planned primary/key-secondary analyses</t>
  </si>
  <si>
    <t>Physical PDF pages; PLAN/REPORT roles are stated above and within the evidence. joi240158supp2_prod_1742927563.7711.pdf — PDF p. 116; joi240158supp2_prod_1742927563.7711.pdf — PDF p. 117; jama_berry_2025_oi_240158_1742927563.7361.pdf — PDF p. 4; joi240158supp3_prod_1742927563.7911.pdf — PDF p. 15; joi240158supp3_prod_1742927563.7911.pdf — PDF p. 9; joi240158supp2_prod_1742927563.7711.pdf — PDF p. 119; jama_berry_2025_oi_240158_1742927563.7361.pdf — PDF p. 3; joi240158supp3_prod_1742927563.7911.pdf — PDF p. 10; joi240158supp3_prod_1742927563.7911.pdf — PDF p. 16; joi240158supp3_prod_1742927563.7911.pdf — PDF p. 17; joi240158supp2_prod_1742927563.7711.pdf — PDF p. 125; jama_berry_2025_oi_240158_1742927563.7361.pdf — PDF p. 8; joi240158supp2_prod_1742927563.7711.pdf — PDF p. 113; joi240158supp2_prod_1742927563.7711.pdf — PDF p. 121; jama_berry_2025_oi_240158_1742927563.7361.pdf — PDF p. 7; joi240158supp3_prod_1742927563.7911.pdf — PDF p. 12; joi240158supp2_prod_1742927563.7711.pdf — PDF p. 126; joi240158supp3_prod_1742927563.7911.pdf — PDF p. 13; joi240158supp3_prod_1742927563.7911.pdf — PDF p. 18; joi240158supp3_prod_1742927563.7911.pdf — PDF p. 19; joi240158supp3_prod_1742927563.7911.pdf — PDF p. 20; joi240158supp3_prod_1742927563.7911.pdf — PDF p. 25; joi240158supp3_prod_1742927563.7911.pdf — PDF p. 1</t>
  </si>
  <si>
    <t>2025::jama.2024.27643::C004</t>
  </si>
  <si>
    <t>Adjusted planned CAFS versus reported Wilcoxon</t>
  </si>
  <si>
    <t>Physical PDF pages; PLAN/REPORT roles are stated above and within the evidence. joi240158supp2_prod_1742927563.7711.pdf — PDF p. 118; joi240158supp2_prod_1742927563.7711.pdf — PDF p. 119; jama_berry_2025_oi_240158_1742927563.7361.pdf — PDF p. 3; jama_berry_2025_oi_240158_1742927563.7361.pdf — PDF p. 4; joi240158supp3_prod_1742927563.7911.pdf — PDF p. 9; joi240158supp2_prod_1742927563.7711.pdf — PDF p. 84; joi240158supp2_prod_1742927563.7711.pdf — PDF p. 97</t>
  </si>
  <si>
    <t>2025::jama.2024.27643::C005</t>
  </si>
  <si>
    <t>Planned survival logrank result</t>
  </si>
  <si>
    <t>Physical PDF pages; PLAN/REPORT roles are stated above and within the evidence. joi240158supp2_prod_1742927563.7711.pdf — PDF p. 117; joi240158supp2_prod_1742927563.7711.pdf — PDF p. 121; joi240158supp2_prod_1742927563.7711.pdf — PDF p. 85; joi240158supp2_prod_1742927563.7711.pdf — PDF p. 86; jama_berry_2025_oi_240158_1742927563.7361.pdf — PDF p. 3; jama_berry_2025_oi_240158_1742927563.7361.pdf — PDF p. 4; jama_berry_2025_oi_240158_1742927563.7361.pdf — PDF p. 7; joi240158supp3_prod_1742927563.7911.pdf — PDF p. 10; joi240158supp2_prod_1742927563.7711.pdf — PDF p. 118</t>
  </si>
  <si>
    <t>2025::jama.2024.27643::C006</t>
  </si>
  <si>
    <t>Survival covariate-set descriptions</t>
  </si>
  <si>
    <t>Physical PDF pages; PLAN/REPORT roles are stated above and within the evidence. jama_berry_2025_oi_240158_1742927563.7361.pdf — PDF p. 3; joi240158supp3_prod_1742927563.7911.pdf — PDF p. 10; jama_berry_2025_oi_240158_1742927563.7361.pdf — PDF p. 7; joi240158supp3_prod_1742927563.7911.pdf — PDF p. 12; joi240158supp2_prod_1742927563.7711.pdf — PDF p. 121</t>
  </si>
  <si>
    <t>2025::jama.2024.27643::C007</t>
  </si>
  <si>
    <t>Mortality component estimates</t>
  </si>
  <si>
    <t>Physical PDF pages; PLAN/REPORT roles are stated above and within the evidence. jama_berry_2025_oi_240158_1742927563.7361.pdf — PDF p. 4; joi240158supp3_prod_1742927563.7911.pdf — PDF p. 15</t>
  </si>
  <si>
    <t>2025::jama.2024.27643::C008</t>
  </si>
  <si>
    <t>SVC change versus monthly rate</t>
  </si>
  <si>
    <t>Physical PDF pages; PLAN/REPORT roles are stated above and within the evidence. jama_berry_2025_oi_240158_1742927563.7361.pdf — PDF p. 4; joi240158supp3_prod_1742927563.7911.pdf — PDF p. 16; jama_berry_2025_oi_240158_1742927563.7361.pdf — PDF p. 3; joi240158supp3_prod_1742927563.7911.pdf — PDF p. 10; joi240158supp2_prod_1742927563.7711.pdf — PDF p. 119; joi240158supp2_prod_1742927563.7711.pdf — PDF p. 120; joi240158supp2_prod_1742927563.7711.pdf — PDF p. 121; joi240158supp2_prod_1742927563.7711.pdf — PDF p. 122; joi240158supp2_prod_1742927563.7711.pdf — PDF p. 123</t>
  </si>
  <si>
    <t>report_internal_inconsistency</t>
  </si>
  <si>
    <t>2025::jama.2024.27643::C009</t>
  </si>
  <si>
    <t>Survival regimen-placebo exclusions and denominator</t>
  </si>
  <si>
    <t>Physical PDF pages; PLAN/REPORT roles are stated above and within the evidence. jama_berry_2025_oi_240158_1742927563.7361.pdf — PDF p. 4; jama_berry_2025_oi_240158_1742927563.7361.pdf — PDF p. 7</t>
  </si>
  <si>
    <t>2025::jama.2024.27643::C010</t>
  </si>
  <si>
    <t>Prespecified subgroup partitions</t>
  </si>
  <si>
    <t>Physical PDF pages; PLAN/REPORT roles are stated above and within the evidence. joi240158supp2_prod_1742927563.7711.pdf — PDF p. 89; joi240158supp2_prod_1742927563.7711.pdf — PDF p. 126; joi240158supp3_prod_1742927563.7911.pdf — PDF p. 13; joi240158supp3_prod_1742927563.7911.pdf — PDF p. 20; joi240158supp2_prod_1742927563.7711.pdf — PDF p. 88; joi240158supp3_prod_1742927563.7911.pdf — PDF p. 19; jama_berry_2025_oi_240158_1742927563.7361.pdf — PDF p. 8</t>
  </si>
  <si>
    <t>2025::jama.2024.27643::C011</t>
  </si>
  <si>
    <t>Six-point functional-decline composite inside PLAN</t>
  </si>
  <si>
    <t>Physical PDF pages; PLAN/REPORT roles are stated above and within the evidence. joi240158supp1_prod_1742927563.7611.pdf — PDF p. 112; joi240158supp1_prod_1742927563.7611.pdf — PDF p. 184; joi240158supp2_prod_1742927563.7711.pdf — PDF p. 78; joi240158supp2_prod_1742927563.7711.pdf — PDF p. 111; joi240158supp2_prod_1742927563.7711.pdf — PDF p. 113; jama_berry_2025_oi_240158_1742927563.7361.pdf — PDF p. 3; joi240158supp2_prod_1742927563.7711.pdf — PDF p. 104</t>
  </si>
  <si>
    <t>2025::jama.2024.27643::C012</t>
  </si>
  <si>
    <t>NfL interval versus P display pattern</t>
  </si>
  <si>
    <t>Physical PDF pages; PLAN/REPORT roles are stated above and within the evidence. joi240158supp3_prod_1742927563.7911.pdf — PDF p. 17; jama_berry_2025_oi_240158_1742927563.7361.pdf — PDF p. 4; jama_berry_2025_oi_240158_1742927563.7361.pdf — PDF p. 8</t>
  </si>
  <si>
    <t>2025::jama.2024.27643::C013</t>
  </si>
  <si>
    <t>Serum NfL contrast scale</t>
  </si>
  <si>
    <t>Physical PDF pages; PLAN/REPORT roles are stated above and within the evidence. joi240158supp3_prod_1742927563.7911.pdf — PDF p. 17; jama_berry_2025_oi_240158_1742927563.7361.pdf — PDF p. 8</t>
  </si>
  <si>
    <t>2025::jama.2024.27643::C014</t>
  </si>
  <si>
    <t>Estimated DRR direction in planned operating characteristics</t>
  </si>
  <si>
    <t>Physical PDF pages; PLAN/REPORT roles are stated above and within the evidence. joi240158supp2_prod_1742927563.7711.pdf — PDF p. 50; joi240158supp1_prod_1742927563.7611.pdf — PDF p. 65; joi240158supp1_prod_1742927563.7611.pdf — PDF p. 137; joi240158supp1_prod_1742927563.7611.pdf — PDF p. 212; joi240158supp2_prod_1742927563.7711.pdf — PDF p. 8; joi240158supp2_prod_1742927563.7711.pdf — PDF p. 63</t>
  </si>
  <si>
    <t>2025::jama.2024.27643::C015</t>
  </si>
  <si>
    <t>Signed CAFS P value in illustrative PLAN prose</t>
  </si>
  <si>
    <t>Physical PDF pages; PLAN/REPORT roles are stated above and within the evidence. joi240158supp2_prod_1742927563.7711.pdf — PDF p. 59; joi240158supp2_prod_1742927563.7711.pdf — PDF p. 58; joi240158supp2_prod_1742927563.7711.pdf — PDF p. 8; joi240158supp2_prod_1742927563.7711.pdf — PDF p. 63</t>
  </si>
  <si>
    <t>2025::jama.2024.27643::C016</t>
  </si>
  <si>
    <t>Serum NfL below-quantitation substitution rule</t>
  </si>
  <si>
    <t>Physical PDF pages; PLAN/REPORT roles are stated above and within the evidence. joi240158supp2_prod_1742927563.7711.pdf — PDF p. 112; joi240158supp3_prod_1742927563.7911.pdf — PDF p. 11; joi240158supp3_prod_1742927563.7911.pdf — PDF p. 10; joi240158supp3_prod_1742927563.7911.pdf — PDF p. 12; jama_berry_2025_oi_240158_1742927563.7361.pdf — PDF p. 8; joi240158supp3_prod_1742927563.7911.pdf — PDF p. 17</t>
  </si>
  <si>
    <t>2025::jama.2025.11178::C001</t>
  </si>
  <si>
    <t>Planned versus reported online session duration</t>
  </si>
  <si>
    <t>Yes, all five locations: REPORT main p.3, Health Coach Program and Online Program — jama_debar_2025_oi_250046_1755300121.13587.pdf; PLAN protocol p.43 §10.1.1 — joi250046supp1_prod_1755300121.14087.pdf and p.44 coach overview — joi250046supp1_prod_1755300121.14087.pdf; REPORT TIDieR p.3 Procedures — joi250046supp3_prod_1755300121.15087.pdf and p.4 When and How Much — joi250046supp3_prod_1755300121.15087.pdf.</t>
  </si>
  <si>
    <t>2025::jama.2025.11178::C002</t>
  </si>
  <si>
    <t>Therapeutic-dose adherence percentage</t>
  </si>
  <si>
    <t>Yes: REPORT main p.4 Results adherence paragraph — jama_debar_2025_oi_250046_1755300121.13587.pdf and p.5 Figure 1 PT allocation/session counts — jama_debar_2025_oi_250046_1755300121.13587.pdf.</t>
  </si>
  <si>
    <t>2025::jama.2025.11178::C003</t>
  </si>
  <si>
    <t>SMD construction across Table 3</t>
  </si>
  <si>
    <t>Yes: REPORT main p.4 SMD definition — jama_debar_2025_oi_250046_1755300121.13587.pdf, p.10 Table 3 — jama_debar_2025_oi_250046_1755300121.13587.pdf, and p.11 continuation and footnote d — jama_debar_2025_oi_250046_1755300121.13587.pdf. All twenty registered outcome/time rows and all three point-contrast columns per row were read directly.</t>
  </si>
  <si>
    <t>2025::jama.2025.11178::C004</t>
  </si>
  <si>
    <t>Reciprocal NNT point-reproduction pattern</t>
  </si>
  <si>
    <t>Yes: REPORT main p.4 NNT definition — jama_debar_2025_oi_250046_1755300121.13587.pdf; REPORT main p.9 Table 2 severity 6-month HC/UC, interference 6-month HC/UC and footnote d — jama_debar_2025_oi_250046_1755300121.13587.pdf; REPORT results p.14 eTable 8 reminder-letter 6-month PT/UC and footnote d — joi250046supp4_prod_1755300121.15587.pdf. All three affected rows were read.</t>
  </si>
  <si>
    <t>2025::jama.2025.11178::C005</t>
  </si>
  <si>
    <t>Age as a prespecified base adjustment covariate</t>
  </si>
  <si>
    <t>Yes: PLAN protocol p.56 §15.5 — joi250046supp1_prod_1755300121.14087.pdf; PLAN SAP p.20 §§13–14 — joi250046supp2_prod_1755300121.15087.pdf; REPORT main p.4 adjustment sentence — jama_debar_2025_oi_250046_1755300121.13587.pdf; REPORT results p.4 Adjustment — joi250046supp4_prod_1755300121.15587.pdf, p.7 eTable 2 all-model variables — joi250046supp4_prod_1755300121.15587.pdf, p.8 eTable 3 age — joi250046supp4_prod_1755300121.15587.pdf, p.9 eTable 4 age — joi250046supp4_prod_1755300121.15587.pdf, p.10 eTable 5 age — joi250046supp4_prod_1755300121.15587.pdf; REPORT workbook — joi250046supp5_prod_1755300121.16087.xlsx, worksheet eTable 3, cells G2, A10, G10, directly decoded.</t>
  </si>
  <si>
    <t>2025::jama.2025.11178::C006</t>
  </si>
  <si>
    <t>Secondary-analysis adjustment specification</t>
  </si>
  <si>
    <t>Yes: PLAN protocol p.57 §15.6 — joi250046supp1_prod_1755300121.14087.pdf; PLAN SAP p.21 §15 — joi250046supp2_prod_1755300121.15087.pdf; REPORT main p.4 secondary methods — jama_debar_2025_oi_250046_1755300121.13587.pdf, p.10 Table 3 — jama_debar_2025_oi_250046_1755300121.13587.pdf and p.11 continuation — jama_debar_2025_oi_250046_1755300121.13587.pdf.</t>
  </si>
  <si>
    <t>2025::jama.2025.11178::C007</t>
  </si>
  <si>
    <t>Primary versus sensitivity missing-data analysis roles</t>
  </si>
  <si>
    <t>Yes: PLAN SAP p.19 §11 — joi250046supp2_prod_1755300121.15087.pdf, PLAN p.4 July 17, 2024 amendment — joi250046supp2_prod_1755300121.15087.pdf; REPORT main p.4 missing-data paragraph — jama_debar_2025_oi_250046_1755300121.13587.pdf; REPORT results p.4 Missing Data — joi250046supp4_prod_1755300121.15587.pdf, p.5 Non-Response Weighting — joi250046supp4_prod_1755300121.15587.pdf, p.9 eTable 4 — joi250046supp4_prod_1755300121.15587.pdf, p.11 sensitivity narrative and complete-case block — joi250046supp4_prod_1755300121.15587.pdf. P.5 was read as disclosed-amendment context in addition to the registered comparisons.</t>
  </si>
  <si>
    <t>2025::jama.2025.11178::C008</t>
  </si>
  <si>
    <t>RR versus finite NNT null coverage</t>
  </si>
  <si>
    <t>Yes: REPORT main p.9 Table 2 HC/PT columns and footnotes b,d,e — jama_debar_2025_oi_250046_1755300121.13587.pdf, all six registered contrast/time rows; REPORT p.4 binary model and NNT method — jama_debar_2025_oi_250046_1755300121.13587.pdf.</t>
  </si>
  <si>
    <t>2025::jama.2025.11178::C009</t>
  </si>
  <si>
    <t>NNT point outside its confidence interval</t>
  </si>
  <si>
    <t>Yes: REPORT main p.9 Table 2 pain intensity 12 months, HC/PT NNT column — jama_debar_2025_oi_250046_1755300121.13587.pdf.</t>
  </si>
  <si>
    <t>2025::jama.2025.11178::C010</t>
  </si>
  <si>
    <t>SMD points outside printed confidence intervals</t>
  </si>
  <si>
    <t>Yes: REPORT main p.10 Table 3 — jama_debar_2025_oi_250046_1755300121.13587.pdf and p.11 PGIC-pain continuation — jama_debar_2025_oi_250046_1755300121.13587.pdf. Every one of the fourteen registered tuples was read directly; all matched the ledger.</t>
  </si>
  <si>
    <t>2025::jama.2025.11178::C011</t>
  </si>
  <si>
    <t>Covariate set of restricted primary analyses</t>
  </si>
  <si>
    <t>Yes: REPORT results p.4 Adjustment — joi250046supp4_prod_1755300121.15587.pdf, p.7 eTable 2 final imputation/estimation set — joi250046supp4_prod_1755300121.15587.pdf, p.13 Protocol Change Subset Analyses — joi250046supp4_prod_1755300121.15587.pdf, p.14 eTable 8 all three blocks and footnote b — joi250046supp4_prod_1755300121.15587.pdf. Fitted education/employment terms at p.8 — joi250046supp4_prod_1755300121.15587.pdf and p.9 — joi250046supp4_prod_1755300121.15587.pdf were also read as corroboration.</t>
  </si>
  <si>
    <t>2025::jama.2025.11178::C012</t>
  </si>
  <si>
    <t>Final response-weight model predictor membership</t>
  </si>
  <si>
    <t>Yes: REPORT results p.4 Adjustment/selection — joi250046supp4_prod_1755300121.15587.pdf, p.5 Non-Response Weighting — joi250046supp4_prod_1755300121.15587.pdf, p.7 eTable 2 final nonresponse predictors — joi250046supp4_prod_1755300121.15587.pdf, p.10 eTable 5 full coefficient display — joi250046supp4_prod_1755300121.15587.pdf; corroborating REPORT workbook — joi250046supp5_prod_1755300121.16087.xlsx, worksheet eTable 3, cells A18, H18, I18, J18.</t>
  </si>
  <si>
    <t>2025::jama.2025.11178::C013</t>
  </si>
  <si>
    <t>Education coding and coefficient attribution</t>
  </si>
  <si>
    <t>Yes: REPORT results p.7 eTable 2 final primary predictor list — joi250046supp4_prod_1755300121.15587.pdf, p.8 eTable 3 all three education rows — joi250046supp4_prod_1755300121.15587.pdf, p.9 eTable 4 all three education rows — joi250046supp4_prod_1755300121.15587.pdf; corroborating REPORT workbook — joi250046supp5_prod_1755300121.16087.xlsx, worksheet eTable 3, cells A12:A16.</t>
  </si>
  <si>
    <t>2025::jama.2025.11178::C014</t>
  </si>
  <si>
    <t>Coefficient CI versus P-value null-significance pattern</t>
  </si>
  <si>
    <t>Yes: REPORT results p.8 eTable 3 seven registered rows — joi250046supp4_prod_1755300121.15587.pdf, p.9 eTable 4 age and second AA rows — joi250046supp4_prod_1755300121.15587.pdf, p.10 eTable 5 PEG row — joi250046supp4_prod_1755300121.15587.pdf. Method context was read at results p.4 — joi250046supp4_prod_1755300121.15587.pdf, p.5 — joi250046supp4_prod_1755300121.15587.pdf, and REPORT main p.4 two-sided alpha=.05 — jama_debar_2025_oi_250046_1755300121.13587.pdf.</t>
  </si>
  <si>
    <t>2025::jama.2025.11178::C015</t>
  </si>
  <si>
    <t>Within-header three-month subset counts</t>
  </si>
  <si>
    <t>Yes: REPORT results p.14 eTable 8 first subgroup header — joi250046supp4_prod_1755300121.15587.pdf; corroborating REPORT p.7 eTable 1 — joi250046supp4_prod_1755300121.15587.pdf, p.13 subset definition — joi250046supp4_prod_1755300121.15587.pdf, and the second/third headers on p.14.</t>
  </si>
  <si>
    <t>2025::jama.2025.11178::C016</t>
  </si>
  <si>
    <t>Raw-score summary statistic and bounds in eTable 11</t>
  </si>
  <si>
    <t>Yes: REPORT results p.15 Additional Unadjusted Data and Analyses — joi250046supp4_prod_1755300121.15587.pdf, p.17 eTable 11 title/header and all 21 rows — joi250046supp4_prod_1755300121.15587.pdf, p.18 note b — joi250046supp4_prod_1755300121.15587.pdf; corroborating REPORT main p.11 PGIC footnotes h/i — jama_debar_2025_oi_250046_1755300121.13587.pdf.</t>
  </si>
  <si>
    <t>2025::jama.2025.11178::C017</t>
  </si>
  <si>
    <t>Workbook All Observed depression percentage</t>
  </si>
  <si>
    <t>Yes: supplied REPORT workbook — joi250046supp5_prod_1755300121.16087.xlsx, worksheet exactly eTable 3, E3, A82, E82, A83, E83, A110. Direct workbook.xml confirms worksheet name and worksheet relationship; direct sheet1.xml/sharedStrings.xml confirms all cells. B82/C82/D82 were also read as count-partition corroboration.</t>
  </si>
  <si>
    <t>2025::jama.2025.11178::C018</t>
  </si>
  <si>
    <t>Physical-function omnibus P values and contrast intervals</t>
  </si>
  <si>
    <t>Results supplement PDF p17, eTable 11 Physical Functioning 6 months — joi250046supp4_prod_1755300121.15587.pdf (REPORT); Results supplement PDF p17, eTable 11 Physical Functioning 12 months — joi250046supp4_prod_1755300121.15587.pdf (REPORT); Results supplement PDF p17, all other 19 eTable 11 outcome/time rows — joi250046supp4_prod_1755300121.15587.pdf (REPORT, same-display corroboration); Results supplement PDF p18, eTable 11 note b — joi250046supp4_prod_1755300121.15587.pdf (REPORT); Results supplement PDF page 15, Additional Unadjusted Data and Analyses — joi250046supp4_prod_1755300121.15587.pdf (REPORT); Main article PDF p11, Table 3 note c — jama_debar_2025_oi_250046_1755300121.13587.pdf (REPORT, corroboration only); Main article PDF p4, Statistical Analysis — jama_debar_2025_oi_250046_1755300121.13587.pdf (REPORT, corroboration only); The rendered p17 heading is unadjusted between-group mean differences (95%CI), with PT vs UC, HC vs UC and HC vs PT columns and a separately named omnibus P column. No pairwise P value is printed. The comparison does not equate raw medians with fitted means, and does not equate a single pairwise null with the omnibus null</t>
  </si>
  <si>
    <t>2025::jama.2025.15185::C001</t>
  </si>
  <si>
    <t>PROMIS-29 scalar scoring and direction are not specified</t>
  </si>
  <si>
    <t>jama_engelter_2025_oi_250066_1761597796.45511.pdf — p. 3, Secondary Outcomes: domain definition and direction; jama_engelter_2025_oi_250066_1761597796.45511.pdf — p. 6, Secondary Outcomes: single scalar result; joi250066supp3_prod_1761597796.4701.pdf — p. 15, eTable 4, PROMIS 29 row: corroborating scalar and adjusted result; joi250066supp1_prod_1761597796.4601.pdf — p. 70, PROMIS assessment: contextual scale description</t>
  </si>
  <si>
    <t>2025::jama.2025.15185::C002</t>
  </si>
  <si>
    <t>Primary analysis population changes from all randomized participants to survivors</t>
  </si>
  <si>
    <t>joi250066supp1_prod_1761597796.4601.pdf — p. 86, §§11.4.1–11.4.2: FAS and primary assignment; joi250066supp1_prod_1761597796.4601.pdf — p. 87, §11.5: missing-data rule; joi250066supp2_prod_1761597796.4701.pdf — p. 4, §3.2 and footnote: deceased participants' contribution; joi250066supp2_prod_1761597796.4701.pdf — p. 6, §4.3: primary/supportive status; joi250066supp2_prod_1761597796.4701.pdf — p. 7, §§4.3.1–4.3.3: primary versus death-inclusive strategy; jama_engelter_2025_oi_250066_1761597796.45511.pdf — p. 4, Statistical Analyses: survivor-primary rule; jama_engelter_2025_oi_250066_1761597796.45511.pdf — p. 5, flow and SAP explanation: participant totals and timing; joi250066supp3_prod_1761597796.4701.pdf — p. 12, population definitions: primary death exclusion; joi250066supp3_prod_1761597796.4701.pdf — p. 13, eTable 2, estimands 1, 3 and 4: primary and death-inclusive results</t>
  </si>
  <si>
    <t>2025::jama.2025.15185::C003</t>
  </si>
  <si>
    <t>Primary mixed-model terms are absent from the implemented linear model</t>
  </si>
  <si>
    <t>joi250066supp1_prod_1761597796.4601.pdf — p. 56, statistical synopsis: final mixed-model summary; joi250066supp1_prod_1761597796.4601.pdf — p. 86, §11.4.2: final primary formula/variance structure; joi250066supp2_prod_1761597796.4701.pdf — p. 10, §5.2: baseline/treatment linear model; jama_engelter_2025_oi_250066_1761597796.45511.pdf — p. 4, Statistical Analyses: reported model; jama_engelter_2025_oi_250066_1761597796.45511.pdf — p. 5, alignment explanation: SAP timing and alignment context; jama_engelter_2025_oi_250066_1761597796.45511.pdf — p. 6, Primary Outcome: affected primary result; joi250066supp5_prod_1761597796.4751.pdf — p. 1, code lines 19–26 and 31–32: explicit implementation and pooling; joi250066supp1_prod_1761597796.4601.pdf — p. 10, earlier synopsis: historical center-term context; joi250066supp1_prod_1761597796.4601.pdf — p. 39, earlier §11.4.2: historical center-term context</t>
  </si>
  <si>
    <t>2025::jama.2025.15185::C004</t>
  </si>
  <si>
    <t>Secondary missing-data procedures differ from the SAP rule</t>
  </si>
  <si>
    <t>joi250066supp2_prod_1761597796.4701.pdf — p. 5, §4.2: secondary-outcome status; joi250066supp2_prod_1761597796.4701.pdf — p. 11, §6: general imputation rule; jama_engelter_2025_oi_250066_1761597796.45511.pdf — p. 5, secondary methods: reported nonimputation; jama_engelter_2025_oi_250066_1761597796.45511.pdf — p. 6, mRS/PRAI results: affected outcomes; joi250066supp3_prod_1761597796.4701.pdf — p. 7, deviations: mRS death assignment and PRAI exception; joi250066supp3_prod_1761597796.4701.pdf — p. 15, eTable 4: mRS/PRAI results and populations</t>
  </si>
  <si>
    <t>2025::jama.2025.15185::C005</t>
  </si>
  <si>
    <t>Planned primary-endpoint supplementary analyses are not identified in the report</t>
  </si>
  <si>
    <t>joi250066supp1_prod_1761597796.4601.pdf — p. 86, §§11.4.1 and 11.4.3: primary sensitivities and bounded PP context; joi250066supp2_prod_1761597796.4701.pdf — p. 11, §7: center interaction model; joi250066supp2_prod_1761597796.4701.pdf — p. 12, §7.2: seven-variable subgroup package; joi250066supp2_prod_1761597796.4701.pdf — p. 15, addendum: subgroup directions and median splits; jama_engelter_2025_oi_250066_1761597796.45511.pdf — p. 4, supplementary/post hoc estimands: reported analysis and adherence context; jama_engelter_2025_oi_250066_1761597796.45511.pdf — p. 5, subgroup/center/spline methods: related reported analyses and prespecification statement; jama_engelter_2025_oi_250066_1761597796.45511.pdf — p. 6, primary/sensitivity results: affected primary analysis package; jama_engelter_2025_oi_250066_1761597796.45511.pdf — p. 7, Additional Post Hoc Analyses: baseline analyses; joi250066supp3_prod_1761597796.4701.pdf — p. 1, complete display index: nine eTables and seven eFigures; joi250066supp3_prod_1761597796.4701.pdf — p. 13, eTable 2: eight prespecified estimands; joi250066supp3_prod_1761597796.4701.pdf — p. 14, eTable 3: post hoc estimands; joi250066supp3_prod_1761597796.4701.pdf — p. 18, eTables 7–8: baseline interaction/spline models; joi250066supp3_prod_1761597796.4701.pdf — p. 25, eFigure 5: center graph; joi250066supp3_prod_1761597796.4701.pdf — p. 27, eFigure 7: post hoc forest</t>
  </si>
  <si>
    <t>2025::jama.2025.15185::C006</t>
  </si>
  <si>
    <t>Serious-event hierarchy counts do not reconcile with their parent totals</t>
  </si>
  <si>
    <t>jama_engelter_2025_oi_250066_1761597796.45511.pdf — p. 6, Table 2, levodopa serious-event parent and all 13 top-level category rows; jama_engelter_2025_oi_250066_1761597796.45511.pdf — p. 6, Table 2, placebo infection parent and all six infection subtype rows; jama_engelter_2025_oi_250066_1761597796.45511.pdf — p. 6, Adverse Events narrative and table notes: corroborating event totals and unit context</t>
  </si>
  <si>
    <t>2025::jama.2025.15440::C001</t>
  </si>
  <si>
    <t>Age-under-75 subgroup power does not reconcile with a reproducing same-table calculation</t>
  </si>
  <si>
    <t>joi250068supp1_prod_1760999665.28862.pdf — Protocol, PDF p. 22, Table 4, age &lt;75 row, rightmost “Power for total of 5000, 2p&lt;0.01” cell; all input and other-power comparison cells in the same Table 4. Contextual design support only: joi250068supp1_prod_1760999665.28862.pdf — protocol, PDF p. 20, Table 2, continuity-corrected sample-size heading, and joi250068supp1_prod_1760999665.28862.pdf — protocol, PDF p. 21, Table 3, whole-trial power design.</t>
  </si>
  <si>
    <t>2025::jama.2025.16450::C001</t>
  </si>
  <si>
    <t>Moderate-hyperglycemia qualification pathway differs across report and plan descriptions</t>
  </si>
  <si>
    <t>jama_ambalavanan_2025_oi_250072_1761000786.6838.pdf — Main PDF p. 1, abstract; jama_ambalavanan_2025_oi_250072_1761000786.6838.pdf — main PDF p. 3, Outcomes; jama_ambalavanan_2025_oi_250072_1761000786.6838.pdf — main PDF p. 6, Safety Outcomes; joi250072supp4_prod_1761000786.6988.pdf — results PDF p. 5, eTable 3 hyperglycemia; joi250072supp2_prod_1761000786.6938.pdf — manual PDF p. 39, moderate, severe and life-threatening hyperglycemia narrative; joi250072supp2_prod_1761000786.6938.pdf — manual PDF p. 59, Appendix A hyperglycemia row; joi250072supp3_prod_1761000786.6988.pdf — SAP PDF p. 11, §3.2.4.1.</t>
  </si>
  <si>
    <t>2025::jama.2025.16450::C002</t>
  </si>
  <si>
    <t>Reported BPD-severity contrasts differ from the planned ordinal model</t>
  </si>
  <si>
    <t>jama_ambalavanan_2025_oi_250072_1761000786.6838.pdf — Main PDF p. 3, secondary/exploratory BPD outcomes; jama_ambalavanan_2025_oi_250072_1761000786.6838.pdf — main PDF p. 8, Table 3 severity rows and footnote a; joi250072supp1_prod_1761000786.68881.pdf — protocol PDF p. 21, ordered severity outcomes; joi250072supp1_prod_1761000786.68881.pdf — protocol PDF p. 25, §5.1; joi250072supp3_prod_1761000786.6988.pdf — SAP PDF p. 32, pragmatic ordinal outcome; joi250072supp3_prod_1761000786.6988.pdf — SAP PDF p. 33, pragmatic coding; joi250072supp3_prod_1761000786.6988.pdf — SAP PDF p. 34, NIH ordinal outcome; joi250072supp3_prod_1761000786.6988.pdf — SAP PDF p. 35, NIH coding; joi250072supp3_prod_1761000786.6988.pdf — SAP PDF p. 39, §9.5.</t>
  </si>
  <si>
    <t>2025::jama.2025.16450::C003</t>
  </si>
  <si>
    <t>Prespecified primary-analysis outputs are absent or displayed with different definitions</t>
  </si>
  <si>
    <t>joi250072supp1_prod_1761000786.68881.pdf — Protocol PDF p. 25, §5.1 treatment-received analyses; joi250072supp3_prod_1761000786.6988.pdf — SAP PDF p. 22, §5 population definitions; joi250072supp3_prod_1761000786.6988.pdf — SAP PDF p. 29, §7.7 interactions; joi250072supp3_prod_1761000786.6988.pdf — SAP PDF p. 36, §9.3 response coding; joi250072supp3_prod_1761000786.6988.pdf — SAP PDF p. 37, coding and sample model; joi250072supp3_prod_1761000786.6988.pdf — SAP PDF p. 38, §§9.4.1–9.4.2; jama_ambalavanan_2025_oi_250072_1761000786.6838.pdf — main PDF p. 3, statistical analysis; jama_ambalavanan_2025_oi_250072_1761000786.6838.pdf — main PDF p. 4, Figure 1 and footnotes f/j; jama_ambalavanan_2025_oi_250072_1761000786.6838.pdf — main PDF p. 7, Table 2 and sensitivity/subgroup text; jama_ambalavanan_2025_oi_250072_1761000786.6838.pdf — main PDF p. 9, Figure 2, caption and footnote a; joi250072supp4_prod_1761000786.6988.pdf — results PDF p. 2, eTable 1. The absence comparison covers all main PDF pages 1–11 and all results PDF pages 1–16, including all eight supplementary tables, rather than only these displayed anchors.</t>
  </si>
  <si>
    <t>2025::jama.2025.16450::C004</t>
  </si>
  <si>
    <t>Historical Grade 3 BPD count and percentage do not reconcile in one protocol cell</t>
  </si>
  <si>
    <t>joi250072supp1_prod_1761000786.68881.pdf — Protocol PDF p. 12, Table 2, NICHD BPD Workshop Grading 2018: Grade 3 surfactant cell, combination comparator, Grade 3-or-death, Death, No BPD, Grade 1 and Grade 2.</t>
  </si>
  <si>
    <t>2025::jama.2025.16450::C005</t>
  </si>
  <si>
    <t>One nasal-cannula factor cell differs from the reproducible table relationship</t>
  </si>
  <si>
    <t>joi250072supp2_prod_1761000786.6938.pdf — Manual PDF p. 152, Appendix J Table 1: 0.125 LPM/1⁄8 LPM by 2.5 kg cell, all other 143 factor cells and nearest-input instructions; joi250072supp2_prod_1761000786.6938.pdf — manual PDF p. 154, Table 2: factor 4 and factor 5 at 100% oxygen.</t>
  </si>
  <si>
    <t>2025::jama.2025.16450::C006</t>
  </si>
  <si>
    <t>Sparse intervals described as exact reproduce a log-Wald pattern</t>
  </si>
  <si>
    <t>joi250072supp4_prod_1761000786.6988.pdf — Results PDF p. 5, eTable 3: AE endotracheal tube blockage, AE prolonged hypoxemia/bradycardia, SAE endotracheal tube blockage, SAE prolonged hypoxemia/bradycardia; joi250072supp4_prod_1761000786.6988.pdf — results PDF p. 6, eTable 3: SAE hyperglycemia, early-onset sepsis, late-onset sepsis and footnote b; joi250072supp4_prod_1761000786.6988.pdf — results PDF p. 7, eTable 4: PDA managed with surgery/cardiac catheterization; joi250072supp4_prod_1761000786.6988.pdf — results PDF p. 8, eTable 4 footnote b and nonmissing-denominator definition.</t>
  </si>
  <si>
    <t>2025::jama.2025.19563::C001</t>
  </si>
  <si>
    <t>Added diabetes-range HbA1c primary-composite disqualifier</t>
  </si>
  <si>
    <t>joi250084supp1_prod_1765403089.61351.pdf — DOC-002 p6 synopsis; joi250084supp1_prod_1765403089.61351.pdf — p15 §3.2; joi250084supp1_prod_1765403089.61351.pdf — p86 incident-diabetes SAP-change row; jama_mathioudakis_2025_oi_250084_1765403089.60451.pdf — main p3 Outcomes; jama_mathioudakis_2025_oi_250084_1765403089.60451.pdf — p4 Primary Analysis; joi250084supp2_prod_1765403089.61751.pdf — DOC-003 p29 eTable13 method begins; joi250084supp2_prod_1765403089.61751.pdf — p30 method continuation; joi250084supp2_prod_1765403089.61751.pdf — p56 eTable13</t>
  </si>
  <si>
    <t>2025::jama.2025.19563::C002</t>
  </si>
  <si>
    <t>Primary PA window and endpoint-specific mapping</t>
  </si>
  <si>
    <t>joi250084supp1_prod_1765403089.61351.pdf — DOC-002 p6 synopsis; joi250084supp1_prod_1765403089.61351.pdf — p15 §3.2; joi250084supp1_prod_1765403089.61351.pdf — p80 version 1.4 amendment begins; joi250084supp1_prod_1765403089.61351.pdf — p81 continuation; jama_mathioudakis_2025_oi_250084_1765403089.60451.pdf — main p3 primary branch; jama_mathioudakis_2025_oi_250084_1765403089.60451.pdf — p7 Figure2; joi250084supp2_prod_1765403089.61751.pdf — DOC-003 p13 Aggregation; joi250084supp2_prod_1765403089.61751.pdf — p49 postbaseline assessments</t>
  </si>
  <si>
    <t>2025::jama.2025.19563::C003</t>
  </si>
  <si>
    <t>Primary HbA1c branch restricted to baseline subset</t>
  </si>
  <si>
    <t>joi250084supp1_prod_1765403089.61351.pdf — DOC-002 p15 original §3.2; joi250084supp1_prod_1765403089.61351.pdf — p80 version 1.4 modification begins; joi250084supp1_prod_1765403089.61351.pdf — p81 subset and eligibility continuation; jama_mathioudakis_2025_oi_250084_1765403089.60451.pdf — main p3 Outcomes; jama_mathioudakis_2025_oi_250084_1765403089.60451.pdf — p7 Figure2 row/footnote</t>
  </si>
  <si>
    <t>2025::jama.2025.19563::C004</t>
  </si>
  <si>
    <t>Primary exclusions replaced by all-randomized failure assignment</t>
  </si>
  <si>
    <t>joi250084supp1_prod_1765403089.61351.pdf — DOC-002 p37 §9.3; joi250084supp1_prod_1765403089.61351.pdf — p86 first SAP-change row; jama_mathioudakis_2025_oi_250084_1765403089.60451.pdf — main p4 primary methods/results; jama_mathioudakis_2025_oi_250084_1765403089.60451.pdf — p5 Figure1; joi250084supp2_prod_1765403089.61751.pdf — DOC-003 p27 primary cohort; joi250084supp2_prod_1765403089.61751.pdf — p50 eTable8c</t>
  </si>
  <si>
    <t>2025::jama.2025.19563::C005</t>
  </si>
  <si>
    <t>Clustered logistic primary model replaced by binomial RD regression</t>
  </si>
  <si>
    <t>joi250084supp1_prod_1765403089.61351.pdf — DOC-002 p37 §9.4.1; joi250084supp1_prod_1765403089.61351.pdf — p38 §9.4.7; joi250084supp1_prod_1765403089.61351.pdf — p86 model change; jama_mathioudakis_2025_oi_250084_1765403089.60451.pdf — main p4 primary model and sensitivity 5; joi250084supp2_prod_1765403089.61751.pdf — DOC-003 p31 cluster methods; joi250084supp2_prod_1765403089.61751.pdf — p62 eTables19a–b</t>
  </si>
  <si>
    <t>2025::jama.2025.19563::C006</t>
  </si>
  <si>
    <t>Primary PA missing-data procedure and linked sensitivity replaced</t>
  </si>
  <si>
    <t>joi250084supp1_prod_1765403089.61351.pdf — DOC-002 p38 §9.4.2; joi250084supp1_prod_1765403089.61351.pdf — p39 §9.4.8 continuation; joi250084supp1_prod_1765403089.61351.pdf — p86 missing-PA change; jama_mathioudakis_2025_oi_250084_1765403089.60451.pdf — main p4 sensitivities; joi250084supp2_prod_1765403089.61751.pdf — DOC-003 p13 PA processing; joi250084supp2_prod_1765403089.61751.pdf — p30 eTables16–18 descriptions; joi250084supp2_prod_1765403089.61751.pdf — p49 eTable8b; joi250084supp2_prod_1765403089.61751.pdf — p59 MI sensitivity; joi250084supp2_prod_1765403089.61751.pdf — p60 MNAR sensitivity; joi250084supp2_prod_1765403089.61751.pdf — p61 two PA sensitivities</t>
  </si>
  <si>
    <t>2025::jama.2025.19563::C007</t>
  </si>
  <si>
    <t>Program-completer analysis replaced by complete-data/no-medication cohort</t>
  </si>
  <si>
    <t>joi250084supp1_prod_1765403089.61351.pdf — DOC-002 p16 §3.3 completion criteria; joi250084supp1_prod_1765403089.61351.pdf — p37 §9.3; joi250084supp1_prod_1765403089.61351.pdf — p86 PP change starts; joi250084supp1_prod_1765403089.61351.pdf — p87 continuation; jama_mathioudakis_2025_oi_250084_1765403089.60451.pdf — main p4 restricted analysis; jama_mathioudakis_2025_oi_250084_1765403089.60451.pdf — p9 Figure4; joi250084supp2_prod_1765403089.61751.pdf — DOC-003 p27 cohort definition; joi250084supp2_prod_1765403089.61751.pdf — p58 eTable15</t>
  </si>
  <si>
    <t>2025::jama.2025.19563::C008</t>
  </si>
  <si>
    <t>Recruitment-pool portal percentages and counts</t>
  </si>
  <si>
    <t>joi250084supp1_prod_1765403089.61351.pdf — DOC-002 p18, Table 1 and §5.5.1 paragraph; joi250084supp1_prod_1765403089.61351.pdf — DOC-002 p18 Table1 Johns Hopkins: 13,910/21,346 (56%); joi250084supp1_prod_1765403089.61351.pdf — DOC-002 p18 Table1 Reading: 4,892/8,751 (60%); joi250084supp1_prod_1765403089.61351.pdf — DOC-002 p18 §5.5.1 paragraph: 13,910/21,410 (56%)</t>
  </si>
  <si>
    <t>2025::jama.2025.19563::C009</t>
  </si>
  <si>
    <t>Interpolated PA vector and printed summary inputs</t>
  </si>
  <si>
    <t>joi250084supp2_prod_1765403089.61751.pdf — DOC-003 p13 preprocessing/calculation; joi250084supp2_prod_1765403089.61751.pdf — p15 activity summary loop; joi250084supp2_prod_1765403089.61751.pdf — p16 bout loop</t>
  </si>
  <si>
    <t>2025::jama.2025.19563::C010</t>
  </si>
  <si>
    <t>PA averaging denominator after zero assignment</t>
  </si>
  <si>
    <t>joi250084supp2_prod_1765403089.61751.pdf — DOC-003 p13 Aggregation/compliance; joi250084supp2_prod_1765403089.61751.pdf — p30 eTable18a method; joi250084supp2_prod_1765403089.61751.pdf — p49 eTable8b zero assignment</t>
  </si>
  <si>
    <t>2025::jama.2025.19563::C011</t>
  </si>
  <si>
    <t>Two AI-version exposure percentages</t>
  </si>
  <si>
    <t>joi250084supp2_prod_1765403089.61751.pdf — DOC-003 p37 eTable1b; joi250084supp2_prod_1765403089.61751.pdf — p27 primary cohort; joi250084supp2_prod_1765403089.61751.pdf — p41 randomized AI N=183; joi250084supp2_prod_1765403089.61751.pdf — p34 primary forest denominator; joi250084supp2_prod_1765403089.61751.pdf — DOC-003 p37 eTable1b version 11.100.131, September 2023; joi250084supp2_prod_1765403089.61751.pdf — DOC-003 p37 eTable1b version 122.100.407, December 2024</t>
  </si>
  <si>
    <t>2025::jama.2025.19563::C012</t>
  </si>
  <si>
    <t>Baseline HbA1c-subgroup categorical P-value mapping</t>
  </si>
  <si>
    <t>joi250084supp2_prod_1765403089.61751.pdf — DOC-003 p44 eTable6 counts; joi250084supp2_prod_1765403089.61751.pdf — p45 footnote 1 P values; joi250084supp2_prod_1765403089.61751.pdf — p29 eTable6 method index; joi250084supp2_prod_1765403089.61751.pdf — p28 main baseline-method pointer; joi250084supp1_prod_1765403089.61351.pdf — DOC-002 p37 general categorical baseline tests; joi250084supp2_prod_1765403089.61751.pdf — DOC-003 p44 eTable6 site rows, 79/164 and 29/96; joi250084supp2_prod_1765403089.61751.pdf — DOC-003 p45 footnote 1 site P=.024; joi250084supp2_prod_1765403089.61751.pdf — DOC-003 p44 eTable6 all four ethnicity rows; joi250084supp2_prod_1765403089.61751.pdf — DOC-003 p45 footnote 1 ethnicity P=.018</t>
  </si>
  <si>
    <t>2025::jama.2025.19563::C013</t>
  </si>
  <si>
    <t>MI-pooled risks and displayed risk-difference mapping</t>
  </si>
  <si>
    <t>joi250084supp2_prod_1765403089.61751.pdf — DOC-003 p59 eTable16; joi250084supp2_prod_1765403089.61751.pdf — p30 MI methods; joi250084supp1_prod_1765403089.61351.pdf — DOC-002 p88 MICE method</t>
  </si>
  <si>
    <t>2025::jama.2025.19843::C001</t>
  </si>
  <si>
    <t>Primary adjustment covariate descriptions do not reconcile</t>
  </si>
  <si>
    <t>jama_combes_2025_oi_250087_1766516490.94011.pdf — main PDF p.2; jama_combes_2025_oi_250087_1766516490.94011.pdf — main PDF p.3; jama_combes_2025_oi_250087_1766516490.94011.pdf — main PDF p.6; joi250087supp2_prod_1766516490.96511.pdf — SAP PDF p.6, corroboration only</t>
  </si>
  <si>
    <t>2025::jama.2025.19843::C002</t>
  </si>
  <si>
    <t>Organ-failure threshold differs between SAP and report</t>
  </si>
  <si>
    <t>joi250087supp2_prod_1766516490.96511.pdf — sap PDF p.4; joi250087supp2_prod_1766516490.96511.pdf — sap PDF p.7; jama_combes_2025_oi_250087_1766516490.94011.pdf — main PDF p.3; joi250087supp3_prod_1766516490.97011.pdf — results PDF p.5; joi250087supp3_prod_1766516490.97011.pdf — results PDF p.12</t>
  </si>
  <si>
    <t>2025::jama.2025.19843::C003</t>
  </si>
  <si>
    <t>Planned day-60 free-day results are absent from supplied reports</t>
  </si>
  <si>
    <t>Every repeated protocol endpoint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SAP: joi250087supp2_prod_1766516490.96511.pdf — sap PDF p.4; joi250087supp2_prod_1766516490.96511.pdf — sap PDF p.7; joi250087supp2_prod_1766516490.96511.pdf — sap PDF p.8. REPORT: jama_combes_2025_oi_250087_1766516490.94011.pdf — main PDF p.1; jama_combes_2025_oi_250087_1766516490.94011.pdf — main PDF p.3; jama_combes_2025_oi_250087_1766516490.94011.pdf — main PDF p.6; joi250087supp3_prod_1766516490.97011.pdf — results PDF p.5</t>
  </si>
  <si>
    <t>2025::jama.2025.19843::C004</t>
  </si>
  <si>
    <t>Planned hierarchical LV-function composite differs from reported LVEF contrast</t>
  </si>
  <si>
    <t>Protocol context, every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joi250087supp2_prod_1766516490.96511.pdf — SAP PDF p.8, Left Ventricular Function; jama_combes_2025_oi_250087_1766516490.94011.pdf — main PDF p.3; joi250087supp3_prod_1766516490.97011.pdf — results PDF p.5; joi250087supp3_prod_1766516490.97011.pdf — results PDF p.6</t>
  </si>
  <si>
    <t>2025::jama.2025.19843::C005</t>
  </si>
  <si>
    <t>Dialysis membership differs across MACE definitions</t>
  </si>
  <si>
    <t>Every repeated protocol composite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SAP: joi250087supp2_prod_1766516490.96511.pdf — sap PDF p.4; joi250087supp2_prod_1766516490.96511.pdf — sap PDF p.7. Main: jama_combes_2025_oi_250087_1766516490.94011.pdf — main PDF p.3. Results contents, component rows and figure: joi250087supp3_prod_1766516490.97011.pdf — results PDF p.1; joi250087supp3_prod_1766516490.97011.pdf — results PDF p.5; joi250087supp3_prod_1766516490.97011.pdf — results PDF p.6; joi250087supp3_prod_1766516490.97011.pdf — results PDF p.13</t>
  </si>
  <si>
    <t>2025::jama.2025.19843::C006</t>
  </si>
  <si>
    <t>Planned post-arrest subgroup differs from reported predefined other-etiology subgroup</t>
  </si>
  <si>
    <t>Every repeated endpoint/subgroup prescription: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joi250087supp1_prod_1766516490.96011.pdf — Protocol PDF p.107, allocation/minimization. Complete SAP boundary: joi250087supp2_prod_1766516490.96511.pdf — sap PDF p.1; joi250087supp2_prod_1766516490.96511.pdf — sap PDF p.2; joi250087supp2_prod_1766516490.96511.pdf — sap PDF p.3; joi250087supp2_prod_1766516490.96511.pdf — sap PDF p.4; joi250087supp2_prod_1766516490.96511.pdf — sap PDF p.5; joi250087supp2_prod_1766516490.96511.pdf — sap PDF p.6; joi250087supp2_prod_1766516490.96511.pdf — sap PDF p.7; joi250087supp2_prod_1766516490.96511.pdf — sap PDF p.8; joi250087supp2_prod_1766516490.96511.pdf — sap PDF p.9. REPORT: jama_combes_2025_oi_250087_1766516490.94011.pdf — main PDF p.4; jama_combes_2025_oi_250087_1766516490.94011.pdf — main PDF p.7; joi250087supp3_prod_1766516490.97011.pdf — results PDF p.9; joi250087supp3_prod_1766516490.97011.pdf — results PDF p.18</t>
  </si>
  <si>
    <t>2025::jama.2025.19843::C007</t>
  </si>
  <si>
    <t>Planned adjusted key-secondary analyses lack supplied outputs</t>
  </si>
  <si>
    <t>Every protocol adjusted-analysis occurrence: joi250087supp1_prod_1766516490.96011.pdf — protocol PDF p.35; joi250087supp1_prod_1766516490.96011.pdf — protocol PDF p.37; joi250087supp1_prod_1766516490.96011.pdf — protocol PDF p.81; joi250087supp1_prod_1766516490.96011.pdf — protocol PDF p.82; joi250087supp1_prod_1766516490.96011.pdf — protocol PDF p.83; joi250087supp1_prod_1766516490.96011.pdf — protocol PDF p.84; joi250087supp1_prod_1766516490.96011.pdf — protocol PDF p.127; joi250087supp1_prod_1766516490.96011.pdf — protocol PDF p.128; joi250087supp1_prod_1766516490.96011.pdf — protocol PDF p.129; joi250087supp1_prod_1766516490.96011.pdf — protocol PDF p.130. SAP model prescriptions: joi250087supp2_prod_1766516490.96511.pdf — sap PDF p.7; joi250087supp2_prod_1766516490.96511.pdf — sap PDF p.8; joi250087supp2_prod_1766516490.96511.pdf — sap PDF p.9. Main abstract/methods/tables: jama_combes_2025_oi_250087_1766516490.94011.pdf — main PDF p.1; jama_combes_2025_oi_250087_1766516490.94011.pdf — main PDF p.4; jama_combes_2025_oi_250087_1766516490.94011.pdf — main PDF p.6; jama_combes_2025_oi_250087_1766516490.94011.pdf — main PDF p.7. Results and retained contextual displays: joi250087supp3_prod_1766516490.97011.pdf — results PDF p.5; joi250087supp3_prod_1766516490.97011.pdf — results PDF p.6; joi250087supp3_prod_1766516490.97011.pdf — results PDF p.11; joi250087supp3_prod_1766516490.97011.pdf — results PDF p.13; joi250087supp3_prod_1766516490.97011.pdf — results PDF p.16; joi250087supp3_prod_1766516490.97011.pdf — results PDF p.17</t>
  </si>
  <si>
    <t>2025::jama.2025.20765::C001</t>
  </si>
  <si>
    <t>Protocol SMS totals and frequency schedules do not reconcile</t>
  </si>
  <si>
    <t>jama_zahid_2025_oi_250093_1768590553.08463.pdf — DOC-001 — PDF p. 1, abstract intervention; REPORT; jama_zahid_2025_oi_250093_1768590553.08463.pdf — DOC-001 — PDF p. 3, Trial Intervention; REPORT; joi250093supp1_prod_1768590553.08963.pdf — DOC-002 — PDF p. 16, lines386–390, earlier-component dose paragraph; PLAN; joi250093supp1_prod_1768590553.08963.pdf — DOC-002 — PDF p. 53, lines1526–1530, later-component dose paragraph; PLAN; joi250093supp1_prod_1768590553.08963.pdf — DOC-002 — PDF p. 77, change note; PLAN; joi250093supp1_prod_1768590553.08963.pdf — DOC-002 — PDF p. 80, lines2532–2536, SAP dose; PLAN</t>
  </si>
  <si>
    <t>2025::jama.2025.20765::C002</t>
  </si>
  <si>
    <t>Operational eligibility criteria differ from the plan list</t>
  </si>
  <si>
    <t>jama_zahid_2025_oi_250093_1768590553.08463.pdf — DOC-001 — PDF p. 2, eligibility paragraph; REPORT; jama_zahid_2025_oi_250093_1768590553.08463.pdf — DOC-001 — PDF p. 4, Figure1 exclusions; REPORT; joi250093supp1_prod_1768590553.08963.pdf — DOC-002 — PDF p. 11, lines235–255 complete participant lists; PLAN; joi250093supp1_prod_1768590553.08963.pdf — DOC-002 — PDF p. 49, lines1375–1395 complete participant lists; PLAN; joi250093supp2_prod_1768590553.09463.pdf — DOC-003 — PDF p. 3, eTable1 smoking and SMS-reader reasons; REPORT</t>
  </si>
  <si>
    <t>2025::jama.2025.20765::C003</t>
  </si>
  <si>
    <t>Prospective quit-date and reminder calendar differ from the report</t>
  </si>
  <si>
    <t>jama_zahid_2025_oi_250093_1768590553.08463.pdf — DOC-001 — PDF p. 3, Trial Outcomes and Trial Intervention; REPORT; joi250093supp1_prod_1768590553.08963.pdf — DOC-002 — PDF p. 101, enrollment Q(−8)/Tx(+1), message6 and footnotes; PLAN; joi250093supp1_prod_1768590553.08963.pdf — DOC-002 — PDF p. 103, Q(−1)/Tx(+8) and quit transition; PLAN; joi250093supp1_prod_1768590553.08963.pdf — DOC-002 — PDF p. 104, quit-date ordinal label and messages39–44; PLAN; joi250093supp1_prod_1768590553.08963.pdf — DOC-002 — PDF p. 109, messages129–134 and follow-up phase; PLAN</t>
  </si>
  <si>
    <t>2025::jama.2025.20765::C004</t>
  </si>
  <si>
    <t>Primary cotinine verification lacks a planned-to-reported criterion crosswalk</t>
  </si>
  <si>
    <t>jama_zahid_2025_oi_250093_1768590553.08463.pdf — DOC-001 — PDF p. 3, Trial Outcomes cotinine verification; REPORT; joi250093supp1_prod_1768590553.08963.pdf — DOC-002 — PDF p. 8, lines158–161 primary endpoint; PLAN; joi250093supp1_prod_1768590553.08963.pdf — DOC-002 — PDF p. 47, lines1298–1301 primary endpoint; PLAN; joi250093supp1_prod_1768590553.08963.pdf — DOC-002 — PDF p. 84, lines2661–2665 SAP primary endpoint; PLAN</t>
  </si>
  <si>
    <t>2025::jama.2025.20765::C005</t>
  </si>
  <si>
    <t>Primary model changes from protocol Poisson/log link to SAP/report logistic</t>
  </si>
  <si>
    <t>jama_zahid_2025_oi_250093_1768590553.08463.pdf — DOC-001 — PDF p. 3, Statistical Analysis; REPORT; joi250093supp1_prod_1768590553.08963.pdf — DOC-002 — PDF p. 28, lines759–764 statistical-analysis paragraph; PLAN; joi250093supp1_prod_1768590553.08963.pdf — DOC-002 — PDF p. 66, lines2011–2016 statistical-analysis paragraph; PLAN; joi250093supp1_prod_1768590553.08963.pdf — DOC-002 — PDF p. 77, change note; PLAN; joi250093supp1_prod_1768590553.08963.pdf — DOC-002 — PDF p. 91, lines2884–2889 primary model; PLAN; joi250093supp1_prod_1768590553.08963.pdf — DOC-002 — PDF p. 92, lines2919–2926 adjusted model; PLAN</t>
  </si>
  <si>
    <t>2025::jama.2025.20765::C006</t>
  </si>
  <si>
    <t>Risk-ratio derivation from stated logistic analysis is unclear</t>
  </si>
  <si>
    <t>jama_zahid_2025_oi_250093_1768590553.08463.pdf — DOC-001 — PDF p. 3, Statistical Analysis categorical model; REPORT; jama_zahid_2025_oi_250093_1768590553.08463.pdf — DOC-001 — PDF p. 6, Table2 RR columns and notea; REPORT; joi250093supp2_prod_1768590553.09463.pdf — DOC-003 — PDF p. 11, eTable7 relative-risk row; REPORT; joi250093supp2_prod_1768590553.09463.pdf — DOC-003 — PDF p. 13, eTable9 RR columns; REPORT; joi250093supp2_prod_1768590553.09463.pdf — DOC-003 — PDF p. 14, eTable9 notee; REPORT</t>
  </si>
  <si>
    <t>2025::jama.2025.20765::C007</t>
  </si>
  <si>
    <t>Planned tobacco-use-form adjustment has no reported primary counterpart</t>
  </si>
  <si>
    <t>jama_zahid_2025_oi_250093_1768590553.08463.pdf — DOC-001 — PDF p. 3, finite post hoc fixed-effect list; REPORT; jama_zahid_2025_oi_250093_1768590553.08463.pdf — DOC-001 — PDF p. 4, Primary Outcome adjusted analysis; REPORT; jama_zahid_2025_oi_250093_1768590553.08463.pdf — DOC-001 — PDF p. 6, Table2 notea; REPORT; joi250093supp1_prod_1768590553.08963.pdf — DOC-002 — PDF p. 92, lines2919–2926 fully adjusted models; PLAN; joi250093supp2_prod_1768590553.09463.pdf — DOC-003 — PDF p. 14, eTable9 notee; REPORT</t>
  </si>
  <si>
    <t>2025::jama.2025.20765::C008</t>
  </si>
  <si>
    <t>CO&lt;6 sensitivity results appear under a primary-outcome status label</t>
  </si>
  <si>
    <t>jama_zahid_2025_oi_250093_1768590553.08463.pdf — DOC-001 — PDF p. 3, primaryCO&lt;10 and posthocCO&lt;6 sensitivity; REPORT; jama_zahid_2025_oi_250093_1768590553.08463.pdf — DOC-001 — PDF p. 6, Table2 Primary outcome block, both CO&lt;6 ITT and PP rows; REPORT; joi250093supp1_prod_1768590553.08963.pdf — DOC-002 — PDF p. 84, lines2653–2669 primary endpoint; PLAN; joi250093supp2_prod_1768590553.09463.pdf — DOC-003 — PDF p. 13, eTable9 Primary outcomes CO&lt;6row; REPORT</t>
  </si>
  <si>
    <t>2025::jama.2025.20765::C009</t>
  </si>
  <si>
    <t>Primary missing-outcome handling differs between protocol and SAP/report</t>
  </si>
  <si>
    <t>jama_zahid_2025_oi_250093_1768590553.08463.pdf — DOC-001 — PDF p. 3, missing-primary-outcome paragraph; REPORT; jama_zahid_2025_oi_250093_1768590553.08463.pdf — DOC-001 — PDF p. 4, Figure1 attrition and analysis totals; REPORT; joi250093supp1_prod_1768590553.08963.pdf — DOC-002 — PDF p. 28, lines759–764 separately headed Statistical analysis; PLAN; joi250093supp1_prod_1768590553.08963.pdf — DOC-002 — PDF p. 66, lines2012–2016 separately headed Statistical analysis; PLAN; joi250093supp1_prod_1768590553.08963.pdf — DOC-002 — PDF p. 91, lines2890–2892 ITT and Russell Standard; PLAN</t>
  </si>
  <si>
    <t>2025::jama.2025.20765::C010</t>
  </si>
  <si>
    <t>Prespecified gender-specific primary analyses are not reported</t>
  </si>
  <si>
    <t>jama_zahid_2025_oi_250093_1768590553.08463.pdf — DOC-001 — PDF p. 3, prespecified subgroup list; REPORT; jama_zahid_2025_oi_250093_1768590553.08463.pdf — DOC-001 — PDF p. 5, subgroup consistency narrative; REPORT; joi250093supp1_prod_1768590553.08963.pdf — DOC-002 — PDF p. 92, lines2936–2939 subgroup analysis introduction; PLAN; joi250093supp1_prod_1768590553.08963.pdf — DOC-002 — PDF p. 93, lines2940–2952, gender and interval disclosure; PLAN; joi250093supp1_prod_1768590553.08963.pdf — DOC-002 — PDF p. 99, Gender Male/Female table shell; PLAN; joi250093supp2_prod_1768590553.09463.pdf — DOC-003 — PDF p. 12, complete eTable8; REPORT</t>
  </si>
  <si>
    <t>2025::jama.2025.20765::C011</t>
  </si>
  <si>
    <t>Current primary-data attrition assumptions differ</t>
  </si>
  <si>
    <t>jama_zahid_2025_oi_250093_1768590553.08463.pdf — DOC-001 — PDF p. 3, sample-size20%attrition; REPORT; joi250093supp1_prod_1768590553.08963.pdf — DOC-002 — PDF p. 48, lines1344–1347 primary-data10%; PLAN; joi250093supp1_prod_1768590553.08963.pdf — DOC-002 — PDF p. 62, lines1861–1863 primary-data10%; PLAN; joi250093supp1_prod_1768590553.08963.pdf — DOC-002 — PDF p. 63, lines1894–1898 Phase3 20%calculation; PLAN; joi250093supp1_prod_1768590553.08963.pdf — DOC-002 — PDF p. 64, lines1936–1938 Phase4 contextual20%calculation; PLAN; joi250093supp1_prod_1768590553.08963.pdf — DOC-002 — PDF p. 77, sample-sizeamendment; PLAN; joi250093supp1_prod_1768590553.08963.pdf — DOC-002 — PDF p. 83, lines2624–2638 SAP20%; PLAN</t>
  </si>
  <si>
    <t>2025::jama.2025.20765::C012</t>
  </si>
  <si>
    <t>All-cause mortality percentage is attributed to TB-specific mortality</t>
  </si>
  <si>
    <t>jama_zahid_2025_oi_250093_1768590553.08463.pdf — DOC-001 — PDF p. 1, 1080randomized,corroboratingdenominator; REPORT; jama_zahid_2025_oi_250093_1768590553.08463.pdf — DOC-001 — PDF p. 4, Figure1 death25/27 and1080enrolled; REPORT; jama_zahid_2025_oi_250093_1768590553.08463.pdf — DOC-001 — PDF p. 5, TBcause32/52; REPORT; jama_zahid_2025_oi_250093_1768590553.08463.pdf — DOC-001 — PDF p. 6, Table2 deaths25/720and27/360; REPORT; jama_zahid_2025_oi_250093_1768590553.08463.pdf — DOC-001 — PDF p. 8, discussion4.8%diedofTB; REPORT; joi250093supp2_prod_1768590553.09463.pdf — DOC-003 — PDF p. 6, eTable4 total52 andTB32; REPORT</t>
  </si>
  <si>
    <t>2025::jama.2025.20765::C013</t>
  </si>
  <si>
    <t>Adverse-event narrative reverses two any-symptom arm directions</t>
  </si>
  <si>
    <t>jama_zahid_2025_oi_250093_1768590553.08463.pdf — DOC-001 — PDF p. 5, Adverse Events ordered percentages and summarysentence; REPORT; joi250093supp2_prod_1768590553.09463.pdf — DOC-003 — PDF p. 15, eTable10 irritability/anxiety severity rows; REPORT</t>
  </si>
  <si>
    <t>2025::jama.2025.20765::C014</t>
  </si>
  <si>
    <t>Fourteen interval rows do not reproduce a rule fitting other display rows</t>
  </si>
  <si>
    <t>jama_zahid_2025_oi_250093_1768590553.08463.pdf — DOC-001 — PDF p. 6, Table2CO10PPadjusted,CO6PPcrude/adjusted,self-reportadjusted; REPORT; joi250093supp2_prod_1768590553.09463.pdf — DOC-003 — PDF p. 12, eTable8All,age≥40,primary,secondary,active,dependent,smoking&lt;24,readingNo; REPORT; joi250093supp2_prod_1768590553.09463.pdf — DOC-003 — PDF p. 13, eTable9CO10crude/adjusted; REPORT; joi250093supp2_prod_1768590553.09463.pdf — DOC-003 — PDF p. 14, population/adjustmentnotes; REPORT</t>
  </si>
  <si>
    <t>2025::jama.2025.20765::C015</t>
  </si>
  <si>
    <t>Latest protocol and SAP prescribe different failure windows</t>
  </si>
  <si>
    <t>joi250093supp1_prod_1768590553.08963.pdf — DOC-002 — PDF p. 9, lines179–180 month-5 definition, explicitly headed V6.0; PLAN; joi250093supp1_prod_1768590553.08963.pdf — DOC-002 — PDF p. 47, lines1319–1320month6definition; PLAN; joi250093supp1_prod_1768590553.08963.pdf — DOC-002 — PDF p. 77, lines2413–2415 explicit5→6amendment; PLAN; joi250093supp1_prod_1768590553.08963.pdf — DOC-002 — PDF p. 85, lines2685–2686SAPmonth5; PLAN; jama_zahid_2025_oi_250093_1768590553.08463.pdf — DOC-001 — PDF p. 1, key-secondaryfailureproportions; REPORT; jama_zahid_2025_oi_250093_1768590553.08463.pdf — DOC-001 — PDF p. 3, outcomedetailpointer; REPORT; jama_zahid_2025_oi_250093_1768590553.08463.pdf — DOC-001 — PDF p. 6, Table2failure1/720versus2/360; REPORT</t>
  </si>
  <si>
    <t>2025::jama.2025.20765::C016</t>
  </si>
  <si>
    <t>Current Phase 3 power statements retain different cluster allocations</t>
  </si>
  <si>
    <t>joi250093supp1_prod_1768590553.08963.pdf — DOC-002 — PDF p. 48, lines1348–1353poweroverview; PLAN; joi250093supp1_prod_1768590553.08963.pdf — DOC-002 — PDF p. 63, lines1886–1907Phase3power/allocation; PLAN; joi250093supp1_prod_1768590553.08963.pdf — DOC-002 — PDF p. 64, Phase4allocationcontext; PLAN; joi250093supp1_prod_1768590553.08963.pdf — DOC-002 — PDF p. 65, lines1958–1963repeatedpowerparagraph; PLAN; joi250093supp1_prod_1768590553.08963.pdf — DOC-002 — PDF p. 77, lines2416–2424allocationamendment; PLAN; joi250093supp1_prod_1768590553.08963.pdf — DOC-002 — PDF p. 83, lines2629–2642SAPallocation; PLAN</t>
  </si>
  <si>
    <t>2025::jama.2025.20765::C017</t>
  </si>
  <si>
    <t>Two cause-of-death percentages do not reconcile within eTable 4</t>
  </si>
  <si>
    <t>joi250093supp2_prod_1768590553.09463.pdf — DOC-003 — PDF p. 6, eTable4usual-careDruguser,Severepneumonia,Totaldeaths; REPORT</t>
  </si>
  <si>
    <t>2025::jama.2025.20765::C018</t>
  </si>
  <si>
    <t>Site 2008 death count and percentage do not reproduce the table denominator</t>
  </si>
  <si>
    <t>joi250093supp2_prod_1768590553.09463.pdf — DOC-003 — PDF p. 9, eTable6Controlsite2008cell5(7.5),otherdeathrows; REPORT; joi250093supp2_prod_1768590553.09463.pdf — DOC-003 — PDF p. 8, eTable5site2008recruitmentandITT40,observed35; REPORT</t>
  </si>
  <si>
    <t>2025::jama.2025.20765::C019</t>
  </si>
  <si>
    <t>Treatment-failure absolute difference has the opposite signed contrast</t>
  </si>
  <si>
    <t>joi250093supp2_prod_1768590553.09463.pdf — DOC-003 — PDF p. 13, eTable9TreatmentFailuresabsolute-difference0.5andarmrisks; REPORT; joi250093supp2_prod_1768590553.09463.pdf — DOC-003 — PDF p. 14, notebAbsolute difference; REPORT</t>
  </si>
  <si>
    <t>2025::jama.2025.24175::C001</t>
  </si>
  <si>
    <t>Primary mean/Welch versus responder/Fisher specification</t>
  </si>
  <si>
    <t>PLAN joi250116supp1_prod_1771885794.26255.pdf — DOC-002 p.7 synopsis, joi250116supp1_prod_1771885794.26255.pdf — p.24 primary endpoint/death rule, joi250116supp1_prod_1771885794.26255.pdf — p.25 corresponding day-15 mean, joi250116supp1_prod_1771885794.26255.pdf — p.27 Welch analysis, joi250116supp1_prod_1771885794.26255.pdf — p.66 SAP responder/death rule, joi250116supp1_prod_1771885794.26255.pdf — p.67 Fisher analysis, joi250116supp1_prod_1771885794.26255.pdf — p.68 day-15 construction, joi250116supp1_prod_1771885794.26255.pdf — p.69 day-15 responder continuation; REPORT jama_giamarellosbourboulis_2025_oi_250116_1771885794.23757.pdf — DOC-001 p.3 endpoint, jama_giamarellosbourboulis_2025_oi_250116_1771885794.23757.pdf — p.5 imputation/secondary definition, jama_giamarellosbourboulis_2025_oi_250116_1771885794.23757.pdf — p.6 Table 2 and statistical analyses.</t>
  </si>
  <si>
    <t>2025::jama.2025.24175::C002</t>
  </si>
  <si>
    <t>Home-discharge versus ICU-discharge carry-forward eligibility</t>
  </si>
  <si>
    <t>PLAN joi250116supp1_prod_1771885794.26255.pdf — DOC-002 p.66; REPORT jama_giamarellosbourboulis_2025_oi_250116_1771885794.23757.pdf — DOC-001 p.3 daily ICU observation, jama_giamarellosbourboulis_2025_oi_250116_1771885794.23757.pdf — p.5 home-discharge rule, jama_giamarellosbourboulis_2025_oi_250116_1771885794.23757.pdf — p.6 ICU-discharge result, joi250116supp2_prod_1771885794.27755.pdf — DOC-003 p.20 eTable 8, joi250116supp2_prod_1771885794.27755.pdf — p.46 sensitivity population.</t>
  </si>
  <si>
    <t>2025::jama.2025.24175::C003</t>
  </si>
  <si>
    <t>Infection and omics outcome-status pattern</t>
  </si>
  <si>
    <t>PLAN joi250116supp1_prod_1771885794.26255.pdf — DOC-002 p.7 synopsis, joi250116supp1_prod_1771885794.26255.pdf — p.25 detailed hierarchy, joi250116supp1_prod_1771885794.26255.pdf — p.27 infection test hierarchy, joi250116supp1_prod_1771885794.26255.pdf — p.57 resolution appendix, joi250116supp1_prod_1771885794.26255.pdf — p.70 SAP infection; REPORT jama_giamarellosbourboulis_2025_oi_250116_1771885794.23757.pdf — DOC-001 p.5 prespecified secondary endpoints, jama_giamarellosbourboulis_2025_oi_250116_1771885794.23757.pdf — p.6 main secondary table, jama_giamarellosbourboulis_2025_oi_250116_1771885794.23757.pdf — p.7 sixth secondary result.</t>
  </si>
  <si>
    <t>2025::jama.2025.24175::C004</t>
  </si>
  <si>
    <t>Immune-reversal endpoint window, composite and ascertainment</t>
  </si>
  <si>
    <t>PLAN joi250116supp1_prod_1771885794.26255.pdf — DOC-002 p.25, joi250116supp1_prod_1771885794.26255.pdf — p.69, joi250116supp1_prod_1771885794.26255.pdf — p.70 continuation; REPORT jama_giamarellosbourboulis_2025_oi_250116_1771885794.23757.pdf — DOC-001 p.5 definition, jama_giamarellosbourboulis_2025_oi_250116_1771885794.23757.pdf — p.6 Table 2/footnote, jama_giamarellosbourboulis_2025_oi_250116_1771885794.23757.pdf — p.7 by-day-28 result, joi250116supp2_prod_1771885794.27755.pdf — DOC-003 p.50 eFigure 6.</t>
  </si>
  <si>
    <t>2025::jama.2025.24175::C005</t>
  </si>
  <si>
    <t>Continuous versus binary primary-outcome power basis</t>
  </si>
  <si>
    <t>PLAN joi250116supp1_prod_1771885794.26255.pdf — DOC-002 p.25 power introduction, joi250116supp1_prod_1771885794.26255.pdf — p.26 calculation; REPORT jama_giamarellosbourboulis_2025_oi_250116_1771885794.23757.pdf — DOC-001 p.5 Sample Size Calculation. The complete supplied SAP pp.63–72 has no revised binary power calculation.</t>
  </si>
  <si>
    <t>2025::jama.2025.24175::C006</t>
  </si>
  <si>
    <t>Binary planned versus ordinal reported infection analysis</t>
  </si>
  <si>
    <t>PLAN joi250116supp1_prod_1771885794.26255.pdf — DOC-002 p.27 Fisher/Mantel–Haenszel infection analysis, joi250116supp1_prod_1771885794.26255.pdf — p.70 binary resolved/not-resolved SAP analysis; REPORT jama_giamarellosbourboulis_2025_oi_250116_1771885794.23757.pdf — DOC-001 p.6 Table 2/statistical analysis/SAP-following statement, jama_giamarellosbourboulis_2025_oi_250116_1771885794.23757.pdf — p.7 ordinal result, joi250116supp2_prod_1771885794.27755.pdf — DOC-003 p.49 four-state figure.</t>
  </si>
  <si>
    <t>2025::jama.2025.24175::C007</t>
  </si>
  <si>
    <t>Prespecified primary and key-secondary analysis families not located</t>
  </si>
  <si>
    <t>PLAN joi250116supp1_prod_1771885794.26255.pdf — DOC-002 p.67 immune-state response homogeneity, joi250116supp1_prod_1771885794.26255.pdf — p.68 survivor secondary means and 28-day immune-state mortality, joi250116supp1_prod_1771885794.26255.pdf — p.71 severity/homogeneity and antibiotics, joi250116supp1_prod_1771885794.26255.pdf — p.72 antibiotic-primary continuation; REPORT jama_giamarellosbourboulis_2025_oi_250116_1771885794.23757.pdf — DOC-001 p.5 endpoint definitions, jama_giamarellosbourboulis_2025_oi_250116_1771885794.23757.pdf — p.6 methods/results, jama_giamarellosbourboulis_2025_oi_250116_1771885794.23757.pdf — p.7 response/mortality/post hoc results, jama_giamarellosbourboulis_2025_oi_250116_1771885794.23757.pdf — p.8 interaction continuation, joi250116supp2_prod_1771885794.27755.pdf — DOC-003 p.16 antibiotic footnote, joi250116supp2_prod_1771885794.27755.pdf — p.21 primary model, joi250116supp2_prod_1771885794.27755.pdf — p.22 immune response, joi250116supp2_prod_1771885794.27755.pdf — p.23 subset baseline, joi250116supp2_prod_1771885794.27755.pdf — p.24 subset baseline continuation, joi250116supp2_prod_1771885794.27755.pdf — p.47 overall mortality, joi250116supp2_prod_1771885794.27755.pdf — p.51 primary severity, joi250116supp2_prod_1771885794.27755.pdf — p.52 28-day severity, joi250116supp2_prod_1771885794.27755.pdf — p.53 90-day severity, with absence assessed against complete DOC-001 pp.1–12 and DOC-003 pp.1–54 result maps and source-linked text.</t>
  </si>
  <si>
    <t>2025::jama.2025.24175::C008</t>
  </si>
  <si>
    <t>Unadjusted day-15 immunoparalysis odds ratio does not reconcile with its counts</t>
  </si>
  <si>
    <t>joi250116supp2_prod_1771885794.27755.pdf — physical PDF p.22, eTable 10, final day-15 immunoparalysis row and all three companion rows.</t>
  </si>
  <si>
    <t>2025::jama.2025.24175::C009</t>
  </si>
  <si>
    <t>MALS number-needed-to-harm direction does not reconcile with patient risks</t>
  </si>
  <si>
    <t>joi250116supp2_prod_1771885794.27755.pdf — physical PDF p.27, eTable 13, MALS Any SAE row; joi250116supp2_prod_1771885794.27755.pdf — physical PDF p.44, eTable 15, MALS NNH1 and induce-harm definition. Definition support: joi250116supp2_prod_1771885794.27755.pdf — physical PDF p.29, eTable 13 footnote a.</t>
  </si>
  <si>
    <t>2025::jama.2025.24175::C010</t>
  </si>
  <si>
    <t>Finite NNH1 intervals versus nonsignificant source-specified safety comparisons</t>
  </si>
  <si>
    <t>joi250116supp2_prod_1771885794.27755.pdf — physical PDF p.27, eTable 13, MALS and immunoparalysis Any SAE patient rows; joi250116supp2_prod_1771885794.27755.pdf — physical PDF p.44, eTable 15, both NNH1 intervals. Patient-count support: joi250116supp2_prod_1771885794.27755.pdf — physical PDF p.29, footnote a. Test corroboration: jama_giamarellosbourboulis_2025_oi_250116_1771885794.23757.pdf — physical PDF p.6, significance and SAP-following statements; joi250116supp1_prod_1771885794.26255.pdf — physical PDF p.70, SAP Safety and two-sided significance specification.</t>
  </si>
  <si>
    <t>2025::jama.2025.24175::C011</t>
  </si>
  <si>
    <t>Five subgroup P values do not reproduce under the companion-row test</t>
  </si>
  <si>
    <t>joi250116supp2_prod_1771885794.27755.pdf — physical PDF p.51, eFigure 7 panel A, primary response, APACHE II≥25, CCI≥5 and SOFA≥10 rows; joi250116supp2_prod_1771885794.27755.pdf — physical PDF p.52, eFigure 8 panel A, 28-day mortality, SOFA≥10 row; joi250116supp2_prod_1771885794.27755.pdf — physical PDF p.53, eFigure 9 panel A, 90-day mortality, SOFA≥10 row. Each page's remaining panel-A rows supplies companion evidence. Corroborating methods: jama_giamarellosbourboulis_2025_oi_250116_1771885794.23757.pdf — physical PDF p.6.</t>
  </si>
  <si>
    <t>2025::jama.2025.24175::C012</t>
  </si>
  <si>
    <t>Repeated APACHE coefficient does not reproduce the companion interval construction</t>
  </si>
  <si>
    <t>joi250116supp2_prod_1771885794.27755.pdf — physical PDF p.51, eFigure 7 panel B, APACHE II≥25 main-effect row and five companions; joi250116supp2_prod_1771885794.27755.pdf — physical PDF p.52, eFigure 8 panel B, corresponding row and five companions.</t>
  </si>
  <si>
    <t>2025::jama.2025.24175::C013</t>
  </si>
  <si>
    <t>Complete six-row output has unresolved attribution to two outcomes</t>
  </si>
  <si>
    <t>joi250116supp2_prod_1771885794.27755.pdf — physical PDF p.51, eFigure 7 complete panel B and primary-response caption; joi250116supp2_prod_1771885794.27755.pdf — physical PDF p.52, eFigure 8 complete panel B and 28-day-mortality caption. Narrative corroboration: jama_giamarellosbourboulis_2025_oi_250116_1771885794.23757.pdf — physical PDF p.7, Post Hoc and Subgroup Analyses opening; jama_giamarellosbourboulis_2025_oi_250116_1771885794.23757.pdf — physical PDF p.8, interaction continuation.</t>
  </si>
  <si>
    <t>2025::jama.2025.24175::C014</t>
  </si>
  <si>
    <t>90-day APACHE-treatment point lies outside its stated confidence interval</t>
  </si>
  <si>
    <t>joi250116supp2_prod_1771885794.27755.pdf — physical PDF p.53, eFigure 9 panel B, APACHE II≥25×precision-immunotherapy row and 90-day-mortality caption.</t>
  </si>
  <si>
    <t>2025::jama.2025.4390::C001</t>
  </si>
  <si>
    <t>Figure 3 primary and subgroup rate quantity/scale</t>
  </si>
  <si>
    <t>REPORT jama_garrison_2025_oi_250019_1749674951.29054.pdf — physical PDF p. 9; REPORT jama_garrison_2025_oi_250019_1749674951.29054.pdf — physical PDF p. 8; REPORT jama_garrison_2025_oi_250019_1749674951.29054.pdf — physical PDF p. 1; REPORT jama_garrison_2025_oi_250019_1749674951.29054.pdf — physical PDF p. 2; REPORT jama_garrison_2025_oi_250019_1749674951.29054.pdf — physical PDF p. 6</t>
  </si>
  <si>
    <t>2025::jama.2025.4390::C002</t>
  </si>
  <si>
    <t>Utilization endpoint restriction</t>
  </si>
  <si>
    <t>PLAN joi250019supp1_prod_1749674951.29554.pdf — physical PDF p. 3; PLAN joi250019supp2_prod_1749674951.30054.pdf — physical PDF p. 2; PLAN joi250019supp2_prod_1749674951.30054.pdf — physical PDF p. 4; REPORT jama_garrison_2025_oi_250019_1749674951.29054.pdf — physical PDF p. 1; REPORT jama_garrison_2025_oi_250019_1749674951.29054.pdf — physical PDF p. 3; REPORT jama_garrison_2025_oi_250019_1749674951.29054.pdf — physical PDF p. 8; REPORT joi250019supp3_prod_1749674951.30054.pdf — physical PDF p. 15</t>
  </si>
  <si>
    <t>2025::jama.2025.4390::C003</t>
  </si>
  <si>
    <t>Adaptive diuretic decision time/population</t>
  </si>
  <si>
    <t>PLAN joi250019supp1_prod_1749674951.29554.pdf — physical PDF p. 4; REPORT jama_garrison_2025_oi_250019_1749674951.29054.pdf — physical PDF p. 2</t>
  </si>
  <si>
    <t>2025::jama.2025.4390::C004</t>
  </si>
  <si>
    <t>Allocation specification</t>
  </si>
  <si>
    <t>PLAN joi250019supp1_prod_1749674951.29554.pdf — physical PDF p. 4; REPORT jama_garrison_2025_oi_250019_1749674951.29054.pdf — physical PDF p. 3; REPORT jama_garrison_2025_oi_250019_1749674951.29054.pdf — physical PDF p. 7; PLAN joi250019supp2_prod_1749674951.30054.pdf — physical PDF p. 4</t>
  </si>
  <si>
    <t>2025::jama.2025.4390::C005</t>
  </si>
  <si>
    <t>LTC medication-control criterion</t>
  </si>
  <si>
    <t>PLAN joi250019supp2_prod_1749674951.30054.pdf — physical PDF p. 2; REPORT jama_garrison_2025_oi_250019_1749674951.29054.pdf — physical PDF p. 3; REPORT jama_garrison_2025_oi_250019_1749674951.29054.pdf — physical PDF p. 8; REPORT joi250019supp3_prod_1749674951.30054.pdf — physical PDF p. 16</t>
  </si>
  <si>
    <t>2025::jama.2025.4390::C006</t>
  </si>
  <si>
    <t>Versioned health/glaucoma outcome hierarchy</t>
  </si>
  <si>
    <t>PLAN joi250019supp1_prod_1749674951.29554.pdf — physical PDF p. 3; PLAN joi250019supp2_prod_1749674951.30054.pdf — physical PDF p. 2; PLAN joi250019supp2_prod_1749674951.30054.pdf — physical PDF p. 3; REPORT jama_garrison_2025_oi_250019_1749674951.29054.pdf — physical PDF p. 3; REPORT jama_garrison_2025_oi_250019_1749674951.29054.pdf — physical PDF p. 7; REPORT jama_garrison_2025_oi_250019_1749674951.29054.pdf — physical PDF p. 8; REPORT joi250019supp3_prod_1749674951.30054.pdf — physical PDF p. 21</t>
  </si>
  <si>
    <t>2025::jama.2025.4390::C007</t>
  </si>
  <si>
    <t>Vision recall reference and aggregation</t>
  </si>
  <si>
    <t>PLAN joi250019supp1_prod_1749674951.29554.pdf — physical PDF p. 3; PLAN joi250019supp2_prod_1749674951.30054.pdf — physical PDF p. 2; REPORT jama_garrison_2025_oi_250019_1749674951.29054.pdf — physical PDF p. 3; REPORT jama_garrison_2025_oi_250019_1749674951.29054.pdf — physical PDF p. 8</t>
  </si>
  <si>
    <t>2025::jama.2025.4390::C008</t>
  </si>
  <si>
    <t>Six medication-class subgroup prespecification axes</t>
  </si>
  <si>
    <t>PLAN joi250019supp2_prod_1749674951.30054.pdf — physical PDF p. 6; REPORT jama_garrison_2025_oi_250019_1749674951.29054.pdf — physical PDF p. 6; REPORT jama_garrison_2025_oi_250019_1749674951.29054.pdf — physical PDF p. 9</t>
  </si>
  <si>
    <t>2025::jama.2025.4390::C009</t>
  </si>
  <si>
    <t>Planned within-arm withdrawal sensitivity contrast</t>
  </si>
  <si>
    <t>PLAN joi250019supp2_prod_1749674951.30054.pdf — physical PDF p. 6; REPORT joi250019supp3_prod_1749674951.30054.pdf — physical PDF p. 33; REPORT joi250019supp3_prod_1749674951.30054.pdf — physical PDF p. 34; REPORT joi250019supp3_prod_1749674951.30054.pdf — physical PDF p. 35; REPORT joi250019supp3_prod_1749674951.30054.pdf — physical PDF p. 36; REPORT joi250019supp3_prod_1749674951.30054.pdf — physical PDF p. 37; REPORT joi250019supp3_prod_1749674951.30054.pdf — physical PDF p. 38; REPORT joi250019supp3_prod_1749674951.30054.pdf — physical PDF p. 39; REPORT joi250019supp3_prod_1749674951.30054.pdf — physical PDF p. 40</t>
  </si>
  <si>
    <t>2025::jama.2025.4390::C010</t>
  </si>
  <si>
    <t>eTable 4 chronotype test reproduction</t>
  </si>
  <si>
    <t>REPORT joi250019supp3_prod_1749674951.30054.pdf — physical PDF p. 33; REPORT joi250019supp3_prod_1749674951.30054.pdf — physical PDF p. 34; REPORT joi250019supp3_prod_1749674951.30054.pdf — physical PDF p. 35; REPORT joi250019supp3_prod_1749674951.30054.pdf — physical PDF p. 36</t>
  </si>
  <si>
    <t>2025::jama.2025.4390::C011</t>
  </si>
  <si>
    <t>eTable 5 ethnicity totals</t>
  </si>
  <si>
    <t>REPORT joi250019supp3_prod_1749674951.30054.pdf — physical PDF p. 37; REPORT joi250019supp3_prod_1749674951.30054.pdf — physical PDF p. 40</t>
  </si>
  <si>
    <t>2025::jama.2025.4390::C012</t>
  </si>
  <si>
    <t>Identical medication tables, differing P values</t>
  </si>
  <si>
    <t>REPORT joi250019supp3_prod_1749674951.30054.pdf — physical PDF p. 39; REPORT joi250019supp3_prod_1749674951.30054.pdf — physical PDF p. 37; REPORT joi250019supp3_prod_1749674951.30054.pdf — physical PDF p. 40</t>
  </si>
  <si>
    <t>2025::jama.2025.4390::C013</t>
  </si>
  <si>
    <t>ARB bedtime Other Reason fraction</t>
  </si>
  <si>
    <t>REPORT joi250019supp3_prod_1749674951.30054.pdf — physical PDF p. 46; REPORT joi250019supp3_prod_1749674951.30054.pdf — physical PDF p. 45; REPORT joi250019supp3_prod_1749674951.30054.pdf — physical PDF p. 48</t>
  </si>
  <si>
    <t>2025::jama.2025.7583::C001</t>
  </si>
  <si>
    <t>Planned complication comparison has no supplied comparative result</t>
  </si>
  <si>
    <t>PLAN joi250033supp1_prod_1750956987.76581.pdf — p. 50, secondary-endpoint analysis; PLAN joi250033supp5_prod_1750956987.78281.pdf — p. 4, section 2.2, joi250033supp5_prod_1750956987.78281.pdf — p. 7, section 3.6 fifth bullet. REPORT jama_shotar_2025_oi_250033_1750956987.75881.pdf — p. 1, abstract, jama_shotar_2025_oi_250033_1750956987.75881.pdf — p. 3, Secondary End Points/Statistical Analysis, jama_shotar_2025_oi_250033_1750956987.75881.pdf — p. 6, Table 2 complication rows, footnote j and narrative, jama_shotar_2025_oi_250033_1750956987.75881.pdf — p. 7, complication narrative. REPORT joi250033supp4_prod_1750956987.77981.pdf — p. 12, eTable 3, joi250033supp4_prod_1750956987.77981.pdf — p. 13, eTable 3 continuation.</t>
  </si>
  <si>
    <t>2025::jama.2025.7583::C002</t>
  </si>
  <si>
    <t>Strict versus inclusive primary recurrence boundary</t>
  </si>
  <si>
    <t>PLAN joi250033supp5_prod_1750956987.78281.pdf — p. 3, section 2.1 first bullet. PLAN joi250033supp1_prod_1750956987.76581.pdf — p. 7, synopsis, joi250033supp1_prod_1750956987.76581.pdf — p. 16, section 4.1.1 primary endpoint, joi250033supp1_prod_1750956987.76581.pdf — p. 21, both follow-up recurrence definitions, joi250033supp1_prod_1750956987.76581.pdf — p. 31, section 8.1. REPORT jama_shotar_2025_oi_250033_1750956987.75881.pdf — p. 3, End Points. REPORT joi250033supp4_prod_1750956987.77981.pdf — p. 11, eTable 2 criteria 1 and 1a, joi250033supp4_prod_1750956987.77981.pdf — p. 15, EMPROTECT primary endpoint.</t>
  </si>
  <si>
    <t>2025::jama.2025.7583::C003</t>
  </si>
  <si>
    <t>Disclosed cause-restricted death amendment in primary composite</t>
  </si>
  <si>
    <t>PLAN joi250033supp1_prod_1750956987.76581.pdf — p. 48, interim analysis, joi250033supp1_prod_1750956987.76581.pdf — p. 49, final primary analysis. PLAN joi250033supp5_prod_1750956987.78281.pdf — p. 5, interim analysis, joi250033supp5_prod_1750956987.78281.pdf — p. 6, final analysis, joi250033supp5_prod_1750956987.78281.pdf — p. 8, version-change table. REPORT jama_shotar_2025_oi_250033_1750956987.75881.pdf — p. 3, Statistical Analysis, jama_shotar_2025_oi_250033_1750956987.75881.pdf — p. 4, Figure 1, jama_shotar_2025_oi_250033_1750956987.75881.pdf — p. 5, Primary End Point narrative, jama_shotar_2025_oi_250033_1750956987.75881.pdf — p. 6, Table 2. REPORT joi250033supp4_prod_1750956987.77981.pdf — p. 5, imputation methods, joi250033supp4_prod_1750956987.77981.pdf — p. 9, no-imputation sensitivity footnote, joi250033supp4_prod_1750956987.77981.pdf — p. 11, recurrence/death criteria.</t>
  </si>
  <si>
    <t>2025::jama.2025.7583::C004</t>
  </si>
  <si>
    <t>Midline-shift samples exceed stated unilateral populations</t>
  </si>
  <si>
    <t>REPORT jama_shotar_2025_oi_250033_1750956987.75881.pdf — physical p. 5, Table 1 headers, Unilateral CSDH row, Midline shift row and continuation footnote d. Physical p. 5 is printed journal p. 131; evidence links use physical pagination.</t>
  </si>
  <si>
    <t>2025::jama.2025.7710::C001</t>
  </si>
  <si>
    <t>Planned prognostic-adjusted primary result is not identified</t>
  </si>
  <si>
    <t>PLAN joi250034supp1_prod_1750956984.09018.pdf — protocol p.20, §13.2; joi250034supp2_prod_1750956984.11521.pdf — SAP p.12, §3.2, joi250034supp2_prod_1750956984.11521.pdf — SAP p.13, §3.9, and joi250034supp2_prod_1750956984.11521.pdf — SAP p.26, Table 12. REPORT jama_kumar_2025_oi_250034_1750956984.08518.pdf — main p.3, Statistical Analysis, jama_kumar_2025_oi_250034_1750956984.08518.pdf — main p.6, primary/sensitivity paragraph, jama_kumar_2025_oi_250034_1750956984.08518.pdf — main p.7, Table 3, jama_kumar_2025_oi_250034_1750956984.08518.pdf — main p.8, Figure 2/Table 4, and joi250034supp3_prod_1750956984.12018.pdf — results p.2, eTable 1. All main pp.1–11 and results-supplement pp.1–6 were inspected for the output. joi250034supp2_prod_1750956984.11521.pdf — SAP p.4 supplies blinded-development context only.</t>
  </si>
  <si>
    <t>2025::jama.2025.7710::C002</t>
  </si>
  <si>
    <t>Planned component multiplicity adjustment differs from reported rule</t>
  </si>
  <si>
    <t>PLAN joi250034supp1_prod_1750956984.09018.pdf — protocol p.20, §13.2, with contextual continuation joi250034supp1_prod_1750956984.09018.pdf — p.21; joi250034supp2_prod_1750956984.11521.pdf — SAP p.12, §3.2, and joi250034supp2_prod_1750956984.11521.pdf — SAP p.25, Table 11 adjusted-P column. REPORT jama_kumar_2025_oi_250034_1750956984.08518.pdf — main p.3, outcome/interpretation paragraphs, jama_kumar_2025_oi_250034_1750956984.08518.pdf — main p.4, no-adjustment statement, and jama_kumar_2025_oi_250034_1750956984.08518.pdf — main p.7, Table 3, every component P-value row.</t>
  </si>
  <si>
    <t>2025::jama.2025.7710::C003</t>
  </si>
  <si>
    <t>Prior-cesarean subgroup history window differs from protocol</t>
  </si>
  <si>
    <t>PLAN comparator joi250034supp1_prod_1750956984.09018.pdf — protocol p.17, §8 subgroup 4. REPORT jama_kumar_2025_oi_250034_1750956984.08518.pdf — main p.4, prespecified-subgroup paragraph, jama_kumar_2025_oi_250034_1750956984.08518.pdf — main p.7, repeated subgroup-results description, and jama_kumar_2025_oi_250034_1750956984.08518.pdf — main p.8, Figure 2 preceding-pregnancy-cesarean family/caption. Corroborating PLAN joi250034supp2_prod_1750956984.11521.pdf — SAP p.14, §3.11, joi250034supp2_prod_1750956984.11521.pdf — SAP p.29, Table 15, and joi250034supp2_prod_1750956984.11521.pdf — SAP p.4, revision history/blinded-preparation declaration. Additional timing/process context: jama_kumar_2025_oi_250034_1750956984.08518.pdf — main p.3, prespecification-before-lock statement and joi250034supp1_prod_1750956984.09018.pdf — protocol p.22, §15.3 amendment process.</t>
  </si>
  <si>
    <t>2025::jama.2025.9110::C001</t>
  </si>
  <si>
    <t>Planned ventilation Cox analysis replaced by a tobit mean contrast</t>
  </si>
  <si>
    <t>REPORT jama_summers_2025_oi_250040_1753124024.36498.pdf — main article p. 1, abstract ventilation effect; REPORT jama_summers_2025_oi_250040_1753124024.36498.pdf — main article p. 4, SAP-concordance statement; REPORT jama_summers_2025_oi_250040_1753124024.36498.pdf — main article p. 5, repeated ventilation mean contrast; REPORT jama_summers_2025_oi_250040_1753124024.36498.pdf — main article p. 7, Table 2 ventilation row; PLAN joi250040supp1_prod_1753124024.37199.pdf — protocol p. 21, lines 679–684; PLAN joi250040supp2_prod_1753124024.37799.pdf — SAP p. 18, lines 416–431; PLAN joi250040supp2_prod_1753124024.37799.pdf — SAP p. 28, Table 1 ventilation analysis; REPORT joi250040supp3_prod_1753124024.38098.pdf — results supplement p. 4, Duration of invasive ventilation; REPORT joi250040supp3_prod_1753124024.38098.pdf — results supplement p. 6, metobit/margins</t>
  </si>
  <si>
    <t>2025::jama.2025.9110::C002</t>
  </si>
  <si>
    <t>Printed ICU confidence interval and P value have different null-status readings</t>
  </si>
  <si>
    <t>REPORT jama_summers_2025_oi_250040_1753124024.36498.pdf — main article p. 1, abstract ICU-discharge interval; REPORT jama_summers_2025_oi_250040_1753124024.36498.pdf — main article p. 4, two-sided testing and threshold; REPORT jama_summers_2025_oi_250040_1753124024.36498.pdf — main article p. 5, secondary-outcome ICU interval; REPORT jama_summers_2025_oi_250040_1753124024.36498.pdf — main article p. 7, Table 2 ICU row and footnote b</t>
  </si>
  <si>
    <t>2025::jama.2025.9110::C003</t>
  </si>
  <si>
    <t>Original primary-power correlation assumptions differ between SAP and report</t>
  </si>
  <si>
    <t>REPORT jama_summers_2025_oi_250040_1753124024.36498.pdf — main article p. 3, original sample-size rationale begins; REPORT jama_summers_2025_oi_250040_1753124024.36498.pdf — main article p. 4, correlation assumptions and continuation; PLAN joi250040supp2_prod_1753124024.37799.pdf — SAP p. 13, lines 301–308; PLAN joi250040supp2_prod_1753124024.37799.pdf — SAP p. 14, lines 309–321; Corroborating PLAN joi250040supp1_prod_1753124024.37199.pdf — protocol p. 20, lines 651–665</t>
  </si>
  <si>
    <t>2025::jama.2025.9663::C001</t>
  </si>
  <si>
    <t>Missing stratification-only primary-outcome analysis</t>
  </si>
  <si>
    <t>PLAN original protocol: joi250042supp1_prod_1753377747.92525.pdf — p. 30, §4.2.2; PLAN final protocol: joi250042supp1_prod_1753377747.92525.pdf — p. 70, §4.2.2; REPORT model description: jama_martin_2025_oi_250042_1753377747.91025.pdf — p. 3, Statistical Analysis; REPORT narrative effects: jama_martin_2025_oi_250042_1753377747.91025.pdf — p. 6, Primary and Secondary Outcomes; REPORT tabulated effects and adjustment sets: jama_martin_2025_oi_250042_1753377747.91025.pdf — p. 8, Table 2 and footnotes a/b; PLAN alternative specification: joi250042supp1_prod_1753377747.92525.pdf — p. 126, §5.3.1, joi250042supp1_prod_1753377747.92525.pdf — p. 127, continuation, and joi250042supp1_prod_1753377747.92525.pdf — p. 136, SAP changes</t>
  </si>
  <si>
    <t>2025::jama.2025.9663::C002</t>
  </si>
  <si>
    <t>Retained protocol stay test versus SAP/report stay method</t>
  </si>
  <si>
    <t>PLAN original protocol: joi250042supp1_prod_1753377747.92525.pdf — p. 30, §4.2.2; PLAN final protocol: joi250042supp1_prod_1753377747.92525.pdf — p. 70, §4.2.2, and joi250042supp1_prod_1753377747.92525.pdf — p. 71, continuation; PLAN original SAP: joi250042supp1_prod_1753377747.92525.pdf — p. 104, §5.3.2; PLAN final SAP: joi250042supp1_prod_1753377747.92525.pdf — p. 128, §5.3.4; REPORT methods: jama_martin_2025_oi_250042_1753377747.91025.pdf — p. 3, Statistical Analysis; REPORT stay results: jama_martin_2025_oi_250042_1753377747.91025.pdf — p. 8, Table 2; PLAN amendment context: joi250042supp1_prod_1753377747.92525.pdf — p. 136, SAP changes</t>
  </si>
  <si>
    <t>2025::jama.2025.9663::C003</t>
  </si>
  <si>
    <t>SAP all-outcome MICE versus reported selected predictors and stay censoring</t>
  </si>
  <si>
    <t>PLAN final SAP: joi250042supp1_prod_1753377747.92525.pdf — p. 131, §7 start, and joi250042supp1_prod_1753377747.92525.pdf — p. 132, §7 continuation; REPORT imputation description: jama_martin_2025_oi_250042_1753377747.91025.pdf — p. 3, imputation paragraph; REPORT effects and duration exception: jama_martin_2025_oi_250042_1753377747.91025.pdf — p. 8, all imputed Table 2 outcomes and footnote b; REPORT complete outcome-specific model/auxiliary rows and baseline footnote: joi250042supp2_prod_1753377747.93025.pdf — p. 24, eTable 7, every row and footnote a; REPORT missing ICU/hospital duration handling: joi250042supp2_prod_1753377747.93025.pdf — p. 24, duration rows and footnote e; PLAN amendment context: joi250042supp1_prod_1753377747.92525.pdf — p. 136, expanded missing-data description</t>
  </si>
  <si>
    <t>2025::jama.2025.9663::C004</t>
  </si>
  <si>
    <t>Hospital missing-duration censoring at one hour versus one day</t>
  </si>
  <si>
    <t>REPORT hospital effect and censoring definition: jama_martin_2025_oi_250042_1753377747.91025.pdf — p. 8, Table 2 acute-hospital stay row and footnote b; REPORT hospital missing count and outcome-specific censoring definition: joi250042supp2_prod_1753377747.93025.pdf — p. 24, eTable 7 acute-hospital duration row and footnote e</t>
  </si>
  <si>
    <t>2025::jama.2025.9663::C005</t>
  </si>
  <si>
    <t>Pilot adherence numerator and progression direction</t>
  </si>
  <si>
    <t>PLAN original SAP numerator and thresholds: joi250042supp1_prod_1753377747.92525.pdf — p. 95, Table 1 and footnote; PLAN original SAP adherence definition: joi250042supp1_prod_1753377747.92525.pdf — p. 98, §3.2.2 continuation; PLAN final SAP repeated numerator and thresholds: joi250042supp1_prod_1753377747.92525.pdf — p. 118, Table 1 and footnote; PLAN final protocol adherence definition: joi250042supp1_prod_1753377747.92525.pdf — p. 69, Table 2 adherence footnote; PLAN decision consequences: joi250042supp1_prod_1753377747.92525.pdf — p. 70, §4.2.1, joi250042supp1_prod_1753377747.92525.pdf — p. 96, original SAP pilot continuation, and joi250042supp1_prod_1753377747.92525.pdf — p. 119, final SAP pilot continuation</t>
  </si>
  <si>
    <t>Field name</t>
  </si>
  <si>
    <t>Option / value</t>
  </si>
  <si>
    <t>Requirement / scope</t>
  </si>
  <si>
    <t>Explanation and example</t>
  </si>
  <si>
    <t>Internal key</t>
  </si>
  <si>
    <t>Working method</t>
  </si>
  <si>
    <t>GUIDE</t>
  </si>
  <si>
    <t>Independent primary</t>
  </si>
  <si>
    <t>Blank means no answer, never inherited. Clear obsolete literal answers after branch changes. not_applicable means inactive.</t>
  </si>
  <si>
    <t>Required judgments</t>
  </si>
  <si>
    <t>Retain only</t>
  </si>
  <si>
    <t>statistical_results: issue + substantiveness; report_internal_inconsistency or plan_material: internalStatus. protocol_report: no extra required judgment; interpretation is optional.</t>
  </si>
  <si>
    <t>How to read this Codebook</t>
  </si>
  <si>
    <t>1  |  Common decisions and optional notes</t>
  </si>
  <si>
    <t>FIELD</t>
  </si>
  <si>
    <t>Required; all domains</t>
  </si>
  <si>
    <t>Keep, exclude, or defer for discussion. Blank means untouched, not discuss. No AI disposition is preselected.</t>
  </si>
  <si>
    <t>disposition</t>
  </si>
  <si>
    <t>retain</t>
  </si>
  <si>
    <t>Option</t>
  </si>
  <si>
    <t>Retain candidate. After human review, keep this finding in the applicable review results; retaining a protocol discrepancy does not automatically confirm an issue.</t>
  </si>
  <si>
    <t>exclude</t>
  </si>
  <si>
    <t>Do not retain. The candidate has been assessed and should not remain as a finding, for example because the apparent mismatch has a satisfactory explanation.</t>
  </si>
  <si>
    <t>discuss</t>
  </si>
  <si>
    <t>Needs discussion. The reviewer has considered the candidate but cannot settle the disposition without further discussion. This is a decision to defer, not an untouched blank.</t>
  </si>
  <si>
    <t>Review domain</t>
  </si>
  <si>
    <t>Choose the assessment branch first. It controls automatic not_applicable defaults and which judgments are required. All four choices are available; the frozen document relationship code does not change.</t>
  </si>
  <si>
    <t>domain</t>
  </si>
  <si>
    <t>Statistical results (S_C / S_W). Assess reported numbers, estimates, intervals, denominators or statistical claims in the current report materials.</t>
  </si>
  <si>
    <t>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or numerical reporting issue.</t>
  </si>
  <si>
    <t>Protocol-report (P_R). Assess whether planned and reported conduct or analyses meaningfully differ, using the compared materials. No search for acknowledgment or reasons for changes is required.</t>
  </si>
  <si>
    <t>Plan material (P_P). Assess an inconsistency involving planning materials themselves rather than a planned-versus-reported result. The original relationship code remains unchanged.</t>
  </si>
  <si>
    <t>Use no while drafting; primary_done after manual review. Reset to no before editing a completed row, review again, then mark primary_done.</t>
  </si>
  <si>
    <t>reviewComplete</t>
  </si>
  <si>
    <t>Draft. This review stage is not yet confirmed complete; AI suggestions or partially filled fields do not count as completed human review.</t>
  </si>
  <si>
    <t>Calculated</t>
  </si>
  <si>
    <t>PRIMARY READY means valid independent primary entry and manual completion, including discuss. Other hints identify missing or invalid input. This does not establish scientific accuracy.</t>
  </si>
  <si>
    <t>readiness</t>
  </si>
  <si>
    <t>Optional</t>
  </si>
  <si>
    <t>Optional English context. Clearing removes the text; no inheritance and no control words.</t>
  </si>
  <si>
    <t>notes</t>
  </si>
  <si>
    <t>2  |  Statistical results: two required judgments</t>
  </si>
  <si>
    <t>Required; retained statistical_results</t>
  </si>
  <si>
    <t>Does a statistical or numerical reporting issue exist? Example: a reported percentage conflicts with its stated numerator and denominator after checking definitions. Certainty is separate from importance.</t>
  </si>
  <si>
    <t>statisticalIssueStatus</t>
  </si>
  <si>
    <t>confirmed_issue</t>
  </si>
  <si>
    <t>Confirmed statistical or numerical reporting issue. The available evidence establishes a reporting issue or contradiction, even if the correct replacement value is not known.</t>
  </si>
  <si>
    <t>probable_issue</t>
  </si>
  <si>
    <t>Probable statistical or numerical reporting issue. The evidence favors a reporting issue, but an unresolved limitation or plausible alternative prevents confirmation.</t>
  </si>
  <si>
    <t>not_issue</t>
  </si>
  <si>
    <t>Not a statistical or numerical issue. The apparent discrepancy is consistent with a valid calculation, definition, analysis method or reporting context.</t>
  </si>
  <si>
    <t>indeterminate</t>
  </si>
  <si>
    <t>Indeterminate. The available evidence does not support deciding whether a statistical or numerical reporting issue exists; neither confirmation nor dismissal is justified.</t>
  </si>
  <si>
    <t>not_applicable</t>
  </si>
  <si>
    <t>Automatic default outside this field's review domain or for a non-retained candidate. It is not an issue verdict, missing evidence, or an unanswered applicable question. Do not choose it for an applicable field.</t>
  </si>
  <si>
    <t>Could the issue meaningfully affect interpretation or data use? A harmless spacing typo is minor_presentation; an ambiguous extractable effect estimate may be substantive. An issue can be confirmed yet minor.</t>
  </si>
  <si>
    <t>substantiveStatus</t>
  </si>
  <si>
    <t>substantive</t>
  </si>
  <si>
    <t>Substantive. The issue could meaningfully change interpretation, data extraction or downstream analysis, rather than only the presentation of the result.</t>
  </si>
  <si>
    <t>minor_presentation</t>
  </si>
  <si>
    <t>Minor or presentation only. The intended result remains clear and the issue is a small formatting, labeling or typographic problem without a meaningful change in interpretation.</t>
  </si>
  <si>
    <t>Indeterminate. There is not enough information to decide whether the issue is substantive or limited to presentation.</t>
  </si>
  <si>
    <t>Optional; retained statistical_results</t>
  </si>
  <si>
    <t>Add only useful information about later extraction or analysis. direct means the affected value itself may be extracted, not that harm has occurred. Blank is allowed and means not assessed; it is not unlikely or not_applicable. This field does not determine temporal eligibility.</t>
  </si>
  <si>
    <t>downstreamImpact</t>
  </si>
  <si>
    <t>direct</t>
  </si>
  <si>
    <t>Direct extraction or analysis impact. The affected value or definition is itself an input to data extraction or subsequent analysis; this describes potential impact, not proven downstream harm.</t>
  </si>
  <si>
    <t>possible</t>
  </si>
  <si>
    <t>Possible downstream impact. A plausible route to affecting later interpretation, extraction or analysis exists, but the connection is indirect or uncertain.</t>
  </si>
  <si>
    <t>unlikely</t>
  </si>
  <si>
    <t>Unlikely downstream impact. The issue is unlikely to change extracted information or later analysis because the relevant result remains clear and usable.</t>
  </si>
  <si>
    <t>unknown</t>
  </si>
  <si>
    <t>Unable to assess. The materials do not establish enough about the affected information or its likely use to judge downstream impact.</t>
  </si>
  <si>
    <t>3  |  Report internal or planning-material inconsistency</t>
  </si>
  <si>
    <t>Required; retained report_internal_inconsistency or plan_material</t>
  </si>
  <si>
    <t>Judge whether the compared materials are inconsistent and how much that matters. For report_internal_inconsistency, compare content within the main paper, within the updated supplement, or between those two report materials. For plan_material, compare planning materials such as protocol versus protocol or SAP. Plan versus final report belongs to protocol_report. Use statistical_results when specifically judging a statistical or numerical reporting issue.</t>
  </si>
  <si>
    <t>internalStatus</t>
  </si>
  <si>
    <t>substantive_inconsistency</t>
  </si>
  <si>
    <t>Substantive inconsistency. Conflicting statements, values, labels, or descriptions in the compared report or planning materials could materially change how the study, population, procedures or results are understood.</t>
  </si>
  <si>
    <t>Minor presentation inconsistency. A real discrepancy exists, but it mainly affects presentation, including minor wording or labeling problems, and the intended meaning remains clear. Example: an imprecise label whose intended meaning is clear from context.</t>
  </si>
  <si>
    <t>non_inconsistency</t>
  </si>
  <si>
    <t>Not an inconsistency. The statements are compatible once their definitions, populations, time points or other context are taken into account. This includes different wording with the same substantive meaning. Example: participants and study participants refer to the same group.</t>
  </si>
  <si>
    <t>Indeterminate. The available material is insufficient to establish whether the statements conflict or how important any conflict is.</t>
  </si>
  <si>
    <t>4  |  Protocol versus report: optional description only</t>
  </si>
  <si>
    <t>Optional; retained protocol_report</t>
  </si>
  <si>
    <t>Describe the compared plan and report only when useful: meaningful difference, minor presentation issue, version/timing ambiguity, no inconsistency, or indeterminate. Use minor_presentation for a small wording problem and non_inconsistency for equivalent wording with no actual conflict. Use the available comparison evidence; no additional search for change records or reasons is required. Blank is allowed and never blocks completion. Retained protocol differences are descriptive and excluded from temporal analysis.</t>
  </si>
  <si>
    <t>protocolInterpretation</t>
  </si>
  <si>
    <t>substantive_difference</t>
  </si>
  <si>
    <t>Substantive difference. The compared plan and report meaningfully differ in an outcome, population, procedure, or analysis. This describes the difference; it does not establish an issue or an unjustified change. Example: the planned primary time point is 12 months but the report uses 6 months.</t>
  </si>
  <si>
    <t>Minor presentation difference. A minor wording, labeling or presentation problem exists, but the intended planned and reported meaning or conduct remains clear. Example: an imprecise outcome label clarified by the same definition in both documents.</t>
  </si>
  <si>
    <t>version_timing</t>
  </si>
  <si>
    <t>Version or timing ambiguity. The difference may reflect which protocol version or date is being compared; the sequence cannot be resolved from the available material.</t>
  </si>
  <si>
    <t>No inconsistency. The compared statements are compatible after checking the population, definitions, time points, or context, including equivalent wording with no change in meaning or conduct. Example: week 12 and 12 weeks after baseline describe the same time point. Normally consider Disposition=exclude for this candidate.</t>
  </si>
  <si>
    <t>Indeterminate. The available evidence cannot support a more specific interpretation of the planned-versus-reported difference.</t>
  </si>
  <si>
    <t>5  |  Candidate context</t>
  </si>
  <si>
    <t>Reference</t>
  </si>
  <si>
    <t>Unique candidate identity used for matching, even after complete rows are reordered. Never edit this value.</t>
  </si>
  <si>
    <t>key</t>
  </si>
  <si>
    <t>Short candidate title. A candidate is an AI flag for human assessment, not a confirmed issue.</t>
  </si>
  <si>
    <t>title</t>
  </si>
  <si>
    <t>Source reference</t>
  </si>
  <si>
    <t>Where to check the source claim. Open the original documents named here (file and PDF page).</t>
  </si>
  <si>
    <t>locations</t>
  </si>
  <si>
    <t>primary_done</t>
  </si>
  <si>
    <t>R_BT</t>
    <phoneticPr fontId="5" type="noConversion"/>
  </si>
  <si>
    <t>BulunTe</t>
    <phoneticPr fontId="5" type="noConversion"/>
  </si>
  <si>
    <t>Review1</t>
    <phoneticPr fontId="5" type="noConversion"/>
  </si>
  <si>
    <t>The abstract's no-significant-difference quality-of-life summary and the body's unqualified no-difference statement do not reconcile with the cited day-7 EQ-5D index P=.02 when read as covering the displayed day-specific contrasts.</t>
    <phoneticPr fontId="5" type="noConversion"/>
  </si>
  <si>
    <t>The supplied plan specifies a UK hospital-stay difference analysis, while the complete supplied REPORT material presents geometric-mean ratios without the planned additive difference estimate and interval.</t>
    <phoneticPr fontId="5" type="noConversion"/>
  </si>
  <si>
    <t>Although 'or were not expected to survive beyond 30 days' criteria is not presented in protocol, yet authors have confirmed the limitation in dicusttion 'This may reflect that this study did not include patients unlikely to survive 30 days after the procedure (eg, ASA class 5).'</t>
    <phoneticPr fontId="5" type="noConversion"/>
  </si>
  <si>
    <t>At the same model level, an unstructured covariance allows variances and between-time-point covariances to be freely estimated, whereas an independent structure constrains the between-time-point covariances to zero. This distinction may affect standard errors, confidence intervals, and tests, although the reported text alone does not establish its numerical impact.</t>
    <phoneticPr fontId="5" type="noConversion"/>
  </si>
  <si>
    <t>SAP §9.6 p.26 lists participant as a fixed effect together with treatment group and baseline score; read literally, these are aliased with participant indicators. The repeated-measures/unstructured-covariance wording makes the intended model clear, so I treat it as a wording slip in the plan.</t>
    <phoneticPr fontId="5" type="noConversion"/>
  </si>
  <si>
    <t>RSA C v3.0 (Supp1 p.112) and v6.0 (p.184) list change in muscle strength (HHD and grip) as a secondary efficacy endpoint; R-SAP v1.0/v3.0 (Supp2 pp.76-78, 109-112) and the report (main p.3; Supp3 pp.5-6) treat HHD as exploratory. Outcome-status change; report follows the SAP.</t>
    <phoneticPr fontId="5" type="noConversion"/>
  </si>
  <si>
    <t>The main article describes plasma NfL analysis as prespecified, whereas Supplement 3 states that it was added post hoc following an assay substitution, "The plasma analysis was pre-specified in Clene Nanomedicine’s Pharmacodynamic SAP originally as UCH-L1 alone, but due to non-availability of the UCH-L1 assay the Neurology 4 Plex-A (including NfL) was analyzed, thus it is considered post-hoc for the purposes of this manuscript"</t>
    <phoneticPr fontId="5" type="noConversion"/>
  </si>
  <si>
    <t>Several named planned primary/key-secondary sensitivity, supportive, missingness, follow-up and subgroup analyses have no identifiable quantitative output in the supplied report package.</t>
    <phoneticPr fontId="5" type="noConversion"/>
  </si>
  <si>
    <t>The latest supplied SAP specifies adjusted primary CAFS rank inference, whereas the report names Wilcoxon rank-sum for its CAFS result, "Revision of Section 6.5.2 CAFS to clarify that the primary CAFS analysis is specified in the ALS Master Protocol Recommended Statistical Analysis, Design and Simulation Report and is an adjusted analysis, to provide code for an adjusted analysis…" in supplement file 2.</t>
    <phoneticPr fontId="5" type="noConversion"/>
  </si>
  <si>
    <t>Survival methods list five adjustment covariates while the result-table footnote lists the same five plus sex. Inconsistency exists inside main paper, "Rates of death or death-equivalent events (PAV, defined as use of ventilation for &gt;22 hours per day for more than 7 consecutive days) were analyzed using a Cox proportional hazards model, with covariates of prebaseline ALSFRS-R slope, months since symptom onset, riluzole and edaravone use at baseline, and age at baseline." v.s. "Models adjusted for age, sex, time since symptom onset, prebaseline ALSFRS-R slope, riluzole use at baseline, and edaravone use at baseline." in the footnote b of table2.</t>
    <phoneticPr fontId="5" type="noConversion"/>
  </si>
  <si>
    <t>Missing the result of log-rank tests, which is mentioned in SAP(supp2) as follow "  In the presence of a significant different by the logrank test, inference on whether active treatment extended survival will be based on the hazard ratio estimated from an unadjusted Cox proportional hazards regression.   "</t>
    <phoneticPr fontId="5" type="noConversion"/>
  </si>
  <si>
    <t>The article (0.007/0.006) and results supplement (0.010/0.009) give different monthly mortality-component estimates for the matched Bayesian primary model.</t>
    <phoneticPr fontId="5" type="noConversion"/>
  </si>
  <si>
    <t>The same SVC values are described as 24-week changes and as monthly rates, leaving their quantity and time scale unclear.</t>
    <phoneticPr fontId="5" type="noConversion"/>
  </si>
  <si>
    <t>Main p.4 says '4 of the 41 participants in the regimen placebo group and 2 in the shared placebo group were excluded' for no follow-up time, but Table 2 (p.7) uses 4/41 as regimen-placebo events and only 2 shared-placebo exclusions (164-2=162). The sentence misattributes the 4 events as exclusions.</t>
    <phoneticPr fontId="5" type="noConversion"/>
  </si>
  <si>
    <t>Reported prespecified subgroup partitions differ from the supplied prospective delta-FRS and weight definitions.</t>
    <phoneticPr fontId="5" type="noConversion"/>
  </si>
  <si>
    <t>The protocol's week-24 six-point decline proportion differs from the SAP's first-event decline/death composite.  If a patient died before a 6-point score decrease was documented, the composite endpoint would have occurred  according to the SAP; however, the aforementioned clause in the protocol does not specify how to handle such a   scenario. Therefore, the two definitions cannot be directly considered equivalent, though the SAP may be formally refining the original protocol.</t>
    <phoneticPr fontId="5" type="noConversion"/>
  </si>
  <si>
    <t>Three NfL table (eTable3) rows give printed confidence-interval and P-value significance readings that do not agree. Maybe caused by rounding issue,</t>
    <phoneticPr fontId="5" type="noConversion"/>
  </si>
  <si>
    <t>Clarification is needed regarding whether the changes in serum NfL, between-group differences, and confidence intervals are on the log scale or the back-transformed percentage scale. The current values suggest that the scales may have been mixed, but they are insufficient to determine the underlying derivation process.</t>
    <phoneticPr fontId="5" type="noConversion"/>
  </si>
  <si>
    <t>The supplied primary-design simulation prose describes decreasing estimated DRR where its table shows an increasing DRR sequence.</t>
    <phoneticPr fontId="5" type="noConversion"/>
  </si>
  <si>
    <t>A visible dash before a wrapped decimal permits a signed CAFS probability reading that conflicts with the positive matched-control figure. But since probability could not be negative, this is not an issue.</t>
    <phoneticPr fontId="5" type="noConversion"/>
  </si>
  <si>
    <t>For below-quantitation serum NfL values, the SAP specifies LOQ replacement while the results supplement specifies assay LOD replacement (imputation), which might affect results substantilly, since the author said "This result suggests that the magnitude but not directionality of the analysis of serum NfL was sensitive to the effect of an outlier." in the "Biomarker Analyses"</t>
    <phoneticPr fontId="5" type="noConversion"/>
  </si>
  <si>
    <r>
      <t>Candidate reporting issue: The planned 45–60-minute online session range differs from the reported 30–45-minute range, leaving the extractable session-duration convention unresolved.</t>
    </r>
    <r>
      <rPr>
        <sz val="11"/>
        <color rgb="FF173F57"/>
        <rFont val="等线"/>
        <family val="2"/>
        <charset val="134"/>
      </rPr>
      <t xml:space="preserve"> However, page 4 of the main text states that "The intention-to-treat principle was used for all analyses"; the primary model estimates efficacy according to randomized groups, and course minutes are not included among the listed model variables. This discrepancy in description does not in itself alter the extracted RR, confidence intervals, or sample size, nor is it sufficient to infer a change in statistical significance.</t>
    </r>
    <phoneticPr fontId="5" type="noConversion"/>
  </si>
  <si>
    <t xml:space="preserve"> The printed randomized painTRAINER adherence count of 371 (43%) does not reconcile with the randomized denominator of 776.</t>
    <phoneticPr fontId="5" type="noConversion"/>
  </si>
  <si>
    <t>C003 concerns the standardized mean differences (SMDs) in Table 3: multiple values cannot be reconciled using the methods stated in the paper, and some even have signs opposite to those of the corresponding mean differences. This   may directly affect downstream meta-analyses that utilize these SMDs; however, at present, it cannot be concluded on this basis that the primary efficacy findings have changed.</t>
    <phoneticPr fontId="5" type="noConversion"/>
  </si>
  <si>
    <t>C004 pertains to three integer NNT values that do not strictly correspond to the direct reciprocals of the
  percentages reported in the table. However,rounding up, combined with unshown decimal places, can account for these three values.</t>
    <phoneticPr fontId="5" type="noConversion"/>
  </si>
  <si>
    <t>Age was actually included in the analytical model and was referred to in the supplementary materials as a "prespecified baseline adjustment variable"; however, age was not listed in the study protocol, the SAP's primary analysis adjustment list, or the main text.</t>
    <phoneticPr fontId="5" type="noConversion"/>
  </si>
  <si>
    <t>The report explicitly adds the baseline value of each secondary outcome to adjustment, while the plans’ explicit secondary lists name baseline pain severity and stratification variables.</t>
    <phoneticPr fontId="5" type="noConversion"/>
  </si>
  <si>
    <t>The characterization of the hierarchy between "primary analysis / sensitivity analysis" is not fully consistent between the SAP and the published report. Upon re-examination, the use of imputation and weighting in the primary analysis has an explicit basis in the SAP revisions, and it cannot be concluded that it deviated from the plan solely based on the retained MAR statement.</t>
    <phoneticPr fontId="5" type="noConversion"/>
  </si>
  <si>
    <t>In the supplementary materials, the overall P-values for physical function at 6 and 12 months cannot be reconciled with the between-group differences and 95% confidence intervals in the same row under conventional Wald test reconstruction. Currently, there is no evidence to suggest that this would overturn the paper's primary conclusions; its impact on downstream analyses depends on whether these two P-values are utilized.</t>
    <phoneticPr fontId="5" type="noConversion"/>
  </si>
  <si>
    <t>C017 concerns the proportion of depression in the supplementary workbook: for the same group, it reports 711 individuals, a total of 1,568, and 2 missing, yet the percentage is labeled as 73.2%. Calculating according to the explicit denominator rule within the table yields approximately 45.4%. This substantially impacts the interpretation of this group's baseline characteristics and differences in loss to follow-up.</t>
    <phoneticPr fontId="5" type="noConversion"/>
  </si>
  <si>
    <t>The explanation of interval construction is insufficient, making it impossible to reconcile the interpretation of the certainty of benefit for the same comparison.</t>
    <phoneticPr fontId="5" type="noConversion"/>
  </si>
  <si>
    <t>The explanatory text refers to them as "means," whereas the table title and column headers label them as "medians and quartiles." Consequently, the statistical interpretation of the group values and the parenthetical ranges reported in the table remains ambiguous.</t>
    <phoneticPr fontId="5" type="noConversion"/>
  </si>
  <si>
    <r>
      <t>The table reports the same NNT as "63 (95% CI, 18–38)," yet the point estimate of 63 falls outside the interval</t>
    </r>
    <r>
      <rPr>
        <sz val="11"/>
        <color rgb="FF173F57"/>
        <rFont val="等线"/>
        <family val="2"/>
        <charset val="134"/>
      </rPr>
      <t xml:space="preserve"> </t>
    </r>
    <r>
      <rPr>
        <sz val="11"/>
        <color rgb="FF173F57"/>
        <rFont val="Calibri"/>
        <family val="2"/>
      </rPr>
      <t>of 18–38.</t>
    </r>
    <phoneticPr fontId="5" type="noConversion"/>
  </si>
  <si>
    <t>C015 pertains to the ambiguous sample size definition in supplementary table eTable 8: the first group header labels the participant counts across the three groups as counts "at 3 months," totaling 454, yet it also states that only 366 participants completed at least one follow-up visit. If the former represents participants who actually completed the 3-month follow-up, the two figures cannot be reconciled; if it denotes the randomized sample size, the discrepancy can be explained.</t>
    <phoneticPr fontId="5" type="noConversion"/>
  </si>
  <si>
    <t>C010 pertains to multiple instances in Table 3 where SMD point estimates fall outside their corresponding 95% confidence intervals. A total of 14 instances were verified; among them, 9 instances remain irreconcilable even after accounting for reporting precision, while the remaining 5 differ by only 0.01.</t>
    <phoneticPr fontId="5" type="noConversion"/>
  </si>
  <si>
    <t>C014 concerns the correspondence between the 95% confidence intervals and P-values across 10 rows in the supplementary materials. In 7 of these rows, the intervals clearly exclude zero yet report P &gt; 0.05, which warrants clarification; in the remaining 3 rows, an interval endpoint is printed exactly as 1, which can likely be explained  simply by rounding</t>
    <phoneticPr fontId="5" type="noConversion"/>
  </si>
  <si>
    <t xml:space="preserve"> The restricted-primary subset analysis attribution and its explicit adjustment footnote differ on education and employment membership from the full selected primary mode</t>
    <phoneticPr fontId="5" type="noConversion"/>
  </si>
  <si>
    <t>The report describes seven differently oriented PROMIS-29 domains but reports one scalar mean and adjusted effect without identifying its aggregation, transformation or direction.</t>
    <phoneticPr fontId="5" type="noConversion"/>
  </si>
  <si>
    <t>In Table 2, the sums of the category counts exceed their corresponding totals in two instances.</t>
    <phoneticPr fontId="5" type="noConversion"/>
  </si>
  <si>
    <t>Protocol §11.4.1-11.4.2 (p.86) and §11.5 (p.87): primary analysis in the FAS of all randomized, missing data by multiple imputation. SAP (p.4 footnote 1; §4.3) and report (main p.4; Supp3 pp.12-13) exclude the 28 participants who died before 3 months from the primary analysis (n=582 of 610); death-inclusive analyses (estimands 3, 4; post hoc estimand 10) are supportive. Report calls the protocol-SAP differences 'terminology' (main p.5).</t>
    <phoneticPr fontId="5" type="noConversion"/>
  </si>
  <si>
    <t>Every supplied protocol version specifies a mixed model with a random center intercept (synopses pp.10, 56; §11.4.2 pp.39, 86), and the final version adds stroke type as a fixed effect. SAP §5.2 (p.10), main p.4 and the code (Supp5, OCR: lm(fma_affected.Visit_3 ~ fma_affected.Visit_1.cent + medication)) fit baseline FMA and treatment only. Randomization was minimized within center (main p.3), but center is not in the analysis model.</t>
    <phoneticPr fontId="5" type="noConversion"/>
  </si>
  <si>
    <t>Not found in any report document (main article; Supp3 index of 9 eTables and 7 eFigures; Supp4 is the investigator list): SAP §7 center and treatment-by-center interaction model, SAP §7.2 seven prespecified subgroup interactions with forest plot (ICEMAN addendum pp.14-15), protocol §11.4.3(b) treatment x stroke type and (c) added-covariable analyses. Planned analyses reported as 'post hoc': center plot (eFigure 5) and the protocol per-protocol set (estimand 11). Main p.5 says prespecified analyses were performed as outlined in the SAP.</t>
    <phoneticPr fontId="5" type="noConversion"/>
  </si>
  <si>
    <t>SAP §6 (p.11): missing secondary outcomes imputed as for the primary analysis (100 MICE imputations); only harm outcomes not imputed. Report (main p.5; Supp3 p.7 deviations) did not impute mRS (deaths set to 6; analysis n=596) or the patient-reported relevance item (PRAI; n=546). Disclosed as SAP deviations in Supp3 p.7.</t>
    <phoneticPr fontId="5" type="noConversion"/>
  </si>
  <si>
    <t xml:space="preserve"> Continuity-corrected two-proportion power (R) reproduces the other cells within about 2 points (e.g., 41.8/20.5/52.1 vs 41/20/52 in the same row) but gives 28.6% for this cell. Subgroup power is low either way.</t>
    <phoneticPr fontId="5" type="noConversion"/>
  </si>
  <si>
    <t>The criteria for moderate hyperglycemia were not fully consistent across the article, operations manual, and Statistical Analysis Plan (SAP). Although the available evidence confirms discrepancies in the written definitions, it remains unclear how many participants were affected by differential classification and to what extent the reported risk ratio would consequently change.</t>
  </si>
  <si>
    <t>C002 relates to the analysis of BPD (bronchopulmonary dysplasia) severity. Although the prespecified analysis was ordinal, the article presents category-specific ORs for each BPD severity level relative to “no BPD.” Because these analyses address different statistical estimands, the relationship between the reported results and the prespecified analysis remains unclear from the available materials.</t>
  </si>
  <si>
    <t>C003 indicates that, although the primary outcome of “BPD or death” was reported, several explicitly prespecified supplementary analyses were not found in the provided article or supplementary results. Moreover, some subgroup analyses used alternative definitions of the outcome and gestational-age groupings.</t>
  </si>
  <si>
    <t>Protocol Table 2 (Supp1 p.12; OCR and rendered) prints historical-cohort Grade 3 BPD as 20% (31/294); 31/294=10.5%, and 91 (grade 3 or death) - 31 (death) = 60, 60/294=20.4%, categories then sum to 294. A real typo (31 copied from the death row), but it is background data from a prior cohort, not a design element of this trial.</t>
  </si>
  <si>
    <t>GDB MOP Appendix J Table 1 (Supp2 p.152, OCR) gives factor 4 at 0.125 LPM/2.5 kg; 100 x flow/weight = 5. The same row's 4-kg cell (3.125 -&gt; printed 4) is also off by one. Effect on effective FiO2 is 24% vs 25% at 100% O2 (Table 2, p.154), below the 27%/30% decision thresholds, so physiologic BPD classification is unaffected.</t>
  </si>
  <si>
    <t>C006 identifies a discrepancy in the stated confidence-interval method. Although the supplementary materials describe several low-event-count results as using exact 95% confidence intervals, the reported intervals are reproducible as log-Wald approximate intervals.</t>
  </si>
  <si>
    <t>Compared with the original protocol, the primary composite endpoint reported in the paper incorporated an additional HbA1c failure criterion. Participants were classified as not having achieved the primary endpoint if their HbA1c was ≥6.5% at either the 6- or 12-month assessment, regardless of whether they had met the prespecified weight-loss or physical-activity target.</t>
  </si>
  <si>
    <t>eTable 16 (Supp2 p.59) MI-pooled risks 32.2% (AI) vs 31.9% (human) imply RD +0.3 points, but RD is printed -1.1 (one-sided bound -11.5). With Rubin's rules and the unadjusted RD model, pooled RD equals the difference of pooled risks.</t>
  </si>
  <si>
    <t>Protocol (Supp1 pp.6, 15; OCR) averages PA over months 6-11 for the weight-plus-PA branch; Supp2 p.13 averages weekly MVPA over all post-baseline visits (max 11; eTable 8b months 1-11). Amendment v1.4 (03-28-2022; Supp1 p.80) says the PA time frame was 'clarified' but the revised window is not printed, so whether the report follows the amended window cannot be determined.</t>
  </si>
  <si>
    <t>eTable 6 footnote (Supp2 p.45) gives site P=.024 and ethnicity P=.018; from the printed counts (p.44) site gives P=.063 (chi-square), .082 (Yates), .070 (Fisher); ethnicity .064 (chi-square, 4 categories), .055 (Fisher), .035-.044 (2 categories). Neither printed P reproduces.</t>
  </si>
  <si>
    <t>Restriction of the HbA1c-reduction branch to baseline HbA1c 5.7-6.4% was made by dated protocol amendment v1.4 (03-28-2022; Supp1 pp.80-81, OCR), and the report (main p.3; Figure 2 footnote c, 130/130) follows the amended protocol. No difference between the report and the operative plan.</t>
  </si>
  <si>
    <t>eTable 1b (Supp2 p.37): versions 11.100.131 and 122.100.407 each show 5 (5%) of the 183 AI participants; 5/183=2.7%. The other seven rows reproduce with N=183 (e.g., 58/183=31.7%-&gt;32; 109/183=59.6%-&gt;60).</t>
  </si>
  <si>
    <t>The primary analysis was changed from the original protocol’s approach of excluding participants who withdrew or lacked 12-month data to an approach that included all randomized participants and classified those with missing 12-month outcome data as not having achieved the primary endpoint. This change affected both the analysis population and the method for handling missing outcome data. The participant counts reported in the paper are internally consistent.</t>
  </si>
  <si>
    <t>Supp2 p.13: weekly MVPA from valid wear periods is summed and divided by the number of available periods (max 11); non-compliant weeks/months get 0 (pp.13, 30, 49). Summing valid periods (zeros add nothing) over all available periods is exactly zero-imputation, so the descriptions are compatible.</t>
  </si>
  <si>
    <t>Protocol §9.4.7-9.4.8 (Supp1 p.38; OCR) analyzes the primary and component end points with (mixed-effects) logistic regression; report uses unadjusted binomial regression for the risk difference (main p.4). Disclosed in the SAP change table (Supp1 p.86); cluster-robust SEs added post hoc (eTables 19a-b).</t>
  </si>
  <si>
    <t>Supp2 p.13 says missing data within valid days were interpolated and that the printed R code was used; in both loops (pp.15-16) ac_imp is computed but activity_stats() and BoutsOfPA() receive the raw vector ac, and the three BoutsOfPA calls are identical (no threshold argument), so threshold-specific bout outputs cannot differ. Since the missing rate is unkown, the potential impact and substantiveness is hard to determine.</t>
  </si>
  <si>
    <t>Protocol §9.4.2/9.4.8 (Supp1 pp.38-39; OCR) plans multiple imputation for PA if &gt;5% missing, with a complete-case sensitivity analysis; report assigns 0 min/week to non-wear periods (worst case; Supp2 pp.13, 30, 49) with best-case sensitivity analyses. Disclosed in the SAP change table (Supp1 p.86).</t>
  </si>
  <si>
    <t>Protocol §5.5.1/Table 1 (Supp1 p.18; OCR) recruitment-pool figures are inconsistent (21,410 vs 21,346 eligible; 13,910/21,346=65.2% printed 56%; 4,892/8,751=55.9% printed 60%), but these are feasibility estimates of portal access, not a design element the analysis relies on.</t>
  </si>
  <si>
    <t>Under the original protocol, the per-protocol analysis was to be conducted in participants who completed the intervention program. In the report, however, the analysis population was redefined as participants with complete 12-month outcome data who had not initiated prohibited medications. The protocol-defined and report-defined populations therefore differed in both their inclusion criteria and sample sizes.</t>
  </si>
  <si>
    <t>It is unclear from the descriptions provided in different sections of the paper whether the Fine–Gray model that yielded the primary endpoint estimate of sHR = 1.02 (95% CI, 0.74–1.39) included study center as a covariate.</t>
  </si>
  <si>
    <t>SAP §3.6 (Supp2 pp.7-9, OCR) and protocol statistical sections plan etiology-adjusted Cox, general linear and Poisson models (with log-rank/Wilcoxon tests) for mortality, ECMO/ventilation/organ failure-free days, ICU/hospital stay and SAE counts; the report gives unadjusted differences with bootstrap CIs and crude RRs (Table 2 footnotes b-c), and no adjusted secondary output.</t>
  </si>
  <si>
    <t>C002 concerns the SOFA component threshold used to define “organ failure/free days.” The SAP specified organ failure as a score &gt;2 in at least one SOFA component, whereas the main article required every component score to be 0 or 1 for a day to qualify as free of organ failure. These definitions differ in how they classify days on which a component score is exactly 2.</t>
  </si>
  <si>
    <t>The protocol specified a post–cardiac arrest subgroup; however, the paper described a broader “Other” subgroup as predefined or prespecified and reported results for that subgroup. No separate results for the post–cardiac arrest subgroup were identified in the materials provided.</t>
  </si>
  <si>
    <t>Protocol (Supp1 pp.14-15 and repeats) and SAP §2.2/§3.6 (Supp2 pp.4, 7-8) plan ECMO-free and ventilation-free days at D30 and D60; main p.3 lists both windows as predefined, but only day-30 values are reported (Table 2 p.6; eTable 3 Supp3 p.5). Searched main and Supp3 for D60 free-day outputs: none. A narrative summary was provided (main paper page 7), but Day 60 (D60) free-day outcomes were not reported in a form that allowed them to be separately identified, extracted, and verified.</t>
  </si>
  <si>
    <t>SAP §2.2/§3.6 (Supp2 pp.4, 7; OCR) define MACE without dialysis; the protocol (Supp1 pp.8, 14-15, all versions) and the report (main p.3; eTable 3 component rows, Supp3 p.5) include dialysis. The report is itself inconsistent: eFigure 4 title (Supp3 p.1/p.10) defines MACE without dialysis.</t>
  </si>
  <si>
    <t>SAP §3.6 (Supp2 p.8, OCR) analyzes left ventricular function at day 30 with a Global Net Benefit hierarchical composite (death, heart transplant, LVEF &gt;30%) with bootstrap CI; the report gives only median LVEF among survivors, 45 vs 40%, difference 5 (-0 to 10) (eTable 3, Supp3 p.5). Protocol lists LVEF at day 30 without the composite.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</si>
</sst>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sz val="11"/>
      <color rgb="FF173F57"/>
      <name val="Calibri"/>
      <family val="2"/>
    </font>
    <font>
      <b/>
      <sz val="11"/>
      <color rgb="FFFFFFFF"/>
      <name val="Calibri"/>
      <family val="2"/>
    </font>
    <font>
      <sz val="11"/>
      <color rgb="FF173F57"/>
      <name val="Calibri"/>
      <family val="2"/>
    </font>
    <font>
      <b/>
      <sz val="11"/>
      <color rgb="FFFFFFFF"/>
      <name val="Calibri"/>
      <family val="2"/>
    </font>
    <font>
      <sz val="9"/>
      <name val="宋体"/>
      <family val="3"/>
      <charset val="134"/>
    </font>
    <font>
      <sz val="11"/>
      <color rgb="FF173F57"/>
      <name val="等线"/>
      <family val="2"/>
      <charset val="134"/>
    </font>
  </fonts>
  <fills count="9">
    <fill>
      <patternFill patternType="none"/>
    </fill>
    <fill>
      <patternFill patternType="gray125"/>
    </fill>
    <fill>
      <patternFill patternType="solid">
        <fgColor rgb="FF173F57"/>
      </patternFill>
    </fill>
    <fill>
      <patternFill patternType="solid">
        <fgColor rgb="FFF4F8FA"/>
      </patternFill>
    </fill>
    <fill>
      <patternFill patternType="solid">
        <fgColor rgb="FFFFF2CC"/>
      </patternFill>
    </fill>
    <fill>
      <patternFill patternType="solid">
        <fgColor rgb="FF173F57"/>
      </patternFill>
    </fill>
    <fill>
      <patternFill patternType="solid">
        <fgColor rgb="FFF4F8FA"/>
      </patternFill>
    </fill>
    <fill>
      <patternFill patternType="solid">
        <fgColor rgb="FFFFF2CC"/>
      </patternFill>
    </fill>
    <fill>
      <patternFill patternType="solid">
        <fgColor rgb="FFEAF3FC"/>
      </patternFill>
    </fill>
  </fills>
  <borders count="1">
    <border>
      <left/>
      <right/>
      <top/>
      <bottom/>
      <diagonal/>
    </border>
  </borders>
  <cellStyleXfs count="1">
    <xf numFmtId="0" fontId="0" fillId="0" borderId="0">
      <protection locked="0"/>
    </xf>
  </cellStyleXfs>
  <cellXfs count="11">
    <xf numFmtId="0" fontId="0" fillId="0" borderId="0" xfId="0">
      <protection locked="0"/>
    </xf>
    <xf numFmtId="0" fontId="1" fillId="0" borderId="0" xfId="0" applyFont="1" applyAlignment="1">
      <alignment vertical="center" wrapText="1"/>
      <protection locked="0"/>
    </xf>
    <xf numFmtId="0" fontId="2" fillId="2" borderId="0" xfId="0" applyFont="1" applyFill="1" applyAlignment="1">
      <alignment vertical="center" wrapText="1"/>
      <protection locked="0"/>
    </xf>
    <xf numFmtId="0" fontId="1" fillId="3" borderId="0" xfId="0" applyFont="1" applyFill="1" applyAlignment="1">
      <alignment vertical="center" wrapText="1"/>
      <protection locked="0"/>
    </xf>
    <xf numFmtId="0" fontId="1" fillId="4" borderId="0" xfId="0" applyFont="1" applyFill="1" applyAlignment="1">
      <alignment vertical="center" wrapText="1"/>
      <protection locked="0"/>
    </xf>
    <xf numFmtId="0" fontId="4" fillId="5" borderId="0" xfId="0" applyFont="1" applyFill="1" applyAlignment="1">
      <alignment vertical="center" wrapText="1"/>
      <protection locked="0"/>
    </xf>
    <xf numFmtId="0" fontId="3" fillId="6" borderId="0" xfId="0" applyFont="1" applyFill="1" applyAlignment="1">
      <alignment vertical="center" wrapText="1"/>
      <protection locked="0"/>
    </xf>
    <xf numFmtId="0" fontId="3" fillId="0" borderId="0" xfId="0" applyFont="1" applyAlignment="1">
      <alignment vertical="center" wrapText="1"/>
      <protection locked="0"/>
    </xf>
    <xf numFmtId="0" fontId="1" fillId="7" borderId="0" xfId="0" applyFont="1" applyFill="1" applyAlignment="1">
      <alignment vertical="center" wrapText="1"/>
      <protection locked="0"/>
    </xf>
    <xf numFmtId="0" fontId="1" fillId="8" borderId="0" xfId="0" applyFont="1" applyFill="1" applyAlignment="1">
      <alignment vertical="center" wrapText="1"/>
      <protection locked="0"/>
    </xf>
    <xf numFmtId="0" fontId="1" fillId="6" borderId="0" xfId="0" applyFont="1" applyFill="1" applyAlignment="1">
      <alignment vertical="center" wrapText="1"/>
      <protection locked="0"/>
    </xf>
  </cellXfs>
  <cellStyles count="1">
    <cellStyle name="Normal" xfId="0" builtinId="0"/>
  </cellStyles>
  <dxfs count="60">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
  <sheetViews>
    <sheetView showGridLines="0" workbookViewId="0">
      <pane xSplit="1" ySplit="1" topLeftCell="B2" activePane="bottomRight" state="frozen"/>
      <selection pane="topRight"/>
      <selection pane="bottomLeft"/>
      <selection pane="bottomRight" activeCell="B5" sqref="B5"/>
    </sheetView>
  </sheetViews>
  <sheetFormatPr defaultRowHeight="13.8"/>
  <cols>
    <col min="1" max="1" width="34" customWidth="1"/>
    <col min="2" max="2" width="65" customWidth="1"/>
  </cols>
  <sheetData>
    <row r="1" spans="1:2" ht="42" customHeight="1">
      <c r="A1" s="5" t="s">
        <v>0</v>
      </c>
      <c r="B1" s="5" t="s">
        <v>1</v>
      </c>
    </row>
    <row r="2" spans="1:2" ht="42" customHeight="1">
      <c r="A2" s="6" t="s">
        <v>2</v>
      </c>
      <c r="B2" s="8" t="s">
        <v>571</v>
      </c>
    </row>
    <row r="3" spans="1:2" ht="42" customHeight="1">
      <c r="A3" s="7" t="s">
        <v>3</v>
      </c>
      <c r="B3" s="8" t="s">
        <v>572</v>
      </c>
    </row>
    <row r="4" spans="1:2" ht="42" customHeight="1">
      <c r="A4" s="6" t="s">
        <v>4</v>
      </c>
      <c r="B4" s="10" t="s">
        <v>573</v>
      </c>
    </row>
    <row r="5" spans="1:2" ht="42" customHeight="1">
      <c r="A5" s="7" t="s">
        <v>5</v>
      </c>
      <c r="B5" s="7">
        <v>2025</v>
      </c>
    </row>
  </sheetData>
  <phoneticPr fontId="5"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9"/>
  <sheetViews>
    <sheetView showGridLines="0" workbookViewId="0">
      <pane xSplit="1" ySplit="1" topLeftCell="B2" activePane="bottomRight" state="frozen"/>
      <selection pane="topRight"/>
      <selection pane="bottomLeft"/>
      <selection pane="bottomRight"/>
    </sheetView>
  </sheetViews>
  <sheetFormatPr defaultRowHeight="13.8"/>
  <cols>
    <col min="1" max="1" width="35" customWidth="1"/>
    <col min="2" max="2" width="100" customWidth="1"/>
  </cols>
  <sheetData>
    <row r="1" spans="1:2" ht="42" customHeight="1">
      <c r="A1" s="5" t="s">
        <v>6</v>
      </c>
      <c r="B1" s="5" t="s">
        <v>7</v>
      </c>
    </row>
    <row r="2" spans="1:2" ht="55.05" customHeight="1">
      <c r="A2" s="6" t="s">
        <v>8</v>
      </c>
      <c r="B2" s="6" t="str">
        <f>Setup!B4</f>
        <v>Review1</v>
      </c>
    </row>
    <row r="3" spans="1:2" ht="55.05" customHeight="1">
      <c r="A3" s="7" t="s">
        <v>9</v>
      </c>
      <c r="B3" s="7">
        <v>133</v>
      </c>
    </row>
    <row r="4" spans="1:2" ht="55.05" customHeight="1">
      <c r="A4" s="6" t="s">
        <v>10</v>
      </c>
      <c r="B4" s="6">
        <f>COUNTIF('C_jama.2024.24764'!$G$2:$G$6,"PRIMARY READY")+COUNTIF('C_jama.2024.27643'!$G$2:$G$17,"PRIMARY READY")+COUNTIF('C_jama.2025.11178'!$G$2:$G$19,"PRIMARY READY")+COUNTIF('C_jama.2025.15185'!$G$2:$G$7,"PRIMARY READY")+COUNTIF('C_jama.2025.15440'!$G$2:$G$2,"PRIMARY READY")+COUNTIF('C_jama.2025.16450'!$G$2:$G$7,"PRIMARY READY")+COUNTIF('C_jama.2025.19563'!$G$2:$G$14,"PRIMARY READY")+COUNTIF('C_jama.2025.19843'!$G$2:$G$8,"PRIMARY READY")+COUNTIF('C_jama.2025.20765'!$G$2:$G$20,"PRIMARY READY")+COUNTIF('C_jama.2025.24175'!$G$2:$G$15,"PRIMARY READY")+COUNTIF('C_jama.2025.4390'!$G$2:$G$14,"PRIMARY READY")+COUNTIF('C_jama.2025.7583'!$G$2:$G$5,"PRIMARY READY")+COUNTIF('C_jama.2025.7710'!$G$2:$G$4,"PRIMARY READY")+COUNTIF('C_jama.2025.9110'!$G$2:$G$4,"PRIMARY READY")+COUNTIF('C_jama.2025.9663'!$G$2:$G$6,"PRIMARY READY")</f>
        <v>72</v>
      </c>
    </row>
    <row r="5" spans="1:2" ht="55.05" customHeight="1">
      <c r="A5" s="7" t="s">
        <v>11</v>
      </c>
      <c r="B5" s="7">
        <f>COUNTIF('C_jama.2024.24764'!$D$2:$D$6,"discuss")+COUNTIF('C_jama.2024.27643'!$D$2:$D$17,"discuss")+COUNTIF('C_jama.2025.11178'!$D$2:$D$19,"discuss")+COUNTIF('C_jama.2025.15185'!$D$2:$D$7,"discuss")+COUNTIF('C_jama.2025.15440'!$D$2:$D$2,"discuss")+COUNTIF('C_jama.2025.16450'!$D$2:$D$7,"discuss")+COUNTIF('C_jama.2025.19563'!$D$2:$D$14,"discuss")+COUNTIF('C_jama.2025.19843'!$D$2:$D$8,"discuss")+COUNTIF('C_jama.2025.20765'!$D$2:$D$20,"discuss")+COUNTIF('C_jama.2025.24175'!$D$2:$D$15,"discuss")+COUNTIF('C_jama.2025.4390'!$D$2:$D$14,"discuss")+COUNTIF('C_jama.2025.7583'!$D$2:$D$5,"discuss")+COUNTIF('C_jama.2025.7710'!$D$2:$D$4,"discuss")+COUNTIF('C_jama.2025.9110'!$D$2:$D$4,"discuss")+COUNTIF('C_jama.2025.9663'!$D$2:$D$6,"discuss")</f>
        <v>0</v>
      </c>
    </row>
    <row r="6" spans="1:2" ht="55.05" customHeight="1">
      <c r="A6" s="6" t="s">
        <v>12</v>
      </c>
      <c r="B6" s="6">
        <f>B3-B4</f>
        <v>61</v>
      </c>
    </row>
    <row r="7" spans="1:2" ht="55.05" customHeight="1">
      <c r="A7" s="7" t="s">
        <v>13</v>
      </c>
      <c r="B7" s="7" t="str">
        <f>IF(B4=B3,"PRIMARY READY","ACTION NEEDED")</f>
        <v>ACTION NEEDED</v>
      </c>
    </row>
    <row r="8" spans="1:2" ht="55.05" customHeight="1">
      <c r="A8" s="6" t="s">
        <v>14</v>
      </c>
      <c r="B8" s="6" t="s">
        <v>15</v>
      </c>
    </row>
    <row r="9" spans="1:2" ht="55.05" customHeight="1">
      <c r="A9" s="7" t="s">
        <v>16</v>
      </c>
      <c r="B9" s="7" t="s">
        <v>17</v>
      </c>
    </row>
  </sheetData>
  <phoneticPr fontId="5"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6"/>
  <sheetViews>
    <sheetView showGridLines="0" workbookViewId="0">
      <pane xSplit="1" ySplit="1" topLeftCell="B2" activePane="bottomRight" state="frozen"/>
      <selection pane="topRight"/>
      <selection pane="bottomLeft"/>
      <selection pane="bottomRight"/>
    </sheetView>
  </sheetViews>
  <sheetFormatPr defaultRowHeight="13.8"/>
  <cols>
    <col min="1" max="1" width="32" customWidth="1"/>
    <col min="2" max="2" width="38" customWidth="1"/>
    <col min="3" max="3" width="18" customWidth="1"/>
  </cols>
  <sheetData>
    <row r="1" spans="1:3" ht="42" customHeight="1">
      <c r="A1" s="5" t="s">
        <v>18</v>
      </c>
      <c r="B1" s="5" t="s">
        <v>19</v>
      </c>
      <c r="C1" s="5" t="s">
        <v>9</v>
      </c>
    </row>
    <row r="2" spans="1:3" ht="36" customHeight="1">
      <c r="A2" s="6" t="s">
        <v>20</v>
      </c>
      <c r="B2" s="6" t="s">
        <v>21</v>
      </c>
      <c r="C2" s="6">
        <v>5</v>
      </c>
    </row>
    <row r="3" spans="1:3" ht="36" customHeight="1">
      <c r="A3" s="7" t="s">
        <v>22</v>
      </c>
      <c r="B3" s="7" t="s">
        <v>23</v>
      </c>
      <c r="C3" s="7">
        <v>16</v>
      </c>
    </row>
    <row r="4" spans="1:3" ht="36" customHeight="1">
      <c r="A4" s="6" t="s">
        <v>24</v>
      </c>
      <c r="B4" s="6" t="s">
        <v>25</v>
      </c>
      <c r="C4" s="6">
        <v>18</v>
      </c>
    </row>
    <row r="5" spans="1:3" ht="36" customHeight="1">
      <c r="A5" s="7" t="s">
        <v>26</v>
      </c>
      <c r="B5" s="7" t="s">
        <v>27</v>
      </c>
      <c r="C5" s="7">
        <v>6</v>
      </c>
    </row>
    <row r="6" spans="1:3" ht="36" customHeight="1">
      <c r="A6" s="6" t="s">
        <v>28</v>
      </c>
      <c r="B6" s="6" t="s">
        <v>29</v>
      </c>
      <c r="C6" s="6">
        <v>1</v>
      </c>
    </row>
    <row r="7" spans="1:3" ht="36" customHeight="1">
      <c r="A7" s="7" t="s">
        <v>30</v>
      </c>
      <c r="B7" s="7" t="s">
        <v>31</v>
      </c>
      <c r="C7" s="7">
        <v>6</v>
      </c>
    </row>
    <row r="8" spans="1:3" ht="36" customHeight="1">
      <c r="A8" s="6" t="s">
        <v>32</v>
      </c>
      <c r="B8" s="6" t="s">
        <v>33</v>
      </c>
      <c r="C8" s="6">
        <v>13</v>
      </c>
    </row>
    <row r="9" spans="1:3" ht="36" customHeight="1">
      <c r="A9" s="7" t="s">
        <v>34</v>
      </c>
      <c r="B9" s="7" t="s">
        <v>35</v>
      </c>
      <c r="C9" s="7">
        <v>7</v>
      </c>
    </row>
    <row r="10" spans="1:3" ht="36" customHeight="1">
      <c r="A10" s="6" t="s">
        <v>36</v>
      </c>
      <c r="B10" s="6" t="s">
        <v>37</v>
      </c>
      <c r="C10" s="6">
        <v>19</v>
      </c>
    </row>
    <row r="11" spans="1:3" ht="36" customHeight="1">
      <c r="A11" s="7" t="s">
        <v>38</v>
      </c>
      <c r="B11" s="7" t="s">
        <v>39</v>
      </c>
      <c r="C11" s="7">
        <v>14</v>
      </c>
    </row>
    <row r="12" spans="1:3" ht="36" customHeight="1">
      <c r="A12" s="6" t="s">
        <v>40</v>
      </c>
      <c r="B12" s="6" t="s">
        <v>41</v>
      </c>
      <c r="C12" s="6">
        <v>13</v>
      </c>
    </row>
    <row r="13" spans="1:3" ht="36" customHeight="1">
      <c r="A13" s="7" t="s">
        <v>42</v>
      </c>
      <c r="B13" s="7" t="s">
        <v>43</v>
      </c>
      <c r="C13" s="7">
        <v>4</v>
      </c>
    </row>
    <row r="14" spans="1:3" ht="36" customHeight="1">
      <c r="A14" s="6" t="s">
        <v>44</v>
      </c>
      <c r="B14" s="6" t="s">
        <v>45</v>
      </c>
      <c r="C14" s="6">
        <v>3</v>
      </c>
    </row>
    <row r="15" spans="1:3" ht="36" customHeight="1">
      <c r="A15" s="7" t="s">
        <v>46</v>
      </c>
      <c r="B15" s="7" t="s">
        <v>47</v>
      </c>
      <c r="C15" s="7">
        <v>3</v>
      </c>
    </row>
    <row r="16" spans="1:3" ht="36" customHeight="1">
      <c r="A16" s="6" t="s">
        <v>48</v>
      </c>
      <c r="B16" s="6" t="s">
        <v>49</v>
      </c>
      <c r="C16" s="6">
        <v>5</v>
      </c>
    </row>
  </sheetData>
  <phoneticPr fontId="5"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
  <sheetViews>
    <sheetView zoomScale="85" zoomScaleNormal="85" workbookViewId="0">
      <pane xSplit="1" ySplit="1" topLeftCell="D2" activePane="bottomRight" state="frozen"/>
      <selection pane="topRight"/>
      <selection pane="bottomLeft"/>
      <selection pane="bottomRight" activeCell="K6" sqref="K6"/>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63</v>
      </c>
      <c r="B2" s="3" t="s">
        <v>64</v>
      </c>
      <c r="C2" s="3" t="s">
        <v>65</v>
      </c>
      <c r="D2" s="8" t="s">
        <v>485</v>
      </c>
      <c r="E2" s="8" t="s">
        <v>66</v>
      </c>
      <c r="F2" s="8" t="s">
        <v>570</v>
      </c>
      <c r="G2" s="3" t="str">
        <f>IFERROR(IF(LEN(TRIM(CLEAN(SUBSTITUTE(Setup!$B$2,CHAR(160)," "))))=0,"CHECK REVIEWER ID",IF(OR(A2="",COUNTIF($A$2:$A$6,A2)&lt;&gt;1,LEFT(A2,LEN("2025::jama.2024.24764::"))&lt;&gt;"2025::jama.2024.24764::"),"CHECK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
        <v>512</v>
      </c>
      <c r="I2" s="8" t="s">
        <v>524</v>
      </c>
      <c r="J2" s="9" t="s">
        <v>534</v>
      </c>
      <c r="K2" s="8" t="str">
        <f>IF(AND(OR(D2="retain",D2=""),OR(E2="report_internal_inconsistency",E2="plan_material")),"","not_applicable")</f>
        <v>not_applicable</v>
      </c>
      <c r="L2" s="9" t="str">
        <f>IF(AND(OR(D2="retain",D2=""),E2="protocol_report"),"","not_applicable")</f>
        <v>not_applicable</v>
      </c>
      <c r="M2" s="3"/>
      <c r="N2" s="4"/>
      <c r="O2" s="4"/>
      <c r="P2" s="4"/>
      <c r="Q2" s="4"/>
      <c r="R2" s="9" t="s">
        <v>574</v>
      </c>
    </row>
    <row r="3" spans="1:18" ht="91.95" customHeight="1">
      <c r="A3" s="1" t="s">
        <v>68</v>
      </c>
      <c r="B3" s="1" t="s">
        <v>69</v>
      </c>
      <c r="C3" s="1" t="s">
        <v>70</v>
      </c>
      <c r="D3" s="8" t="s">
        <v>485</v>
      </c>
      <c r="E3" s="8" t="s">
        <v>71</v>
      </c>
      <c r="F3" s="8" t="s">
        <v>570</v>
      </c>
      <c r="G3" s="1" t="str">
        <f>IFERROR(IF(LEN(TRIM(CLEAN(SUBSTITUTE(Setup!$B$2,CHAR(160)," "))))=0,"CHECK REVIEWER ID",IF(OR(A3="",COUNTIF($A$2:$A$6,A3)&lt;&gt;1,LEFT(A3,LEN("2025::jama.2024.24764::"))&lt;&gt;"2025::jama.2024.24764::"),"CHECK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IF(AND(OR(D3="retain",D3=""),E3="statistical_results"),"","not_applicable")</f>
        <v>not_applicable</v>
      </c>
      <c r="I3" s="8" t="str">
        <f>IF(AND(OR(D3="retain",D3=""),E3="statistical_results"),"","not_applicable")</f>
        <v>not_applicable</v>
      </c>
      <c r="J3" s="9" t="str">
        <f>IF(AND(OR(D3="retain",D3=""),E3="statistical_results"),"","not_applicable")</f>
        <v>not_applicable</v>
      </c>
      <c r="K3" s="8" t="str">
        <f>IF(AND(OR(D3="retain",D3=""),OR(E3="report_internal_inconsistency",E3="plan_material")),"","not_applicable")</f>
        <v>not_applicable</v>
      </c>
      <c r="L3" s="9" t="s">
        <v>554</v>
      </c>
      <c r="M3" s="1"/>
      <c r="N3" s="4"/>
      <c r="O3" s="4"/>
      <c r="P3" s="4"/>
      <c r="Q3" s="4"/>
      <c r="R3" s="9" t="s">
        <v>575</v>
      </c>
    </row>
    <row r="4" spans="1:18" ht="91.95" customHeight="1">
      <c r="A4" s="3" t="s">
        <v>72</v>
      </c>
      <c r="B4" s="3" t="s">
        <v>73</v>
      </c>
      <c r="C4" s="3" t="s">
        <v>74</v>
      </c>
      <c r="D4" s="8" t="s">
        <v>485</v>
      </c>
      <c r="E4" s="8" t="s">
        <v>71</v>
      </c>
      <c r="F4" s="8" t="s">
        <v>570</v>
      </c>
      <c r="G4" s="3" t="str">
        <f>IFERROR(IF(LEN(TRIM(CLEAN(SUBSTITUTE(Setup!$B$2,CHAR(160)," "))))=0,"CHECK REVIEWER ID",IF(OR(A4="",COUNTIF($A$2:$A$6,A4)&lt;&gt;1,LEFT(A4,LEN("2025::jama.2024.24764::"))&lt;&gt;"2025::jama.2024.24764::"),"CHECK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IF(AND(OR(D4="retain",D4=""),E4="statistical_results"),"","not_applicable")</f>
        <v>not_applicable</v>
      </c>
      <c r="I4" s="8" t="str">
        <f>IF(AND(OR(D4="retain",D4=""),E4="statistical_results"),"","not_applicable")</f>
        <v>not_applicable</v>
      </c>
      <c r="J4" s="9" t="str">
        <f>IF(AND(OR(D4="retain",D4=""),E4="statistical_results"),"","not_applicable")</f>
        <v>not_applicable</v>
      </c>
      <c r="K4" s="8" t="str">
        <f>IF(AND(OR(D4="retain",D4=""),OR(E4="report_internal_inconsistency",E4="plan_material")),"","not_applicable")</f>
        <v>not_applicable</v>
      </c>
      <c r="L4" s="9" t="s">
        <v>526</v>
      </c>
      <c r="M4" s="3"/>
      <c r="N4" s="4"/>
      <c r="O4" s="4"/>
      <c r="P4" s="4"/>
      <c r="Q4" s="4"/>
      <c r="R4" s="9" t="s">
        <v>576</v>
      </c>
    </row>
    <row r="5" spans="1:18" ht="91.95" customHeight="1">
      <c r="A5" s="1" t="s">
        <v>75</v>
      </c>
      <c r="B5" s="1" t="s">
        <v>76</v>
      </c>
      <c r="C5" s="1" t="s">
        <v>77</v>
      </c>
      <c r="D5" s="8" t="s">
        <v>485</v>
      </c>
      <c r="E5" s="8" t="s">
        <v>71</v>
      </c>
      <c r="F5" s="8" t="s">
        <v>570</v>
      </c>
      <c r="G5" s="1" t="str">
        <f>IFERROR(IF(LEN(TRIM(CLEAN(SUBSTITUTE(Setup!$B$2,CHAR(160)," "))))=0,"CHECK REVIEWER ID",IF(OR(A5="",COUNTIF($A$2:$A$6,A5)&lt;&gt;1,LEFT(A5,LEN("2025::jama.2024.24764::"))&lt;&gt;"2025::jama.2024.24764::"),"CHECK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tr">
        <f>IF(AND(OR(D5="retain",D5=""),E5="statistical_results"),"","not_applicable")</f>
        <v>not_applicable</v>
      </c>
      <c r="I5" s="8" t="str">
        <f>IF(AND(OR(D5="retain",D5=""),E5="statistical_results"),"","not_applicable")</f>
        <v>not_applicable</v>
      </c>
      <c r="J5" s="9" t="str">
        <f>IF(AND(OR(D5="retain",D5=""),E5="statistical_results"),"","not_applicable")</f>
        <v>not_applicable</v>
      </c>
      <c r="K5" s="8" t="str">
        <f>IF(AND(OR(D5="retain",D5=""),OR(E5="report_internal_inconsistency",E5="plan_material")),"","not_applicable")</f>
        <v>not_applicable</v>
      </c>
      <c r="L5" s="9" t="s">
        <v>554</v>
      </c>
      <c r="M5" s="1"/>
      <c r="N5" s="4"/>
      <c r="O5" s="4"/>
      <c r="P5" s="4"/>
      <c r="Q5" s="4"/>
      <c r="R5" s="9" t="s">
        <v>577</v>
      </c>
    </row>
    <row r="6" spans="1:18" ht="91.95" customHeight="1">
      <c r="A6" s="3" t="s">
        <v>78</v>
      </c>
      <c r="B6" s="3" t="s">
        <v>79</v>
      </c>
      <c r="C6" s="3" t="s">
        <v>80</v>
      </c>
      <c r="D6" s="8" t="s">
        <v>485</v>
      </c>
      <c r="E6" s="8" t="s">
        <v>81</v>
      </c>
      <c r="F6" s="8" t="s">
        <v>570</v>
      </c>
      <c r="G6" s="3" t="str">
        <f>IFERROR(IF(LEN(TRIM(CLEAN(SUBSTITUTE(Setup!$B$2,CHAR(160)," "))))=0,"CHECK REVIEWER ID",IF(OR(A6="",COUNTIF($A$2:$A$6,A6)&lt;&gt;1,LEFT(A6,LEN("2025::jama.2024.24764::"))&lt;&gt;"2025::jama.2024.24764::"),"CHECK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IF(AND(OR(D6="retain",D6=""),E6="statistical_results"),"","not_applicable")</f>
        <v>not_applicable</v>
      </c>
      <c r="I6" s="8" t="str">
        <f>IF(AND(OR(D6="retain",D6=""),E6="statistical_results"),"","not_applicable")</f>
        <v>not_applicable</v>
      </c>
      <c r="J6" s="9" t="str">
        <f>IF(AND(OR(D6="retain",D6=""),E6="statistical_results"),"","not_applicable")</f>
        <v>not_applicable</v>
      </c>
      <c r="K6" s="8" t="s">
        <v>526</v>
      </c>
      <c r="L6" s="9" t="s">
        <v>520</v>
      </c>
      <c r="M6" s="3"/>
      <c r="N6" s="4"/>
      <c r="O6" s="4"/>
      <c r="P6" s="4"/>
      <c r="Q6" s="4"/>
      <c r="R6" s="9" t="s">
        <v>578</v>
      </c>
    </row>
  </sheetData>
  <autoFilter ref="A1:R6" xr:uid="{00000000-0009-0000-0000-000003000000}"/>
  <phoneticPr fontId="5" type="noConversion"/>
  <conditionalFormatting sqref="G2:G6">
    <cfRule type="expression" dxfId="59" priority="13">
      <formula>G2&lt;&gt;"PRIMARY READY"</formula>
    </cfRule>
  </conditionalFormatting>
  <conditionalFormatting sqref="H2:J6">
    <cfRule type="expression" dxfId="58" priority="8">
      <formula>NOT(AND(OR($D2="retain",$D2=""),$E2="statistical_results"))</formula>
    </cfRule>
  </conditionalFormatting>
  <conditionalFormatting sqref="K2:K6">
    <cfRule type="expression" dxfId="57" priority="11">
      <formula>NOT(AND(OR($D2="retain",$D2=""),OR($E2="report_internal_inconsistency",$E2="plan_material")))</formula>
    </cfRule>
  </conditionalFormatting>
  <conditionalFormatting sqref="L2:L6">
    <cfRule type="expression" dxfId="56" priority="12">
      <formula>NOT(AND(OR($D2="retain",$D2=""),$E2="protocol_report"))</formula>
    </cfRule>
  </conditionalFormatting>
  <dataValidations count="8">
    <dataValidation type="list" allowBlank="1" showErrorMessage="1" errorTitle="Use a listed option" error="Choose an option; G also checks pasted entries." sqref="D2:D6" xr:uid="{00000000-0002-0000-0300-000000000000}">
      <formula1>"retain,exclude,discuss"</formula1>
    </dataValidation>
    <dataValidation type="list" allowBlank="1" showErrorMessage="1" errorTitle="Use a listed option" error="Choose an option; G also checks pasted entries." sqref="E2:E6" xr:uid="{00000000-0002-0000-0300-000001000000}">
      <formula1>"statistical_results,report_internal_inconsistency,plan_material,protocol_report"</formula1>
    </dataValidation>
    <dataValidation type="list" allowBlank="1" showErrorMessage="1" errorTitle="Use a listed option" error="Choose an option; G also checks pasted entries." sqref="F2:F6" xr:uid="{00000000-0002-0000-0300-000002000000}">
      <formula1>"no,primary_done"</formula1>
    </dataValidation>
    <dataValidation type="list" allowBlank="1" showErrorMessage="1" errorTitle="Use a listed option" error="Choose an option; G also checks pasted entries." sqref="H2:H6" xr:uid="{00000000-0002-0000-0300-000003000000}">
      <formula1>"confirmed_issue,probable_issue,not_issue,indeterminate,not_applicable"</formula1>
    </dataValidation>
    <dataValidation type="list" allowBlank="1" showErrorMessage="1" errorTitle="Use a listed option" error="Choose an option; G also checks pasted entries." sqref="I2:I6" xr:uid="{00000000-0002-0000-0300-000004000000}">
      <formula1>"substantive,minor_presentation,indeterminate,not_applicable"</formula1>
    </dataValidation>
    <dataValidation type="list" allowBlank="1" showErrorMessage="1" errorTitle="Use a listed option" error="Choose an option; G also checks pasted entries." sqref="J2:J6" xr:uid="{00000000-0002-0000-0300-000005000000}">
      <formula1>"direct,possible,unlikely,unknown,not_applicable"</formula1>
    </dataValidation>
    <dataValidation type="list" allowBlank="1" showErrorMessage="1" errorTitle="Use a listed option" error="Choose an option; G also checks pasted entries." sqref="K2:K6" xr:uid="{00000000-0002-0000-0300-000006000000}">
      <formula1>"substantive_inconsistency,minor_presentation,non_inconsistency,indeterminate,not_applicable"</formula1>
    </dataValidation>
    <dataValidation type="list" allowBlank="1" showErrorMessage="1" errorTitle="Use a listed option" error="Choose an option; G also checks pasted entries." sqref="L2:L6" xr:uid="{00000000-0002-0000-0300-000007000000}">
      <formula1>"substantive_difference,minor_presentation,version_timing,non_inconsistency,indeterminate,not_applicable"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7"/>
  <sheetViews>
    <sheetView workbookViewId="0">
      <pane xSplit="1" ySplit="1" topLeftCell="I6" activePane="bottomRight" state="frozen"/>
      <selection pane="topRight"/>
      <selection pane="bottomLeft"/>
      <selection pane="bottomRight" activeCell="R8" sqref="R8"/>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82</v>
      </c>
      <c r="B2" s="3" t="s">
        <v>83</v>
      </c>
      <c r="C2" s="3" t="s">
        <v>84</v>
      </c>
      <c r="D2" s="8" t="s">
        <v>488</v>
      </c>
      <c r="E2" s="8" t="s">
        <v>71</v>
      </c>
      <c r="F2" s="8" t="s">
        <v>570</v>
      </c>
      <c r="G2" s="3" t="str">
        <f>IFERROR(IF(LEN(TRIM(CLEAN(SUBSTITUTE(Setup!$B$2,CHAR(160)," "))))=0,"CHECK REVIEWER ID",IF(OR(A2="",COUNTIF($A$2:$A$17,A2)&lt;&gt;1,LEFT(A2,LEN("2025::jama.2024.27643::"))&lt;&gt;"2025::jama.2024.27643::"),"CHECK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tr">
        <f t="shared" ref="H2:H17" si="0">IF(AND(OR(D2="retain",D2=""),E2="statistical_results"),"","not_applicable")</f>
        <v>not_applicable</v>
      </c>
      <c r="I2" s="8" t="str">
        <f t="shared" ref="I2:I17" si="1">IF(AND(OR(D2="retain",D2=""),E2="statistical_results"),"","not_applicable")</f>
        <v>not_applicable</v>
      </c>
      <c r="J2" s="9" t="str">
        <f t="shared" ref="J2:J17" si="2">IF(AND(OR(D2="retain",D2=""),E2="statistical_results"),"","not_applicable")</f>
        <v>not_applicable</v>
      </c>
      <c r="K2" s="8" t="str">
        <f t="shared" ref="K2:K17" si="3">IF(AND(OR(D2="retain",D2=""),OR(E2="report_internal_inconsistency",E2="plan_material")),"","not_applicable")</f>
        <v>not_applicable</v>
      </c>
      <c r="L2" s="9" t="str">
        <f t="shared" ref="L2:L16" si="4">IF(AND(OR(D2="retain",D2=""),E2="protocol_report"),"","not_applicable")</f>
        <v>not_applicable</v>
      </c>
      <c r="M2" s="3"/>
      <c r="N2" s="4"/>
      <c r="O2" s="4"/>
      <c r="P2" s="4"/>
      <c r="Q2" s="4"/>
      <c r="R2" s="9" t="s">
        <v>579</v>
      </c>
    </row>
    <row r="3" spans="1:18" ht="91.95" customHeight="1">
      <c r="A3" s="1" t="s">
        <v>85</v>
      </c>
      <c r="B3" s="1" t="s">
        <v>86</v>
      </c>
      <c r="C3" s="1" t="s">
        <v>87</v>
      </c>
      <c r="D3" s="8" t="s">
        <v>485</v>
      </c>
      <c r="E3" s="8" t="s">
        <v>71</v>
      </c>
      <c r="F3" s="8" t="s">
        <v>570</v>
      </c>
      <c r="G3" s="1" t="str">
        <f>IFERROR(IF(LEN(TRIM(CLEAN(SUBSTITUTE(Setup!$B$2,CHAR(160)," "))))=0,"CHECK REVIEWER ID",IF(OR(A3="",COUNTIF($A$2:$A$17,A3)&lt;&gt;1,LEFT(A3,LEN("2025::jama.2024.27643::"))&lt;&gt;"2025::jama.2024.27643::"),"CHECK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 t="shared" si="0"/>
        <v>not_applicable</v>
      </c>
      <c r="I3" s="8" t="str">
        <f t="shared" si="1"/>
        <v>not_applicable</v>
      </c>
      <c r="J3" s="9" t="str">
        <f t="shared" si="2"/>
        <v>not_applicable</v>
      </c>
      <c r="K3" s="8" t="str">
        <f t="shared" si="3"/>
        <v>not_applicable</v>
      </c>
      <c r="L3" s="9" t="s">
        <v>554</v>
      </c>
      <c r="M3" s="1"/>
      <c r="N3" s="4"/>
      <c r="O3" s="4"/>
      <c r="P3" s="4"/>
      <c r="Q3" s="4"/>
      <c r="R3" s="9" t="s">
        <v>580</v>
      </c>
    </row>
    <row r="4" spans="1:18" ht="91.95" customHeight="1">
      <c r="A4" s="3" t="s">
        <v>88</v>
      </c>
      <c r="B4" s="3" t="s">
        <v>89</v>
      </c>
      <c r="C4" s="3" t="s">
        <v>90</v>
      </c>
      <c r="D4" s="8" t="s">
        <v>485</v>
      </c>
      <c r="E4" s="8" t="s">
        <v>71</v>
      </c>
      <c r="F4" s="8" t="s">
        <v>570</v>
      </c>
      <c r="G4" s="3" t="str">
        <f>IFERROR(IF(LEN(TRIM(CLEAN(SUBSTITUTE(Setup!$B$2,CHAR(160)," "))))=0,"CHECK REVIEWER ID",IF(OR(A4="",COUNTIF($A$2:$A$17,A4)&lt;&gt;1,LEFT(A4,LEN("2025::jama.2024.27643::"))&lt;&gt;"2025::jama.2024.27643::"),"CHECK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 t="shared" si="0"/>
        <v>not_applicable</v>
      </c>
      <c r="I4" s="8" t="str">
        <f t="shared" si="1"/>
        <v>not_applicable</v>
      </c>
      <c r="J4" s="9" t="str">
        <f t="shared" si="2"/>
        <v>not_applicable</v>
      </c>
      <c r="K4" s="8" t="str">
        <f t="shared" si="3"/>
        <v>not_applicable</v>
      </c>
      <c r="L4" s="9" t="s">
        <v>554</v>
      </c>
      <c r="M4" s="3"/>
      <c r="N4" s="4"/>
      <c r="O4" s="4"/>
      <c r="P4" s="4"/>
      <c r="Q4" s="4"/>
      <c r="R4" s="9" t="s">
        <v>581</v>
      </c>
    </row>
    <row r="5" spans="1:18" ht="91.95" customHeight="1">
      <c r="A5" s="1" t="s">
        <v>91</v>
      </c>
      <c r="B5" s="1" t="s">
        <v>92</v>
      </c>
      <c r="C5" s="1" t="s">
        <v>93</v>
      </c>
      <c r="D5" s="8" t="s">
        <v>485</v>
      </c>
      <c r="E5" s="8" t="s">
        <v>71</v>
      </c>
      <c r="F5" s="8" t="s">
        <v>570</v>
      </c>
      <c r="G5" s="1" t="str">
        <f>IFERROR(IF(LEN(TRIM(CLEAN(SUBSTITUTE(Setup!$B$2,CHAR(160)," "))))=0,"CHECK REVIEWER ID",IF(OR(A5="",COUNTIF($A$2:$A$17,A5)&lt;&gt;1,LEFT(A5,LEN("2025::jama.2024.27643::"))&lt;&gt;"2025::jama.2024.27643::"),"CHECK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tr">
        <f t="shared" si="0"/>
        <v>not_applicable</v>
      </c>
      <c r="I5" s="8" t="str">
        <f t="shared" si="1"/>
        <v>not_applicable</v>
      </c>
      <c r="J5" s="9" t="str">
        <f t="shared" si="2"/>
        <v>not_applicable</v>
      </c>
      <c r="K5" s="8" t="str">
        <f t="shared" si="3"/>
        <v>not_applicable</v>
      </c>
      <c r="L5" s="9" t="s">
        <v>554</v>
      </c>
      <c r="M5" s="1"/>
      <c r="N5" s="4"/>
      <c r="O5" s="4"/>
      <c r="P5" s="4"/>
      <c r="Q5" s="4"/>
      <c r="R5" s="9" t="s">
        <v>582</v>
      </c>
    </row>
    <row r="6" spans="1:18" ht="91.95" customHeight="1">
      <c r="A6" s="3" t="s">
        <v>94</v>
      </c>
      <c r="B6" s="3" t="s">
        <v>95</v>
      </c>
      <c r="C6" s="3" t="s">
        <v>96</v>
      </c>
      <c r="D6" s="8" t="s">
        <v>485</v>
      </c>
      <c r="E6" s="8" t="s">
        <v>71</v>
      </c>
      <c r="F6" s="8" t="s">
        <v>570</v>
      </c>
      <c r="G6" s="3" t="str">
        <f>IFERROR(IF(LEN(TRIM(CLEAN(SUBSTITUTE(Setup!$B$2,CHAR(160)," "))))=0,"CHECK REVIEWER ID",IF(OR(A6="",COUNTIF($A$2:$A$17,A6)&lt;&gt;1,LEFT(A6,LEN("2025::jama.2024.27643::"))&lt;&gt;"2025::jama.2024.27643::"),"CHECK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0"/>
        <v>not_applicable</v>
      </c>
      <c r="I6" s="8" t="str">
        <f t="shared" si="1"/>
        <v>not_applicable</v>
      </c>
      <c r="J6" s="9" t="str">
        <f t="shared" si="2"/>
        <v>not_applicable</v>
      </c>
      <c r="K6" s="8" t="str">
        <f t="shared" si="3"/>
        <v>not_applicable</v>
      </c>
      <c r="L6" s="9" t="s">
        <v>554</v>
      </c>
      <c r="M6" s="3"/>
      <c r="N6" s="4"/>
      <c r="O6" s="4"/>
      <c r="P6" s="4"/>
      <c r="Q6" s="4"/>
      <c r="R6" s="9" t="s">
        <v>584</v>
      </c>
    </row>
    <row r="7" spans="1:18" ht="91.95" customHeight="1">
      <c r="A7" s="1" t="s">
        <v>97</v>
      </c>
      <c r="B7" s="1" t="s">
        <v>98</v>
      </c>
      <c r="C7" s="1" t="s">
        <v>99</v>
      </c>
      <c r="D7" s="8" t="s">
        <v>485</v>
      </c>
      <c r="E7" s="8" t="s">
        <v>66</v>
      </c>
      <c r="F7" s="8" t="s">
        <v>570</v>
      </c>
      <c r="G7" s="1" t="str">
        <f>IFERROR(IF(LEN(TRIM(CLEAN(SUBSTITUTE(Setup!$B$2,CHAR(160)," "))))=0,"CHECK REVIEWER ID",IF(OR(A7="",COUNTIF($A$2:$A$17,A7)&lt;&gt;1,LEFT(A7,LEN("2025::jama.2024.27643::"))&lt;&gt;"2025::jama.2024.27643::"),"CHECK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
        <v>512</v>
      </c>
      <c r="I7" s="8" t="s">
        <v>524</v>
      </c>
      <c r="J7" s="9" t="s">
        <v>532</v>
      </c>
      <c r="K7" s="8" t="str">
        <f t="shared" si="3"/>
        <v>not_applicable</v>
      </c>
      <c r="L7" s="9" t="str">
        <f t="shared" si="4"/>
        <v>not_applicable</v>
      </c>
      <c r="M7" s="1"/>
      <c r="N7" s="4"/>
      <c r="O7" s="4"/>
      <c r="P7" s="4"/>
      <c r="Q7" s="4"/>
      <c r="R7" s="9" t="s">
        <v>583</v>
      </c>
    </row>
    <row r="8" spans="1:18" ht="91.95" customHeight="1">
      <c r="A8" s="3" t="s">
        <v>100</v>
      </c>
      <c r="B8" s="3" t="s">
        <v>101</v>
      </c>
      <c r="C8" s="3" t="s">
        <v>102</v>
      </c>
      <c r="D8" s="8" t="s">
        <v>485</v>
      </c>
      <c r="E8" s="8" t="s">
        <v>66</v>
      </c>
      <c r="F8" s="8" t="s">
        <v>570</v>
      </c>
      <c r="G8" s="3" t="str">
        <f>IFERROR(IF(LEN(TRIM(CLEAN(SUBSTITUTE(Setup!$B$2,CHAR(160)," "))))=0,"CHECK REVIEWER ID",IF(OR(A8="",COUNTIF($A$2:$A$17,A8)&lt;&gt;1,LEFT(A8,LEN("2025::jama.2024.27643::"))&lt;&gt;"2025::jama.2024.27643::"),"CHECK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PRIMARY READY</v>
      </c>
      <c r="H8" s="8" t="s">
        <v>512</v>
      </c>
      <c r="I8" s="8" t="s">
        <v>524</v>
      </c>
      <c r="J8" s="9" t="s">
        <v>534</v>
      </c>
      <c r="K8" s="8" t="str">
        <f t="shared" si="3"/>
        <v>not_applicable</v>
      </c>
      <c r="L8" s="9" t="str">
        <f t="shared" si="4"/>
        <v>not_applicable</v>
      </c>
      <c r="M8" s="3"/>
      <c r="N8" s="4"/>
      <c r="O8" s="4"/>
      <c r="P8" s="4"/>
      <c r="Q8" s="4"/>
      <c r="R8" s="9" t="s">
        <v>585</v>
      </c>
    </row>
    <row r="9" spans="1:18" ht="91.95" customHeight="1">
      <c r="A9" s="1" t="s">
        <v>103</v>
      </c>
      <c r="B9" s="1" t="s">
        <v>104</v>
      </c>
      <c r="C9" s="1" t="s">
        <v>105</v>
      </c>
      <c r="D9" s="8" t="s">
        <v>485</v>
      </c>
      <c r="E9" s="8" t="s">
        <v>106</v>
      </c>
      <c r="F9" s="8" t="s">
        <v>570</v>
      </c>
      <c r="G9" s="1" t="str">
        <f>IFERROR(IF(LEN(TRIM(CLEAN(SUBSTITUTE(Setup!$B$2,CHAR(160)," "))))=0,"CHECK REVIEWER ID",IF(OR(A9="",COUNTIF($A$2:$A$17,A9)&lt;&gt;1,LEFT(A9,LEN("2025::jama.2024.27643::"))&lt;&gt;"2025::jama.2024.27643::"),"CHECK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PRIMARY READY</v>
      </c>
      <c r="H9" s="8" t="str">
        <f t="shared" si="0"/>
        <v>not_applicable</v>
      </c>
      <c r="I9" s="8" t="str">
        <f t="shared" si="1"/>
        <v>not_applicable</v>
      </c>
      <c r="J9" s="9" t="str">
        <f t="shared" si="2"/>
        <v>not_applicable</v>
      </c>
      <c r="K9" s="8" t="s">
        <v>526</v>
      </c>
      <c r="L9" s="9" t="str">
        <f t="shared" si="4"/>
        <v>not_applicable</v>
      </c>
      <c r="M9" s="1"/>
      <c r="N9" s="4"/>
      <c r="O9" s="4"/>
      <c r="P9" s="4"/>
      <c r="Q9" s="4"/>
      <c r="R9" s="9" t="s">
        <v>586</v>
      </c>
    </row>
    <row r="10" spans="1:18" ht="91.95" customHeight="1">
      <c r="A10" s="3" t="s">
        <v>107</v>
      </c>
      <c r="B10" s="3" t="s">
        <v>108</v>
      </c>
      <c r="C10" s="3" t="s">
        <v>109</v>
      </c>
      <c r="D10" s="8" t="s">
        <v>485</v>
      </c>
      <c r="E10" s="8" t="s">
        <v>66</v>
      </c>
      <c r="F10" s="8" t="s">
        <v>570</v>
      </c>
      <c r="G10" s="3" t="str">
        <f>IFERROR(IF(LEN(TRIM(CLEAN(SUBSTITUTE(Setup!$B$2,CHAR(160)," "))))=0,"CHECK REVIEWER ID",IF(OR(A10="",COUNTIF($A$2:$A$17,A10)&lt;&gt;1,LEFT(A10,LEN("2025::jama.2024.27643::"))&lt;&gt;"2025::jama.2024.27643::"),"CHECK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PRIMARY READY</v>
      </c>
      <c r="H10" s="8" t="s">
        <v>512</v>
      </c>
      <c r="I10" s="8" t="s">
        <v>526</v>
      </c>
      <c r="J10" s="9" t="s">
        <v>536</v>
      </c>
      <c r="K10" s="8" t="str">
        <f t="shared" si="3"/>
        <v>not_applicable</v>
      </c>
      <c r="L10" s="9" t="str">
        <f t="shared" si="4"/>
        <v>not_applicable</v>
      </c>
      <c r="M10" s="3"/>
      <c r="N10" s="4"/>
      <c r="O10" s="4"/>
      <c r="P10" s="4"/>
      <c r="Q10" s="4"/>
      <c r="R10" s="9" t="s">
        <v>587</v>
      </c>
    </row>
    <row r="11" spans="1:18" ht="91.95" customHeight="1">
      <c r="A11" s="1" t="s">
        <v>110</v>
      </c>
      <c r="B11" s="1" t="s">
        <v>111</v>
      </c>
      <c r="C11" s="1" t="s">
        <v>112</v>
      </c>
      <c r="D11" s="8" t="s">
        <v>485</v>
      </c>
      <c r="E11" s="8" t="s">
        <v>71</v>
      </c>
      <c r="F11" s="8" t="s">
        <v>570</v>
      </c>
      <c r="G11" s="1" t="str">
        <f>IFERROR(IF(LEN(TRIM(CLEAN(SUBSTITUTE(Setup!$B$2,CHAR(160)," "))))=0,"CHECK REVIEWER ID",IF(OR(A11="",COUNTIF($A$2:$A$17,A11)&lt;&gt;1,LEFT(A11,LEN("2025::jama.2024.27643::"))&lt;&gt;"2025::jama.2024.27643::"),"CHECK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PRIMARY READY</v>
      </c>
      <c r="H11" s="8" t="str">
        <f t="shared" si="0"/>
        <v>not_applicable</v>
      </c>
      <c r="I11" s="8" t="str">
        <f t="shared" si="1"/>
        <v>not_applicable</v>
      </c>
      <c r="J11" s="9" t="str">
        <f t="shared" si="2"/>
        <v>not_applicable</v>
      </c>
      <c r="K11" s="8" t="str">
        <f t="shared" si="3"/>
        <v>not_applicable</v>
      </c>
      <c r="L11" s="9" t="s">
        <v>554</v>
      </c>
      <c r="M11" s="1"/>
      <c r="N11" s="4"/>
      <c r="O11" s="4"/>
      <c r="P11" s="4"/>
      <c r="Q11" s="4"/>
      <c r="R11" s="9" t="s">
        <v>588</v>
      </c>
    </row>
    <row r="12" spans="1:18" ht="91.95" customHeight="1">
      <c r="A12" s="3" t="s">
        <v>113</v>
      </c>
      <c r="B12" s="3" t="s">
        <v>114</v>
      </c>
      <c r="C12" s="3" t="s">
        <v>115</v>
      </c>
      <c r="D12" s="8" t="s">
        <v>485</v>
      </c>
      <c r="E12" s="8" t="s">
        <v>81</v>
      </c>
      <c r="F12" s="8" t="s">
        <v>570</v>
      </c>
      <c r="G12" s="3" t="str">
        <f>IFERROR(IF(LEN(TRIM(CLEAN(SUBSTITUTE(Setup!$B$2,CHAR(160)," "))))=0,"CHECK REVIEWER ID",IF(OR(A12="",COUNTIF($A$2:$A$17,A12)&lt;&gt;1,LEFT(A12,LEN("2025::jama.2024.27643::"))&lt;&gt;"2025::jama.2024.27643::"),"CHECK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PRIMARY READY</v>
      </c>
      <c r="H12" s="8" t="str">
        <f t="shared" si="0"/>
        <v>not_applicable</v>
      </c>
      <c r="I12" s="8" t="str">
        <f t="shared" si="1"/>
        <v>not_applicable</v>
      </c>
      <c r="J12" s="9" t="str">
        <f t="shared" si="2"/>
        <v>not_applicable</v>
      </c>
      <c r="K12" s="8" t="s">
        <v>526</v>
      </c>
      <c r="L12" s="9" t="str">
        <f t="shared" si="4"/>
        <v>not_applicable</v>
      </c>
      <c r="M12" s="3"/>
      <c r="N12" s="4"/>
      <c r="O12" s="4"/>
      <c r="P12" s="4"/>
      <c r="Q12" s="4"/>
      <c r="R12" s="9" t="s">
        <v>589</v>
      </c>
    </row>
    <row r="13" spans="1:18" ht="91.95" customHeight="1">
      <c r="A13" s="1" t="s">
        <v>116</v>
      </c>
      <c r="B13" s="1" t="s">
        <v>117</v>
      </c>
      <c r="C13" s="1" t="s">
        <v>118</v>
      </c>
      <c r="D13" s="8" t="s">
        <v>485</v>
      </c>
      <c r="E13" s="8" t="s">
        <v>66</v>
      </c>
      <c r="F13" s="8" t="s">
        <v>570</v>
      </c>
      <c r="G13" s="1" t="str">
        <f>IFERROR(IF(LEN(TRIM(CLEAN(SUBSTITUTE(Setup!$B$2,CHAR(160)," "))))=0,"CHECK REVIEWER ID",IF(OR(A13="",COUNTIF($A$2:$A$17,A13)&lt;&gt;1,LEFT(A13,LEN("2025::jama.2024.27643::"))&lt;&gt;"2025::jama.2024.27643::"),"CHECK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PRIMARY READY</v>
      </c>
      <c r="H13" s="8" t="s">
        <v>512</v>
      </c>
      <c r="I13" s="8" t="s">
        <v>526</v>
      </c>
      <c r="J13" s="9" t="s">
        <v>536</v>
      </c>
      <c r="K13" s="8" t="str">
        <f t="shared" si="3"/>
        <v>not_applicable</v>
      </c>
      <c r="L13" s="9" t="str">
        <f t="shared" si="4"/>
        <v>not_applicable</v>
      </c>
      <c r="M13" s="1"/>
      <c r="N13" s="4"/>
      <c r="O13" s="4"/>
      <c r="P13" s="4"/>
      <c r="Q13" s="4"/>
      <c r="R13" s="9" t="s">
        <v>590</v>
      </c>
    </row>
    <row r="14" spans="1:18" ht="91.95" customHeight="1">
      <c r="A14" s="3" t="s">
        <v>119</v>
      </c>
      <c r="B14" s="3" t="s">
        <v>120</v>
      </c>
      <c r="C14" s="3" t="s">
        <v>121</v>
      </c>
      <c r="D14" s="8" t="s">
        <v>485</v>
      </c>
      <c r="E14" s="8" t="s">
        <v>66</v>
      </c>
      <c r="F14" s="8" t="s">
        <v>570</v>
      </c>
      <c r="G14" s="3" t="str">
        <f>IFERROR(IF(LEN(TRIM(CLEAN(SUBSTITUTE(Setup!$B$2,CHAR(160)," "))))=0,"CHECK REVIEWER ID",IF(OR(A14="",COUNTIF($A$2:$A$17,A14)&lt;&gt;1,LEFT(A14,LEN("2025::jama.2024.27643::"))&lt;&gt;"2025::jama.2024.27643::"),"CHECK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PRIMARY READY</v>
      </c>
      <c r="H14" s="8" t="s">
        <v>512</v>
      </c>
      <c r="I14" s="8" t="s">
        <v>526</v>
      </c>
      <c r="J14" s="9" t="s">
        <v>534</v>
      </c>
      <c r="K14" s="8" t="str">
        <f t="shared" si="3"/>
        <v>not_applicable</v>
      </c>
      <c r="L14" s="9" t="str">
        <f t="shared" si="4"/>
        <v>not_applicable</v>
      </c>
      <c r="M14" s="3"/>
      <c r="N14" s="4"/>
      <c r="O14" s="4"/>
      <c r="P14" s="4"/>
      <c r="Q14" s="4"/>
      <c r="R14" s="9" t="s">
        <v>591</v>
      </c>
    </row>
    <row r="15" spans="1:18" ht="91.95" customHeight="1">
      <c r="A15" s="1" t="s">
        <v>122</v>
      </c>
      <c r="B15" s="1" t="s">
        <v>123</v>
      </c>
      <c r="C15" s="1" t="s">
        <v>124</v>
      </c>
      <c r="D15" s="8" t="s">
        <v>485</v>
      </c>
      <c r="E15" s="8" t="s">
        <v>81</v>
      </c>
      <c r="F15" s="8" t="s">
        <v>570</v>
      </c>
      <c r="G15" s="1" t="str">
        <f>IFERROR(IF(LEN(TRIM(CLEAN(SUBSTITUTE(Setup!$B$2,CHAR(160)," "))))=0,"CHECK REVIEWER ID",IF(OR(A15="",COUNTIF($A$2:$A$17,A15)&lt;&gt;1,LEFT(A15,LEN("2025::jama.2024.27643::"))&lt;&gt;"2025::jama.2024.27643::"),"CHECK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PRIMARY READY</v>
      </c>
      <c r="H15" s="8" t="str">
        <f t="shared" si="0"/>
        <v>not_applicable</v>
      </c>
      <c r="I15" s="8" t="str">
        <f t="shared" si="1"/>
        <v>not_applicable</v>
      </c>
      <c r="J15" s="9" t="str">
        <f t="shared" si="2"/>
        <v>not_applicable</v>
      </c>
      <c r="K15" s="8" t="s">
        <v>526</v>
      </c>
      <c r="L15" s="9" t="str">
        <f t="shared" si="4"/>
        <v>not_applicable</v>
      </c>
      <c r="M15" s="1"/>
      <c r="N15" s="4"/>
      <c r="O15" s="4"/>
      <c r="P15" s="4"/>
      <c r="Q15" s="4"/>
      <c r="R15" s="9" t="s">
        <v>592</v>
      </c>
    </row>
    <row r="16" spans="1:18" ht="91.95" customHeight="1">
      <c r="A16" s="3" t="s">
        <v>125</v>
      </c>
      <c r="B16" s="3" t="s">
        <v>126</v>
      </c>
      <c r="C16" s="3" t="s">
        <v>127</v>
      </c>
      <c r="D16" s="8" t="s">
        <v>488</v>
      </c>
      <c r="E16" s="8" t="s">
        <v>81</v>
      </c>
      <c r="F16" s="8" t="s">
        <v>570</v>
      </c>
      <c r="G16" s="3" t="str">
        <f>IFERROR(IF(LEN(TRIM(CLEAN(SUBSTITUTE(Setup!$B$2,CHAR(160)," "))))=0,"CHECK REVIEWER ID",IF(OR(A16="",COUNTIF($A$2:$A$17,A16)&lt;&gt;1,LEFT(A16,LEN("2025::jama.2024.27643::"))&lt;&gt;"2025::jama.2024.27643::"),"CHECK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PRIMARY READY</v>
      </c>
      <c r="H16" s="8" t="str">
        <f t="shared" si="0"/>
        <v>not_applicable</v>
      </c>
      <c r="I16" s="8" t="str">
        <f t="shared" si="1"/>
        <v>not_applicable</v>
      </c>
      <c r="J16" s="9" t="str">
        <f t="shared" si="2"/>
        <v>not_applicable</v>
      </c>
      <c r="K16" s="8" t="str">
        <f t="shared" si="3"/>
        <v>not_applicable</v>
      </c>
      <c r="L16" s="9" t="str">
        <f t="shared" si="4"/>
        <v>not_applicable</v>
      </c>
      <c r="M16" s="3"/>
      <c r="N16" s="4"/>
      <c r="O16" s="4"/>
      <c r="P16" s="4"/>
      <c r="Q16" s="4"/>
      <c r="R16" s="9" t="s">
        <v>593</v>
      </c>
    </row>
    <row r="17" spans="1:18" ht="91.95" customHeight="1">
      <c r="A17" s="1" t="s">
        <v>128</v>
      </c>
      <c r="B17" s="1" t="s">
        <v>129</v>
      </c>
      <c r="C17" s="1" t="s">
        <v>130</v>
      </c>
      <c r="D17" s="8" t="s">
        <v>485</v>
      </c>
      <c r="E17" s="8" t="s">
        <v>71</v>
      </c>
      <c r="F17" s="8" t="s">
        <v>570</v>
      </c>
      <c r="G17" s="1" t="str">
        <f>IFERROR(IF(LEN(TRIM(CLEAN(SUBSTITUTE(Setup!$B$2,CHAR(160)," "))))=0,"CHECK REVIEWER ID",IF(OR(A17="",COUNTIF($A$2:$A$17,A17)&lt;&gt;1,LEFT(A17,LEN("2025::jama.2024.27643::"))&lt;&gt;"2025::jama.2024.27643::"),"CHECK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PRIMARY READY</v>
      </c>
      <c r="H17" s="8" t="str">
        <f t="shared" si="0"/>
        <v>not_applicable</v>
      </c>
      <c r="I17" s="8" t="str">
        <f t="shared" si="1"/>
        <v>not_applicable</v>
      </c>
      <c r="J17" s="9" t="str">
        <f t="shared" si="2"/>
        <v>not_applicable</v>
      </c>
      <c r="K17" s="8" t="str">
        <f t="shared" si="3"/>
        <v>not_applicable</v>
      </c>
      <c r="L17" s="9" t="s">
        <v>554</v>
      </c>
      <c r="M17" s="1"/>
      <c r="N17" s="4"/>
      <c r="O17" s="4"/>
      <c r="P17" s="4"/>
      <c r="Q17" s="4"/>
      <c r="R17" s="9" t="s">
        <v>594</v>
      </c>
    </row>
  </sheetData>
  <autoFilter ref="A1:R17" xr:uid="{00000000-0009-0000-0000-000004000000}"/>
  <phoneticPr fontId="5" type="noConversion"/>
  <conditionalFormatting sqref="G2:G17">
    <cfRule type="expression" dxfId="55" priority="13">
      <formula>G2&lt;&gt;"PRIMARY READY"</formula>
    </cfRule>
  </conditionalFormatting>
  <conditionalFormatting sqref="H2:J17">
    <cfRule type="expression" dxfId="54" priority="8">
      <formula>NOT(AND(OR($D2="retain",$D2=""),$E2="statistical_results"))</formula>
    </cfRule>
  </conditionalFormatting>
  <conditionalFormatting sqref="K2:K17">
    <cfRule type="expression" dxfId="53" priority="11">
      <formula>NOT(AND(OR($D2="retain",$D2=""),OR($E2="report_internal_inconsistency",$E2="plan_material")))</formula>
    </cfRule>
  </conditionalFormatting>
  <conditionalFormatting sqref="L2:L17">
    <cfRule type="expression" dxfId="52" priority="12">
      <formula>NOT(AND(OR($D2="retain",$D2=""),$E2="protocol_report"))</formula>
    </cfRule>
  </conditionalFormatting>
  <dataValidations count="8">
    <dataValidation type="list" allowBlank="1" showErrorMessage="1" errorTitle="Use a listed option" error="Choose an option; G also checks pasted entries." sqref="D2:D17" xr:uid="{00000000-0002-0000-0400-000000000000}">
      <formula1>"retain,exclude,discuss"</formula1>
    </dataValidation>
    <dataValidation type="list" allowBlank="1" showErrorMessage="1" errorTitle="Use a listed option" error="Choose an option; G also checks pasted entries." sqref="E2:E17" xr:uid="{00000000-0002-0000-0400-000001000000}">
      <formula1>"statistical_results,report_internal_inconsistency,plan_material,protocol_report"</formula1>
    </dataValidation>
    <dataValidation type="list" allowBlank="1" showErrorMessage="1" errorTitle="Use a listed option" error="Choose an option; G also checks pasted entries." sqref="F2:F17" xr:uid="{00000000-0002-0000-0400-000002000000}">
      <formula1>"no,primary_done"</formula1>
    </dataValidation>
    <dataValidation type="list" allowBlank="1" showErrorMessage="1" errorTitle="Use a listed option" error="Choose an option; G also checks pasted entries." sqref="H2:H17" xr:uid="{00000000-0002-0000-0400-000003000000}">
      <formula1>"confirmed_issue,probable_issue,not_issue,indeterminate,not_applicable"</formula1>
    </dataValidation>
    <dataValidation type="list" allowBlank="1" showErrorMessage="1" errorTitle="Use a listed option" error="Choose an option; G also checks pasted entries." sqref="I2:I17" xr:uid="{00000000-0002-0000-0400-000004000000}">
      <formula1>"substantive,minor_presentation,indeterminate,not_applicable"</formula1>
    </dataValidation>
    <dataValidation type="list" allowBlank="1" showErrorMessage="1" errorTitle="Use a listed option" error="Choose an option; G also checks pasted entries." sqref="J2:J17" xr:uid="{00000000-0002-0000-0400-000005000000}">
      <formula1>"direct,possible,unlikely,unknown,not_applicable"</formula1>
    </dataValidation>
    <dataValidation type="list" allowBlank="1" showErrorMessage="1" errorTitle="Use a listed option" error="Choose an option; G also checks pasted entries." sqref="K2:K17" xr:uid="{00000000-0002-0000-0400-000006000000}">
      <formula1>"substantive_inconsistency,minor_presentation,non_inconsistency,indeterminate,not_applicable"</formula1>
    </dataValidation>
    <dataValidation type="list" allowBlank="1" showErrorMessage="1" errorTitle="Use a listed option" error="Choose an option; G also checks pasted entries." sqref="L2:L17" xr:uid="{00000000-0002-0000-0400-000007000000}">
      <formula1>"substantive_difference,minor_presentation,version_timing,non_inconsistency,indeterminate,not_applicable"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19"/>
  <sheetViews>
    <sheetView zoomScale="85" zoomScaleNormal="85" workbookViewId="0">
      <pane xSplit="1" ySplit="1" topLeftCell="E17" activePane="bottomRight" state="frozen"/>
      <selection pane="topRight"/>
      <selection pane="bottomLeft"/>
      <selection pane="bottomRight" activeCell="F14" sqref="F14"/>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131</v>
      </c>
      <c r="B2" s="3" t="s">
        <v>132</v>
      </c>
      <c r="C2" s="3" t="s">
        <v>133</v>
      </c>
      <c r="D2" s="8" t="s">
        <v>485</v>
      </c>
      <c r="E2" s="8" t="s">
        <v>71</v>
      </c>
      <c r="F2" s="8" t="s">
        <v>570</v>
      </c>
      <c r="G2" s="3" t="str">
        <f>IFERROR(IF(LEN(TRIM(CLEAN(SUBSTITUTE(Setup!$B$2,CHAR(160)," "))))=0,"CHECK REVIEWER ID",IF(OR(A2="",COUNTIF($A$2:$A$19,A2)&lt;&gt;1,LEFT(A2,LEN("2025::jama.2025.11178::"))&lt;&gt;"2025::jama.2025.11178::"),"CHECK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tr">
        <f t="shared" ref="H2:H8" si="0">IF(AND(OR(D2="retain",D2=""),E2="statistical_results"),"","not_applicable")</f>
        <v>not_applicable</v>
      </c>
      <c r="I2" s="8" t="str">
        <f t="shared" ref="I2:I8" si="1">IF(AND(OR(D2="retain",D2=""),E2="statistical_results"),"","not_applicable")</f>
        <v>not_applicable</v>
      </c>
      <c r="J2" s="9" t="str">
        <f t="shared" ref="J2:J8" si="2">IF(AND(OR(D2="retain",D2=""),E2="statistical_results"),"","not_applicable")</f>
        <v>not_applicable</v>
      </c>
      <c r="K2" s="8" t="str">
        <f t="shared" ref="K2:K19" si="3">IF(AND(OR(D2="retain",D2=""),OR(E2="report_internal_inconsistency",E2="plan_material")),"","not_applicable")</f>
        <v>not_applicable</v>
      </c>
      <c r="L2" s="9" t="s">
        <v>526</v>
      </c>
      <c r="M2" s="3"/>
      <c r="N2" s="4"/>
      <c r="O2" s="4"/>
      <c r="P2" s="4"/>
      <c r="Q2" s="4"/>
      <c r="R2" s="9" t="s">
        <v>595</v>
      </c>
    </row>
    <row r="3" spans="1:18" ht="91.95" customHeight="1">
      <c r="A3" s="1" t="s">
        <v>134</v>
      </c>
      <c r="B3" s="1" t="s">
        <v>135</v>
      </c>
      <c r="C3" s="1" t="s">
        <v>136</v>
      </c>
      <c r="D3" s="8" t="s">
        <v>485</v>
      </c>
      <c r="E3" s="8" t="s">
        <v>66</v>
      </c>
      <c r="F3" s="8" t="s">
        <v>570</v>
      </c>
      <c r="G3" s="1" t="str">
        <f>IFERROR(IF(LEN(TRIM(CLEAN(SUBSTITUTE(Setup!$B$2,CHAR(160)," "))))=0,"CHECK REVIEWER ID",IF(OR(A3="",COUNTIF($A$2:$A$19,A3)&lt;&gt;1,LEFT(A3,LEN("2025::jama.2025.11178::"))&lt;&gt;"2025::jama.2025.11178::"),"CHECK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
        <v>512</v>
      </c>
      <c r="I3" s="8" t="s">
        <v>526</v>
      </c>
      <c r="J3" s="9" t="s">
        <v>534</v>
      </c>
      <c r="K3" s="8" t="str">
        <f t="shared" si="3"/>
        <v>not_applicable</v>
      </c>
      <c r="L3" s="9" t="str">
        <f t="shared" ref="L3:L19" si="4">IF(AND(OR(D3="retain",D3=""),E3="protocol_report"),"","not_applicable")</f>
        <v>not_applicable</v>
      </c>
      <c r="M3" s="1"/>
      <c r="N3" s="4"/>
      <c r="O3" s="4"/>
      <c r="P3" s="4"/>
      <c r="Q3" s="4"/>
      <c r="R3" s="9" t="s">
        <v>596</v>
      </c>
    </row>
    <row r="4" spans="1:18" ht="91.95" customHeight="1">
      <c r="A4" s="3" t="s">
        <v>137</v>
      </c>
      <c r="B4" s="3" t="s">
        <v>138</v>
      </c>
      <c r="C4" s="3" t="s">
        <v>139</v>
      </c>
      <c r="D4" s="8" t="s">
        <v>485</v>
      </c>
      <c r="E4" s="8" t="s">
        <v>66</v>
      </c>
      <c r="F4" s="8" t="s">
        <v>570</v>
      </c>
      <c r="G4" s="3" t="str">
        <f>IFERROR(IF(LEN(TRIM(CLEAN(SUBSTITUTE(Setup!$B$2,CHAR(160)," "))))=0,"CHECK REVIEWER ID",IF(OR(A4="",COUNTIF($A$2:$A$19,A4)&lt;&gt;1,LEFT(A4,LEN("2025::jama.2025.11178::"))&lt;&gt;"2025::jama.2025.11178::"),"CHECK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
        <v>512</v>
      </c>
      <c r="I4" s="8" t="s">
        <v>524</v>
      </c>
      <c r="J4" s="9" t="s">
        <v>532</v>
      </c>
      <c r="K4" s="8" t="str">
        <f t="shared" si="3"/>
        <v>not_applicable</v>
      </c>
      <c r="L4" s="9" t="str">
        <f t="shared" si="4"/>
        <v>not_applicable</v>
      </c>
      <c r="M4" s="3"/>
      <c r="N4" s="4"/>
      <c r="O4" s="4"/>
      <c r="P4" s="4"/>
      <c r="Q4" s="4"/>
      <c r="R4" s="9" t="s">
        <v>597</v>
      </c>
    </row>
    <row r="5" spans="1:18" ht="91.95" customHeight="1">
      <c r="A5" s="1" t="s">
        <v>140</v>
      </c>
      <c r="B5" s="1" t="s">
        <v>141</v>
      </c>
      <c r="C5" s="1" t="s">
        <v>142</v>
      </c>
      <c r="D5" s="8" t="s">
        <v>485</v>
      </c>
      <c r="E5" s="8" t="s">
        <v>66</v>
      </c>
      <c r="F5" s="8" t="s">
        <v>570</v>
      </c>
      <c r="G5" s="1" t="str">
        <f>IFERROR(IF(LEN(TRIM(CLEAN(SUBSTITUTE(Setup!$B$2,CHAR(160)," "))))=0,"CHECK REVIEWER ID",IF(OR(A5="",COUNTIF($A$2:$A$19,A5)&lt;&gt;1,LEFT(A5,LEN("2025::jama.2025.11178::"))&lt;&gt;"2025::jama.2025.11178::"),"CHECK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
        <v>514</v>
      </c>
      <c r="I5" s="8" t="s">
        <v>526</v>
      </c>
      <c r="J5" s="9" t="s">
        <v>534</v>
      </c>
      <c r="K5" s="8" t="str">
        <f t="shared" si="3"/>
        <v>not_applicable</v>
      </c>
      <c r="L5" s="9" t="str">
        <f t="shared" si="4"/>
        <v>not_applicable</v>
      </c>
      <c r="M5" s="1"/>
      <c r="N5" s="4"/>
      <c r="O5" s="4"/>
      <c r="P5" s="4"/>
      <c r="Q5" s="4"/>
      <c r="R5" s="9" t="s">
        <v>598</v>
      </c>
    </row>
    <row r="6" spans="1:18" ht="91.95" customHeight="1">
      <c r="A6" s="3" t="s">
        <v>143</v>
      </c>
      <c r="B6" s="3" t="s">
        <v>144</v>
      </c>
      <c r="C6" s="3" t="s">
        <v>145</v>
      </c>
      <c r="D6" s="8" t="s">
        <v>485</v>
      </c>
      <c r="E6" s="8" t="s">
        <v>71</v>
      </c>
      <c r="F6" s="8" t="s">
        <v>570</v>
      </c>
      <c r="G6" s="3" t="str">
        <f>IFERROR(IF(LEN(TRIM(CLEAN(SUBSTITUTE(Setup!$B$2,CHAR(160)," "))))=0,"CHECK REVIEWER ID",IF(OR(A6="",COUNTIF($A$2:$A$19,A6)&lt;&gt;1,LEFT(A6,LEN("2025::jama.2025.11178::"))&lt;&gt;"2025::jama.2025.11178::"),"CHECK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0"/>
        <v>not_applicable</v>
      </c>
      <c r="I6" s="8" t="str">
        <f t="shared" si="1"/>
        <v>not_applicable</v>
      </c>
      <c r="J6" s="9" t="str">
        <f t="shared" si="2"/>
        <v>not_applicable</v>
      </c>
      <c r="K6" s="8" t="str">
        <f t="shared" si="3"/>
        <v>not_applicable</v>
      </c>
      <c r="L6" s="9" t="s">
        <v>554</v>
      </c>
      <c r="M6" s="3"/>
      <c r="N6" s="4"/>
      <c r="O6" s="4"/>
      <c r="P6" s="4"/>
      <c r="Q6" s="4"/>
      <c r="R6" s="9" t="s">
        <v>599</v>
      </c>
    </row>
    <row r="7" spans="1:18" ht="91.95" customHeight="1">
      <c r="A7" s="1" t="s">
        <v>146</v>
      </c>
      <c r="B7" s="1" t="s">
        <v>147</v>
      </c>
      <c r="C7" s="1" t="s">
        <v>148</v>
      </c>
      <c r="D7" s="8" t="s">
        <v>485</v>
      </c>
      <c r="E7" s="8" t="s">
        <v>71</v>
      </c>
      <c r="F7" s="8" t="s">
        <v>570</v>
      </c>
      <c r="G7" s="1" t="str">
        <f>IFERROR(IF(LEN(TRIM(CLEAN(SUBSTITUTE(Setup!$B$2,CHAR(160)," "))))=0,"CHECK REVIEWER ID",IF(OR(A7="",COUNTIF($A$2:$A$19,A7)&lt;&gt;1,LEFT(A7,LEN("2025::jama.2025.11178::"))&lt;&gt;"2025::jama.2025.11178::"),"CHECK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tr">
        <f t="shared" si="0"/>
        <v>not_applicable</v>
      </c>
      <c r="I7" s="8" t="str">
        <f t="shared" si="1"/>
        <v>not_applicable</v>
      </c>
      <c r="J7" s="9" t="str">
        <f t="shared" si="2"/>
        <v>not_applicable</v>
      </c>
      <c r="K7" s="8" t="str">
        <f t="shared" si="3"/>
        <v>not_applicable</v>
      </c>
      <c r="L7" s="9" t="s">
        <v>526</v>
      </c>
      <c r="M7" s="1"/>
      <c r="N7" s="4"/>
      <c r="O7" s="4"/>
      <c r="P7" s="4"/>
      <c r="Q7" s="4"/>
      <c r="R7" s="9" t="s">
        <v>600</v>
      </c>
    </row>
    <row r="8" spans="1:18" ht="91.95" customHeight="1">
      <c r="A8" s="3" t="s">
        <v>149</v>
      </c>
      <c r="B8" s="3" t="s">
        <v>150</v>
      </c>
      <c r="C8" s="3" t="s">
        <v>151</v>
      </c>
      <c r="D8" s="8" t="s">
        <v>485</v>
      </c>
      <c r="E8" s="8" t="s">
        <v>71</v>
      </c>
      <c r="F8" s="8" t="s">
        <v>570</v>
      </c>
      <c r="G8" s="3" t="str">
        <f>IFERROR(IF(LEN(TRIM(CLEAN(SUBSTITUTE(Setup!$B$2,CHAR(160)," "))))=0,"CHECK REVIEWER ID",IF(OR(A8="",COUNTIF($A$2:$A$19,A8)&lt;&gt;1,LEFT(A8,LEN("2025::jama.2025.11178::"))&lt;&gt;"2025::jama.2025.11178::"),"CHECK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PRIMARY READY</v>
      </c>
      <c r="H8" s="8" t="str">
        <f t="shared" si="0"/>
        <v>not_applicable</v>
      </c>
      <c r="I8" s="8" t="str">
        <f t="shared" si="1"/>
        <v>not_applicable</v>
      </c>
      <c r="J8" s="9" t="str">
        <f t="shared" si="2"/>
        <v>not_applicable</v>
      </c>
      <c r="K8" s="8" t="str">
        <f t="shared" si="3"/>
        <v>not_applicable</v>
      </c>
      <c r="L8" s="9" t="s">
        <v>554</v>
      </c>
      <c r="M8" s="3"/>
      <c r="N8" s="4"/>
      <c r="O8" s="4"/>
      <c r="P8" s="4"/>
      <c r="Q8" s="4"/>
      <c r="R8" s="9" t="s">
        <v>601</v>
      </c>
    </row>
    <row r="9" spans="1:18" ht="91.95" customHeight="1">
      <c r="A9" s="1" t="s">
        <v>152</v>
      </c>
      <c r="B9" s="1" t="s">
        <v>153</v>
      </c>
      <c r="C9" s="1" t="s">
        <v>154</v>
      </c>
      <c r="D9" s="8" t="s">
        <v>485</v>
      </c>
      <c r="E9" s="8" t="s">
        <v>66</v>
      </c>
      <c r="F9" s="8" t="s">
        <v>570</v>
      </c>
      <c r="G9" s="1" t="str">
        <f>IFERROR(IF(LEN(TRIM(CLEAN(SUBSTITUTE(Setup!$B$2,CHAR(160)," "))))=0,"CHECK REVIEWER ID",IF(OR(A9="",COUNTIF($A$2:$A$19,A9)&lt;&gt;1,LEFT(A9,LEN("2025::jama.2025.11178::"))&lt;&gt;"2025::jama.2025.11178::"),"CHECK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PRIMARY READY</v>
      </c>
      <c r="H9" s="8" t="s">
        <v>512</v>
      </c>
      <c r="I9" s="8" t="s">
        <v>524</v>
      </c>
      <c r="J9" s="9" t="s">
        <v>536</v>
      </c>
      <c r="K9" s="8" t="str">
        <f t="shared" si="3"/>
        <v>not_applicable</v>
      </c>
      <c r="L9" s="9" t="str">
        <f t="shared" si="4"/>
        <v>not_applicable</v>
      </c>
      <c r="M9" s="1"/>
      <c r="N9" s="4"/>
      <c r="O9" s="4"/>
      <c r="P9" s="4"/>
      <c r="Q9" s="4"/>
      <c r="R9" s="9" t="s">
        <v>604</v>
      </c>
    </row>
    <row r="10" spans="1:18" ht="91.95" customHeight="1">
      <c r="A10" s="3" t="s">
        <v>155</v>
      </c>
      <c r="B10" s="3" t="s">
        <v>156</v>
      </c>
      <c r="C10" s="3" t="s">
        <v>157</v>
      </c>
      <c r="D10" s="8" t="s">
        <v>485</v>
      </c>
      <c r="E10" s="8" t="s">
        <v>66</v>
      </c>
      <c r="F10" s="8" t="s">
        <v>570</v>
      </c>
      <c r="G10" s="3" t="str">
        <f>IFERROR(IF(LEN(TRIM(CLEAN(SUBSTITUTE(Setup!$B$2,CHAR(160)," "))))=0,"CHECK REVIEWER ID",IF(OR(A10="",COUNTIF($A$2:$A$19,A10)&lt;&gt;1,LEFT(A10,LEN("2025::jama.2025.11178::"))&lt;&gt;"2025::jama.2025.11178::"),"CHECK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PRIMARY READY</v>
      </c>
      <c r="H10" s="8" t="s">
        <v>512</v>
      </c>
      <c r="I10" s="8" t="s">
        <v>524</v>
      </c>
      <c r="J10" s="9" t="s">
        <v>532</v>
      </c>
      <c r="K10" s="8" t="str">
        <f t="shared" si="3"/>
        <v>not_applicable</v>
      </c>
      <c r="L10" s="9" t="str">
        <f t="shared" si="4"/>
        <v>not_applicable</v>
      </c>
      <c r="M10" s="3"/>
      <c r="N10" s="4"/>
      <c r="O10" s="4"/>
      <c r="P10" s="4"/>
      <c r="Q10" s="4"/>
      <c r="R10" s="9" t="s">
        <v>606</v>
      </c>
    </row>
    <row r="11" spans="1:18" ht="91.95" customHeight="1">
      <c r="A11" s="1" t="s">
        <v>158</v>
      </c>
      <c r="B11" s="1" t="s">
        <v>159</v>
      </c>
      <c r="C11" s="1" t="s">
        <v>160</v>
      </c>
      <c r="D11" s="8" t="s">
        <v>485</v>
      </c>
      <c r="E11" s="8" t="s">
        <v>66</v>
      </c>
      <c r="F11" s="8" t="s">
        <v>570</v>
      </c>
      <c r="G11" s="1" t="str">
        <f>IFERROR(IF(LEN(TRIM(CLEAN(SUBSTITUTE(Setup!$B$2,CHAR(160)," "))))=0,"CHECK REVIEWER ID",IF(OR(A11="",COUNTIF($A$2:$A$19,A11)&lt;&gt;1,LEFT(A11,LEN("2025::jama.2025.11178::"))&lt;&gt;"2025::jama.2025.11178::"),"CHECK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PRIMARY READY</v>
      </c>
      <c r="H11" s="8" t="s">
        <v>512</v>
      </c>
      <c r="I11" s="8" t="s">
        <v>524</v>
      </c>
      <c r="J11" s="9" t="s">
        <v>532</v>
      </c>
      <c r="K11" s="8" t="str">
        <f t="shared" si="3"/>
        <v>not_applicable</v>
      </c>
      <c r="L11" s="9" t="str">
        <f t="shared" si="4"/>
        <v>not_applicable</v>
      </c>
      <c r="M11" s="1"/>
      <c r="N11" s="4"/>
      <c r="O11" s="4"/>
      <c r="P11" s="4"/>
      <c r="Q11" s="4"/>
      <c r="R11" s="9" t="s">
        <v>608</v>
      </c>
    </row>
    <row r="12" spans="1:18" ht="91.95" customHeight="1">
      <c r="A12" s="3" t="s">
        <v>161</v>
      </c>
      <c r="B12" s="3" t="s">
        <v>162</v>
      </c>
      <c r="C12" s="3" t="s">
        <v>163</v>
      </c>
      <c r="D12" s="8" t="s">
        <v>485</v>
      </c>
      <c r="E12" s="8" t="s">
        <v>66</v>
      </c>
      <c r="F12" s="8" t="s">
        <v>570</v>
      </c>
      <c r="G12" s="3" t="str">
        <f>IFERROR(IF(LEN(TRIM(CLEAN(SUBSTITUTE(Setup!$B$2,CHAR(160)," "))))=0,"CHECK REVIEWER ID",IF(OR(A12="",COUNTIF($A$2:$A$19,A12)&lt;&gt;1,LEFT(A12,LEN("2025::jama.2025.11178::"))&lt;&gt;"2025::jama.2025.11178::"),"CHECK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PRIMARY READY</v>
      </c>
      <c r="H12" s="8" t="s">
        <v>512</v>
      </c>
      <c r="I12" s="8" t="s">
        <v>524</v>
      </c>
      <c r="J12" s="9" t="s">
        <v>536</v>
      </c>
      <c r="K12" s="8" t="str">
        <f t="shared" si="3"/>
        <v>not_applicable</v>
      </c>
      <c r="L12" s="9" t="str">
        <f t="shared" si="4"/>
        <v>not_applicable</v>
      </c>
      <c r="M12" s="3"/>
      <c r="N12" s="4"/>
      <c r="O12" s="4"/>
      <c r="P12" s="4"/>
      <c r="Q12" s="4"/>
      <c r="R12" s="9" t="s">
        <v>610</v>
      </c>
    </row>
    <row r="13" spans="1:18" ht="91.95" customHeight="1">
      <c r="A13" s="1" t="s">
        <v>164</v>
      </c>
      <c r="B13" s="1" t="s">
        <v>165</v>
      </c>
      <c r="C13" s="1" t="s">
        <v>166</v>
      </c>
      <c r="D13" s="8" t="s">
        <v>485</v>
      </c>
      <c r="E13" s="8" t="s">
        <v>66</v>
      </c>
      <c r="F13" s="8" t="s">
        <v>570</v>
      </c>
      <c r="G13" s="1" t="str">
        <f>IFERROR(IF(LEN(TRIM(CLEAN(SUBSTITUTE(Setup!$B$2,CHAR(160)," "))))=0,"CHECK REVIEWER ID",IF(OR(A13="",COUNTIF($A$2:$A$19,A13)&lt;&gt;1,LEFT(A13,LEN("2025::jama.2025.11178::"))&lt;&gt;"2025::jama.2025.11178::"),"CHECK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PRIMARY READY</v>
      </c>
      <c r="H13" s="8" t="s">
        <v>512</v>
      </c>
      <c r="I13" s="8" t="s">
        <v>524</v>
      </c>
      <c r="J13" s="9" t="s">
        <v>534</v>
      </c>
      <c r="K13" s="8" t="str">
        <f t="shared" si="3"/>
        <v>not_applicable</v>
      </c>
      <c r="L13" s="9" t="str">
        <f t="shared" si="4"/>
        <v>not_applicable</v>
      </c>
      <c r="M13" s="1"/>
      <c r="N13" s="4"/>
      <c r="O13" s="4"/>
      <c r="P13" s="4"/>
      <c r="Q13" s="4"/>
      <c r="R13" s="9"/>
    </row>
    <row r="14" spans="1:18" ht="91.95" customHeight="1">
      <c r="A14" s="3" t="s">
        <v>167</v>
      </c>
      <c r="B14" s="3" t="s">
        <v>168</v>
      </c>
      <c r="C14" s="3" t="s">
        <v>169</v>
      </c>
      <c r="D14" s="8" t="s">
        <v>485</v>
      </c>
      <c r="E14" s="8" t="s">
        <v>66</v>
      </c>
      <c r="F14" s="8" t="s">
        <v>570</v>
      </c>
      <c r="G14" s="3" t="str">
        <f>IFERROR(IF(LEN(TRIM(CLEAN(SUBSTITUTE(Setup!$B$2,CHAR(160)," "))))=0,"CHECK REVIEWER ID",IF(OR(A14="",COUNTIF($A$2:$A$19,A14)&lt;&gt;1,LEFT(A14,LEN("2025::jama.2025.11178::"))&lt;&gt;"2025::jama.2025.11178::"),"CHECK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PRIMARY READY</v>
      </c>
      <c r="H14" s="8" t="s">
        <v>512</v>
      </c>
      <c r="I14" s="8" t="s">
        <v>524</v>
      </c>
      <c r="J14" s="9" t="s">
        <v>534</v>
      </c>
      <c r="K14" s="8" t="str">
        <f t="shared" si="3"/>
        <v>not_applicable</v>
      </c>
      <c r="L14" s="9" t="str">
        <f t="shared" si="4"/>
        <v>not_applicable</v>
      </c>
      <c r="M14" s="3"/>
      <c r="N14" s="4"/>
      <c r="O14" s="4"/>
      <c r="P14" s="4"/>
      <c r="Q14" s="4"/>
      <c r="R14" s="9"/>
    </row>
    <row r="15" spans="1:18" ht="91.95" customHeight="1">
      <c r="A15" s="1" t="s">
        <v>170</v>
      </c>
      <c r="B15" s="1" t="s">
        <v>171</v>
      </c>
      <c r="C15" s="1" t="s">
        <v>172</v>
      </c>
      <c r="D15" s="8" t="s">
        <v>485</v>
      </c>
      <c r="E15" s="8" t="s">
        <v>66</v>
      </c>
      <c r="F15" s="8" t="s">
        <v>570</v>
      </c>
      <c r="G15" s="1" t="str">
        <f>IFERROR(IF(LEN(TRIM(CLEAN(SUBSTITUTE(Setup!$B$2,CHAR(160)," "))))=0,"CHECK REVIEWER ID",IF(OR(A15="",COUNTIF($A$2:$A$19,A15)&lt;&gt;1,LEFT(A15,LEN("2025::jama.2025.11178::"))&lt;&gt;"2025::jama.2025.11178::"),"CHECK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PRIMARY READY</v>
      </c>
      <c r="H15" s="8" t="s">
        <v>512</v>
      </c>
      <c r="I15" s="8" t="s">
        <v>524</v>
      </c>
      <c r="J15" s="9" t="s">
        <v>532</v>
      </c>
      <c r="K15" s="8" t="str">
        <f t="shared" si="3"/>
        <v>not_applicable</v>
      </c>
      <c r="L15" s="9" t="str">
        <f t="shared" si="4"/>
        <v>not_applicable</v>
      </c>
      <c r="M15" s="1"/>
      <c r="N15" s="4"/>
      <c r="O15" s="4"/>
      <c r="P15" s="4"/>
      <c r="Q15" s="4"/>
      <c r="R15" s="9" t="s">
        <v>609</v>
      </c>
    </row>
    <row r="16" spans="1:18" ht="91.95" customHeight="1">
      <c r="A16" s="3" t="s">
        <v>173</v>
      </c>
      <c r="B16" s="3" t="s">
        <v>174</v>
      </c>
      <c r="C16" s="3" t="s">
        <v>175</v>
      </c>
      <c r="D16" s="8" t="s">
        <v>485</v>
      </c>
      <c r="E16" s="8" t="s">
        <v>66</v>
      </c>
      <c r="F16" s="8" t="s">
        <v>570</v>
      </c>
      <c r="G16" s="3" t="str">
        <f>IFERROR(IF(LEN(TRIM(CLEAN(SUBSTITUTE(Setup!$B$2,CHAR(160)," "))))=0,"CHECK REVIEWER ID",IF(OR(A16="",COUNTIF($A$2:$A$19,A16)&lt;&gt;1,LEFT(A16,LEN("2025::jama.2025.11178::"))&lt;&gt;"2025::jama.2025.11178::"),"CHECK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PRIMARY READY</v>
      </c>
      <c r="H16" s="8" t="s">
        <v>512</v>
      </c>
      <c r="I16" s="8" t="s">
        <v>524</v>
      </c>
      <c r="J16" s="9" t="s">
        <v>532</v>
      </c>
      <c r="K16" s="8" t="str">
        <f t="shared" si="3"/>
        <v>not_applicable</v>
      </c>
      <c r="L16" s="9" t="str">
        <f t="shared" si="4"/>
        <v>not_applicable</v>
      </c>
      <c r="M16" s="3"/>
      <c r="N16" s="4"/>
      <c r="O16" s="4"/>
      <c r="P16" s="4"/>
      <c r="Q16" s="4"/>
      <c r="R16" s="9" t="s">
        <v>607</v>
      </c>
    </row>
    <row r="17" spans="1:18" ht="91.95" customHeight="1">
      <c r="A17" s="1" t="s">
        <v>176</v>
      </c>
      <c r="B17" s="1" t="s">
        <v>177</v>
      </c>
      <c r="C17" s="1" t="s">
        <v>178</v>
      </c>
      <c r="D17" s="8" t="s">
        <v>485</v>
      </c>
      <c r="E17" s="8" t="s">
        <v>66</v>
      </c>
      <c r="F17" s="8" t="s">
        <v>570</v>
      </c>
      <c r="G17" s="1" t="str">
        <f>IFERROR(IF(LEN(TRIM(CLEAN(SUBSTITUTE(Setup!$B$2,CHAR(160)," "))))=0,"CHECK REVIEWER ID",IF(OR(A17="",COUNTIF($A$2:$A$19,A17)&lt;&gt;1,LEFT(A17,LEN("2025::jama.2025.11178::"))&lt;&gt;"2025::jama.2025.11178::"),"CHECK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PRIMARY READY</v>
      </c>
      <c r="H17" s="8" t="s">
        <v>512</v>
      </c>
      <c r="I17" s="8" t="s">
        <v>524</v>
      </c>
      <c r="J17" s="9" t="s">
        <v>532</v>
      </c>
      <c r="K17" s="8" t="str">
        <f t="shared" si="3"/>
        <v>not_applicable</v>
      </c>
      <c r="L17" s="9" t="str">
        <f t="shared" si="4"/>
        <v>not_applicable</v>
      </c>
      <c r="M17" s="1"/>
      <c r="N17" s="4"/>
      <c r="O17" s="4"/>
      <c r="P17" s="4"/>
      <c r="Q17" s="4"/>
      <c r="R17" s="9" t="s">
        <v>605</v>
      </c>
    </row>
    <row r="18" spans="1:18" ht="91.95" customHeight="1">
      <c r="A18" s="3" t="s">
        <v>179</v>
      </c>
      <c r="B18" s="3" t="s">
        <v>180</v>
      </c>
      <c r="C18" s="3" t="s">
        <v>181</v>
      </c>
      <c r="D18" s="8" t="s">
        <v>485</v>
      </c>
      <c r="E18" s="8" t="s">
        <v>66</v>
      </c>
      <c r="F18" s="8" t="s">
        <v>570</v>
      </c>
      <c r="G18" s="3" t="str">
        <f>IFERROR(IF(LEN(TRIM(CLEAN(SUBSTITUTE(Setup!$B$2,CHAR(160)," "))))=0,"CHECK REVIEWER ID",IF(OR(A18="",COUNTIF($A$2:$A$19,A18)&lt;&gt;1,LEFT(A18,LEN("2025::jama.2025.11178::"))&lt;&gt;"2025::jama.2025.11178::"),"CHECK KEY",IF(OR(AND(NOT(AND(D18="retain",E18="statistical_results")),H18&lt;&gt;"",NOT(EXACT(H18,"not_applicable"))),AND(NOT(AND(D18="retain",E18="statistical_results")),I18&lt;&gt;"",NOT(EXACT(I18,"not_applicable"))),AND(NOT(AND(D18="retain",E18="statistical_results")),J18&lt;&gt;"",NOT(EXACT(J18,"not_applicable"))),AND(NOT(AND(D18="retain",OR(E18="report_internal_inconsistency",E18="plan_material"))),K18&lt;&gt;"",NOT(EXACT(K18,"not_applicable"))),AND(NOT(AND(D18="retain",E18="protocol_report")),L18&lt;&gt;"",NOT(EXACT(L18,"not_applicable")))),"CLEAR INACTIVE VALUES",IF(OR(NOT(OR(EXACT(D18,"retain"),EXACT(D18,"exclude"),EXACT(D18,"discuss"))),NOT(OR(EXACT(E18,"statistical_results"),EXACT(E18,"report_internal_inconsistency"),EXACT(E18,"plan_material"),EXACT(E18,"protocol_report"))),AND(AND(D18="retain",E18="statistical_results"),NOT(OR(EXACT(H18,"confirmed_issue"),EXACT(H18,"probable_issue"),EXACT(H18,"not_issue"),EXACT(H18,"indeterminate")))),AND(AND(D18="retain",E18="statistical_results"),NOT(OR(EXACT(I18,"substantive"),EXACT(I18,"minor_presentation"),EXACT(I18,"indeterminate")))),AND(AND(D18="retain",E18="statistical_results"),J18&lt;&gt;"",NOT(OR(EXACT(J18,"direct"),EXACT(J18,"possible"),EXACT(J18,"unlikely"),EXACT(J18,"unknown")))),AND(AND(D18="retain",OR(E18="report_internal_inconsistency",E18="plan_material")),NOT(OR(EXACT(K18,"substantive_inconsistency"),EXACT(K18,"minor_presentation"),EXACT(K18,"non_inconsistency"),EXACT(K18,"indeterminate")))),AND(AND(D18="retain",E18="protocol_report"),L18&lt;&gt;"",NOT(OR(EXACT(L18,"substantive_difference"),EXACT(L18,"minor_presentation"),EXACT(L18,"version_timing"),EXACT(L18,"non_inconsistency"),EXACT(L18,"indeterminate"))))),"CHECK FIELDS",IF(AND(F18&lt;&gt;"",NOT(OR(EXACT(F18,"no"),EXACT(F18,"primary_done")))),"CHECK COMPLETE",IF(EXACT(F18,"primary_done"),"PRIMARY READY","PRIMARY DRAFT")))))),"CHECK INPUT / KEY")</f>
        <v>PRIMARY READY</v>
      </c>
      <c r="H18" s="8" t="s">
        <v>512</v>
      </c>
      <c r="I18" s="8" t="s">
        <v>524</v>
      </c>
      <c r="J18" s="9" t="s">
        <v>534</v>
      </c>
      <c r="K18" s="8" t="str">
        <f t="shared" si="3"/>
        <v>not_applicable</v>
      </c>
      <c r="L18" s="9" t="str">
        <f t="shared" si="4"/>
        <v>not_applicable</v>
      </c>
      <c r="M18" s="3"/>
      <c r="N18" s="4"/>
      <c r="O18" s="4"/>
      <c r="P18" s="4"/>
      <c r="Q18" s="4"/>
      <c r="R18" s="9" t="s">
        <v>603</v>
      </c>
    </row>
    <row r="19" spans="1:18" ht="91.95" customHeight="1">
      <c r="A19" s="1" t="s">
        <v>182</v>
      </c>
      <c r="B19" s="1" t="s">
        <v>183</v>
      </c>
      <c r="C19" s="1" t="s">
        <v>184</v>
      </c>
      <c r="D19" s="8" t="s">
        <v>485</v>
      </c>
      <c r="E19" s="8" t="s">
        <v>66</v>
      </c>
      <c r="F19" s="8" t="s">
        <v>570</v>
      </c>
      <c r="G19" s="1" t="str">
        <f>IFERROR(IF(LEN(TRIM(CLEAN(SUBSTITUTE(Setup!$B$2,CHAR(160)," "))))=0,"CHECK REVIEWER ID",IF(OR(A19="",COUNTIF($A$2:$A$19,A19)&lt;&gt;1,LEFT(A19,LEN("2025::jama.2025.11178::"))&lt;&gt;"2025::jama.2025.11178::"),"CHECK KEY",IF(OR(AND(NOT(AND(D19="retain",E19="statistical_results")),H19&lt;&gt;"",NOT(EXACT(H19,"not_applicable"))),AND(NOT(AND(D19="retain",E19="statistical_results")),I19&lt;&gt;"",NOT(EXACT(I19,"not_applicable"))),AND(NOT(AND(D19="retain",E19="statistical_results")),J19&lt;&gt;"",NOT(EXACT(J19,"not_applicable"))),AND(NOT(AND(D19="retain",OR(E19="report_internal_inconsistency",E19="plan_material"))),K19&lt;&gt;"",NOT(EXACT(K19,"not_applicable"))),AND(NOT(AND(D19="retain",E19="protocol_report")),L19&lt;&gt;"",NOT(EXACT(L19,"not_applicable")))),"CLEAR INACTIVE VALUES",IF(OR(NOT(OR(EXACT(D19,"retain"),EXACT(D19,"exclude"),EXACT(D19,"discuss"))),NOT(OR(EXACT(E19,"statistical_results"),EXACT(E19,"report_internal_inconsistency"),EXACT(E19,"plan_material"),EXACT(E19,"protocol_report"))),AND(AND(D19="retain",E19="statistical_results"),NOT(OR(EXACT(H19,"confirmed_issue"),EXACT(H19,"probable_issue"),EXACT(H19,"not_issue"),EXACT(H19,"indeterminate")))),AND(AND(D19="retain",E19="statistical_results"),NOT(OR(EXACT(I19,"substantive"),EXACT(I19,"minor_presentation"),EXACT(I19,"indeterminate")))),AND(AND(D19="retain",E19="statistical_results"),J19&lt;&gt;"",NOT(OR(EXACT(J19,"direct"),EXACT(J19,"possible"),EXACT(J19,"unlikely"),EXACT(J19,"unknown")))),AND(AND(D19="retain",OR(E19="report_internal_inconsistency",E19="plan_material")),NOT(OR(EXACT(K19,"substantive_inconsistency"),EXACT(K19,"minor_presentation"),EXACT(K19,"non_inconsistency"),EXACT(K19,"indeterminate")))),AND(AND(D19="retain",E19="protocol_report"),L19&lt;&gt;"",NOT(OR(EXACT(L19,"substantive_difference"),EXACT(L19,"minor_presentation"),EXACT(L19,"version_timing"),EXACT(L19,"non_inconsistency"),EXACT(L19,"indeterminate"))))),"CHECK FIELDS",IF(AND(F19&lt;&gt;"",NOT(OR(EXACT(F19,"no"),EXACT(F19,"primary_done")))),"CHECK COMPLETE",IF(EXACT(F19,"primary_done"),"PRIMARY READY","PRIMARY DRAFT")))))),"CHECK INPUT / KEY")</f>
        <v>PRIMARY READY</v>
      </c>
      <c r="H19" s="8" t="s">
        <v>512</v>
      </c>
      <c r="I19" s="8" t="s">
        <v>524</v>
      </c>
      <c r="J19" s="9" t="s">
        <v>536</v>
      </c>
      <c r="K19" s="8" t="str">
        <f t="shared" si="3"/>
        <v>not_applicable</v>
      </c>
      <c r="L19" s="9" t="str">
        <f t="shared" si="4"/>
        <v>not_applicable</v>
      </c>
      <c r="M19" s="1"/>
      <c r="N19" s="4"/>
      <c r="O19" s="4"/>
      <c r="P19" s="4"/>
      <c r="Q19" s="4"/>
      <c r="R19" s="9" t="s">
        <v>602</v>
      </c>
    </row>
  </sheetData>
  <autoFilter ref="A1:R19" xr:uid="{00000000-0009-0000-0000-000005000000}"/>
  <phoneticPr fontId="5" type="noConversion"/>
  <conditionalFormatting sqref="G2:G19">
    <cfRule type="expression" dxfId="51" priority="13">
      <formula>G2&lt;&gt;"PRIMARY READY"</formula>
    </cfRule>
  </conditionalFormatting>
  <conditionalFormatting sqref="H2:J19">
    <cfRule type="expression" dxfId="50" priority="8">
      <formula>NOT(AND(OR($D2="retain",$D2=""),$E2="statistical_results"))</formula>
    </cfRule>
  </conditionalFormatting>
  <conditionalFormatting sqref="K2:K19">
    <cfRule type="expression" dxfId="49" priority="11">
      <formula>NOT(AND(OR($D2="retain",$D2=""),OR($E2="report_internal_inconsistency",$E2="plan_material")))</formula>
    </cfRule>
  </conditionalFormatting>
  <conditionalFormatting sqref="L2:L19">
    <cfRule type="expression" dxfId="48" priority="12">
      <formula>NOT(AND(OR($D2="retain",$D2=""),$E2="protocol_report"))</formula>
    </cfRule>
  </conditionalFormatting>
  <dataValidations count="8">
    <dataValidation type="list" allowBlank="1" showErrorMessage="1" errorTitle="Use a listed option" error="Choose an option; G also checks pasted entries." sqref="D2:D19" xr:uid="{00000000-0002-0000-0500-000000000000}">
      <formula1>"retain,exclude,discuss"</formula1>
    </dataValidation>
    <dataValidation type="list" allowBlank="1" showErrorMessage="1" errorTitle="Use a listed option" error="Choose an option; G also checks pasted entries." sqref="E2:E19" xr:uid="{00000000-0002-0000-0500-000001000000}">
      <formula1>"statistical_results,report_internal_inconsistency,plan_material,protocol_report"</formula1>
    </dataValidation>
    <dataValidation type="list" allowBlank="1" showErrorMessage="1" errorTitle="Use a listed option" error="Choose an option; G also checks pasted entries." sqref="F2:F19" xr:uid="{00000000-0002-0000-0500-000002000000}">
      <formula1>"no,primary_done"</formula1>
    </dataValidation>
    <dataValidation type="list" allowBlank="1" showErrorMessage="1" errorTitle="Use a listed option" error="Choose an option; G also checks pasted entries." sqref="H2:H19" xr:uid="{00000000-0002-0000-0500-000003000000}">
      <formula1>"confirmed_issue,probable_issue,not_issue,indeterminate,not_applicable"</formula1>
    </dataValidation>
    <dataValidation type="list" allowBlank="1" showErrorMessage="1" errorTitle="Use a listed option" error="Choose an option; G also checks pasted entries." sqref="I2:I19" xr:uid="{00000000-0002-0000-0500-000004000000}">
      <formula1>"substantive,minor_presentation,indeterminate,not_applicable"</formula1>
    </dataValidation>
    <dataValidation type="list" allowBlank="1" showErrorMessage="1" errorTitle="Use a listed option" error="Choose an option; G also checks pasted entries." sqref="J2:J19" xr:uid="{00000000-0002-0000-0500-000005000000}">
      <formula1>"direct,possible,unlikely,unknown,not_applicable"</formula1>
    </dataValidation>
    <dataValidation type="list" allowBlank="1" showErrorMessage="1" errorTitle="Use a listed option" error="Choose an option; G also checks pasted entries." sqref="K2:K19" xr:uid="{00000000-0002-0000-0500-000006000000}">
      <formula1>"substantive_inconsistency,minor_presentation,non_inconsistency,indeterminate,not_applicable"</formula1>
    </dataValidation>
    <dataValidation type="list" allowBlank="1" showErrorMessage="1" errorTitle="Use a listed option" error="Choose an option; G also checks pasted entries." sqref="L2:L19" xr:uid="{00000000-0002-0000-0500-000007000000}">
      <formula1>"substantive_difference,minor_presentation,version_timing,non_inconsistency,indeterminate,not_applicable"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7"/>
  <sheetViews>
    <sheetView workbookViewId="0">
      <pane xSplit="1" ySplit="1" topLeftCell="B2" activePane="bottomRight" state="frozen"/>
      <selection pane="topRight"/>
      <selection pane="bottomLeft"/>
      <selection pane="bottomRight" activeCell="F5" sqref="F5"/>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185</v>
      </c>
      <c r="B2" s="3" t="s">
        <v>186</v>
      </c>
      <c r="C2" s="3" t="s">
        <v>187</v>
      </c>
      <c r="D2" s="8" t="s">
        <v>485</v>
      </c>
      <c r="E2" s="8" t="s">
        <v>66</v>
      </c>
      <c r="F2" s="8" t="s">
        <v>570</v>
      </c>
      <c r="G2" s="3" t="str">
        <f>IFERROR(IF(LEN(TRIM(CLEAN(SUBSTITUTE(Setup!$B$2,CHAR(160)," "))))=0,"CHECK REVIEWER ID",IF(OR(A2="",COUNTIF($A$2:$A$7,A2)&lt;&gt;1,LEFT(A2,LEN("2025::jama.2025.15185::"))&lt;&gt;"2025::jama.2025.15185::"),"CHECK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
        <v>512</v>
      </c>
      <c r="I2" s="8" t="s">
        <v>524</v>
      </c>
      <c r="J2" s="9" t="s">
        <v>534</v>
      </c>
      <c r="K2" s="8" t="str">
        <f t="shared" ref="K2:K7" si="0">IF(AND(OR(D2="retain",D2=""),OR(E2="report_internal_inconsistency",E2="plan_material")),"","not_applicable")</f>
        <v>not_applicable</v>
      </c>
      <c r="L2" s="9" t="str">
        <f t="shared" ref="L2:L7" si="1">IF(AND(OR(D2="retain",D2=""),E2="protocol_report"),"","not_applicable")</f>
        <v>not_applicable</v>
      </c>
      <c r="M2" s="3"/>
      <c r="N2" s="4"/>
      <c r="O2" s="4"/>
      <c r="P2" s="4"/>
      <c r="Q2" s="4"/>
      <c r="R2" s="9" t="s">
        <v>611</v>
      </c>
    </row>
    <row r="3" spans="1:18" ht="91.95" customHeight="1">
      <c r="A3" s="1" t="s">
        <v>188</v>
      </c>
      <c r="B3" s="1" t="s">
        <v>189</v>
      </c>
      <c r="C3" s="1" t="s">
        <v>190</v>
      </c>
      <c r="D3" s="8" t="s">
        <v>485</v>
      </c>
      <c r="E3" s="8" t="s">
        <v>71</v>
      </c>
      <c r="F3" s="8" t="s">
        <v>570</v>
      </c>
      <c r="G3" s="1" t="str">
        <f>IFERROR(IF(LEN(TRIM(CLEAN(SUBSTITUTE(Setup!$B$2,CHAR(160)," "))))=0,"CHECK REVIEWER ID",IF(OR(A3="",COUNTIF($A$2:$A$7,A3)&lt;&gt;1,LEFT(A3,LEN("2025::jama.2025.15185::"))&lt;&gt;"2025::jama.2025.15185::"),"CHECK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 t="shared" ref="H3:H6" si="2">IF(AND(OR(D3="retain",D3=""),E3="statistical_results"),"","not_applicable")</f>
        <v>not_applicable</v>
      </c>
      <c r="I3" s="8" t="str">
        <f t="shared" ref="I3:I6" si="3">IF(AND(OR(D3="retain",D3=""),E3="statistical_results"),"","not_applicable")</f>
        <v>not_applicable</v>
      </c>
      <c r="J3" s="9" t="str">
        <f t="shared" ref="J3:J6" si="4">IF(AND(OR(D3="retain",D3=""),E3="statistical_results"),"","not_applicable")</f>
        <v>not_applicable</v>
      </c>
      <c r="K3" s="8" t="str">
        <f t="shared" si="0"/>
        <v>not_applicable</v>
      </c>
      <c r="L3" s="9" t="s">
        <v>554</v>
      </c>
      <c r="M3" s="1"/>
      <c r="N3" s="4"/>
      <c r="O3" s="4"/>
      <c r="P3" s="4"/>
      <c r="Q3" s="4"/>
      <c r="R3" s="9" t="s">
        <v>613</v>
      </c>
    </row>
    <row r="4" spans="1:18" ht="91.95" customHeight="1">
      <c r="A4" s="3" t="s">
        <v>191</v>
      </c>
      <c r="B4" s="3" t="s">
        <v>192</v>
      </c>
      <c r="C4" s="3" t="s">
        <v>193</v>
      </c>
      <c r="D4" s="8" t="s">
        <v>485</v>
      </c>
      <c r="E4" s="8" t="s">
        <v>71</v>
      </c>
      <c r="F4" s="8" t="s">
        <v>570</v>
      </c>
      <c r="G4" s="3" t="str">
        <f>IFERROR(IF(LEN(TRIM(CLEAN(SUBSTITUTE(Setup!$B$2,CHAR(160)," "))))=0,"CHECK REVIEWER ID",IF(OR(A4="",COUNTIF($A$2:$A$7,A4)&lt;&gt;1,LEFT(A4,LEN("2025::jama.2025.15185::"))&lt;&gt;"2025::jama.2025.15185::"),"CHECK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 t="shared" si="2"/>
        <v>not_applicable</v>
      </c>
      <c r="I4" s="8" t="str">
        <f t="shared" si="3"/>
        <v>not_applicable</v>
      </c>
      <c r="J4" s="9" t="str">
        <f t="shared" si="4"/>
        <v>not_applicable</v>
      </c>
      <c r="K4" s="8" t="str">
        <f t="shared" si="0"/>
        <v>not_applicable</v>
      </c>
      <c r="L4" s="9" t="s">
        <v>554</v>
      </c>
      <c r="M4" s="3"/>
      <c r="N4" s="4"/>
      <c r="O4" s="4"/>
      <c r="P4" s="4"/>
      <c r="Q4" s="4"/>
      <c r="R4" s="9" t="s">
        <v>614</v>
      </c>
    </row>
    <row r="5" spans="1:18" ht="91.95" customHeight="1">
      <c r="A5" s="1" t="s">
        <v>194</v>
      </c>
      <c r="B5" s="1" t="s">
        <v>195</v>
      </c>
      <c r="C5" s="1" t="s">
        <v>196</v>
      </c>
      <c r="D5" s="8" t="s">
        <v>485</v>
      </c>
      <c r="E5" s="8" t="s">
        <v>71</v>
      </c>
      <c r="F5" s="8" t="s">
        <v>570</v>
      </c>
      <c r="G5" s="1" t="str">
        <f>IFERROR(IF(LEN(TRIM(CLEAN(SUBSTITUTE(Setup!$B$2,CHAR(160)," "))))=0,"CHECK REVIEWER ID",IF(OR(A5="",COUNTIF($A$2:$A$7,A5)&lt;&gt;1,LEFT(A5,LEN("2025::jama.2025.15185::"))&lt;&gt;"2025::jama.2025.15185::"),"CHECK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tr">
        <f t="shared" si="2"/>
        <v>not_applicable</v>
      </c>
      <c r="I5" s="8" t="str">
        <f t="shared" si="3"/>
        <v>not_applicable</v>
      </c>
      <c r="J5" s="9" t="str">
        <f t="shared" si="4"/>
        <v>not_applicable</v>
      </c>
      <c r="K5" s="8" t="str">
        <f t="shared" si="0"/>
        <v>not_applicable</v>
      </c>
      <c r="L5" s="9" t="s">
        <v>554</v>
      </c>
      <c r="M5" s="1"/>
      <c r="N5" s="4"/>
      <c r="O5" s="4"/>
      <c r="P5" s="4"/>
      <c r="Q5" s="4"/>
      <c r="R5" s="9" t="s">
        <v>616</v>
      </c>
    </row>
    <row r="6" spans="1:18" ht="91.95" customHeight="1">
      <c r="A6" s="3" t="s">
        <v>197</v>
      </c>
      <c r="B6" s="3" t="s">
        <v>198</v>
      </c>
      <c r="C6" s="3" t="s">
        <v>199</v>
      </c>
      <c r="D6" s="8" t="s">
        <v>485</v>
      </c>
      <c r="E6" s="8" t="s">
        <v>71</v>
      </c>
      <c r="F6" s="8" t="s">
        <v>570</v>
      </c>
      <c r="G6" s="3" t="str">
        <f>IFERROR(IF(LEN(TRIM(CLEAN(SUBSTITUTE(Setup!$B$2,CHAR(160)," "))))=0,"CHECK REVIEWER ID",IF(OR(A6="",COUNTIF($A$2:$A$7,A6)&lt;&gt;1,LEFT(A6,LEN("2025::jama.2025.15185::"))&lt;&gt;"2025::jama.2025.15185::"),"CHECK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2"/>
        <v>not_applicable</v>
      </c>
      <c r="I6" s="8" t="str">
        <f t="shared" si="3"/>
        <v>not_applicable</v>
      </c>
      <c r="J6" s="9" t="str">
        <f t="shared" si="4"/>
        <v>not_applicable</v>
      </c>
      <c r="K6" s="8" t="str">
        <f t="shared" si="0"/>
        <v>not_applicable</v>
      </c>
      <c r="L6" s="9" t="s">
        <v>554</v>
      </c>
      <c r="M6" s="3"/>
      <c r="N6" s="4"/>
      <c r="O6" s="4"/>
      <c r="P6" s="4"/>
      <c r="Q6" s="4"/>
      <c r="R6" s="9" t="s">
        <v>615</v>
      </c>
    </row>
    <row r="7" spans="1:18" ht="91.95" customHeight="1">
      <c r="A7" s="1" t="s">
        <v>200</v>
      </c>
      <c r="B7" s="1" t="s">
        <v>201</v>
      </c>
      <c r="C7" s="1" t="s">
        <v>202</v>
      </c>
      <c r="D7" s="8" t="s">
        <v>485</v>
      </c>
      <c r="E7" s="8" t="s">
        <v>66</v>
      </c>
      <c r="F7" s="8" t="s">
        <v>570</v>
      </c>
      <c r="G7" s="1" t="str">
        <f>IFERROR(IF(LEN(TRIM(CLEAN(SUBSTITUTE(Setup!$B$2,CHAR(160)," "))))=0,"CHECK REVIEWER ID",IF(OR(A7="",COUNTIF($A$2:$A$7,A7)&lt;&gt;1,LEFT(A7,LEN("2025::jama.2025.15185::"))&lt;&gt;"2025::jama.2025.15185::"),"CHECK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
        <v>512</v>
      </c>
      <c r="I7" s="8" t="s">
        <v>524</v>
      </c>
      <c r="J7" s="9" t="s">
        <v>534</v>
      </c>
      <c r="K7" s="8" t="str">
        <f t="shared" si="0"/>
        <v>not_applicable</v>
      </c>
      <c r="L7" s="9" t="str">
        <f t="shared" si="1"/>
        <v>not_applicable</v>
      </c>
      <c r="M7" s="1"/>
      <c r="N7" s="4"/>
      <c r="O7" s="4"/>
      <c r="P7" s="4"/>
      <c r="Q7" s="4"/>
      <c r="R7" s="9" t="s">
        <v>612</v>
      </c>
    </row>
  </sheetData>
  <autoFilter ref="A1:R7" xr:uid="{00000000-0009-0000-0000-000006000000}"/>
  <phoneticPr fontId="5" type="noConversion"/>
  <conditionalFormatting sqref="G2:G7">
    <cfRule type="expression" dxfId="47" priority="13">
      <formula>G2&lt;&gt;"PRIMARY READY"</formula>
    </cfRule>
  </conditionalFormatting>
  <conditionalFormatting sqref="H2:J7">
    <cfRule type="expression" dxfId="46" priority="8">
      <formula>NOT(AND(OR($D2="retain",$D2=""),$E2="statistical_results"))</formula>
    </cfRule>
  </conditionalFormatting>
  <conditionalFormatting sqref="K2:K7">
    <cfRule type="expression" dxfId="45" priority="11">
      <formula>NOT(AND(OR($D2="retain",$D2=""),OR($E2="report_internal_inconsistency",$E2="plan_material")))</formula>
    </cfRule>
  </conditionalFormatting>
  <conditionalFormatting sqref="L2:L7">
    <cfRule type="expression" dxfId="44" priority="12">
      <formula>NOT(AND(OR($D2="retain",$D2=""),$E2="protocol_report"))</formula>
    </cfRule>
  </conditionalFormatting>
  <dataValidations count="8">
    <dataValidation type="list" allowBlank="1" showErrorMessage="1" errorTitle="Use a listed option" error="Choose an option; G also checks pasted entries." sqref="D2:D7" xr:uid="{00000000-0002-0000-0600-000000000000}">
      <formula1>"retain,exclude,discuss"</formula1>
    </dataValidation>
    <dataValidation type="list" allowBlank="1" showErrorMessage="1" errorTitle="Use a listed option" error="Choose an option; G also checks pasted entries." sqref="E2:E7" xr:uid="{00000000-0002-0000-0600-000001000000}">
      <formula1>"statistical_results,report_internal_inconsistency,plan_material,protocol_report"</formula1>
    </dataValidation>
    <dataValidation type="list" allowBlank="1" showErrorMessage="1" errorTitle="Use a listed option" error="Choose an option; G also checks pasted entries." sqref="F2:F7" xr:uid="{00000000-0002-0000-0600-000002000000}">
      <formula1>"no,primary_done"</formula1>
    </dataValidation>
    <dataValidation type="list" allowBlank="1" showErrorMessage="1" errorTitle="Use a listed option" error="Choose an option; G also checks pasted entries." sqref="H2:H7" xr:uid="{00000000-0002-0000-0600-000003000000}">
      <formula1>"confirmed_issue,probable_issue,not_issue,indeterminate,not_applicable"</formula1>
    </dataValidation>
    <dataValidation type="list" allowBlank="1" showErrorMessage="1" errorTitle="Use a listed option" error="Choose an option; G also checks pasted entries." sqref="I2:I7" xr:uid="{00000000-0002-0000-0600-000004000000}">
      <formula1>"substantive,minor_presentation,indeterminate,not_applicable"</formula1>
    </dataValidation>
    <dataValidation type="list" allowBlank="1" showErrorMessage="1" errorTitle="Use a listed option" error="Choose an option; G also checks pasted entries." sqref="J2:J7" xr:uid="{00000000-0002-0000-0600-000005000000}">
      <formula1>"direct,possible,unlikely,unknown,not_applicable"</formula1>
    </dataValidation>
    <dataValidation type="list" allowBlank="1" showErrorMessage="1" errorTitle="Use a listed option" error="Choose an option; G also checks pasted entries." sqref="K2:K7" xr:uid="{00000000-0002-0000-0600-000006000000}">
      <formula1>"substantive_inconsistency,minor_presentation,non_inconsistency,indeterminate,not_applicable"</formula1>
    </dataValidation>
    <dataValidation type="list" allowBlank="1" showErrorMessage="1" errorTitle="Use a listed option" error="Choose an option; G also checks pasted entries." sqref="L2:L7" xr:uid="{00000000-0002-0000-0600-000007000000}">
      <formula1>"substantive_difference,minor_presentation,version_timing,non_inconsistency,indeterminate,not_applicable"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2"/>
  <sheetViews>
    <sheetView workbookViewId="0">
      <pane xSplit="1" ySplit="1" topLeftCell="D2" activePane="bottomRight" state="frozen"/>
      <selection pane="topRight"/>
      <selection pane="bottomLeft"/>
      <selection pane="bottomRight" activeCell="F2" sqref="F2"/>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203</v>
      </c>
      <c r="B2" s="3" t="s">
        <v>204</v>
      </c>
      <c r="C2" s="3" t="s">
        <v>205</v>
      </c>
      <c r="D2" s="8" t="s">
        <v>485</v>
      </c>
      <c r="E2" s="8" t="s">
        <v>81</v>
      </c>
      <c r="F2" s="8" t="s">
        <v>570</v>
      </c>
      <c r="G2" s="3" t="str">
        <f>IFERROR(IF(LEN(TRIM(CLEAN(SUBSTITUTE(Setup!$B$2,CHAR(160)," "))))=0,"CHECK REVIEWER ID",IF(OR(A2="",COUNTIF($A$2:$A$2,A2)&lt;&gt;1,LEFT(A2,LEN("2025::jama.2025.15440::"))&lt;&gt;"2025::jama.2025.15440::"),"CHECK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tr">
        <f>IF(AND(OR(D2="retain",D2=""),E2="statistical_results"),"","not_applicable")</f>
        <v>not_applicable</v>
      </c>
      <c r="I2" s="8" t="str">
        <f>IF(AND(OR(D2="retain",D2=""),E2="statistical_results"),"","not_applicable")</f>
        <v>not_applicable</v>
      </c>
      <c r="J2" s="9" t="str">
        <f>IF(AND(OR(D2="retain",D2=""),E2="statistical_results"),"","not_applicable")</f>
        <v>not_applicable</v>
      </c>
      <c r="K2" s="8" t="s">
        <v>544</v>
      </c>
      <c r="L2" s="9" t="str">
        <f>IF(AND(OR(D2="retain",D2=""),E2="protocol_report"),"","not_applicable")</f>
        <v>not_applicable</v>
      </c>
      <c r="M2" s="3"/>
      <c r="N2" s="4"/>
      <c r="O2" s="4"/>
      <c r="P2" s="4"/>
      <c r="Q2" s="4"/>
      <c r="R2" s="9" t="s">
        <v>617</v>
      </c>
    </row>
  </sheetData>
  <autoFilter ref="A1:R2" xr:uid="{00000000-0009-0000-0000-000007000000}"/>
  <phoneticPr fontId="5" type="noConversion"/>
  <conditionalFormatting sqref="G2">
    <cfRule type="expression" dxfId="43" priority="13">
      <formula>G2&lt;&gt;"PRIMARY READY"</formula>
    </cfRule>
  </conditionalFormatting>
  <conditionalFormatting sqref="H2:J2">
    <cfRule type="expression" dxfId="42" priority="8">
      <formula>NOT(AND(OR($D2="retain",$D2=""),$E2="statistical_results"))</formula>
    </cfRule>
  </conditionalFormatting>
  <conditionalFormatting sqref="K2">
    <cfRule type="expression" dxfId="41" priority="11">
      <formula>NOT(AND(OR($D2="retain",$D2=""),OR($E2="report_internal_inconsistency",$E2="plan_material")))</formula>
    </cfRule>
  </conditionalFormatting>
  <conditionalFormatting sqref="L2">
    <cfRule type="expression" dxfId="40" priority="12">
      <formula>NOT(AND(OR($D2="retain",$D2=""),$E2="protocol_report"))</formula>
    </cfRule>
  </conditionalFormatting>
  <dataValidations count="8">
    <dataValidation type="list" allowBlank="1" showErrorMessage="1" errorTitle="Use a listed option" error="Choose an option; G also checks pasted entries." sqref="D2" xr:uid="{00000000-0002-0000-0700-000000000000}">
      <formula1>"retain,exclude,discuss"</formula1>
    </dataValidation>
    <dataValidation type="list" allowBlank="1" showErrorMessage="1" errorTitle="Use a listed option" error="Choose an option; G also checks pasted entries." sqref="E2" xr:uid="{00000000-0002-0000-0700-000001000000}">
      <formula1>"statistical_results,report_internal_inconsistency,plan_material,protocol_report"</formula1>
    </dataValidation>
    <dataValidation type="list" allowBlank="1" showErrorMessage="1" errorTitle="Use a listed option" error="Choose an option; G also checks pasted entries." sqref="F2" xr:uid="{00000000-0002-0000-0700-000002000000}">
      <formula1>"no,primary_done"</formula1>
    </dataValidation>
    <dataValidation type="list" allowBlank="1" showErrorMessage="1" errorTitle="Use a listed option" error="Choose an option; G also checks pasted entries." sqref="H2" xr:uid="{00000000-0002-0000-0700-000003000000}">
      <formula1>"confirmed_issue,probable_issue,not_issue,indeterminate,not_applicable"</formula1>
    </dataValidation>
    <dataValidation type="list" allowBlank="1" showErrorMessage="1" errorTitle="Use a listed option" error="Choose an option; G also checks pasted entries." sqref="I2" xr:uid="{00000000-0002-0000-0700-000004000000}">
      <formula1>"substantive,minor_presentation,indeterminate,not_applicable"</formula1>
    </dataValidation>
    <dataValidation type="list" allowBlank="1" showErrorMessage="1" errorTitle="Use a listed option" error="Choose an option; G also checks pasted entries." sqref="J2" xr:uid="{00000000-0002-0000-0700-000005000000}">
      <formula1>"direct,possible,unlikely,unknown,not_applicable"</formula1>
    </dataValidation>
    <dataValidation type="list" allowBlank="1" showErrorMessage="1" errorTitle="Use a listed option" error="Choose an option; G also checks pasted entries." sqref="K2" xr:uid="{00000000-0002-0000-0700-000006000000}">
      <formula1>"substantive_inconsistency,minor_presentation,non_inconsistency,indeterminate,not_applicable"</formula1>
    </dataValidation>
    <dataValidation type="list" allowBlank="1" showErrorMessage="1" errorTitle="Use a listed option" error="Choose an option; G also checks pasted entries." sqref="L2" xr:uid="{00000000-0002-0000-0700-000007000000}">
      <formula1>"substantive_difference,minor_presentation,version_timing,non_inconsistency,indeterminate,not_applicable"</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7"/>
  <sheetViews>
    <sheetView workbookViewId="0">
      <pane xSplit="1" ySplit="1" topLeftCell="C5" activePane="bottomRight" state="frozen"/>
      <selection pane="topRight"/>
      <selection pane="bottomLeft"/>
      <selection pane="bottomRight" activeCell="F7" sqref="F7"/>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206</v>
      </c>
      <c r="B2" s="3" t="s">
        <v>207</v>
      </c>
      <c r="C2" s="3" t="s">
        <v>208</v>
      </c>
      <c r="D2" s="8" t="s">
        <v>485</v>
      </c>
      <c r="E2" s="8" t="s">
        <v>71</v>
      </c>
      <c r="F2" s="8" t="s">
        <v>570</v>
      </c>
      <c r="G2" s="3" t="str">
        <f>IFERROR(IF(LEN(TRIM(CLEAN(SUBSTITUTE(Setup!$B$2,CHAR(160)," "))))=0,"CHECK REVIEWER ID",IF(OR(A2="",COUNTIF($A$2:$A$7,A2)&lt;&gt;1,LEFT(A2,LEN("2025::jama.2025.16450::"))&lt;&gt;"2025::jama.2025.16450::"),"CHECK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tr">
        <f t="shared" ref="H2:H6" si="0">IF(AND(OR(D2="retain",D2=""),E2="statistical_results"),"","not_applicable")</f>
        <v>not_applicable</v>
      </c>
      <c r="I2" s="8" t="str">
        <f t="shared" ref="I2:I6" si="1">IF(AND(OR(D2="retain",D2=""),E2="statistical_results"),"","not_applicable")</f>
        <v>not_applicable</v>
      </c>
      <c r="J2" s="9" t="str">
        <f t="shared" ref="J2:J6" si="2">IF(AND(OR(D2="retain",D2=""),E2="statistical_results"),"","not_applicable")</f>
        <v>not_applicable</v>
      </c>
      <c r="K2" s="8" t="str">
        <f t="shared" ref="K2:K7" si="3">IF(AND(OR(D2="retain",D2=""),OR(E2="report_internal_inconsistency",E2="plan_material")),"","not_applicable")</f>
        <v>not_applicable</v>
      </c>
      <c r="L2" s="9" t="s">
        <v>526</v>
      </c>
      <c r="M2" s="3"/>
      <c r="N2" s="4"/>
      <c r="O2" s="4"/>
      <c r="P2" s="4"/>
      <c r="Q2" s="4"/>
      <c r="R2" s="9" t="s">
        <v>618</v>
      </c>
    </row>
    <row r="3" spans="1:18" ht="91.95" customHeight="1">
      <c r="A3" s="1" t="s">
        <v>209</v>
      </c>
      <c r="B3" s="1" t="s">
        <v>210</v>
      </c>
      <c r="C3" s="1" t="s">
        <v>211</v>
      </c>
      <c r="D3" s="8" t="s">
        <v>485</v>
      </c>
      <c r="E3" s="8" t="s">
        <v>71</v>
      </c>
      <c r="F3" s="8" t="s">
        <v>570</v>
      </c>
      <c r="G3" s="1" t="str">
        <f>IFERROR(IF(LEN(TRIM(CLEAN(SUBSTITUTE(Setup!$B$2,CHAR(160)," "))))=0,"CHECK REVIEWER ID",IF(OR(A3="",COUNTIF($A$2:$A$7,A3)&lt;&gt;1,LEFT(A3,LEN("2025::jama.2025.16450::"))&lt;&gt;"2025::jama.2025.16450::"),"CHECK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 t="shared" si="0"/>
        <v>not_applicable</v>
      </c>
      <c r="I3" s="8" t="str">
        <f t="shared" si="1"/>
        <v>not_applicable</v>
      </c>
      <c r="J3" s="9" t="str">
        <f t="shared" si="2"/>
        <v>not_applicable</v>
      </c>
      <c r="K3" s="8" t="str">
        <f t="shared" si="3"/>
        <v>not_applicable</v>
      </c>
      <c r="L3" s="9" t="s">
        <v>554</v>
      </c>
      <c r="M3" s="1"/>
      <c r="N3" s="4"/>
      <c r="O3" s="4"/>
      <c r="P3" s="4"/>
      <c r="Q3" s="4"/>
      <c r="R3" s="9" t="s">
        <v>619</v>
      </c>
    </row>
    <row r="4" spans="1:18" ht="91.95" customHeight="1">
      <c r="A4" s="3" t="s">
        <v>212</v>
      </c>
      <c r="B4" s="3" t="s">
        <v>213</v>
      </c>
      <c r="C4" s="3" t="s">
        <v>214</v>
      </c>
      <c r="D4" s="8" t="s">
        <v>485</v>
      </c>
      <c r="E4" s="8" t="s">
        <v>71</v>
      </c>
      <c r="F4" s="8" t="s">
        <v>570</v>
      </c>
      <c r="G4" s="3" t="str">
        <f>IFERROR(IF(LEN(TRIM(CLEAN(SUBSTITUTE(Setup!$B$2,CHAR(160)," "))))=0,"CHECK REVIEWER ID",IF(OR(A4="",COUNTIF($A$2:$A$7,A4)&lt;&gt;1,LEFT(A4,LEN("2025::jama.2025.16450::"))&lt;&gt;"2025::jama.2025.16450::"),"CHECK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 t="shared" si="0"/>
        <v>not_applicable</v>
      </c>
      <c r="I4" s="8" t="str">
        <f t="shared" si="1"/>
        <v>not_applicable</v>
      </c>
      <c r="J4" s="9" t="str">
        <f t="shared" si="2"/>
        <v>not_applicable</v>
      </c>
      <c r="K4" s="8" t="str">
        <f t="shared" si="3"/>
        <v>not_applicable</v>
      </c>
      <c r="L4" s="9" t="s">
        <v>526</v>
      </c>
      <c r="M4" s="3"/>
      <c r="N4" s="4"/>
      <c r="O4" s="4"/>
      <c r="P4" s="4"/>
      <c r="Q4" s="4"/>
      <c r="R4" s="9" t="s">
        <v>620</v>
      </c>
    </row>
    <row r="5" spans="1:18" ht="91.95" customHeight="1">
      <c r="A5" s="1" t="s">
        <v>215</v>
      </c>
      <c r="B5" s="1" t="s">
        <v>216</v>
      </c>
      <c r="C5" s="1" t="s">
        <v>217</v>
      </c>
      <c r="D5" s="8" t="s">
        <v>488</v>
      </c>
      <c r="E5" s="8" t="s">
        <v>81</v>
      </c>
      <c r="F5" s="8" t="s">
        <v>570</v>
      </c>
      <c r="G5" s="1" t="str">
        <f>IFERROR(IF(LEN(TRIM(CLEAN(SUBSTITUTE(Setup!$B$2,CHAR(160)," "))))=0,"CHECK REVIEWER ID",IF(OR(A5="",COUNTIF($A$2:$A$7,A5)&lt;&gt;1,LEFT(A5,LEN("2025::jama.2025.16450::"))&lt;&gt;"2025::jama.2025.16450::"),"CHECK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tr">
        <f t="shared" si="0"/>
        <v>not_applicable</v>
      </c>
      <c r="I5" s="8" t="str">
        <f t="shared" si="1"/>
        <v>not_applicable</v>
      </c>
      <c r="J5" s="9" t="str">
        <f t="shared" si="2"/>
        <v>not_applicable</v>
      </c>
      <c r="K5" s="8" t="s">
        <v>520</v>
      </c>
      <c r="L5" s="9" t="str">
        <f t="shared" ref="L5:L7" si="4">IF(AND(OR(D5="retain",D5=""),E5="protocol_report"),"","not_applicable")</f>
        <v>not_applicable</v>
      </c>
      <c r="M5" s="1"/>
      <c r="N5" s="4"/>
      <c r="O5" s="4"/>
      <c r="P5" s="4"/>
      <c r="Q5" s="4"/>
      <c r="R5" s="9" t="s">
        <v>621</v>
      </c>
    </row>
    <row r="6" spans="1:18" ht="91.95" customHeight="1">
      <c r="A6" s="3" t="s">
        <v>218</v>
      </c>
      <c r="B6" s="3" t="s">
        <v>219</v>
      </c>
      <c r="C6" s="3" t="s">
        <v>220</v>
      </c>
      <c r="D6" s="8" t="s">
        <v>485</v>
      </c>
      <c r="E6" s="8" t="s">
        <v>81</v>
      </c>
      <c r="F6" s="8" t="s">
        <v>570</v>
      </c>
      <c r="G6" s="3" t="str">
        <f>IFERROR(IF(LEN(TRIM(CLEAN(SUBSTITUTE(Setup!$B$2,CHAR(160)," "))))=0,"CHECK REVIEWER ID",IF(OR(A6="",COUNTIF($A$2:$A$7,A6)&lt;&gt;1,LEFT(A6,LEN("2025::jama.2025.16450::"))&lt;&gt;"2025::jama.2025.16450::"),"CHECK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0"/>
        <v>not_applicable</v>
      </c>
      <c r="I6" s="8" t="str">
        <f t="shared" si="1"/>
        <v>not_applicable</v>
      </c>
      <c r="J6" s="9" t="str">
        <f t="shared" si="2"/>
        <v>not_applicable</v>
      </c>
      <c r="K6" s="8" t="s">
        <v>526</v>
      </c>
      <c r="L6" s="9" t="str">
        <f t="shared" si="4"/>
        <v>not_applicable</v>
      </c>
      <c r="M6" s="3"/>
      <c r="N6" s="4"/>
      <c r="O6" s="4"/>
      <c r="P6" s="4"/>
      <c r="Q6" s="4"/>
      <c r="R6" s="9" t="s">
        <v>622</v>
      </c>
    </row>
    <row r="7" spans="1:18" ht="91.95" customHeight="1">
      <c r="A7" s="1" t="s">
        <v>221</v>
      </c>
      <c r="B7" s="1" t="s">
        <v>222</v>
      </c>
      <c r="C7" s="1" t="s">
        <v>223</v>
      </c>
      <c r="D7" s="8" t="s">
        <v>485</v>
      </c>
      <c r="E7" s="8" t="s">
        <v>66</v>
      </c>
      <c r="F7" s="8" t="s">
        <v>570</v>
      </c>
      <c r="G7" s="1" t="str">
        <f>IFERROR(IF(LEN(TRIM(CLEAN(SUBSTITUTE(Setup!$B$2,CHAR(160)," "))))=0,"CHECK REVIEWER ID",IF(OR(A7="",COUNTIF($A$2:$A$7,A7)&lt;&gt;1,LEFT(A7,LEN("2025::jama.2025.16450::"))&lt;&gt;"2025::jama.2025.16450::"),"CHECK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
        <v>512</v>
      </c>
      <c r="I7" s="8" t="s">
        <v>526</v>
      </c>
      <c r="J7" s="9" t="s">
        <v>536</v>
      </c>
      <c r="K7" s="8" t="str">
        <f t="shared" si="3"/>
        <v>not_applicable</v>
      </c>
      <c r="L7" s="9" t="str">
        <f t="shared" si="4"/>
        <v>not_applicable</v>
      </c>
      <c r="M7" s="1"/>
      <c r="N7" s="4"/>
      <c r="O7" s="4"/>
      <c r="P7" s="4"/>
      <c r="Q7" s="4"/>
      <c r="R7" s="9" t="s">
        <v>623</v>
      </c>
    </row>
  </sheetData>
  <autoFilter ref="A1:R7" xr:uid="{00000000-0009-0000-0000-000008000000}"/>
  <phoneticPr fontId="5" type="noConversion"/>
  <conditionalFormatting sqref="G2:G7">
    <cfRule type="expression" dxfId="39" priority="13">
      <formula>G2&lt;&gt;"PRIMARY READY"</formula>
    </cfRule>
  </conditionalFormatting>
  <conditionalFormatting sqref="H2:J7">
    <cfRule type="expression" dxfId="38" priority="8">
      <formula>NOT(AND(OR($D2="retain",$D2=""),$E2="statistical_results"))</formula>
    </cfRule>
  </conditionalFormatting>
  <conditionalFormatting sqref="K2:K7">
    <cfRule type="expression" dxfId="37" priority="11">
      <formula>NOT(AND(OR($D2="retain",$D2=""),OR($E2="report_internal_inconsistency",$E2="plan_material")))</formula>
    </cfRule>
  </conditionalFormatting>
  <conditionalFormatting sqref="L2:L7">
    <cfRule type="expression" dxfId="36" priority="12">
      <formula>NOT(AND(OR($D2="retain",$D2=""),$E2="protocol_report"))</formula>
    </cfRule>
  </conditionalFormatting>
  <dataValidations count="8">
    <dataValidation type="list" allowBlank="1" showErrorMessage="1" errorTitle="Use a listed option" error="Choose an option; G also checks pasted entries." sqref="D2:D7" xr:uid="{00000000-0002-0000-0800-000000000000}">
      <formula1>"retain,exclude,discuss"</formula1>
    </dataValidation>
    <dataValidation type="list" allowBlank="1" showErrorMessage="1" errorTitle="Use a listed option" error="Choose an option; G also checks pasted entries." sqref="E2:E7" xr:uid="{00000000-0002-0000-0800-000001000000}">
      <formula1>"statistical_results,report_internal_inconsistency,plan_material,protocol_report"</formula1>
    </dataValidation>
    <dataValidation type="list" allowBlank="1" showErrorMessage="1" errorTitle="Use a listed option" error="Choose an option; G also checks pasted entries." sqref="F2:F7" xr:uid="{00000000-0002-0000-0800-000002000000}">
      <formula1>"no,primary_done"</formula1>
    </dataValidation>
    <dataValidation type="list" allowBlank="1" showErrorMessage="1" errorTitle="Use a listed option" error="Choose an option; G also checks pasted entries." sqref="H2:H7" xr:uid="{00000000-0002-0000-0800-000003000000}">
      <formula1>"confirmed_issue,probable_issue,not_issue,indeterminate,not_applicable"</formula1>
    </dataValidation>
    <dataValidation type="list" allowBlank="1" showErrorMessage="1" errorTitle="Use a listed option" error="Choose an option; G also checks pasted entries." sqref="I2:I7" xr:uid="{00000000-0002-0000-0800-000004000000}">
      <formula1>"substantive,minor_presentation,indeterminate,not_applicable"</formula1>
    </dataValidation>
    <dataValidation type="list" allowBlank="1" showErrorMessage="1" errorTitle="Use a listed option" error="Choose an option; G also checks pasted entries." sqref="J2:J7" xr:uid="{00000000-0002-0000-0800-000005000000}">
      <formula1>"direct,possible,unlikely,unknown,not_applicable"</formula1>
    </dataValidation>
    <dataValidation type="list" allowBlank="1" showErrorMessage="1" errorTitle="Use a listed option" error="Choose an option; G also checks pasted entries." sqref="K2:K7" xr:uid="{00000000-0002-0000-0800-000006000000}">
      <formula1>"substantive_inconsistency,minor_presentation,non_inconsistency,indeterminate,not_applicable"</formula1>
    </dataValidation>
    <dataValidation type="list" allowBlank="1" showErrorMessage="1" errorTitle="Use a listed option" error="Choose an option; G also checks pasted entries." sqref="L2:L7" xr:uid="{00000000-0002-0000-0800-000007000000}">
      <formula1>"substantive_difference,minor_presentation,version_timing,non_inconsistency,indeterminate,not_applicable"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R14"/>
  <sheetViews>
    <sheetView workbookViewId="0">
      <pane xSplit="1" ySplit="1" topLeftCell="E8" activePane="bottomRight" state="frozen"/>
      <selection pane="topRight"/>
      <selection pane="bottomLeft"/>
      <selection pane="bottomRight" activeCell="F7" sqref="F7"/>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224</v>
      </c>
      <c r="B2" s="3" t="s">
        <v>225</v>
      </c>
      <c r="C2" s="3" t="s">
        <v>226</v>
      </c>
      <c r="D2" s="8" t="s">
        <v>485</v>
      </c>
      <c r="E2" s="8" t="s">
        <v>71</v>
      </c>
      <c r="F2" s="8" t="s">
        <v>570</v>
      </c>
      <c r="G2" s="3" t="str">
        <f>IFERROR(IF(LEN(TRIM(CLEAN(SUBSTITUTE(Setup!$B$2,CHAR(160)," "))))=0,"CHECK REVIEWER ID",IF(OR(A2="",COUNTIF($A$2:$A$14,A2)&lt;&gt;1,LEFT(A2,LEN("2025::jama.2025.19563::"))&lt;&gt;"2025::jama.2025.19563::"),"CHECK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tr">
        <f t="shared" ref="H2:H14" si="0">IF(AND(OR(D2="retain",D2=""),E2="statistical_results"),"","not_applicable")</f>
        <v>not_applicable</v>
      </c>
      <c r="I2" s="8" t="str">
        <f t="shared" ref="I2:I14" si="1">IF(AND(OR(D2="retain",D2=""),E2="statistical_results"),"","not_applicable")</f>
        <v>not_applicable</v>
      </c>
      <c r="J2" s="9" t="str">
        <f t="shared" ref="J2:J14" si="2">IF(AND(OR(D2="retain",D2=""),E2="statistical_results"),"","not_applicable")</f>
        <v>not_applicable</v>
      </c>
      <c r="K2" s="8" t="str">
        <f t="shared" ref="K2:K14" si="3">IF(AND(OR(D2="retain",D2=""),OR(E2="report_internal_inconsistency",E2="plan_material")),"","not_applicable")</f>
        <v>not_applicable</v>
      </c>
      <c r="L2" s="9" t="s">
        <v>554</v>
      </c>
      <c r="M2" s="3"/>
      <c r="N2" s="4"/>
      <c r="O2" s="4"/>
      <c r="P2" s="4"/>
      <c r="Q2" s="4"/>
      <c r="R2" s="9" t="s">
        <v>624</v>
      </c>
    </row>
    <row r="3" spans="1:18" ht="91.95" customHeight="1">
      <c r="A3" s="1" t="s">
        <v>227</v>
      </c>
      <c r="B3" s="1" t="s">
        <v>228</v>
      </c>
      <c r="C3" s="1" t="s">
        <v>229</v>
      </c>
      <c r="D3" s="8" t="s">
        <v>485</v>
      </c>
      <c r="E3" s="8" t="s">
        <v>71</v>
      </c>
      <c r="F3" s="8" t="s">
        <v>570</v>
      </c>
      <c r="G3" s="1" t="str">
        <f>IFERROR(IF(LEN(TRIM(CLEAN(SUBSTITUTE(Setup!$B$2,CHAR(160)," "))))=0,"CHECK REVIEWER ID",IF(OR(A3="",COUNTIF($A$2:$A$14,A3)&lt;&gt;1,LEFT(A3,LEN("2025::jama.2025.19563::"))&lt;&gt;"2025::jama.2025.19563::"),"CHECK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 t="shared" si="0"/>
        <v>not_applicable</v>
      </c>
      <c r="I3" s="8" t="str">
        <f t="shared" si="1"/>
        <v>not_applicable</v>
      </c>
      <c r="J3" s="9" t="str">
        <f t="shared" si="2"/>
        <v>not_applicable</v>
      </c>
      <c r="K3" s="8" t="str">
        <f t="shared" si="3"/>
        <v>not_applicable</v>
      </c>
      <c r="L3" s="9" t="s">
        <v>557</v>
      </c>
      <c r="M3" s="1"/>
      <c r="N3" s="4"/>
      <c r="O3" s="4"/>
      <c r="P3" s="4"/>
      <c r="Q3" s="4"/>
      <c r="R3" s="9" t="s">
        <v>626</v>
      </c>
    </row>
    <row r="4" spans="1:18" ht="91.95" customHeight="1">
      <c r="A4" s="3" t="s">
        <v>230</v>
      </c>
      <c r="B4" s="3" t="s">
        <v>231</v>
      </c>
      <c r="C4" s="3" t="s">
        <v>232</v>
      </c>
      <c r="D4" s="8" t="s">
        <v>488</v>
      </c>
      <c r="E4" s="8" t="s">
        <v>71</v>
      </c>
      <c r="F4" s="8" t="s">
        <v>570</v>
      </c>
      <c r="G4" s="3" t="str">
        <f>IFERROR(IF(LEN(TRIM(CLEAN(SUBSTITUTE(Setup!$B$2,CHAR(160)," "))))=0,"CHECK REVIEWER ID",IF(OR(A4="",COUNTIF($A$2:$A$14,A4)&lt;&gt;1,LEFT(A4,LEN("2025::jama.2025.19563::"))&lt;&gt;"2025::jama.2025.19563::"),"CHECK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 t="shared" si="0"/>
        <v>not_applicable</v>
      </c>
      <c r="I4" s="8" t="str">
        <f t="shared" si="1"/>
        <v>not_applicable</v>
      </c>
      <c r="J4" s="9" t="str">
        <f t="shared" si="2"/>
        <v>not_applicable</v>
      </c>
      <c r="K4" s="8" t="str">
        <f t="shared" si="3"/>
        <v>not_applicable</v>
      </c>
      <c r="L4" s="9" t="s">
        <v>520</v>
      </c>
      <c r="M4" s="3"/>
      <c r="N4" s="4"/>
      <c r="O4" s="4"/>
      <c r="P4" s="4"/>
      <c r="Q4" s="4"/>
      <c r="R4" s="9" t="s">
        <v>628</v>
      </c>
    </row>
    <row r="5" spans="1:18" ht="91.95" customHeight="1">
      <c r="A5" s="1" t="s">
        <v>233</v>
      </c>
      <c r="B5" s="1" t="s">
        <v>234</v>
      </c>
      <c r="C5" s="1" t="s">
        <v>235</v>
      </c>
      <c r="D5" s="8" t="s">
        <v>488</v>
      </c>
      <c r="E5" s="8" t="s">
        <v>71</v>
      </c>
      <c r="F5" s="8" t="s">
        <v>570</v>
      </c>
      <c r="G5" s="1" t="str">
        <f>IFERROR(IF(LEN(TRIM(CLEAN(SUBSTITUTE(Setup!$B$2,CHAR(160)," "))))=0,"CHECK REVIEWER ID",IF(OR(A5="",COUNTIF($A$2:$A$14,A5)&lt;&gt;1,LEFT(A5,LEN("2025::jama.2025.19563::"))&lt;&gt;"2025::jama.2025.19563::"),"CHECK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tr">
        <f t="shared" si="0"/>
        <v>not_applicable</v>
      </c>
      <c r="I5" s="8" t="str">
        <f t="shared" si="1"/>
        <v>not_applicable</v>
      </c>
      <c r="J5" s="9" t="str">
        <f t="shared" si="2"/>
        <v>not_applicable</v>
      </c>
      <c r="K5" s="8" t="str">
        <f t="shared" si="3"/>
        <v>not_applicable</v>
      </c>
      <c r="L5" s="9" t="str">
        <f t="shared" ref="L2:L14" si="4">IF(AND(OR(D5="retain",D5=""),E5="protocol_report"),"","not_applicable")</f>
        <v>not_applicable</v>
      </c>
      <c r="M5" s="1"/>
      <c r="N5" s="4"/>
      <c r="O5" s="4"/>
      <c r="P5" s="4"/>
      <c r="Q5" s="4"/>
      <c r="R5" s="9" t="s">
        <v>630</v>
      </c>
    </row>
    <row r="6" spans="1:18" ht="91.95" customHeight="1">
      <c r="A6" s="3" t="s">
        <v>236</v>
      </c>
      <c r="B6" s="3" t="s">
        <v>237</v>
      </c>
      <c r="C6" s="3" t="s">
        <v>238</v>
      </c>
      <c r="D6" s="8" t="s">
        <v>485</v>
      </c>
      <c r="E6" s="8" t="s">
        <v>71</v>
      </c>
      <c r="F6" s="8" t="s">
        <v>570</v>
      </c>
      <c r="G6" s="3" t="str">
        <f>IFERROR(IF(LEN(TRIM(CLEAN(SUBSTITUTE(Setup!$B$2,CHAR(160)," "))))=0,"CHECK REVIEWER ID",IF(OR(A6="",COUNTIF($A$2:$A$14,A6)&lt;&gt;1,LEFT(A6,LEN("2025::jama.2025.19563::"))&lt;&gt;"2025::jama.2025.19563::"),"CHECK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0"/>
        <v>not_applicable</v>
      </c>
      <c r="I6" s="8" t="str">
        <f t="shared" si="1"/>
        <v>not_applicable</v>
      </c>
      <c r="J6" s="9" t="str">
        <f t="shared" si="2"/>
        <v>not_applicable</v>
      </c>
      <c r="K6" s="8" t="str">
        <f t="shared" si="3"/>
        <v>not_applicable</v>
      </c>
      <c r="L6" s="9" t="s">
        <v>526</v>
      </c>
      <c r="M6" s="3"/>
      <c r="N6" s="4"/>
      <c r="O6" s="4"/>
      <c r="P6" s="4"/>
      <c r="Q6" s="4"/>
      <c r="R6" s="9" t="s">
        <v>632</v>
      </c>
    </row>
    <row r="7" spans="1:18" ht="91.95" customHeight="1">
      <c r="A7" s="1" t="s">
        <v>239</v>
      </c>
      <c r="B7" s="1" t="s">
        <v>240</v>
      </c>
      <c r="C7" s="1" t="s">
        <v>241</v>
      </c>
      <c r="D7" s="8" t="s">
        <v>485</v>
      </c>
      <c r="E7" s="8" t="s">
        <v>71</v>
      </c>
      <c r="F7" s="8" t="s">
        <v>570</v>
      </c>
      <c r="G7" s="1" t="str">
        <f>IFERROR(IF(LEN(TRIM(CLEAN(SUBSTITUTE(Setup!$B$2,CHAR(160)," "))))=0,"CHECK REVIEWER ID",IF(OR(A7="",COUNTIF($A$2:$A$14,A7)&lt;&gt;1,LEFT(A7,LEN("2025::jama.2025.19563::"))&lt;&gt;"2025::jama.2025.19563::"),"CHECK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tr">
        <f t="shared" si="0"/>
        <v>not_applicable</v>
      </c>
      <c r="I7" s="8" t="str">
        <f t="shared" si="1"/>
        <v>not_applicable</v>
      </c>
      <c r="J7" s="9" t="str">
        <f t="shared" si="2"/>
        <v>not_applicable</v>
      </c>
      <c r="K7" s="8" t="str">
        <f t="shared" si="3"/>
        <v>not_applicable</v>
      </c>
      <c r="L7" s="9" t="s">
        <v>554</v>
      </c>
      <c r="M7" s="1"/>
      <c r="N7" s="4"/>
      <c r="O7" s="4"/>
      <c r="P7" s="4"/>
      <c r="Q7" s="4"/>
      <c r="R7" s="9" t="s">
        <v>634</v>
      </c>
    </row>
    <row r="8" spans="1:18" ht="91.95" customHeight="1">
      <c r="A8" s="3" t="s">
        <v>242</v>
      </c>
      <c r="B8" s="3" t="s">
        <v>243</v>
      </c>
      <c r="C8" s="3" t="s">
        <v>244</v>
      </c>
      <c r="D8" s="8" t="s">
        <v>485</v>
      </c>
      <c r="E8" s="8" t="s">
        <v>71</v>
      </c>
      <c r="F8" s="8" t="s">
        <v>570</v>
      </c>
      <c r="G8" s="3" t="str">
        <f>IFERROR(IF(LEN(TRIM(CLEAN(SUBSTITUTE(Setup!$B$2,CHAR(160)," "))))=0,"CHECK REVIEWER ID",IF(OR(A8="",COUNTIF($A$2:$A$14,A8)&lt;&gt;1,LEFT(A8,LEN("2025::jama.2025.19563::"))&lt;&gt;"2025::jama.2025.19563::"),"CHECK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PRIMARY READY</v>
      </c>
      <c r="H8" s="8" t="str">
        <f t="shared" si="0"/>
        <v>not_applicable</v>
      </c>
      <c r="I8" s="8" t="str">
        <f t="shared" si="1"/>
        <v>not_applicable</v>
      </c>
      <c r="J8" s="9" t="str">
        <f t="shared" si="2"/>
        <v>not_applicable</v>
      </c>
      <c r="K8" s="8" t="str">
        <f t="shared" si="3"/>
        <v>not_applicable</v>
      </c>
      <c r="L8" s="9" t="s">
        <v>554</v>
      </c>
      <c r="M8" s="3"/>
      <c r="N8" s="4"/>
      <c r="O8" s="4"/>
      <c r="P8" s="4"/>
      <c r="Q8" s="4"/>
      <c r="R8" s="9" t="s">
        <v>636</v>
      </c>
    </row>
    <row r="9" spans="1:18" ht="91.95" customHeight="1">
      <c r="A9" s="1" t="s">
        <v>245</v>
      </c>
      <c r="B9" s="1" t="s">
        <v>246</v>
      </c>
      <c r="C9" s="1" t="s">
        <v>247</v>
      </c>
      <c r="D9" s="8" t="s">
        <v>488</v>
      </c>
      <c r="E9" s="8" t="s">
        <v>81</v>
      </c>
      <c r="F9" s="8" t="s">
        <v>570</v>
      </c>
      <c r="G9" s="1" t="str">
        <f>IFERROR(IF(LEN(TRIM(CLEAN(SUBSTITUTE(Setup!$B$2,CHAR(160)," "))))=0,"CHECK REVIEWER ID",IF(OR(A9="",COUNTIF($A$2:$A$14,A9)&lt;&gt;1,LEFT(A9,LEN("2025::jama.2025.19563::"))&lt;&gt;"2025::jama.2025.19563::"),"CHECK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PRIMARY READY</v>
      </c>
      <c r="H9" s="8" t="str">
        <f t="shared" si="0"/>
        <v>not_applicable</v>
      </c>
      <c r="I9" s="8" t="str">
        <f t="shared" si="1"/>
        <v>not_applicable</v>
      </c>
      <c r="J9" s="9" t="str">
        <f t="shared" si="2"/>
        <v>not_applicable</v>
      </c>
      <c r="K9" s="8" t="str">
        <f t="shared" si="3"/>
        <v>not_applicable</v>
      </c>
      <c r="L9" s="9" t="str">
        <f t="shared" si="4"/>
        <v>not_applicable</v>
      </c>
      <c r="M9" s="1"/>
      <c r="N9" s="4"/>
      <c r="O9" s="4"/>
      <c r="P9" s="4"/>
      <c r="Q9" s="4"/>
      <c r="R9" s="9" t="s">
        <v>635</v>
      </c>
    </row>
    <row r="10" spans="1:18" ht="91.95" customHeight="1">
      <c r="A10" s="3" t="s">
        <v>248</v>
      </c>
      <c r="B10" s="3" t="s">
        <v>249</v>
      </c>
      <c r="C10" s="3" t="s">
        <v>250</v>
      </c>
      <c r="D10" s="8" t="s">
        <v>485</v>
      </c>
      <c r="E10" s="8" t="s">
        <v>66</v>
      </c>
      <c r="F10" s="8" t="s">
        <v>570</v>
      </c>
      <c r="G10" s="3" t="str">
        <f>IFERROR(IF(LEN(TRIM(CLEAN(SUBSTITUTE(Setup!$B$2,CHAR(160)," "))))=0,"CHECK REVIEWER ID",IF(OR(A10="",COUNTIF($A$2:$A$14,A10)&lt;&gt;1,LEFT(A10,LEN("2025::jama.2025.19563::"))&lt;&gt;"2025::jama.2025.19563::"),"CHECK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PRIMARY READY</v>
      </c>
      <c r="H10" s="8" t="s">
        <v>512</v>
      </c>
      <c r="I10" s="8" t="s">
        <v>518</v>
      </c>
      <c r="J10" s="9" t="s">
        <v>534</v>
      </c>
      <c r="K10" s="8" t="str">
        <f t="shared" si="3"/>
        <v>not_applicable</v>
      </c>
      <c r="L10" s="9" t="str">
        <f t="shared" si="4"/>
        <v>not_applicable</v>
      </c>
      <c r="M10" s="3"/>
      <c r="N10" s="4"/>
      <c r="O10" s="4"/>
      <c r="P10" s="4"/>
      <c r="Q10" s="4"/>
      <c r="R10" s="9" t="s">
        <v>633</v>
      </c>
    </row>
    <row r="11" spans="1:18" ht="91.95" customHeight="1">
      <c r="A11" s="1" t="s">
        <v>251</v>
      </c>
      <c r="B11" s="1" t="s">
        <v>252</v>
      </c>
      <c r="C11" s="1" t="s">
        <v>253</v>
      </c>
      <c r="D11" s="8" t="s">
        <v>488</v>
      </c>
      <c r="E11" s="8" t="s">
        <v>66</v>
      </c>
      <c r="F11" s="8" t="s">
        <v>570</v>
      </c>
      <c r="G11" s="1" t="str">
        <f>IFERROR(IF(LEN(TRIM(CLEAN(SUBSTITUTE(Setup!$B$2,CHAR(160)," "))))=0,"CHECK REVIEWER ID",IF(OR(A11="",COUNTIF($A$2:$A$14,A11)&lt;&gt;1,LEFT(A11,LEN("2025::jama.2025.19563::"))&lt;&gt;"2025::jama.2025.19563::"),"CHECK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PRIMARY READY</v>
      </c>
      <c r="H11" s="8" t="str">
        <f t="shared" si="0"/>
        <v>not_applicable</v>
      </c>
      <c r="I11" s="8" t="str">
        <f t="shared" si="1"/>
        <v>not_applicable</v>
      </c>
      <c r="J11" s="9" t="str">
        <f t="shared" si="2"/>
        <v>not_applicable</v>
      </c>
      <c r="K11" s="8" t="str">
        <f t="shared" si="3"/>
        <v>not_applicable</v>
      </c>
      <c r="L11" s="9" t="str">
        <f t="shared" si="4"/>
        <v>not_applicable</v>
      </c>
      <c r="M11" s="1"/>
      <c r="N11" s="4"/>
      <c r="O11" s="4"/>
      <c r="P11" s="4"/>
      <c r="Q11" s="4"/>
      <c r="R11" s="9" t="s">
        <v>631</v>
      </c>
    </row>
    <row r="12" spans="1:18" ht="91.95" customHeight="1">
      <c r="A12" s="3" t="s">
        <v>254</v>
      </c>
      <c r="B12" s="3" t="s">
        <v>255</v>
      </c>
      <c r="C12" s="3" t="s">
        <v>256</v>
      </c>
      <c r="D12" s="8" t="s">
        <v>485</v>
      </c>
      <c r="E12" s="8" t="s">
        <v>66</v>
      </c>
      <c r="F12" s="8" t="s">
        <v>570</v>
      </c>
      <c r="G12" s="3" t="str">
        <f>IFERROR(IF(LEN(TRIM(CLEAN(SUBSTITUTE(Setup!$B$2,CHAR(160)," "))))=0,"CHECK REVIEWER ID",IF(OR(A12="",COUNTIF($A$2:$A$14,A12)&lt;&gt;1,LEFT(A12,LEN("2025::jama.2025.19563::"))&lt;&gt;"2025::jama.2025.19563::"),"CHECK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PRIMARY READY</v>
      </c>
      <c r="H12" s="8" t="s">
        <v>512</v>
      </c>
      <c r="I12" s="8" t="s">
        <v>526</v>
      </c>
      <c r="J12" s="9" t="s">
        <v>536</v>
      </c>
      <c r="K12" s="8" t="str">
        <f t="shared" si="3"/>
        <v>not_applicable</v>
      </c>
      <c r="L12" s="9" t="str">
        <f t="shared" si="4"/>
        <v>not_applicable</v>
      </c>
      <c r="M12" s="3"/>
      <c r="N12" s="4"/>
      <c r="O12" s="4"/>
      <c r="P12" s="4"/>
      <c r="Q12" s="4"/>
      <c r="R12" s="9" t="s">
        <v>629</v>
      </c>
    </row>
    <row r="13" spans="1:18" ht="91.95" customHeight="1">
      <c r="A13" s="1" t="s">
        <v>257</v>
      </c>
      <c r="B13" s="1" t="s">
        <v>258</v>
      </c>
      <c r="C13" s="1" t="s">
        <v>259</v>
      </c>
      <c r="D13" s="8" t="s">
        <v>485</v>
      </c>
      <c r="E13" s="8" t="s">
        <v>66</v>
      </c>
      <c r="F13" s="8" t="s">
        <v>570</v>
      </c>
      <c r="G13" s="1" t="str">
        <f>IFERROR(IF(LEN(TRIM(CLEAN(SUBSTITUTE(Setup!$B$2,CHAR(160)," "))))=0,"CHECK REVIEWER ID",IF(OR(A13="",COUNTIF($A$2:$A$14,A13)&lt;&gt;1,LEFT(A13,LEN("2025::jama.2025.19563::"))&lt;&gt;"2025::jama.2025.19563::"),"CHECK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PRIMARY READY</v>
      </c>
      <c r="H13" s="8" t="s">
        <v>512</v>
      </c>
      <c r="I13" s="8" t="s">
        <v>524</v>
      </c>
      <c r="J13" s="9" t="s">
        <v>534</v>
      </c>
      <c r="K13" s="8" t="str">
        <f t="shared" si="3"/>
        <v>not_applicable</v>
      </c>
      <c r="L13" s="9" t="str">
        <f t="shared" si="4"/>
        <v>not_applicable</v>
      </c>
      <c r="M13" s="1"/>
      <c r="N13" s="4"/>
      <c r="O13" s="4"/>
      <c r="P13" s="4"/>
      <c r="Q13" s="4"/>
      <c r="R13" s="9" t="s">
        <v>627</v>
      </c>
    </row>
    <row r="14" spans="1:18" ht="91.95" customHeight="1">
      <c r="A14" s="3" t="s">
        <v>260</v>
      </c>
      <c r="B14" s="3" t="s">
        <v>261</v>
      </c>
      <c r="C14" s="3" t="s">
        <v>262</v>
      </c>
      <c r="D14" s="8" t="s">
        <v>485</v>
      </c>
      <c r="E14" s="8" t="s">
        <v>66</v>
      </c>
      <c r="F14" s="8" t="s">
        <v>570</v>
      </c>
      <c r="G14" s="3" t="str">
        <f>IFERROR(IF(LEN(TRIM(CLEAN(SUBSTITUTE(Setup!$B$2,CHAR(160)," "))))=0,"CHECK REVIEWER ID",IF(OR(A14="",COUNTIF($A$2:$A$14,A14)&lt;&gt;1,LEFT(A14,LEN("2025::jama.2025.19563::"))&lt;&gt;"2025::jama.2025.19563::"),"CHECK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PRIMARY READY</v>
      </c>
      <c r="H14" s="8" t="s">
        <v>512</v>
      </c>
      <c r="I14" s="8" t="s">
        <v>524</v>
      </c>
      <c r="J14" s="9" t="s">
        <v>534</v>
      </c>
      <c r="K14" s="8" t="str">
        <f t="shared" si="3"/>
        <v>not_applicable</v>
      </c>
      <c r="L14" s="9" t="str">
        <f t="shared" si="4"/>
        <v>not_applicable</v>
      </c>
      <c r="M14" s="3"/>
      <c r="N14" s="4"/>
      <c r="O14" s="4"/>
      <c r="P14" s="4"/>
      <c r="Q14" s="4"/>
      <c r="R14" s="9" t="s">
        <v>625</v>
      </c>
    </row>
  </sheetData>
  <autoFilter ref="A1:R14" xr:uid="{00000000-0009-0000-0000-000009000000}"/>
  <phoneticPr fontId="5" type="noConversion"/>
  <conditionalFormatting sqref="G2:G14">
    <cfRule type="expression" dxfId="35" priority="13">
      <formula>G2&lt;&gt;"PRIMARY READY"</formula>
    </cfRule>
  </conditionalFormatting>
  <conditionalFormatting sqref="H2:J14">
    <cfRule type="expression" dxfId="34" priority="8">
      <formula>NOT(AND(OR($D2="retain",$D2=""),$E2="statistical_results"))</formula>
    </cfRule>
  </conditionalFormatting>
  <conditionalFormatting sqref="K2:K14">
    <cfRule type="expression" dxfId="33" priority="11">
      <formula>NOT(AND(OR($D2="retain",$D2=""),OR($E2="report_internal_inconsistency",$E2="plan_material")))</formula>
    </cfRule>
  </conditionalFormatting>
  <conditionalFormatting sqref="L2:L14">
    <cfRule type="expression" dxfId="32" priority="12">
      <formula>NOT(AND(OR($D2="retain",$D2=""),$E2="protocol_report"))</formula>
    </cfRule>
  </conditionalFormatting>
  <dataValidations count="8">
    <dataValidation type="list" allowBlank="1" showErrorMessage="1" errorTitle="Use a listed option" error="Choose an option; G also checks pasted entries." sqref="D2:D14" xr:uid="{00000000-0002-0000-0900-000000000000}">
      <formula1>"retain,exclude,discuss"</formula1>
    </dataValidation>
    <dataValidation type="list" allowBlank="1" showErrorMessage="1" errorTitle="Use a listed option" error="Choose an option; G also checks pasted entries." sqref="E2:E14" xr:uid="{00000000-0002-0000-0900-000001000000}">
      <formula1>"statistical_results,report_internal_inconsistency,plan_material,protocol_report"</formula1>
    </dataValidation>
    <dataValidation type="list" allowBlank="1" showErrorMessage="1" errorTitle="Use a listed option" error="Choose an option; G also checks pasted entries." sqref="F2:F14" xr:uid="{00000000-0002-0000-0900-000002000000}">
      <formula1>"no,primary_done"</formula1>
    </dataValidation>
    <dataValidation type="list" allowBlank="1" showErrorMessage="1" errorTitle="Use a listed option" error="Choose an option; G also checks pasted entries." sqref="H2:H14" xr:uid="{00000000-0002-0000-0900-000003000000}">
      <formula1>"confirmed_issue,probable_issue,not_issue,indeterminate,not_applicable"</formula1>
    </dataValidation>
    <dataValidation type="list" allowBlank="1" showErrorMessage="1" errorTitle="Use a listed option" error="Choose an option; G also checks pasted entries." sqref="I2:I14" xr:uid="{00000000-0002-0000-0900-000004000000}">
      <formula1>"substantive,minor_presentation,indeterminate,not_applicable"</formula1>
    </dataValidation>
    <dataValidation type="list" allowBlank="1" showErrorMessage="1" errorTitle="Use a listed option" error="Choose an option; G also checks pasted entries." sqref="J2:J14" xr:uid="{00000000-0002-0000-0900-000005000000}">
      <formula1>"direct,possible,unlikely,unknown,not_applicable"</formula1>
    </dataValidation>
    <dataValidation type="list" allowBlank="1" showErrorMessage="1" errorTitle="Use a listed option" error="Choose an option; G also checks pasted entries." sqref="K2:K14" xr:uid="{00000000-0002-0000-0900-000006000000}">
      <formula1>"substantive_inconsistency,minor_presentation,non_inconsistency,indeterminate,not_applicable"</formula1>
    </dataValidation>
    <dataValidation type="list" allowBlank="1" showErrorMessage="1" errorTitle="Use a listed option" error="Choose an option; G also checks pasted entries." sqref="L2:L14" xr:uid="{00000000-0002-0000-0900-000007000000}">
      <formula1>"substantive_difference,minor_presentation,version_timing,non_inconsistency,indeterminate,not_applicable"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8"/>
  <sheetViews>
    <sheetView tabSelected="1" workbookViewId="0">
      <pane xSplit="1" ySplit="1" topLeftCell="B4" activePane="bottomRight" state="frozen"/>
      <selection pane="topRight"/>
      <selection pane="bottomLeft"/>
      <selection pane="bottomRight" activeCell="F6" sqref="F6"/>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263</v>
      </c>
      <c r="B2" s="3" t="s">
        <v>264</v>
      </c>
      <c r="C2" s="3" t="s">
        <v>265</v>
      </c>
      <c r="D2" s="8" t="s">
        <v>485</v>
      </c>
      <c r="E2" s="8" t="s">
        <v>66</v>
      </c>
      <c r="F2" s="8" t="s">
        <v>570</v>
      </c>
      <c r="G2" s="3" t="str">
        <f>IFERROR(IF(LEN(TRIM(CLEAN(SUBSTITUTE(Setup!$B$2,CHAR(160)," "))))=0,"CHECK REVIEWER ID",IF(OR(A2="",COUNTIF($A$2:$A$8,A2)&lt;&gt;1,LEFT(A2,LEN("2025::jama.2025.19843::"))&lt;&gt;"2025::jama.2025.19843::"),"CHECK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
        <v>512</v>
      </c>
      <c r="I2" s="8" t="s">
        <v>524</v>
      </c>
      <c r="J2" s="9" t="s">
        <v>534</v>
      </c>
      <c r="K2" s="8" t="str">
        <f t="shared" ref="K2:K8" si="0">IF(AND(OR(D2="retain",D2=""),OR(E2="report_internal_inconsistency",E2="plan_material")),"","not_applicable")</f>
        <v>not_applicable</v>
      </c>
      <c r="L2" s="9" t="str">
        <f t="shared" ref="L2:L8" si="1">IF(AND(OR(D2="retain",D2=""),E2="protocol_report"),"","not_applicable")</f>
        <v>not_applicable</v>
      </c>
      <c r="M2" s="3"/>
      <c r="N2" s="4"/>
      <c r="O2" s="4"/>
      <c r="P2" s="4"/>
      <c r="Q2" s="4"/>
      <c r="R2" s="9" t="s">
        <v>637</v>
      </c>
    </row>
    <row r="3" spans="1:18" ht="91.95" customHeight="1">
      <c r="A3" s="1" t="s">
        <v>266</v>
      </c>
      <c r="B3" s="1" t="s">
        <v>267</v>
      </c>
      <c r="C3" s="1" t="s">
        <v>268</v>
      </c>
      <c r="D3" s="8" t="s">
        <v>485</v>
      </c>
      <c r="E3" s="8" t="s">
        <v>71</v>
      </c>
      <c r="F3" s="8" t="s">
        <v>570</v>
      </c>
      <c r="G3" s="1" t="str">
        <f>IFERROR(IF(LEN(TRIM(CLEAN(SUBSTITUTE(Setup!$B$2,CHAR(160)," "))))=0,"CHECK REVIEWER ID",IF(OR(A3="",COUNTIF($A$2:$A$8,A3)&lt;&gt;1,LEFT(A3,LEN("2025::jama.2025.19843::"))&lt;&gt;"2025::jama.2025.19843::"),"CHECK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 t="shared" ref="H2:H8" si="2">IF(AND(OR(D3="retain",D3=""),E3="statistical_results"),"","not_applicable")</f>
        <v>not_applicable</v>
      </c>
      <c r="I3" s="8" t="str">
        <f t="shared" ref="I2:I8" si="3">IF(AND(OR(D3="retain",D3=""),E3="statistical_results"),"","not_applicable")</f>
        <v>not_applicable</v>
      </c>
      <c r="J3" s="9" t="str">
        <f t="shared" ref="J2:J8" si="4">IF(AND(OR(D3="retain",D3=""),E3="statistical_results"),"","not_applicable")</f>
        <v>not_applicable</v>
      </c>
      <c r="K3" s="8" t="str">
        <f t="shared" si="0"/>
        <v>not_applicable</v>
      </c>
      <c r="L3" s="9" t="s">
        <v>554</v>
      </c>
      <c r="M3" s="1"/>
      <c r="N3" s="4"/>
      <c r="O3" s="4"/>
      <c r="P3" s="4"/>
      <c r="Q3" s="4"/>
      <c r="R3" s="9" t="s">
        <v>639</v>
      </c>
    </row>
    <row r="4" spans="1:18" ht="91.95" customHeight="1">
      <c r="A4" s="3" t="s">
        <v>269</v>
      </c>
      <c r="B4" s="3" t="s">
        <v>270</v>
      </c>
      <c r="C4" s="3" t="s">
        <v>271</v>
      </c>
      <c r="D4" s="8" t="s">
        <v>485</v>
      </c>
      <c r="E4" s="8" t="s">
        <v>71</v>
      </c>
      <c r="F4" s="8" t="s">
        <v>570</v>
      </c>
      <c r="G4" s="3" t="str">
        <f>IFERROR(IF(LEN(TRIM(CLEAN(SUBSTITUTE(Setup!$B$2,CHAR(160)," "))))=0,"CHECK REVIEWER ID",IF(OR(A4="",COUNTIF($A$2:$A$8,A4)&lt;&gt;1,LEFT(A4,LEN("2025::jama.2025.19843::"))&lt;&gt;"2025::jama.2025.19843::"),"CHECK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 t="shared" si="2"/>
        <v>not_applicable</v>
      </c>
      <c r="I4" s="8" t="str">
        <f t="shared" si="3"/>
        <v>not_applicable</v>
      </c>
      <c r="J4" s="9" t="str">
        <f t="shared" si="4"/>
        <v>not_applicable</v>
      </c>
      <c r="K4" s="8" t="str">
        <f t="shared" si="0"/>
        <v>not_applicable</v>
      </c>
      <c r="L4" s="9" t="s">
        <v>554</v>
      </c>
      <c r="M4" s="3"/>
      <c r="N4" s="4"/>
      <c r="O4" s="4"/>
      <c r="P4" s="4"/>
      <c r="Q4" s="4"/>
      <c r="R4" s="9" t="s">
        <v>641</v>
      </c>
    </row>
    <row r="5" spans="1:18" ht="91.95" customHeight="1">
      <c r="A5" s="1" t="s">
        <v>272</v>
      </c>
      <c r="B5" s="1" t="s">
        <v>273</v>
      </c>
      <c r="C5" s="1" t="s">
        <v>274</v>
      </c>
      <c r="D5" s="8" t="s">
        <v>485</v>
      </c>
      <c r="E5" s="8" t="s">
        <v>71</v>
      </c>
      <c r="F5" s="8" t="s">
        <v>570</v>
      </c>
      <c r="G5" s="1" t="str">
        <f>IFERROR(IF(LEN(TRIM(CLEAN(SUBSTITUTE(Setup!$B$2,CHAR(160)," "))))=0,"CHECK REVIEWER ID",IF(OR(A5="",COUNTIF($A$2:$A$8,A5)&lt;&gt;1,LEFT(A5,LEN("2025::jama.2025.19843::"))&lt;&gt;"2025::jama.2025.19843::"),"CHECK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
        <v>520</v>
      </c>
      <c r="I5" s="8" t="str">
        <f t="shared" si="3"/>
        <v>not_applicable</v>
      </c>
      <c r="J5" s="9" t="str">
        <f t="shared" si="4"/>
        <v>not_applicable</v>
      </c>
      <c r="K5" s="8" t="str">
        <f t="shared" si="0"/>
        <v>not_applicable</v>
      </c>
      <c r="L5" s="9" t="s">
        <v>554</v>
      </c>
      <c r="M5" s="1"/>
      <c r="N5" s="4"/>
      <c r="O5" s="4"/>
      <c r="P5" s="4"/>
      <c r="Q5" s="4"/>
      <c r="R5" s="9" t="s">
        <v>643</v>
      </c>
    </row>
    <row r="6" spans="1:18" ht="91.95" customHeight="1">
      <c r="A6" s="3" t="s">
        <v>275</v>
      </c>
      <c r="B6" s="3" t="s">
        <v>276</v>
      </c>
      <c r="C6" s="3" t="s">
        <v>277</v>
      </c>
      <c r="D6" s="8" t="s">
        <v>485</v>
      </c>
      <c r="E6" s="8" t="s">
        <v>71</v>
      </c>
      <c r="F6" s="8" t="s">
        <v>570</v>
      </c>
      <c r="G6" s="3" t="str">
        <f>IFERROR(IF(LEN(TRIM(CLEAN(SUBSTITUTE(Setup!$B$2,CHAR(160)," "))))=0,"CHECK REVIEWER ID",IF(OR(A6="",COUNTIF($A$2:$A$8,A6)&lt;&gt;1,LEFT(A6,LEN("2025::jama.2025.19843::"))&lt;&gt;"2025::jama.2025.19843::"),"CHECK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2"/>
        <v>not_applicable</v>
      </c>
      <c r="I6" s="8" t="str">
        <f t="shared" si="3"/>
        <v>not_applicable</v>
      </c>
      <c r="J6" s="9" t="str">
        <f t="shared" si="4"/>
        <v>not_applicable</v>
      </c>
      <c r="K6" s="8" t="str">
        <f t="shared" si="0"/>
        <v>not_applicable</v>
      </c>
      <c r="L6" s="9" t="s">
        <v>554</v>
      </c>
      <c r="M6" s="3"/>
      <c r="N6" s="4"/>
      <c r="O6" s="4"/>
      <c r="P6" s="4"/>
      <c r="Q6" s="4"/>
      <c r="R6" s="9" t="s">
        <v>642</v>
      </c>
    </row>
    <row r="7" spans="1:18" ht="91.95" customHeight="1">
      <c r="A7" s="1" t="s">
        <v>278</v>
      </c>
      <c r="B7" s="1" t="s">
        <v>279</v>
      </c>
      <c r="C7" s="1" t="s">
        <v>280</v>
      </c>
      <c r="D7" s="8" t="s">
        <v>485</v>
      </c>
      <c r="E7" s="8" t="s">
        <v>71</v>
      </c>
      <c r="F7" s="8" t="s">
        <v>570</v>
      </c>
      <c r="G7" s="1" t="str">
        <f>IFERROR(IF(LEN(TRIM(CLEAN(SUBSTITUTE(Setup!$B$2,CHAR(160)," "))))=0,"CHECK REVIEWER ID",IF(OR(A7="",COUNTIF($A$2:$A$8,A7)&lt;&gt;1,LEFT(A7,LEN("2025::jama.2025.19843::"))&lt;&gt;"2025::jama.2025.19843::"),"CHECK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tr">
        <f t="shared" si="2"/>
        <v>not_applicable</v>
      </c>
      <c r="I7" s="8" t="str">
        <f t="shared" si="3"/>
        <v>not_applicable</v>
      </c>
      <c r="J7" s="9" t="str">
        <f t="shared" si="4"/>
        <v>not_applicable</v>
      </c>
      <c r="K7" s="8" t="str">
        <f t="shared" si="0"/>
        <v>not_applicable</v>
      </c>
      <c r="L7" s="9" t="s">
        <v>554</v>
      </c>
      <c r="M7" s="1"/>
      <c r="N7" s="4"/>
      <c r="O7" s="4"/>
      <c r="P7" s="4"/>
      <c r="Q7" s="4"/>
      <c r="R7" s="9" t="s">
        <v>640</v>
      </c>
    </row>
    <row r="8" spans="1:18" ht="91.95" customHeight="1">
      <c r="A8" s="3" t="s">
        <v>281</v>
      </c>
      <c r="B8" s="3" t="s">
        <v>282</v>
      </c>
      <c r="C8" s="3" t="s">
        <v>283</v>
      </c>
      <c r="D8" s="8" t="s">
        <v>485</v>
      </c>
      <c r="E8" s="8" t="s">
        <v>71</v>
      </c>
      <c r="F8" s="8" t="s">
        <v>570</v>
      </c>
      <c r="G8" s="3" t="str">
        <f>IFERROR(IF(LEN(TRIM(CLEAN(SUBSTITUTE(Setup!$B$2,CHAR(160)," "))))=0,"CHECK REVIEWER ID",IF(OR(A8="",COUNTIF($A$2:$A$8,A8)&lt;&gt;1,LEFT(A8,LEN("2025::jama.2025.19843::"))&lt;&gt;"2025::jama.2025.19843::"),"CHECK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PRIMARY READY</v>
      </c>
      <c r="H8" s="8" t="str">
        <f t="shared" si="2"/>
        <v>not_applicable</v>
      </c>
      <c r="I8" s="8" t="str">
        <f t="shared" si="3"/>
        <v>not_applicable</v>
      </c>
      <c r="J8" s="9" t="str">
        <f t="shared" si="4"/>
        <v>not_applicable</v>
      </c>
      <c r="K8" s="8" t="str">
        <f t="shared" si="0"/>
        <v>not_applicable</v>
      </c>
      <c r="L8" s="9" t="s">
        <v>554</v>
      </c>
      <c r="M8" s="3"/>
      <c r="N8" s="4"/>
      <c r="O8" s="4"/>
      <c r="P8" s="4"/>
      <c r="Q8" s="4"/>
      <c r="R8" s="9" t="s">
        <v>638</v>
      </c>
    </row>
  </sheetData>
  <autoFilter ref="A1:R8" xr:uid="{00000000-0009-0000-0000-00000A000000}"/>
  <phoneticPr fontId="5" type="noConversion"/>
  <conditionalFormatting sqref="G2:G8">
    <cfRule type="expression" dxfId="31" priority="13">
      <formula>G2&lt;&gt;"PRIMARY READY"</formula>
    </cfRule>
  </conditionalFormatting>
  <conditionalFormatting sqref="H2:J8">
    <cfRule type="expression" dxfId="30" priority="8">
      <formula>NOT(AND(OR($D2="retain",$D2=""),$E2="statistical_results"))</formula>
    </cfRule>
  </conditionalFormatting>
  <conditionalFormatting sqref="K2:K8">
    <cfRule type="expression" dxfId="29" priority="11">
      <formula>NOT(AND(OR($D2="retain",$D2=""),OR($E2="report_internal_inconsistency",$E2="plan_material")))</formula>
    </cfRule>
  </conditionalFormatting>
  <conditionalFormatting sqref="L2:L8">
    <cfRule type="expression" dxfId="28" priority="12">
      <formula>NOT(AND(OR($D2="retain",$D2=""),$E2="protocol_report"))</formula>
    </cfRule>
  </conditionalFormatting>
  <dataValidations count="8">
    <dataValidation type="list" allowBlank="1" showErrorMessage="1" errorTitle="Use a listed option" error="Choose an option; G also checks pasted entries." sqref="D2:D8" xr:uid="{00000000-0002-0000-0A00-000000000000}">
      <formula1>"retain,exclude,discuss"</formula1>
    </dataValidation>
    <dataValidation type="list" allowBlank="1" showErrorMessage="1" errorTitle="Use a listed option" error="Choose an option; G also checks pasted entries." sqref="E2:E8" xr:uid="{00000000-0002-0000-0A00-000001000000}">
      <formula1>"statistical_results,report_internal_inconsistency,plan_material,protocol_report"</formula1>
    </dataValidation>
    <dataValidation type="list" allowBlank="1" showErrorMessage="1" errorTitle="Use a listed option" error="Choose an option; G also checks pasted entries." sqref="F2:F8" xr:uid="{00000000-0002-0000-0A00-000002000000}">
      <formula1>"no,primary_done"</formula1>
    </dataValidation>
    <dataValidation type="list" allowBlank="1" showErrorMessage="1" errorTitle="Use a listed option" error="Choose an option; G also checks pasted entries." sqref="H2:H8" xr:uid="{00000000-0002-0000-0A00-000003000000}">
      <formula1>"confirmed_issue,probable_issue,not_issue,indeterminate,not_applicable"</formula1>
    </dataValidation>
    <dataValidation type="list" allowBlank="1" showErrorMessage="1" errorTitle="Use a listed option" error="Choose an option; G also checks pasted entries." sqref="I2:I8" xr:uid="{00000000-0002-0000-0A00-000004000000}">
      <formula1>"substantive,minor_presentation,indeterminate,not_applicable"</formula1>
    </dataValidation>
    <dataValidation type="list" allowBlank="1" showErrorMessage="1" errorTitle="Use a listed option" error="Choose an option; G also checks pasted entries." sqref="J2:J8" xr:uid="{00000000-0002-0000-0A00-000005000000}">
      <formula1>"direct,possible,unlikely,unknown,not_applicable"</formula1>
    </dataValidation>
    <dataValidation type="list" allowBlank="1" showErrorMessage="1" errorTitle="Use a listed option" error="Choose an option; G also checks pasted entries." sqref="K2:K8" xr:uid="{00000000-0002-0000-0A00-000006000000}">
      <formula1>"substantive_inconsistency,minor_presentation,non_inconsistency,indeterminate,not_applicable"</formula1>
    </dataValidation>
    <dataValidation type="list" allowBlank="1" showErrorMessage="1" errorTitle="Use a listed option" error="Choose an option; G also checks pasted entries." sqref="L2:L8" xr:uid="{00000000-0002-0000-0A00-000007000000}">
      <formula1>"substantive_difference,minor_presentation,version_timing,non_inconsistency,indeterminate,not_applicable"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R20"/>
  <sheetViews>
    <sheetView workbookViewId="0">
      <pane xSplit="1" ySplit="1" topLeftCell="B17"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284</v>
      </c>
      <c r="B2" s="3" t="s">
        <v>285</v>
      </c>
      <c r="C2" s="3" t="s">
        <v>286</v>
      </c>
      <c r="D2" s="8"/>
      <c r="E2" s="8" t="s">
        <v>71</v>
      </c>
      <c r="F2" s="8" t="s">
        <v>67</v>
      </c>
      <c r="G2" s="3" t="str">
        <f>IFERROR(IF(LEN(TRIM(CLEAN(SUBSTITUTE(Setup!$B$2,CHAR(160)," "))))=0,"CHECK REVIEWER ID",IF(OR(A2="",COUNTIF($A$2:$A$20,A2)&lt;&gt;1,LEFT(A2,LEN("2025::jama.2025.20765::"))&lt;&gt;"2025::jama.2025.20765::"),"CHECK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 t="shared" ref="H2:H20" si="0">IF(AND(OR(D2="retain",D2=""),E2="statistical_results"),"","not_applicable")</f>
        <v>not_applicable</v>
      </c>
      <c r="I2" s="8" t="str">
        <f t="shared" ref="I2:I20" si="1">IF(AND(OR(D2="retain",D2=""),E2="statistical_results"),"","not_applicable")</f>
        <v>not_applicable</v>
      </c>
      <c r="J2" s="9" t="str">
        <f t="shared" ref="J2:J20" si="2">IF(AND(OR(D2="retain",D2=""),E2="statistical_results"),"","not_applicable")</f>
        <v>not_applicable</v>
      </c>
      <c r="K2" s="8" t="str">
        <f t="shared" ref="K2:K20" si="3">IF(AND(OR(D2="retain",D2=""),OR(E2="report_internal_inconsistency",E2="plan_material")),"","not_applicable")</f>
        <v>not_applicable</v>
      </c>
      <c r="L2" s="9" t="str">
        <f t="shared" ref="L2:L20" si="4">IF(AND(OR(D2="retain",D2=""),E2="protocol_report"),"","not_applicable")</f>
        <v/>
      </c>
      <c r="M2" s="3"/>
      <c r="N2" s="4"/>
      <c r="O2" s="4"/>
      <c r="P2" s="4"/>
      <c r="Q2" s="4"/>
      <c r="R2" s="9"/>
    </row>
    <row r="3" spans="1:18" ht="91.95" customHeight="1">
      <c r="A3" s="1" t="s">
        <v>287</v>
      </c>
      <c r="B3" s="1" t="s">
        <v>288</v>
      </c>
      <c r="C3" s="1" t="s">
        <v>289</v>
      </c>
      <c r="D3" s="8"/>
      <c r="E3" s="8" t="s">
        <v>71</v>
      </c>
      <c r="F3" s="8" t="s">
        <v>67</v>
      </c>
      <c r="G3" s="1" t="str">
        <f>IFERROR(IF(LEN(TRIM(CLEAN(SUBSTITUTE(Setup!$B$2,CHAR(160)," "))))=0,"CHECK REVIEWER ID",IF(OR(A3="",COUNTIF($A$2:$A$20,A3)&lt;&gt;1,LEFT(A3,LEN("2025::jama.2025.20765::"))&lt;&gt;"2025::jama.2025.20765::"),"CHECK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 t="shared" si="0"/>
        <v>not_applicable</v>
      </c>
      <c r="I3" s="8" t="str">
        <f t="shared" si="1"/>
        <v>not_applicable</v>
      </c>
      <c r="J3" s="9" t="str">
        <f t="shared" si="2"/>
        <v>not_applicable</v>
      </c>
      <c r="K3" s="8" t="str">
        <f t="shared" si="3"/>
        <v>not_applicable</v>
      </c>
      <c r="L3" s="9" t="str">
        <f t="shared" si="4"/>
        <v/>
      </c>
      <c r="M3" s="1"/>
      <c r="N3" s="4"/>
      <c r="O3" s="4"/>
      <c r="P3" s="4"/>
      <c r="Q3" s="4"/>
      <c r="R3" s="9"/>
    </row>
    <row r="4" spans="1:18" ht="91.95" customHeight="1">
      <c r="A4" s="3" t="s">
        <v>290</v>
      </c>
      <c r="B4" s="3" t="s">
        <v>291</v>
      </c>
      <c r="C4" s="3" t="s">
        <v>292</v>
      </c>
      <c r="D4" s="8"/>
      <c r="E4" s="8" t="s">
        <v>71</v>
      </c>
      <c r="F4" s="8" t="s">
        <v>67</v>
      </c>
      <c r="G4" s="3" t="str">
        <f>IFERROR(IF(LEN(TRIM(CLEAN(SUBSTITUTE(Setup!$B$2,CHAR(160)," "))))=0,"CHECK REVIEWER ID",IF(OR(A4="",COUNTIF($A$2:$A$20,A4)&lt;&gt;1,LEFT(A4,LEN("2025::jama.2025.20765::"))&lt;&gt;"2025::jama.2025.20765::"),"CHECK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 t="shared" si="0"/>
        <v>not_applicable</v>
      </c>
      <c r="I4" s="8" t="str">
        <f t="shared" si="1"/>
        <v>not_applicable</v>
      </c>
      <c r="J4" s="9" t="str">
        <f t="shared" si="2"/>
        <v>not_applicable</v>
      </c>
      <c r="K4" s="8" t="str">
        <f t="shared" si="3"/>
        <v>not_applicable</v>
      </c>
      <c r="L4" s="9" t="str">
        <f t="shared" si="4"/>
        <v/>
      </c>
      <c r="M4" s="3"/>
      <c r="N4" s="4"/>
      <c r="O4" s="4"/>
      <c r="P4" s="4"/>
      <c r="Q4" s="4"/>
      <c r="R4" s="9"/>
    </row>
    <row r="5" spans="1:18" ht="91.95" customHeight="1">
      <c r="A5" s="1" t="s">
        <v>293</v>
      </c>
      <c r="B5" s="1" t="s">
        <v>294</v>
      </c>
      <c r="C5" s="1" t="s">
        <v>295</v>
      </c>
      <c r="D5" s="8"/>
      <c r="E5" s="8" t="s">
        <v>71</v>
      </c>
      <c r="F5" s="8" t="s">
        <v>67</v>
      </c>
      <c r="G5" s="1" t="str">
        <f>IFERROR(IF(LEN(TRIM(CLEAN(SUBSTITUTE(Setup!$B$2,CHAR(160)," "))))=0,"CHECK REVIEWER ID",IF(OR(A5="",COUNTIF($A$2:$A$20,A5)&lt;&gt;1,LEFT(A5,LEN("2025::jama.2025.20765::"))&lt;&gt;"2025::jama.2025.20765::"),"CHECK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 t="shared" si="0"/>
        <v>not_applicable</v>
      </c>
      <c r="I5" s="8" t="str">
        <f t="shared" si="1"/>
        <v>not_applicable</v>
      </c>
      <c r="J5" s="9" t="str">
        <f t="shared" si="2"/>
        <v>not_applicable</v>
      </c>
      <c r="K5" s="8" t="str">
        <f t="shared" si="3"/>
        <v>not_applicable</v>
      </c>
      <c r="L5" s="9" t="str">
        <f t="shared" si="4"/>
        <v/>
      </c>
      <c r="M5" s="1"/>
      <c r="N5" s="4"/>
      <c r="O5" s="4"/>
      <c r="P5" s="4"/>
      <c r="Q5" s="4"/>
      <c r="R5" s="9"/>
    </row>
    <row r="6" spans="1:18" ht="91.95" customHeight="1">
      <c r="A6" s="3" t="s">
        <v>296</v>
      </c>
      <c r="B6" s="3" t="s">
        <v>297</v>
      </c>
      <c r="C6" s="3" t="s">
        <v>298</v>
      </c>
      <c r="D6" s="8"/>
      <c r="E6" s="8" t="s">
        <v>71</v>
      </c>
      <c r="F6" s="8" t="s">
        <v>67</v>
      </c>
      <c r="G6" s="3" t="str">
        <f>IFERROR(IF(LEN(TRIM(CLEAN(SUBSTITUTE(Setup!$B$2,CHAR(160)," "))))=0,"CHECK REVIEWER ID",IF(OR(A6="",COUNTIF($A$2:$A$20,A6)&lt;&gt;1,LEFT(A6,LEN("2025::jama.2025.20765::"))&lt;&gt;"2025::jama.2025.20765::"),"CHECK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CHECK FIELDS</v>
      </c>
      <c r="H6" s="8" t="str">
        <f t="shared" si="0"/>
        <v>not_applicable</v>
      </c>
      <c r="I6" s="8" t="str">
        <f t="shared" si="1"/>
        <v>not_applicable</v>
      </c>
      <c r="J6" s="9" t="str">
        <f t="shared" si="2"/>
        <v>not_applicable</v>
      </c>
      <c r="K6" s="8" t="str">
        <f t="shared" si="3"/>
        <v>not_applicable</v>
      </c>
      <c r="L6" s="9" t="str">
        <f t="shared" si="4"/>
        <v/>
      </c>
      <c r="M6" s="3"/>
      <c r="N6" s="4"/>
      <c r="O6" s="4"/>
      <c r="P6" s="4"/>
      <c r="Q6" s="4"/>
      <c r="R6" s="9"/>
    </row>
    <row r="7" spans="1:18" ht="91.95" customHeight="1">
      <c r="A7" s="1" t="s">
        <v>299</v>
      </c>
      <c r="B7" s="1" t="s">
        <v>300</v>
      </c>
      <c r="C7" s="1" t="s">
        <v>301</v>
      </c>
      <c r="D7" s="8"/>
      <c r="E7" s="8" t="s">
        <v>66</v>
      </c>
      <c r="F7" s="8" t="s">
        <v>67</v>
      </c>
      <c r="G7" s="1" t="str">
        <f>IFERROR(IF(LEN(TRIM(CLEAN(SUBSTITUTE(Setup!$B$2,CHAR(160)," "))))=0,"CHECK REVIEWER ID",IF(OR(A7="",COUNTIF($A$2:$A$20,A7)&lt;&gt;1,LEFT(A7,LEN("2025::jama.2025.20765::"))&lt;&gt;"2025::jama.2025.20765::"),"CHECK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CHECK FIELDS</v>
      </c>
      <c r="H7" s="8" t="str">
        <f t="shared" si="0"/>
        <v/>
      </c>
      <c r="I7" s="8" t="str">
        <f t="shared" si="1"/>
        <v/>
      </c>
      <c r="J7" s="9" t="str">
        <f t="shared" si="2"/>
        <v/>
      </c>
      <c r="K7" s="8" t="str">
        <f t="shared" si="3"/>
        <v>not_applicable</v>
      </c>
      <c r="L7" s="9" t="str">
        <f t="shared" si="4"/>
        <v>not_applicable</v>
      </c>
      <c r="M7" s="1"/>
      <c r="N7" s="4"/>
      <c r="O7" s="4"/>
      <c r="P7" s="4"/>
      <c r="Q7" s="4"/>
      <c r="R7" s="9"/>
    </row>
    <row r="8" spans="1:18" ht="91.95" customHeight="1">
      <c r="A8" s="3" t="s">
        <v>302</v>
      </c>
      <c r="B8" s="3" t="s">
        <v>303</v>
      </c>
      <c r="C8" s="3" t="s">
        <v>304</v>
      </c>
      <c r="D8" s="8"/>
      <c r="E8" s="8" t="s">
        <v>71</v>
      </c>
      <c r="F8" s="8" t="s">
        <v>67</v>
      </c>
      <c r="G8" s="3" t="str">
        <f>IFERROR(IF(LEN(TRIM(CLEAN(SUBSTITUTE(Setup!$B$2,CHAR(160)," "))))=0,"CHECK REVIEWER ID",IF(OR(A8="",COUNTIF($A$2:$A$20,A8)&lt;&gt;1,LEFT(A8,LEN("2025::jama.2025.20765::"))&lt;&gt;"2025::jama.2025.20765::"),"CHECK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CHECK FIELDS</v>
      </c>
      <c r="H8" s="8" t="str">
        <f t="shared" si="0"/>
        <v>not_applicable</v>
      </c>
      <c r="I8" s="8" t="str">
        <f t="shared" si="1"/>
        <v>not_applicable</v>
      </c>
      <c r="J8" s="9" t="str">
        <f t="shared" si="2"/>
        <v>not_applicable</v>
      </c>
      <c r="K8" s="8" t="str">
        <f t="shared" si="3"/>
        <v>not_applicable</v>
      </c>
      <c r="L8" s="9" t="str">
        <f t="shared" si="4"/>
        <v/>
      </c>
      <c r="M8" s="3"/>
      <c r="N8" s="4"/>
      <c r="O8" s="4"/>
      <c r="P8" s="4"/>
      <c r="Q8" s="4"/>
      <c r="R8" s="9"/>
    </row>
    <row r="9" spans="1:18" ht="91.95" customHeight="1">
      <c r="A9" s="1" t="s">
        <v>305</v>
      </c>
      <c r="B9" s="1" t="s">
        <v>306</v>
      </c>
      <c r="C9" s="1" t="s">
        <v>307</v>
      </c>
      <c r="D9" s="8"/>
      <c r="E9" s="8" t="s">
        <v>71</v>
      </c>
      <c r="F9" s="8" t="s">
        <v>67</v>
      </c>
      <c r="G9" s="1" t="str">
        <f>IFERROR(IF(LEN(TRIM(CLEAN(SUBSTITUTE(Setup!$B$2,CHAR(160)," "))))=0,"CHECK REVIEWER ID",IF(OR(A9="",COUNTIF($A$2:$A$20,A9)&lt;&gt;1,LEFT(A9,LEN("2025::jama.2025.20765::"))&lt;&gt;"2025::jama.2025.20765::"),"CHECK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CHECK FIELDS</v>
      </c>
      <c r="H9" s="8" t="str">
        <f t="shared" si="0"/>
        <v>not_applicable</v>
      </c>
      <c r="I9" s="8" t="str">
        <f t="shared" si="1"/>
        <v>not_applicable</v>
      </c>
      <c r="J9" s="9" t="str">
        <f t="shared" si="2"/>
        <v>not_applicable</v>
      </c>
      <c r="K9" s="8" t="str">
        <f t="shared" si="3"/>
        <v>not_applicable</v>
      </c>
      <c r="L9" s="9" t="str">
        <f t="shared" si="4"/>
        <v/>
      </c>
      <c r="M9" s="1"/>
      <c r="N9" s="4"/>
      <c r="O9" s="4"/>
      <c r="P9" s="4"/>
      <c r="Q9" s="4"/>
      <c r="R9" s="9"/>
    </row>
    <row r="10" spans="1:18" ht="91.95" customHeight="1">
      <c r="A10" s="3" t="s">
        <v>308</v>
      </c>
      <c r="B10" s="3" t="s">
        <v>309</v>
      </c>
      <c r="C10" s="3" t="s">
        <v>310</v>
      </c>
      <c r="D10" s="8"/>
      <c r="E10" s="8" t="s">
        <v>71</v>
      </c>
      <c r="F10" s="8" t="s">
        <v>67</v>
      </c>
      <c r="G10" s="3" t="str">
        <f>IFERROR(IF(LEN(TRIM(CLEAN(SUBSTITUTE(Setup!$B$2,CHAR(160)," "))))=0,"CHECK REVIEWER ID",IF(OR(A10="",COUNTIF($A$2:$A$20,A10)&lt;&gt;1,LEFT(A10,LEN("2025::jama.2025.20765::"))&lt;&gt;"2025::jama.2025.20765::"),"CHECK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CHECK FIELDS</v>
      </c>
      <c r="H10" s="8" t="str">
        <f t="shared" si="0"/>
        <v>not_applicable</v>
      </c>
      <c r="I10" s="8" t="str">
        <f t="shared" si="1"/>
        <v>not_applicable</v>
      </c>
      <c r="J10" s="9" t="str">
        <f t="shared" si="2"/>
        <v>not_applicable</v>
      </c>
      <c r="K10" s="8" t="str">
        <f t="shared" si="3"/>
        <v>not_applicable</v>
      </c>
      <c r="L10" s="9" t="str">
        <f t="shared" si="4"/>
        <v/>
      </c>
      <c r="M10" s="3"/>
      <c r="N10" s="4"/>
      <c r="O10" s="4"/>
      <c r="P10" s="4"/>
      <c r="Q10" s="4"/>
      <c r="R10" s="9"/>
    </row>
    <row r="11" spans="1:18" ht="91.95" customHeight="1">
      <c r="A11" s="1" t="s">
        <v>311</v>
      </c>
      <c r="B11" s="1" t="s">
        <v>312</v>
      </c>
      <c r="C11" s="1" t="s">
        <v>313</v>
      </c>
      <c r="D11" s="8"/>
      <c r="E11" s="8" t="s">
        <v>71</v>
      </c>
      <c r="F11" s="8" t="s">
        <v>67</v>
      </c>
      <c r="G11" s="1" t="str">
        <f>IFERROR(IF(LEN(TRIM(CLEAN(SUBSTITUTE(Setup!$B$2,CHAR(160)," "))))=0,"CHECK REVIEWER ID",IF(OR(A11="",COUNTIF($A$2:$A$20,A11)&lt;&gt;1,LEFT(A11,LEN("2025::jama.2025.20765::"))&lt;&gt;"2025::jama.2025.20765::"),"CHECK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CHECK FIELDS</v>
      </c>
      <c r="H11" s="8" t="str">
        <f t="shared" si="0"/>
        <v>not_applicable</v>
      </c>
      <c r="I11" s="8" t="str">
        <f t="shared" si="1"/>
        <v>not_applicable</v>
      </c>
      <c r="J11" s="9" t="str">
        <f t="shared" si="2"/>
        <v>not_applicable</v>
      </c>
      <c r="K11" s="8" t="str">
        <f t="shared" si="3"/>
        <v>not_applicable</v>
      </c>
      <c r="L11" s="9" t="str">
        <f t="shared" si="4"/>
        <v/>
      </c>
      <c r="M11" s="1"/>
      <c r="N11" s="4"/>
      <c r="O11" s="4"/>
      <c r="P11" s="4"/>
      <c r="Q11" s="4"/>
      <c r="R11" s="9"/>
    </row>
    <row r="12" spans="1:18" ht="91.95" customHeight="1">
      <c r="A12" s="3" t="s">
        <v>314</v>
      </c>
      <c r="B12" s="3" t="s">
        <v>315</v>
      </c>
      <c r="C12" s="3" t="s">
        <v>316</v>
      </c>
      <c r="D12" s="8"/>
      <c r="E12" s="8" t="s">
        <v>71</v>
      </c>
      <c r="F12" s="8" t="s">
        <v>67</v>
      </c>
      <c r="G12" s="3" t="str">
        <f>IFERROR(IF(LEN(TRIM(CLEAN(SUBSTITUTE(Setup!$B$2,CHAR(160)," "))))=0,"CHECK REVIEWER ID",IF(OR(A12="",COUNTIF($A$2:$A$20,A12)&lt;&gt;1,LEFT(A12,LEN("2025::jama.2025.20765::"))&lt;&gt;"2025::jama.2025.20765::"),"CHECK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CHECK FIELDS</v>
      </c>
      <c r="H12" s="8" t="str">
        <f t="shared" si="0"/>
        <v>not_applicable</v>
      </c>
      <c r="I12" s="8" t="str">
        <f t="shared" si="1"/>
        <v>not_applicable</v>
      </c>
      <c r="J12" s="9" t="str">
        <f t="shared" si="2"/>
        <v>not_applicable</v>
      </c>
      <c r="K12" s="8" t="str">
        <f t="shared" si="3"/>
        <v>not_applicable</v>
      </c>
      <c r="L12" s="9" t="str">
        <f t="shared" si="4"/>
        <v/>
      </c>
      <c r="M12" s="3"/>
      <c r="N12" s="4"/>
      <c r="O12" s="4"/>
      <c r="P12" s="4"/>
      <c r="Q12" s="4"/>
      <c r="R12" s="9"/>
    </row>
    <row r="13" spans="1:18" ht="91.95" customHeight="1">
      <c r="A13" s="1" t="s">
        <v>317</v>
      </c>
      <c r="B13" s="1" t="s">
        <v>318</v>
      </c>
      <c r="C13" s="1" t="s">
        <v>319</v>
      </c>
      <c r="D13" s="8"/>
      <c r="E13" s="8" t="s">
        <v>106</v>
      </c>
      <c r="F13" s="8" t="s">
        <v>67</v>
      </c>
      <c r="G13" s="1" t="str">
        <f>IFERROR(IF(LEN(TRIM(CLEAN(SUBSTITUTE(Setup!$B$2,CHAR(160)," "))))=0,"CHECK REVIEWER ID",IF(OR(A13="",COUNTIF($A$2:$A$20,A13)&lt;&gt;1,LEFT(A13,LEN("2025::jama.2025.20765::"))&lt;&gt;"2025::jama.2025.20765::"),"CHECK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CHECK FIELDS</v>
      </c>
      <c r="H13" s="8" t="str">
        <f t="shared" si="0"/>
        <v>not_applicable</v>
      </c>
      <c r="I13" s="8" t="str">
        <f t="shared" si="1"/>
        <v>not_applicable</v>
      </c>
      <c r="J13" s="9" t="str">
        <f t="shared" si="2"/>
        <v>not_applicable</v>
      </c>
      <c r="K13" s="8" t="str">
        <f t="shared" si="3"/>
        <v/>
      </c>
      <c r="L13" s="9" t="str">
        <f t="shared" si="4"/>
        <v>not_applicable</v>
      </c>
      <c r="M13" s="1"/>
      <c r="N13" s="4"/>
      <c r="O13" s="4"/>
      <c r="P13" s="4"/>
      <c r="Q13" s="4"/>
      <c r="R13" s="9"/>
    </row>
    <row r="14" spans="1:18" ht="91.95" customHeight="1">
      <c r="A14" s="3" t="s">
        <v>320</v>
      </c>
      <c r="B14" s="3" t="s">
        <v>321</v>
      </c>
      <c r="C14" s="3" t="s">
        <v>322</v>
      </c>
      <c r="D14" s="8"/>
      <c r="E14" s="8" t="s">
        <v>66</v>
      </c>
      <c r="F14" s="8" t="s">
        <v>67</v>
      </c>
      <c r="G14" s="3" t="str">
        <f>IFERROR(IF(LEN(TRIM(CLEAN(SUBSTITUTE(Setup!$B$2,CHAR(160)," "))))=0,"CHECK REVIEWER ID",IF(OR(A14="",COUNTIF($A$2:$A$20,A14)&lt;&gt;1,LEFT(A14,LEN("2025::jama.2025.20765::"))&lt;&gt;"2025::jama.2025.20765::"),"CHECK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CHECK FIELDS</v>
      </c>
      <c r="H14" s="8" t="str">
        <f t="shared" si="0"/>
        <v/>
      </c>
      <c r="I14" s="8" t="str">
        <f t="shared" si="1"/>
        <v/>
      </c>
      <c r="J14" s="9" t="str">
        <f t="shared" si="2"/>
        <v/>
      </c>
      <c r="K14" s="8" t="str">
        <f t="shared" si="3"/>
        <v>not_applicable</v>
      </c>
      <c r="L14" s="9" t="str">
        <f t="shared" si="4"/>
        <v>not_applicable</v>
      </c>
      <c r="M14" s="3"/>
      <c r="N14" s="4"/>
      <c r="O14" s="4"/>
      <c r="P14" s="4"/>
      <c r="Q14" s="4"/>
      <c r="R14" s="9"/>
    </row>
    <row r="15" spans="1:18" ht="91.95" customHeight="1">
      <c r="A15" s="1" t="s">
        <v>323</v>
      </c>
      <c r="B15" s="1" t="s">
        <v>324</v>
      </c>
      <c r="C15" s="1" t="s">
        <v>325</v>
      </c>
      <c r="D15" s="8"/>
      <c r="E15" s="8" t="s">
        <v>66</v>
      </c>
      <c r="F15" s="8" t="s">
        <v>67</v>
      </c>
      <c r="G15" s="1" t="str">
        <f>IFERROR(IF(LEN(TRIM(CLEAN(SUBSTITUTE(Setup!$B$2,CHAR(160)," "))))=0,"CHECK REVIEWER ID",IF(OR(A15="",COUNTIF($A$2:$A$20,A15)&lt;&gt;1,LEFT(A15,LEN("2025::jama.2025.20765::"))&lt;&gt;"2025::jama.2025.20765::"),"CHECK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CHECK FIELDS</v>
      </c>
      <c r="H15" s="8" t="str">
        <f t="shared" si="0"/>
        <v/>
      </c>
      <c r="I15" s="8" t="str">
        <f t="shared" si="1"/>
        <v/>
      </c>
      <c r="J15" s="9" t="str">
        <f t="shared" si="2"/>
        <v/>
      </c>
      <c r="K15" s="8" t="str">
        <f t="shared" si="3"/>
        <v>not_applicable</v>
      </c>
      <c r="L15" s="9" t="str">
        <f t="shared" si="4"/>
        <v>not_applicable</v>
      </c>
      <c r="M15" s="1"/>
      <c r="N15" s="4"/>
      <c r="O15" s="4"/>
      <c r="P15" s="4"/>
      <c r="Q15" s="4"/>
      <c r="R15" s="9"/>
    </row>
    <row r="16" spans="1:18" ht="91.95" customHeight="1">
      <c r="A16" s="3" t="s">
        <v>326</v>
      </c>
      <c r="B16" s="3" t="s">
        <v>327</v>
      </c>
      <c r="C16" s="3" t="s">
        <v>328</v>
      </c>
      <c r="D16" s="8"/>
      <c r="E16" s="8" t="s">
        <v>81</v>
      </c>
      <c r="F16" s="8" t="s">
        <v>67</v>
      </c>
      <c r="G16" s="3" t="str">
        <f>IFERROR(IF(LEN(TRIM(CLEAN(SUBSTITUTE(Setup!$B$2,CHAR(160)," "))))=0,"CHECK REVIEWER ID",IF(OR(A16="",COUNTIF($A$2:$A$20,A16)&lt;&gt;1,LEFT(A16,LEN("2025::jama.2025.20765::"))&lt;&gt;"2025::jama.2025.20765::"),"CHECK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CHECK FIELDS</v>
      </c>
      <c r="H16" s="8" t="str">
        <f t="shared" si="0"/>
        <v>not_applicable</v>
      </c>
      <c r="I16" s="8" t="str">
        <f t="shared" si="1"/>
        <v>not_applicable</v>
      </c>
      <c r="J16" s="9" t="str">
        <f t="shared" si="2"/>
        <v>not_applicable</v>
      </c>
      <c r="K16" s="8" t="str">
        <f t="shared" si="3"/>
        <v/>
      </c>
      <c r="L16" s="9" t="str">
        <f t="shared" si="4"/>
        <v>not_applicable</v>
      </c>
      <c r="M16" s="3"/>
      <c r="N16" s="4"/>
      <c r="O16" s="4"/>
      <c r="P16" s="4"/>
      <c r="Q16" s="4"/>
      <c r="R16" s="9"/>
    </row>
    <row r="17" spans="1:18" ht="91.95" customHeight="1">
      <c r="A17" s="1" t="s">
        <v>329</v>
      </c>
      <c r="B17" s="1" t="s">
        <v>330</v>
      </c>
      <c r="C17" s="1" t="s">
        <v>331</v>
      </c>
      <c r="D17" s="8"/>
      <c r="E17" s="8" t="s">
        <v>81</v>
      </c>
      <c r="F17" s="8" t="s">
        <v>67</v>
      </c>
      <c r="G17" s="1" t="str">
        <f>IFERROR(IF(LEN(TRIM(CLEAN(SUBSTITUTE(Setup!$B$2,CHAR(160)," "))))=0,"CHECK REVIEWER ID",IF(OR(A17="",COUNTIF($A$2:$A$20,A17)&lt;&gt;1,LEFT(A17,LEN("2025::jama.2025.20765::"))&lt;&gt;"2025::jama.2025.20765::"),"CHECK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CHECK FIELDS</v>
      </c>
      <c r="H17" s="8" t="str">
        <f t="shared" si="0"/>
        <v>not_applicable</v>
      </c>
      <c r="I17" s="8" t="str">
        <f t="shared" si="1"/>
        <v>not_applicable</v>
      </c>
      <c r="J17" s="9" t="str">
        <f t="shared" si="2"/>
        <v>not_applicable</v>
      </c>
      <c r="K17" s="8" t="str">
        <f t="shared" si="3"/>
        <v/>
      </c>
      <c r="L17" s="9" t="str">
        <f t="shared" si="4"/>
        <v>not_applicable</v>
      </c>
      <c r="M17" s="1"/>
      <c r="N17" s="4"/>
      <c r="O17" s="4"/>
      <c r="P17" s="4"/>
      <c r="Q17" s="4"/>
      <c r="R17" s="9"/>
    </row>
    <row r="18" spans="1:18" ht="91.95" customHeight="1">
      <c r="A18" s="3" t="s">
        <v>332</v>
      </c>
      <c r="B18" s="3" t="s">
        <v>333</v>
      </c>
      <c r="C18" s="3" t="s">
        <v>334</v>
      </c>
      <c r="D18" s="8"/>
      <c r="E18" s="8" t="s">
        <v>66</v>
      </c>
      <c r="F18" s="8" t="s">
        <v>67</v>
      </c>
      <c r="G18" s="3" t="str">
        <f>IFERROR(IF(LEN(TRIM(CLEAN(SUBSTITUTE(Setup!$B$2,CHAR(160)," "))))=0,"CHECK REVIEWER ID",IF(OR(A18="",COUNTIF($A$2:$A$20,A18)&lt;&gt;1,LEFT(A18,LEN("2025::jama.2025.20765::"))&lt;&gt;"2025::jama.2025.20765::"),"CHECK KEY",IF(OR(AND(NOT(AND(D18="retain",E18="statistical_results")),H18&lt;&gt;"",NOT(EXACT(H18,"not_applicable"))),AND(NOT(AND(D18="retain",E18="statistical_results")),I18&lt;&gt;"",NOT(EXACT(I18,"not_applicable"))),AND(NOT(AND(D18="retain",E18="statistical_results")),J18&lt;&gt;"",NOT(EXACT(J18,"not_applicable"))),AND(NOT(AND(D18="retain",OR(E18="report_internal_inconsistency",E18="plan_material"))),K18&lt;&gt;"",NOT(EXACT(K18,"not_applicable"))),AND(NOT(AND(D18="retain",E18="protocol_report")),L18&lt;&gt;"",NOT(EXACT(L18,"not_applicable")))),"CLEAR INACTIVE VALUES",IF(OR(NOT(OR(EXACT(D18,"retain"),EXACT(D18,"exclude"),EXACT(D18,"discuss"))),NOT(OR(EXACT(E18,"statistical_results"),EXACT(E18,"report_internal_inconsistency"),EXACT(E18,"plan_material"),EXACT(E18,"protocol_report"))),AND(AND(D18="retain",E18="statistical_results"),NOT(OR(EXACT(H18,"confirmed_issue"),EXACT(H18,"probable_issue"),EXACT(H18,"not_issue"),EXACT(H18,"indeterminate")))),AND(AND(D18="retain",E18="statistical_results"),NOT(OR(EXACT(I18,"substantive"),EXACT(I18,"minor_presentation"),EXACT(I18,"indeterminate")))),AND(AND(D18="retain",E18="statistical_results"),J18&lt;&gt;"",NOT(OR(EXACT(J18,"direct"),EXACT(J18,"possible"),EXACT(J18,"unlikely"),EXACT(J18,"unknown")))),AND(AND(D18="retain",OR(E18="report_internal_inconsistency",E18="plan_material")),NOT(OR(EXACT(K18,"substantive_inconsistency"),EXACT(K18,"minor_presentation"),EXACT(K18,"non_inconsistency"),EXACT(K18,"indeterminate")))),AND(AND(D18="retain",E18="protocol_report"),L18&lt;&gt;"",NOT(OR(EXACT(L18,"substantive_difference"),EXACT(L18,"minor_presentation"),EXACT(L18,"version_timing"),EXACT(L18,"non_inconsistency"),EXACT(L18,"indeterminate"))))),"CHECK FIELDS",IF(AND(F18&lt;&gt;"",NOT(OR(EXACT(F18,"no"),EXACT(F18,"primary_done")))),"CHECK COMPLETE",IF(EXACT(F18,"primary_done"),"PRIMARY READY","PRIMARY DRAFT")))))),"CHECK INPUT / KEY")</f>
        <v>CHECK FIELDS</v>
      </c>
      <c r="H18" s="8" t="str">
        <f t="shared" si="0"/>
        <v/>
      </c>
      <c r="I18" s="8" t="str">
        <f t="shared" si="1"/>
        <v/>
      </c>
      <c r="J18" s="9" t="str">
        <f t="shared" si="2"/>
        <v/>
      </c>
      <c r="K18" s="8" t="str">
        <f t="shared" si="3"/>
        <v>not_applicable</v>
      </c>
      <c r="L18" s="9" t="str">
        <f t="shared" si="4"/>
        <v>not_applicable</v>
      </c>
      <c r="M18" s="3"/>
      <c r="N18" s="4"/>
      <c r="O18" s="4"/>
      <c r="P18" s="4"/>
      <c r="Q18" s="4"/>
      <c r="R18" s="9"/>
    </row>
    <row r="19" spans="1:18" ht="91.95" customHeight="1">
      <c r="A19" s="1" t="s">
        <v>335</v>
      </c>
      <c r="B19" s="1" t="s">
        <v>336</v>
      </c>
      <c r="C19" s="1" t="s">
        <v>337</v>
      </c>
      <c r="D19" s="8"/>
      <c r="E19" s="8" t="s">
        <v>66</v>
      </c>
      <c r="F19" s="8" t="s">
        <v>67</v>
      </c>
      <c r="G19" s="1" t="str">
        <f>IFERROR(IF(LEN(TRIM(CLEAN(SUBSTITUTE(Setup!$B$2,CHAR(160)," "))))=0,"CHECK REVIEWER ID",IF(OR(A19="",COUNTIF($A$2:$A$20,A19)&lt;&gt;1,LEFT(A19,LEN("2025::jama.2025.20765::"))&lt;&gt;"2025::jama.2025.20765::"),"CHECK KEY",IF(OR(AND(NOT(AND(D19="retain",E19="statistical_results")),H19&lt;&gt;"",NOT(EXACT(H19,"not_applicable"))),AND(NOT(AND(D19="retain",E19="statistical_results")),I19&lt;&gt;"",NOT(EXACT(I19,"not_applicable"))),AND(NOT(AND(D19="retain",E19="statistical_results")),J19&lt;&gt;"",NOT(EXACT(J19,"not_applicable"))),AND(NOT(AND(D19="retain",OR(E19="report_internal_inconsistency",E19="plan_material"))),K19&lt;&gt;"",NOT(EXACT(K19,"not_applicable"))),AND(NOT(AND(D19="retain",E19="protocol_report")),L19&lt;&gt;"",NOT(EXACT(L19,"not_applicable")))),"CLEAR INACTIVE VALUES",IF(OR(NOT(OR(EXACT(D19,"retain"),EXACT(D19,"exclude"),EXACT(D19,"discuss"))),NOT(OR(EXACT(E19,"statistical_results"),EXACT(E19,"report_internal_inconsistency"),EXACT(E19,"plan_material"),EXACT(E19,"protocol_report"))),AND(AND(D19="retain",E19="statistical_results"),NOT(OR(EXACT(H19,"confirmed_issue"),EXACT(H19,"probable_issue"),EXACT(H19,"not_issue"),EXACT(H19,"indeterminate")))),AND(AND(D19="retain",E19="statistical_results"),NOT(OR(EXACT(I19,"substantive"),EXACT(I19,"minor_presentation"),EXACT(I19,"indeterminate")))),AND(AND(D19="retain",E19="statistical_results"),J19&lt;&gt;"",NOT(OR(EXACT(J19,"direct"),EXACT(J19,"possible"),EXACT(J19,"unlikely"),EXACT(J19,"unknown")))),AND(AND(D19="retain",OR(E19="report_internal_inconsistency",E19="plan_material")),NOT(OR(EXACT(K19,"substantive_inconsistency"),EXACT(K19,"minor_presentation"),EXACT(K19,"non_inconsistency"),EXACT(K19,"indeterminate")))),AND(AND(D19="retain",E19="protocol_report"),L19&lt;&gt;"",NOT(OR(EXACT(L19,"substantive_difference"),EXACT(L19,"minor_presentation"),EXACT(L19,"version_timing"),EXACT(L19,"non_inconsistency"),EXACT(L19,"indeterminate"))))),"CHECK FIELDS",IF(AND(F19&lt;&gt;"",NOT(OR(EXACT(F19,"no"),EXACT(F19,"primary_done")))),"CHECK COMPLETE",IF(EXACT(F19,"primary_done"),"PRIMARY READY","PRIMARY DRAFT")))))),"CHECK INPUT / KEY")</f>
        <v>CHECK FIELDS</v>
      </c>
      <c r="H19" s="8" t="str">
        <f t="shared" si="0"/>
        <v/>
      </c>
      <c r="I19" s="8" t="str">
        <f t="shared" si="1"/>
        <v/>
      </c>
      <c r="J19" s="9" t="str">
        <f t="shared" si="2"/>
        <v/>
      </c>
      <c r="K19" s="8" t="str">
        <f t="shared" si="3"/>
        <v>not_applicable</v>
      </c>
      <c r="L19" s="9" t="str">
        <f t="shared" si="4"/>
        <v>not_applicable</v>
      </c>
      <c r="M19" s="1"/>
      <c r="N19" s="4"/>
      <c r="O19" s="4"/>
      <c r="P19" s="4"/>
      <c r="Q19" s="4"/>
      <c r="R19" s="9"/>
    </row>
    <row r="20" spans="1:18" ht="91.95" customHeight="1">
      <c r="A20" s="3" t="s">
        <v>338</v>
      </c>
      <c r="B20" s="3" t="s">
        <v>339</v>
      </c>
      <c r="C20" s="3" t="s">
        <v>340</v>
      </c>
      <c r="D20" s="8"/>
      <c r="E20" s="8" t="s">
        <v>66</v>
      </c>
      <c r="F20" s="8" t="s">
        <v>67</v>
      </c>
      <c r="G20" s="3" t="str">
        <f>IFERROR(IF(LEN(TRIM(CLEAN(SUBSTITUTE(Setup!$B$2,CHAR(160)," "))))=0,"CHECK REVIEWER ID",IF(OR(A20="",COUNTIF($A$2:$A$20,A20)&lt;&gt;1,LEFT(A20,LEN("2025::jama.2025.20765::"))&lt;&gt;"2025::jama.2025.20765::"),"CHECK KEY",IF(OR(AND(NOT(AND(D20="retain",E20="statistical_results")),H20&lt;&gt;"",NOT(EXACT(H20,"not_applicable"))),AND(NOT(AND(D20="retain",E20="statistical_results")),I20&lt;&gt;"",NOT(EXACT(I20,"not_applicable"))),AND(NOT(AND(D20="retain",E20="statistical_results")),J20&lt;&gt;"",NOT(EXACT(J20,"not_applicable"))),AND(NOT(AND(D20="retain",OR(E20="report_internal_inconsistency",E20="plan_material"))),K20&lt;&gt;"",NOT(EXACT(K20,"not_applicable"))),AND(NOT(AND(D20="retain",E20="protocol_report")),L20&lt;&gt;"",NOT(EXACT(L20,"not_applicable")))),"CLEAR INACTIVE VALUES",IF(OR(NOT(OR(EXACT(D20,"retain"),EXACT(D20,"exclude"),EXACT(D20,"discuss"))),NOT(OR(EXACT(E20,"statistical_results"),EXACT(E20,"report_internal_inconsistency"),EXACT(E20,"plan_material"),EXACT(E20,"protocol_report"))),AND(AND(D20="retain",E20="statistical_results"),NOT(OR(EXACT(H20,"confirmed_issue"),EXACT(H20,"probable_issue"),EXACT(H20,"not_issue"),EXACT(H20,"indeterminate")))),AND(AND(D20="retain",E20="statistical_results"),NOT(OR(EXACT(I20,"substantive"),EXACT(I20,"minor_presentation"),EXACT(I20,"indeterminate")))),AND(AND(D20="retain",E20="statistical_results"),J20&lt;&gt;"",NOT(OR(EXACT(J20,"direct"),EXACT(J20,"possible"),EXACT(J20,"unlikely"),EXACT(J20,"unknown")))),AND(AND(D20="retain",OR(E20="report_internal_inconsistency",E20="plan_material")),NOT(OR(EXACT(K20,"substantive_inconsistency"),EXACT(K20,"minor_presentation"),EXACT(K20,"non_inconsistency"),EXACT(K20,"indeterminate")))),AND(AND(D20="retain",E20="protocol_report"),L20&lt;&gt;"",NOT(OR(EXACT(L20,"substantive_difference"),EXACT(L20,"minor_presentation"),EXACT(L20,"version_timing"),EXACT(L20,"non_inconsistency"),EXACT(L20,"indeterminate"))))),"CHECK FIELDS",IF(AND(F20&lt;&gt;"",NOT(OR(EXACT(F20,"no"),EXACT(F20,"primary_done")))),"CHECK COMPLETE",IF(EXACT(F20,"primary_done"),"PRIMARY READY","PRIMARY DRAFT")))))),"CHECK INPUT / KEY")</f>
        <v>CHECK FIELDS</v>
      </c>
      <c r="H20" s="8" t="str">
        <f t="shared" si="0"/>
        <v/>
      </c>
      <c r="I20" s="8" t="str">
        <f t="shared" si="1"/>
        <v/>
      </c>
      <c r="J20" s="9" t="str">
        <f t="shared" si="2"/>
        <v/>
      </c>
      <c r="K20" s="8" t="str">
        <f t="shared" si="3"/>
        <v>not_applicable</v>
      </c>
      <c r="L20" s="9" t="str">
        <f t="shared" si="4"/>
        <v>not_applicable</v>
      </c>
      <c r="M20" s="3"/>
      <c r="N20" s="4"/>
      <c r="O20" s="4"/>
      <c r="P20" s="4"/>
      <c r="Q20" s="4"/>
      <c r="R20" s="9"/>
    </row>
  </sheetData>
  <autoFilter ref="A1:R20" xr:uid="{00000000-0009-0000-0000-00000B000000}"/>
  <phoneticPr fontId="5" type="noConversion"/>
  <conditionalFormatting sqref="G2:G20">
    <cfRule type="expression" dxfId="27" priority="13">
      <formula>G2&lt;&gt;"PRIMARY READY"</formula>
    </cfRule>
  </conditionalFormatting>
  <conditionalFormatting sqref="H2:J20">
    <cfRule type="expression" dxfId="26" priority="8">
      <formula>NOT(AND(OR($D2="retain",$D2=""),$E2="statistical_results"))</formula>
    </cfRule>
  </conditionalFormatting>
  <conditionalFormatting sqref="K2:K20">
    <cfRule type="expression" dxfId="25" priority="11">
      <formula>NOT(AND(OR($D2="retain",$D2=""),OR($E2="report_internal_inconsistency",$E2="plan_material")))</formula>
    </cfRule>
  </conditionalFormatting>
  <conditionalFormatting sqref="L2:L20">
    <cfRule type="expression" dxfId="24" priority="12">
      <formula>NOT(AND(OR($D2="retain",$D2=""),$E2="protocol_report"))</formula>
    </cfRule>
  </conditionalFormatting>
  <dataValidations count="8">
    <dataValidation type="list" allowBlank="1" showErrorMessage="1" errorTitle="Use a listed option" error="Choose an option; G also checks pasted entries." sqref="D2:D20" xr:uid="{00000000-0002-0000-0B00-000000000000}">
      <formula1>"retain,exclude,discuss"</formula1>
    </dataValidation>
    <dataValidation type="list" allowBlank="1" showErrorMessage="1" errorTitle="Use a listed option" error="Choose an option; G also checks pasted entries." sqref="E2:E20" xr:uid="{00000000-0002-0000-0B00-000001000000}">
      <formula1>"statistical_results,report_internal_inconsistency,plan_material,protocol_report"</formula1>
    </dataValidation>
    <dataValidation type="list" allowBlank="1" showErrorMessage="1" errorTitle="Use a listed option" error="Choose an option; G also checks pasted entries." sqref="F2:F20" xr:uid="{00000000-0002-0000-0B00-000002000000}">
      <formula1>"no,primary_done"</formula1>
    </dataValidation>
    <dataValidation type="list" allowBlank="1" showErrorMessage="1" errorTitle="Use a listed option" error="Choose an option; G also checks pasted entries." sqref="H2:H20" xr:uid="{00000000-0002-0000-0B00-000003000000}">
      <formula1>"confirmed_issue,probable_issue,not_issue,indeterminate,not_applicable"</formula1>
    </dataValidation>
    <dataValidation type="list" allowBlank="1" showErrorMessage="1" errorTitle="Use a listed option" error="Choose an option; G also checks pasted entries." sqref="I2:I20" xr:uid="{00000000-0002-0000-0B00-000004000000}">
      <formula1>"substantive,minor_presentation,indeterminate,not_applicable"</formula1>
    </dataValidation>
    <dataValidation type="list" allowBlank="1" showErrorMessage="1" errorTitle="Use a listed option" error="Choose an option; G also checks pasted entries." sqref="J2:J20" xr:uid="{00000000-0002-0000-0B00-000005000000}">
      <formula1>"direct,possible,unlikely,unknown,not_applicable"</formula1>
    </dataValidation>
    <dataValidation type="list" allowBlank="1" showErrorMessage="1" errorTitle="Use a listed option" error="Choose an option; G also checks pasted entries." sqref="K2:K20" xr:uid="{00000000-0002-0000-0B00-000006000000}">
      <formula1>"substantive_inconsistency,minor_presentation,non_inconsistency,indeterminate,not_applicable"</formula1>
    </dataValidation>
    <dataValidation type="list" allowBlank="1" showErrorMessage="1" errorTitle="Use a listed option" error="Choose an option; G also checks pasted entries." sqref="L2:L20" xr:uid="{00000000-0002-0000-0B00-000007000000}">
      <formula1>"substantive_difference,minor_presentation,version_timing,non_inconsistency,indeterminate,not_applicable"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15"/>
  <sheetViews>
    <sheetView workbookViewId="0">
      <pane xSplit="1" ySplit="1" topLeftCell="B1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341</v>
      </c>
      <c r="B2" s="3" t="s">
        <v>342</v>
      </c>
      <c r="C2" s="3" t="s">
        <v>343</v>
      </c>
      <c r="D2" s="8"/>
      <c r="E2" s="8" t="s">
        <v>71</v>
      </c>
      <c r="F2" s="8" t="s">
        <v>67</v>
      </c>
      <c r="G2" s="3" t="str">
        <f>IFERROR(IF(LEN(TRIM(CLEAN(SUBSTITUTE(Setup!$B$2,CHAR(160)," "))))=0,"CHECK REVIEWER ID",IF(OR(A2="",COUNTIF($A$2:$A$15,A2)&lt;&gt;1,LEFT(A2,LEN("2025::jama.2025.24175::"))&lt;&gt;"2025::jama.2025.24175::"),"CHECK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 t="shared" ref="H2:H15" si="0">IF(AND(OR(D2="retain",D2=""),E2="statistical_results"),"","not_applicable")</f>
        <v>not_applicable</v>
      </c>
      <c r="I2" s="8" t="str">
        <f t="shared" ref="I2:I15" si="1">IF(AND(OR(D2="retain",D2=""),E2="statistical_results"),"","not_applicable")</f>
        <v>not_applicable</v>
      </c>
      <c r="J2" s="9" t="str">
        <f t="shared" ref="J2:J15" si="2">IF(AND(OR(D2="retain",D2=""),E2="statistical_results"),"","not_applicable")</f>
        <v>not_applicable</v>
      </c>
      <c r="K2" s="8" t="str">
        <f t="shared" ref="K2:K15" si="3">IF(AND(OR(D2="retain",D2=""),OR(E2="report_internal_inconsistency",E2="plan_material")),"","not_applicable")</f>
        <v>not_applicable</v>
      </c>
      <c r="L2" s="9" t="str">
        <f t="shared" ref="L2:L15" si="4">IF(AND(OR(D2="retain",D2=""),E2="protocol_report"),"","not_applicable")</f>
        <v/>
      </c>
      <c r="M2" s="3"/>
      <c r="N2" s="4"/>
      <c r="O2" s="4"/>
      <c r="P2" s="4"/>
      <c r="Q2" s="4"/>
      <c r="R2" s="9"/>
    </row>
    <row r="3" spans="1:18" ht="91.95" customHeight="1">
      <c r="A3" s="1" t="s">
        <v>344</v>
      </c>
      <c r="B3" s="1" t="s">
        <v>345</v>
      </c>
      <c r="C3" s="1" t="s">
        <v>346</v>
      </c>
      <c r="D3" s="8"/>
      <c r="E3" s="8" t="s">
        <v>71</v>
      </c>
      <c r="F3" s="8" t="s">
        <v>67</v>
      </c>
      <c r="G3" s="1" t="str">
        <f>IFERROR(IF(LEN(TRIM(CLEAN(SUBSTITUTE(Setup!$B$2,CHAR(160)," "))))=0,"CHECK REVIEWER ID",IF(OR(A3="",COUNTIF($A$2:$A$15,A3)&lt;&gt;1,LEFT(A3,LEN("2025::jama.2025.24175::"))&lt;&gt;"2025::jama.2025.24175::"),"CHECK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 t="shared" si="0"/>
        <v>not_applicable</v>
      </c>
      <c r="I3" s="8" t="str">
        <f t="shared" si="1"/>
        <v>not_applicable</v>
      </c>
      <c r="J3" s="9" t="str">
        <f t="shared" si="2"/>
        <v>not_applicable</v>
      </c>
      <c r="K3" s="8" t="str">
        <f t="shared" si="3"/>
        <v>not_applicable</v>
      </c>
      <c r="L3" s="9" t="str">
        <f t="shared" si="4"/>
        <v/>
      </c>
      <c r="M3" s="1"/>
      <c r="N3" s="4"/>
      <c r="O3" s="4"/>
      <c r="P3" s="4"/>
      <c r="Q3" s="4"/>
      <c r="R3" s="9"/>
    </row>
    <row r="4" spans="1:18" ht="91.95" customHeight="1">
      <c r="A4" s="3" t="s">
        <v>347</v>
      </c>
      <c r="B4" s="3" t="s">
        <v>348</v>
      </c>
      <c r="C4" s="3" t="s">
        <v>349</v>
      </c>
      <c r="D4" s="8"/>
      <c r="E4" s="8" t="s">
        <v>71</v>
      </c>
      <c r="F4" s="8" t="s">
        <v>67</v>
      </c>
      <c r="G4" s="3" t="str">
        <f>IFERROR(IF(LEN(TRIM(CLEAN(SUBSTITUTE(Setup!$B$2,CHAR(160)," "))))=0,"CHECK REVIEWER ID",IF(OR(A4="",COUNTIF($A$2:$A$15,A4)&lt;&gt;1,LEFT(A4,LEN("2025::jama.2025.24175::"))&lt;&gt;"2025::jama.2025.24175::"),"CHECK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 t="shared" si="0"/>
        <v>not_applicable</v>
      </c>
      <c r="I4" s="8" t="str">
        <f t="shared" si="1"/>
        <v>not_applicable</v>
      </c>
      <c r="J4" s="9" t="str">
        <f t="shared" si="2"/>
        <v>not_applicable</v>
      </c>
      <c r="K4" s="8" t="str">
        <f t="shared" si="3"/>
        <v>not_applicable</v>
      </c>
      <c r="L4" s="9" t="str">
        <f t="shared" si="4"/>
        <v/>
      </c>
      <c r="M4" s="3"/>
      <c r="N4" s="4"/>
      <c r="O4" s="4"/>
      <c r="P4" s="4"/>
      <c r="Q4" s="4"/>
      <c r="R4" s="9"/>
    </row>
    <row r="5" spans="1:18" ht="91.95" customHeight="1">
      <c r="A5" s="1" t="s">
        <v>350</v>
      </c>
      <c r="B5" s="1" t="s">
        <v>351</v>
      </c>
      <c r="C5" s="1" t="s">
        <v>352</v>
      </c>
      <c r="D5" s="8"/>
      <c r="E5" s="8" t="s">
        <v>71</v>
      </c>
      <c r="F5" s="8" t="s">
        <v>67</v>
      </c>
      <c r="G5" s="1" t="str">
        <f>IFERROR(IF(LEN(TRIM(CLEAN(SUBSTITUTE(Setup!$B$2,CHAR(160)," "))))=0,"CHECK REVIEWER ID",IF(OR(A5="",COUNTIF($A$2:$A$15,A5)&lt;&gt;1,LEFT(A5,LEN("2025::jama.2025.24175::"))&lt;&gt;"2025::jama.2025.24175::"),"CHECK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 t="shared" si="0"/>
        <v>not_applicable</v>
      </c>
      <c r="I5" s="8" t="str">
        <f t="shared" si="1"/>
        <v>not_applicable</v>
      </c>
      <c r="J5" s="9" t="str">
        <f t="shared" si="2"/>
        <v>not_applicable</v>
      </c>
      <c r="K5" s="8" t="str">
        <f t="shared" si="3"/>
        <v>not_applicable</v>
      </c>
      <c r="L5" s="9" t="str">
        <f t="shared" si="4"/>
        <v/>
      </c>
      <c r="M5" s="1"/>
      <c r="N5" s="4"/>
      <c r="O5" s="4"/>
      <c r="P5" s="4"/>
      <c r="Q5" s="4"/>
      <c r="R5" s="9"/>
    </row>
    <row r="6" spans="1:18" ht="91.95" customHeight="1">
      <c r="A6" s="3" t="s">
        <v>353</v>
      </c>
      <c r="B6" s="3" t="s">
        <v>354</v>
      </c>
      <c r="C6" s="3" t="s">
        <v>355</v>
      </c>
      <c r="D6" s="8"/>
      <c r="E6" s="8" t="s">
        <v>71</v>
      </c>
      <c r="F6" s="8" t="s">
        <v>67</v>
      </c>
      <c r="G6" s="3" t="str">
        <f>IFERROR(IF(LEN(TRIM(CLEAN(SUBSTITUTE(Setup!$B$2,CHAR(160)," "))))=0,"CHECK REVIEWER ID",IF(OR(A6="",COUNTIF($A$2:$A$15,A6)&lt;&gt;1,LEFT(A6,LEN("2025::jama.2025.24175::"))&lt;&gt;"2025::jama.2025.24175::"),"CHECK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CHECK FIELDS</v>
      </c>
      <c r="H6" s="8" t="str">
        <f t="shared" si="0"/>
        <v>not_applicable</v>
      </c>
      <c r="I6" s="8" t="str">
        <f t="shared" si="1"/>
        <v>not_applicable</v>
      </c>
      <c r="J6" s="9" t="str">
        <f t="shared" si="2"/>
        <v>not_applicable</v>
      </c>
      <c r="K6" s="8" t="str">
        <f t="shared" si="3"/>
        <v>not_applicable</v>
      </c>
      <c r="L6" s="9" t="str">
        <f t="shared" si="4"/>
        <v/>
      </c>
      <c r="M6" s="3"/>
      <c r="N6" s="4"/>
      <c r="O6" s="4"/>
      <c r="P6" s="4"/>
      <c r="Q6" s="4"/>
      <c r="R6" s="9"/>
    </row>
    <row r="7" spans="1:18" ht="91.95" customHeight="1">
      <c r="A7" s="1" t="s">
        <v>356</v>
      </c>
      <c r="B7" s="1" t="s">
        <v>357</v>
      </c>
      <c r="C7" s="1" t="s">
        <v>358</v>
      </c>
      <c r="D7" s="8"/>
      <c r="E7" s="8" t="s">
        <v>71</v>
      </c>
      <c r="F7" s="8" t="s">
        <v>67</v>
      </c>
      <c r="G7" s="1" t="str">
        <f>IFERROR(IF(LEN(TRIM(CLEAN(SUBSTITUTE(Setup!$B$2,CHAR(160)," "))))=0,"CHECK REVIEWER ID",IF(OR(A7="",COUNTIF($A$2:$A$15,A7)&lt;&gt;1,LEFT(A7,LEN("2025::jama.2025.24175::"))&lt;&gt;"2025::jama.2025.24175::"),"CHECK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CHECK FIELDS</v>
      </c>
      <c r="H7" s="8" t="str">
        <f t="shared" si="0"/>
        <v>not_applicable</v>
      </c>
      <c r="I7" s="8" t="str">
        <f t="shared" si="1"/>
        <v>not_applicable</v>
      </c>
      <c r="J7" s="9" t="str">
        <f t="shared" si="2"/>
        <v>not_applicable</v>
      </c>
      <c r="K7" s="8" t="str">
        <f t="shared" si="3"/>
        <v>not_applicable</v>
      </c>
      <c r="L7" s="9" t="str">
        <f t="shared" si="4"/>
        <v/>
      </c>
      <c r="M7" s="1"/>
      <c r="N7" s="4"/>
      <c r="O7" s="4"/>
      <c r="P7" s="4"/>
      <c r="Q7" s="4"/>
      <c r="R7" s="9"/>
    </row>
    <row r="8" spans="1:18" ht="91.95" customHeight="1">
      <c r="A8" s="3" t="s">
        <v>359</v>
      </c>
      <c r="B8" s="3" t="s">
        <v>360</v>
      </c>
      <c r="C8" s="3" t="s">
        <v>361</v>
      </c>
      <c r="D8" s="8"/>
      <c r="E8" s="8" t="s">
        <v>71</v>
      </c>
      <c r="F8" s="8" t="s">
        <v>67</v>
      </c>
      <c r="G8" s="3" t="str">
        <f>IFERROR(IF(LEN(TRIM(CLEAN(SUBSTITUTE(Setup!$B$2,CHAR(160)," "))))=0,"CHECK REVIEWER ID",IF(OR(A8="",COUNTIF($A$2:$A$15,A8)&lt;&gt;1,LEFT(A8,LEN("2025::jama.2025.24175::"))&lt;&gt;"2025::jama.2025.24175::"),"CHECK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CHECK FIELDS</v>
      </c>
      <c r="H8" s="8" t="str">
        <f t="shared" si="0"/>
        <v>not_applicable</v>
      </c>
      <c r="I8" s="8" t="str">
        <f t="shared" si="1"/>
        <v>not_applicable</v>
      </c>
      <c r="J8" s="9" t="str">
        <f t="shared" si="2"/>
        <v>not_applicable</v>
      </c>
      <c r="K8" s="8" t="str">
        <f t="shared" si="3"/>
        <v>not_applicable</v>
      </c>
      <c r="L8" s="9" t="str">
        <f t="shared" si="4"/>
        <v/>
      </c>
      <c r="M8" s="3"/>
      <c r="N8" s="4"/>
      <c r="O8" s="4"/>
      <c r="P8" s="4"/>
      <c r="Q8" s="4"/>
      <c r="R8" s="9"/>
    </row>
    <row r="9" spans="1:18" ht="91.95" customHeight="1">
      <c r="A9" s="1" t="s">
        <v>362</v>
      </c>
      <c r="B9" s="1" t="s">
        <v>363</v>
      </c>
      <c r="C9" s="1" t="s">
        <v>364</v>
      </c>
      <c r="D9" s="8"/>
      <c r="E9" s="8" t="s">
        <v>66</v>
      </c>
      <c r="F9" s="8" t="s">
        <v>67</v>
      </c>
      <c r="G9" s="1" t="str">
        <f>IFERROR(IF(LEN(TRIM(CLEAN(SUBSTITUTE(Setup!$B$2,CHAR(160)," "))))=0,"CHECK REVIEWER ID",IF(OR(A9="",COUNTIF($A$2:$A$15,A9)&lt;&gt;1,LEFT(A9,LEN("2025::jama.2025.24175::"))&lt;&gt;"2025::jama.2025.24175::"),"CHECK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CHECK FIELDS</v>
      </c>
      <c r="H9" s="8" t="str">
        <f t="shared" si="0"/>
        <v/>
      </c>
      <c r="I9" s="8" t="str">
        <f t="shared" si="1"/>
        <v/>
      </c>
      <c r="J9" s="9" t="str">
        <f t="shared" si="2"/>
        <v/>
      </c>
      <c r="K9" s="8" t="str">
        <f t="shared" si="3"/>
        <v>not_applicable</v>
      </c>
      <c r="L9" s="9" t="str">
        <f t="shared" si="4"/>
        <v>not_applicable</v>
      </c>
      <c r="M9" s="1"/>
      <c r="N9" s="4"/>
      <c r="O9" s="4"/>
      <c r="P9" s="4"/>
      <c r="Q9" s="4"/>
      <c r="R9" s="9"/>
    </row>
    <row r="10" spans="1:18" ht="91.95" customHeight="1">
      <c r="A10" s="3" t="s">
        <v>365</v>
      </c>
      <c r="B10" s="3" t="s">
        <v>366</v>
      </c>
      <c r="C10" s="3" t="s">
        <v>367</v>
      </c>
      <c r="D10" s="8"/>
      <c r="E10" s="8" t="s">
        <v>66</v>
      </c>
      <c r="F10" s="8" t="s">
        <v>67</v>
      </c>
      <c r="G10" s="3" t="str">
        <f>IFERROR(IF(LEN(TRIM(CLEAN(SUBSTITUTE(Setup!$B$2,CHAR(160)," "))))=0,"CHECK REVIEWER ID",IF(OR(A10="",COUNTIF($A$2:$A$15,A10)&lt;&gt;1,LEFT(A10,LEN("2025::jama.2025.24175::"))&lt;&gt;"2025::jama.2025.24175::"),"CHECK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CHECK FIELDS</v>
      </c>
      <c r="H10" s="8" t="str">
        <f t="shared" si="0"/>
        <v/>
      </c>
      <c r="I10" s="8" t="str">
        <f t="shared" si="1"/>
        <v/>
      </c>
      <c r="J10" s="9" t="str">
        <f t="shared" si="2"/>
        <v/>
      </c>
      <c r="K10" s="8" t="str">
        <f t="shared" si="3"/>
        <v>not_applicable</v>
      </c>
      <c r="L10" s="9" t="str">
        <f t="shared" si="4"/>
        <v>not_applicable</v>
      </c>
      <c r="M10" s="3"/>
      <c r="N10" s="4"/>
      <c r="O10" s="4"/>
      <c r="P10" s="4"/>
      <c r="Q10" s="4"/>
      <c r="R10" s="9"/>
    </row>
    <row r="11" spans="1:18" ht="91.95" customHeight="1">
      <c r="A11" s="1" t="s">
        <v>368</v>
      </c>
      <c r="B11" s="1" t="s">
        <v>369</v>
      </c>
      <c r="C11" s="1" t="s">
        <v>370</v>
      </c>
      <c r="D11" s="8"/>
      <c r="E11" s="8" t="s">
        <v>66</v>
      </c>
      <c r="F11" s="8" t="s">
        <v>67</v>
      </c>
      <c r="G11" s="1" t="str">
        <f>IFERROR(IF(LEN(TRIM(CLEAN(SUBSTITUTE(Setup!$B$2,CHAR(160)," "))))=0,"CHECK REVIEWER ID",IF(OR(A11="",COUNTIF($A$2:$A$15,A11)&lt;&gt;1,LEFT(A11,LEN("2025::jama.2025.24175::"))&lt;&gt;"2025::jama.2025.24175::"),"CHECK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CHECK FIELDS</v>
      </c>
      <c r="H11" s="8" t="str">
        <f t="shared" si="0"/>
        <v/>
      </c>
      <c r="I11" s="8" t="str">
        <f t="shared" si="1"/>
        <v/>
      </c>
      <c r="J11" s="9" t="str">
        <f t="shared" si="2"/>
        <v/>
      </c>
      <c r="K11" s="8" t="str">
        <f t="shared" si="3"/>
        <v>not_applicable</v>
      </c>
      <c r="L11" s="9" t="str">
        <f t="shared" si="4"/>
        <v>not_applicable</v>
      </c>
      <c r="M11" s="1"/>
      <c r="N11" s="4"/>
      <c r="O11" s="4"/>
      <c r="P11" s="4"/>
      <c r="Q11" s="4"/>
      <c r="R11" s="9"/>
    </row>
    <row r="12" spans="1:18" ht="91.95" customHeight="1">
      <c r="A12" s="3" t="s">
        <v>371</v>
      </c>
      <c r="B12" s="3" t="s">
        <v>372</v>
      </c>
      <c r="C12" s="3" t="s">
        <v>373</v>
      </c>
      <c r="D12" s="8"/>
      <c r="E12" s="8" t="s">
        <v>66</v>
      </c>
      <c r="F12" s="8" t="s">
        <v>67</v>
      </c>
      <c r="G12" s="3" t="str">
        <f>IFERROR(IF(LEN(TRIM(CLEAN(SUBSTITUTE(Setup!$B$2,CHAR(160)," "))))=0,"CHECK REVIEWER ID",IF(OR(A12="",COUNTIF($A$2:$A$15,A12)&lt;&gt;1,LEFT(A12,LEN("2025::jama.2025.24175::"))&lt;&gt;"2025::jama.2025.24175::"),"CHECK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CHECK FIELDS</v>
      </c>
      <c r="H12" s="8" t="str">
        <f t="shared" si="0"/>
        <v/>
      </c>
      <c r="I12" s="8" t="str">
        <f t="shared" si="1"/>
        <v/>
      </c>
      <c r="J12" s="9" t="str">
        <f t="shared" si="2"/>
        <v/>
      </c>
      <c r="K12" s="8" t="str">
        <f t="shared" si="3"/>
        <v>not_applicable</v>
      </c>
      <c r="L12" s="9" t="str">
        <f t="shared" si="4"/>
        <v>not_applicable</v>
      </c>
      <c r="M12" s="3"/>
      <c r="N12" s="4"/>
      <c r="O12" s="4"/>
      <c r="P12" s="4"/>
      <c r="Q12" s="4"/>
      <c r="R12" s="9"/>
    </row>
    <row r="13" spans="1:18" ht="91.95" customHeight="1">
      <c r="A13" s="1" t="s">
        <v>374</v>
      </c>
      <c r="B13" s="1" t="s">
        <v>375</v>
      </c>
      <c r="C13" s="1" t="s">
        <v>376</v>
      </c>
      <c r="D13" s="8"/>
      <c r="E13" s="8" t="s">
        <v>66</v>
      </c>
      <c r="F13" s="8" t="s">
        <v>67</v>
      </c>
      <c r="G13" s="1" t="str">
        <f>IFERROR(IF(LEN(TRIM(CLEAN(SUBSTITUTE(Setup!$B$2,CHAR(160)," "))))=0,"CHECK REVIEWER ID",IF(OR(A13="",COUNTIF($A$2:$A$15,A13)&lt;&gt;1,LEFT(A13,LEN("2025::jama.2025.24175::"))&lt;&gt;"2025::jama.2025.24175::"),"CHECK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CHECK FIELDS</v>
      </c>
      <c r="H13" s="8" t="str">
        <f t="shared" si="0"/>
        <v/>
      </c>
      <c r="I13" s="8" t="str">
        <f t="shared" si="1"/>
        <v/>
      </c>
      <c r="J13" s="9" t="str">
        <f t="shared" si="2"/>
        <v/>
      </c>
      <c r="K13" s="8" t="str">
        <f t="shared" si="3"/>
        <v>not_applicable</v>
      </c>
      <c r="L13" s="9" t="str">
        <f t="shared" si="4"/>
        <v>not_applicable</v>
      </c>
      <c r="M13" s="1"/>
      <c r="N13" s="4"/>
      <c r="O13" s="4"/>
      <c r="P13" s="4"/>
      <c r="Q13" s="4"/>
      <c r="R13" s="9"/>
    </row>
    <row r="14" spans="1:18" ht="91.95" customHeight="1">
      <c r="A14" s="3" t="s">
        <v>377</v>
      </c>
      <c r="B14" s="3" t="s">
        <v>378</v>
      </c>
      <c r="C14" s="3" t="s">
        <v>379</v>
      </c>
      <c r="D14" s="8"/>
      <c r="E14" s="8" t="s">
        <v>106</v>
      </c>
      <c r="F14" s="8" t="s">
        <v>67</v>
      </c>
      <c r="G14" s="3" t="str">
        <f>IFERROR(IF(LEN(TRIM(CLEAN(SUBSTITUTE(Setup!$B$2,CHAR(160)," "))))=0,"CHECK REVIEWER ID",IF(OR(A14="",COUNTIF($A$2:$A$15,A14)&lt;&gt;1,LEFT(A14,LEN("2025::jama.2025.24175::"))&lt;&gt;"2025::jama.2025.24175::"),"CHECK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CHECK FIELDS</v>
      </c>
      <c r="H14" s="8" t="str">
        <f t="shared" si="0"/>
        <v>not_applicable</v>
      </c>
      <c r="I14" s="8" t="str">
        <f t="shared" si="1"/>
        <v>not_applicable</v>
      </c>
      <c r="J14" s="9" t="str">
        <f t="shared" si="2"/>
        <v>not_applicable</v>
      </c>
      <c r="K14" s="8" t="str">
        <f t="shared" si="3"/>
        <v/>
      </c>
      <c r="L14" s="9" t="str">
        <f t="shared" si="4"/>
        <v>not_applicable</v>
      </c>
      <c r="M14" s="3"/>
      <c r="N14" s="4"/>
      <c r="O14" s="4"/>
      <c r="P14" s="4"/>
      <c r="Q14" s="4"/>
      <c r="R14" s="9"/>
    </row>
    <row r="15" spans="1:18" ht="91.95" customHeight="1">
      <c r="A15" s="1" t="s">
        <v>380</v>
      </c>
      <c r="B15" s="1" t="s">
        <v>381</v>
      </c>
      <c r="C15" s="1" t="s">
        <v>382</v>
      </c>
      <c r="D15" s="8"/>
      <c r="E15" s="8" t="s">
        <v>66</v>
      </c>
      <c r="F15" s="8" t="s">
        <v>67</v>
      </c>
      <c r="G15" s="1" t="str">
        <f>IFERROR(IF(LEN(TRIM(CLEAN(SUBSTITUTE(Setup!$B$2,CHAR(160)," "))))=0,"CHECK REVIEWER ID",IF(OR(A15="",COUNTIF($A$2:$A$15,A15)&lt;&gt;1,LEFT(A15,LEN("2025::jama.2025.24175::"))&lt;&gt;"2025::jama.2025.24175::"),"CHECK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CHECK FIELDS</v>
      </c>
      <c r="H15" s="8" t="str">
        <f t="shared" si="0"/>
        <v/>
      </c>
      <c r="I15" s="8" t="str">
        <f t="shared" si="1"/>
        <v/>
      </c>
      <c r="J15" s="9" t="str">
        <f t="shared" si="2"/>
        <v/>
      </c>
      <c r="K15" s="8" t="str">
        <f t="shared" si="3"/>
        <v>not_applicable</v>
      </c>
      <c r="L15" s="9" t="str">
        <f t="shared" si="4"/>
        <v>not_applicable</v>
      </c>
      <c r="M15" s="1"/>
      <c r="N15" s="4"/>
      <c r="O15" s="4"/>
      <c r="P15" s="4"/>
      <c r="Q15" s="4"/>
      <c r="R15" s="9"/>
    </row>
  </sheetData>
  <autoFilter ref="A1:R15" xr:uid="{00000000-0009-0000-0000-00000C000000}"/>
  <phoneticPr fontId="5" type="noConversion"/>
  <conditionalFormatting sqref="G2:G15">
    <cfRule type="expression" dxfId="23" priority="13">
      <formula>G2&lt;&gt;"PRIMARY READY"</formula>
    </cfRule>
  </conditionalFormatting>
  <conditionalFormatting sqref="H2:J15">
    <cfRule type="expression" dxfId="22" priority="8">
      <formula>NOT(AND(OR($D2="retain",$D2=""),$E2="statistical_results"))</formula>
    </cfRule>
  </conditionalFormatting>
  <conditionalFormatting sqref="K2:K15">
    <cfRule type="expression" dxfId="21" priority="11">
      <formula>NOT(AND(OR($D2="retain",$D2=""),OR($E2="report_internal_inconsistency",$E2="plan_material")))</formula>
    </cfRule>
  </conditionalFormatting>
  <conditionalFormatting sqref="L2:L15">
    <cfRule type="expression" dxfId="20" priority="12">
      <formula>NOT(AND(OR($D2="retain",$D2=""),$E2="protocol_report"))</formula>
    </cfRule>
  </conditionalFormatting>
  <dataValidations count="8">
    <dataValidation type="list" allowBlank="1" showErrorMessage="1" errorTitle="Use a listed option" error="Choose an option; G also checks pasted entries." sqref="D2:D15" xr:uid="{00000000-0002-0000-0C00-000000000000}">
      <formula1>"retain,exclude,discuss"</formula1>
    </dataValidation>
    <dataValidation type="list" allowBlank="1" showErrorMessage="1" errorTitle="Use a listed option" error="Choose an option; G also checks pasted entries." sqref="E2:E15" xr:uid="{00000000-0002-0000-0C00-000001000000}">
      <formula1>"statistical_results,report_internal_inconsistency,plan_material,protocol_report"</formula1>
    </dataValidation>
    <dataValidation type="list" allowBlank="1" showErrorMessage="1" errorTitle="Use a listed option" error="Choose an option; G also checks pasted entries." sqref="F2:F15" xr:uid="{00000000-0002-0000-0C00-000002000000}">
      <formula1>"no,primary_done"</formula1>
    </dataValidation>
    <dataValidation type="list" allowBlank="1" showErrorMessage="1" errorTitle="Use a listed option" error="Choose an option; G also checks pasted entries." sqref="H2:H15" xr:uid="{00000000-0002-0000-0C00-000003000000}">
      <formula1>"confirmed_issue,probable_issue,not_issue,indeterminate,not_applicable"</formula1>
    </dataValidation>
    <dataValidation type="list" allowBlank="1" showErrorMessage="1" errorTitle="Use a listed option" error="Choose an option; G also checks pasted entries." sqref="I2:I15" xr:uid="{00000000-0002-0000-0C00-000004000000}">
      <formula1>"substantive,minor_presentation,indeterminate,not_applicable"</formula1>
    </dataValidation>
    <dataValidation type="list" allowBlank="1" showErrorMessage="1" errorTitle="Use a listed option" error="Choose an option; G also checks pasted entries." sqref="J2:J15" xr:uid="{00000000-0002-0000-0C00-000005000000}">
      <formula1>"direct,possible,unlikely,unknown,not_applicable"</formula1>
    </dataValidation>
    <dataValidation type="list" allowBlank="1" showErrorMessage="1" errorTitle="Use a listed option" error="Choose an option; G also checks pasted entries." sqref="K2:K15" xr:uid="{00000000-0002-0000-0C00-000006000000}">
      <formula1>"substantive_inconsistency,minor_presentation,non_inconsistency,indeterminate,not_applicable"</formula1>
    </dataValidation>
    <dataValidation type="list" allowBlank="1" showErrorMessage="1" errorTitle="Use a listed option" error="Choose an option; G also checks pasted entries." sqref="L2:L15" xr:uid="{00000000-0002-0000-0C00-000007000000}">
      <formula1>"substantive_difference,minor_presentation,version_timing,non_inconsistency,indeterminate,not_applicable"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R14"/>
  <sheetViews>
    <sheetView workbookViewId="0">
      <pane xSplit="1" ySplit="1" topLeftCell="B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383</v>
      </c>
      <c r="B2" s="3" t="s">
        <v>384</v>
      </c>
      <c r="C2" s="3" t="s">
        <v>385</v>
      </c>
      <c r="D2" s="8"/>
      <c r="E2" s="8" t="s">
        <v>66</v>
      </c>
      <c r="F2" s="8" t="s">
        <v>67</v>
      </c>
      <c r="G2" s="3" t="str">
        <f>IFERROR(IF(LEN(TRIM(CLEAN(SUBSTITUTE(Setup!$B$2,CHAR(160)," "))))=0,"CHECK REVIEWER ID",IF(OR(A2="",COUNTIF($A$2:$A$14,A2)&lt;&gt;1,LEFT(A2,LEN("2025::jama.2025.4390::"))&lt;&gt;"2025::jama.2025.4390::"),"CHECK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 t="shared" ref="H2:H14" si="0">IF(AND(OR(D2="retain",D2=""),E2="statistical_results"),"","not_applicable")</f>
        <v/>
      </c>
      <c r="I2" s="8" t="str">
        <f t="shared" ref="I2:I14" si="1">IF(AND(OR(D2="retain",D2=""),E2="statistical_results"),"","not_applicable")</f>
        <v/>
      </c>
      <c r="J2" s="9" t="str">
        <f t="shared" ref="J2:J14" si="2">IF(AND(OR(D2="retain",D2=""),E2="statistical_results"),"","not_applicable")</f>
        <v/>
      </c>
      <c r="K2" s="8" t="str">
        <f t="shared" ref="K2:K14" si="3">IF(AND(OR(D2="retain",D2=""),OR(E2="report_internal_inconsistency",E2="plan_material")),"","not_applicable")</f>
        <v>not_applicable</v>
      </c>
      <c r="L2" s="9" t="str">
        <f t="shared" ref="L2:L14" si="4">IF(AND(OR(D2="retain",D2=""),E2="protocol_report"),"","not_applicable")</f>
        <v>not_applicable</v>
      </c>
      <c r="M2" s="3"/>
      <c r="N2" s="4"/>
      <c r="O2" s="4"/>
      <c r="P2" s="4"/>
      <c r="Q2" s="4"/>
      <c r="R2" s="9"/>
    </row>
    <row r="3" spans="1:18" ht="91.95" customHeight="1">
      <c r="A3" s="1" t="s">
        <v>386</v>
      </c>
      <c r="B3" s="1" t="s">
        <v>387</v>
      </c>
      <c r="C3" s="1" t="s">
        <v>388</v>
      </c>
      <c r="D3" s="8"/>
      <c r="E3" s="8" t="s">
        <v>71</v>
      </c>
      <c r="F3" s="8" t="s">
        <v>67</v>
      </c>
      <c r="G3" s="1" t="str">
        <f>IFERROR(IF(LEN(TRIM(CLEAN(SUBSTITUTE(Setup!$B$2,CHAR(160)," "))))=0,"CHECK REVIEWER ID",IF(OR(A3="",COUNTIF($A$2:$A$14,A3)&lt;&gt;1,LEFT(A3,LEN("2025::jama.2025.4390::"))&lt;&gt;"2025::jama.2025.4390::"),"CHECK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 t="shared" si="0"/>
        <v>not_applicable</v>
      </c>
      <c r="I3" s="8" t="str">
        <f t="shared" si="1"/>
        <v>not_applicable</v>
      </c>
      <c r="J3" s="9" t="str">
        <f t="shared" si="2"/>
        <v>not_applicable</v>
      </c>
      <c r="K3" s="8" t="str">
        <f t="shared" si="3"/>
        <v>not_applicable</v>
      </c>
      <c r="L3" s="9" t="str">
        <f t="shared" si="4"/>
        <v/>
      </c>
      <c r="M3" s="1"/>
      <c r="N3" s="4"/>
      <c r="O3" s="4"/>
      <c r="P3" s="4"/>
      <c r="Q3" s="4"/>
      <c r="R3" s="9"/>
    </row>
    <row r="4" spans="1:18" ht="91.95" customHeight="1">
      <c r="A4" s="3" t="s">
        <v>389</v>
      </c>
      <c r="B4" s="3" t="s">
        <v>390</v>
      </c>
      <c r="C4" s="3" t="s">
        <v>391</v>
      </c>
      <c r="D4" s="8"/>
      <c r="E4" s="8" t="s">
        <v>71</v>
      </c>
      <c r="F4" s="8" t="s">
        <v>67</v>
      </c>
      <c r="G4" s="3" t="str">
        <f>IFERROR(IF(LEN(TRIM(CLEAN(SUBSTITUTE(Setup!$B$2,CHAR(160)," "))))=0,"CHECK REVIEWER ID",IF(OR(A4="",COUNTIF($A$2:$A$14,A4)&lt;&gt;1,LEFT(A4,LEN("2025::jama.2025.4390::"))&lt;&gt;"2025::jama.2025.4390::"),"CHECK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 t="shared" si="0"/>
        <v>not_applicable</v>
      </c>
      <c r="I4" s="8" t="str">
        <f t="shared" si="1"/>
        <v>not_applicable</v>
      </c>
      <c r="J4" s="9" t="str">
        <f t="shared" si="2"/>
        <v>not_applicable</v>
      </c>
      <c r="K4" s="8" t="str">
        <f t="shared" si="3"/>
        <v>not_applicable</v>
      </c>
      <c r="L4" s="9" t="str">
        <f t="shared" si="4"/>
        <v/>
      </c>
      <c r="M4" s="3"/>
      <c r="N4" s="4"/>
      <c r="O4" s="4"/>
      <c r="P4" s="4"/>
      <c r="Q4" s="4"/>
      <c r="R4" s="9"/>
    </row>
    <row r="5" spans="1:18" ht="91.95" customHeight="1">
      <c r="A5" s="1" t="s">
        <v>392</v>
      </c>
      <c r="B5" s="1" t="s">
        <v>393</v>
      </c>
      <c r="C5" s="1" t="s">
        <v>394</v>
      </c>
      <c r="D5" s="8"/>
      <c r="E5" s="8" t="s">
        <v>71</v>
      </c>
      <c r="F5" s="8" t="s">
        <v>67</v>
      </c>
      <c r="G5" s="1" t="str">
        <f>IFERROR(IF(LEN(TRIM(CLEAN(SUBSTITUTE(Setup!$B$2,CHAR(160)," "))))=0,"CHECK REVIEWER ID",IF(OR(A5="",COUNTIF($A$2:$A$14,A5)&lt;&gt;1,LEFT(A5,LEN("2025::jama.2025.4390::"))&lt;&gt;"2025::jama.2025.4390::"),"CHECK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 t="shared" si="0"/>
        <v>not_applicable</v>
      </c>
      <c r="I5" s="8" t="str">
        <f t="shared" si="1"/>
        <v>not_applicable</v>
      </c>
      <c r="J5" s="9" t="str">
        <f t="shared" si="2"/>
        <v>not_applicable</v>
      </c>
      <c r="K5" s="8" t="str">
        <f t="shared" si="3"/>
        <v>not_applicable</v>
      </c>
      <c r="L5" s="9" t="str">
        <f t="shared" si="4"/>
        <v/>
      </c>
      <c r="M5" s="1"/>
      <c r="N5" s="4"/>
      <c r="O5" s="4"/>
      <c r="P5" s="4"/>
      <c r="Q5" s="4"/>
      <c r="R5" s="9"/>
    </row>
    <row r="6" spans="1:18" ht="91.95" customHeight="1">
      <c r="A6" s="3" t="s">
        <v>395</v>
      </c>
      <c r="B6" s="3" t="s">
        <v>396</v>
      </c>
      <c r="C6" s="3" t="s">
        <v>397</v>
      </c>
      <c r="D6" s="8"/>
      <c r="E6" s="8" t="s">
        <v>71</v>
      </c>
      <c r="F6" s="8" t="s">
        <v>67</v>
      </c>
      <c r="G6" s="3" t="str">
        <f>IFERROR(IF(LEN(TRIM(CLEAN(SUBSTITUTE(Setup!$B$2,CHAR(160)," "))))=0,"CHECK REVIEWER ID",IF(OR(A6="",COUNTIF($A$2:$A$14,A6)&lt;&gt;1,LEFT(A6,LEN("2025::jama.2025.4390::"))&lt;&gt;"2025::jama.2025.4390::"),"CHECK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CHECK FIELDS</v>
      </c>
      <c r="H6" s="8" t="str">
        <f t="shared" si="0"/>
        <v>not_applicable</v>
      </c>
      <c r="I6" s="8" t="str">
        <f t="shared" si="1"/>
        <v>not_applicable</v>
      </c>
      <c r="J6" s="9" t="str">
        <f t="shared" si="2"/>
        <v>not_applicable</v>
      </c>
      <c r="K6" s="8" t="str">
        <f t="shared" si="3"/>
        <v>not_applicable</v>
      </c>
      <c r="L6" s="9" t="str">
        <f t="shared" si="4"/>
        <v/>
      </c>
      <c r="M6" s="3"/>
      <c r="N6" s="4"/>
      <c r="O6" s="4"/>
      <c r="P6" s="4"/>
      <c r="Q6" s="4"/>
      <c r="R6" s="9"/>
    </row>
    <row r="7" spans="1:18" ht="91.95" customHeight="1">
      <c r="A7" s="1" t="s">
        <v>398</v>
      </c>
      <c r="B7" s="1" t="s">
        <v>399</v>
      </c>
      <c r="C7" s="1" t="s">
        <v>400</v>
      </c>
      <c r="D7" s="8"/>
      <c r="E7" s="8" t="s">
        <v>71</v>
      </c>
      <c r="F7" s="8" t="s">
        <v>67</v>
      </c>
      <c r="G7" s="1" t="str">
        <f>IFERROR(IF(LEN(TRIM(CLEAN(SUBSTITUTE(Setup!$B$2,CHAR(160)," "))))=0,"CHECK REVIEWER ID",IF(OR(A7="",COUNTIF($A$2:$A$14,A7)&lt;&gt;1,LEFT(A7,LEN("2025::jama.2025.4390::"))&lt;&gt;"2025::jama.2025.4390::"),"CHECK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CHECK FIELDS</v>
      </c>
      <c r="H7" s="8" t="str">
        <f t="shared" si="0"/>
        <v>not_applicable</v>
      </c>
      <c r="I7" s="8" t="str">
        <f t="shared" si="1"/>
        <v>not_applicable</v>
      </c>
      <c r="J7" s="9" t="str">
        <f t="shared" si="2"/>
        <v>not_applicable</v>
      </c>
      <c r="K7" s="8" t="str">
        <f t="shared" si="3"/>
        <v>not_applicable</v>
      </c>
      <c r="L7" s="9" t="str">
        <f t="shared" si="4"/>
        <v/>
      </c>
      <c r="M7" s="1"/>
      <c r="N7" s="4"/>
      <c r="O7" s="4"/>
      <c r="P7" s="4"/>
      <c r="Q7" s="4"/>
      <c r="R7" s="9"/>
    </row>
    <row r="8" spans="1:18" ht="91.95" customHeight="1">
      <c r="A8" s="3" t="s">
        <v>401</v>
      </c>
      <c r="B8" s="3" t="s">
        <v>402</v>
      </c>
      <c r="C8" s="3" t="s">
        <v>403</v>
      </c>
      <c r="D8" s="8"/>
      <c r="E8" s="8" t="s">
        <v>71</v>
      </c>
      <c r="F8" s="8" t="s">
        <v>67</v>
      </c>
      <c r="G8" s="3" t="str">
        <f>IFERROR(IF(LEN(TRIM(CLEAN(SUBSTITUTE(Setup!$B$2,CHAR(160)," "))))=0,"CHECK REVIEWER ID",IF(OR(A8="",COUNTIF($A$2:$A$14,A8)&lt;&gt;1,LEFT(A8,LEN("2025::jama.2025.4390::"))&lt;&gt;"2025::jama.2025.4390::"),"CHECK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CHECK FIELDS</v>
      </c>
      <c r="H8" s="8" t="str">
        <f t="shared" si="0"/>
        <v>not_applicable</v>
      </c>
      <c r="I8" s="8" t="str">
        <f t="shared" si="1"/>
        <v>not_applicable</v>
      </c>
      <c r="J8" s="9" t="str">
        <f t="shared" si="2"/>
        <v>not_applicable</v>
      </c>
      <c r="K8" s="8" t="str">
        <f t="shared" si="3"/>
        <v>not_applicable</v>
      </c>
      <c r="L8" s="9" t="str">
        <f t="shared" si="4"/>
        <v/>
      </c>
      <c r="M8" s="3"/>
      <c r="N8" s="4"/>
      <c r="O8" s="4"/>
      <c r="P8" s="4"/>
      <c r="Q8" s="4"/>
      <c r="R8" s="9"/>
    </row>
    <row r="9" spans="1:18" ht="91.95" customHeight="1">
      <c r="A9" s="1" t="s">
        <v>404</v>
      </c>
      <c r="B9" s="1" t="s">
        <v>405</v>
      </c>
      <c r="C9" s="1" t="s">
        <v>406</v>
      </c>
      <c r="D9" s="8"/>
      <c r="E9" s="8" t="s">
        <v>71</v>
      </c>
      <c r="F9" s="8" t="s">
        <v>67</v>
      </c>
      <c r="G9" s="1" t="str">
        <f>IFERROR(IF(LEN(TRIM(CLEAN(SUBSTITUTE(Setup!$B$2,CHAR(160)," "))))=0,"CHECK REVIEWER ID",IF(OR(A9="",COUNTIF($A$2:$A$14,A9)&lt;&gt;1,LEFT(A9,LEN("2025::jama.2025.4390::"))&lt;&gt;"2025::jama.2025.4390::"),"CHECK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CHECK FIELDS</v>
      </c>
      <c r="H9" s="8" t="str">
        <f t="shared" si="0"/>
        <v>not_applicable</v>
      </c>
      <c r="I9" s="8" t="str">
        <f t="shared" si="1"/>
        <v>not_applicable</v>
      </c>
      <c r="J9" s="9" t="str">
        <f t="shared" si="2"/>
        <v>not_applicable</v>
      </c>
      <c r="K9" s="8" t="str">
        <f t="shared" si="3"/>
        <v>not_applicable</v>
      </c>
      <c r="L9" s="9" t="str">
        <f t="shared" si="4"/>
        <v/>
      </c>
      <c r="M9" s="1"/>
      <c r="N9" s="4"/>
      <c r="O9" s="4"/>
      <c r="P9" s="4"/>
      <c r="Q9" s="4"/>
      <c r="R9" s="9"/>
    </row>
    <row r="10" spans="1:18" ht="91.95" customHeight="1">
      <c r="A10" s="3" t="s">
        <v>407</v>
      </c>
      <c r="B10" s="3" t="s">
        <v>408</v>
      </c>
      <c r="C10" s="3" t="s">
        <v>409</v>
      </c>
      <c r="D10" s="8"/>
      <c r="E10" s="8" t="s">
        <v>71</v>
      </c>
      <c r="F10" s="8" t="s">
        <v>67</v>
      </c>
      <c r="G10" s="3" t="str">
        <f>IFERROR(IF(LEN(TRIM(CLEAN(SUBSTITUTE(Setup!$B$2,CHAR(160)," "))))=0,"CHECK REVIEWER ID",IF(OR(A10="",COUNTIF($A$2:$A$14,A10)&lt;&gt;1,LEFT(A10,LEN("2025::jama.2025.4390::"))&lt;&gt;"2025::jama.2025.4390::"),"CHECK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CHECK FIELDS</v>
      </c>
      <c r="H10" s="8" t="str">
        <f t="shared" si="0"/>
        <v>not_applicable</v>
      </c>
      <c r="I10" s="8" t="str">
        <f t="shared" si="1"/>
        <v>not_applicable</v>
      </c>
      <c r="J10" s="9" t="str">
        <f t="shared" si="2"/>
        <v>not_applicable</v>
      </c>
      <c r="K10" s="8" t="str">
        <f t="shared" si="3"/>
        <v>not_applicable</v>
      </c>
      <c r="L10" s="9" t="str">
        <f t="shared" si="4"/>
        <v/>
      </c>
      <c r="M10" s="3"/>
      <c r="N10" s="4"/>
      <c r="O10" s="4"/>
      <c r="P10" s="4"/>
      <c r="Q10" s="4"/>
      <c r="R10" s="9"/>
    </row>
    <row r="11" spans="1:18" ht="91.95" customHeight="1">
      <c r="A11" s="1" t="s">
        <v>410</v>
      </c>
      <c r="B11" s="1" t="s">
        <v>411</v>
      </c>
      <c r="C11" s="1" t="s">
        <v>412</v>
      </c>
      <c r="D11" s="8"/>
      <c r="E11" s="8" t="s">
        <v>66</v>
      </c>
      <c r="F11" s="8" t="s">
        <v>67</v>
      </c>
      <c r="G11" s="1" t="str">
        <f>IFERROR(IF(LEN(TRIM(CLEAN(SUBSTITUTE(Setup!$B$2,CHAR(160)," "))))=0,"CHECK REVIEWER ID",IF(OR(A11="",COUNTIF($A$2:$A$14,A11)&lt;&gt;1,LEFT(A11,LEN("2025::jama.2025.4390::"))&lt;&gt;"2025::jama.2025.4390::"),"CHECK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CHECK FIELDS</v>
      </c>
      <c r="H11" s="8" t="str">
        <f t="shared" si="0"/>
        <v/>
      </c>
      <c r="I11" s="8" t="str">
        <f t="shared" si="1"/>
        <v/>
      </c>
      <c r="J11" s="9" t="str">
        <f t="shared" si="2"/>
        <v/>
      </c>
      <c r="K11" s="8" t="str">
        <f t="shared" si="3"/>
        <v>not_applicable</v>
      </c>
      <c r="L11" s="9" t="str">
        <f t="shared" si="4"/>
        <v>not_applicable</v>
      </c>
      <c r="M11" s="1"/>
      <c r="N11" s="4"/>
      <c r="O11" s="4"/>
      <c r="P11" s="4"/>
      <c r="Q11" s="4"/>
      <c r="R11" s="9"/>
    </row>
    <row r="12" spans="1:18" ht="91.95" customHeight="1">
      <c r="A12" s="3" t="s">
        <v>413</v>
      </c>
      <c r="B12" s="3" t="s">
        <v>414</v>
      </c>
      <c r="C12" s="3" t="s">
        <v>415</v>
      </c>
      <c r="D12" s="8"/>
      <c r="E12" s="8" t="s">
        <v>66</v>
      </c>
      <c r="F12" s="8" t="s">
        <v>67</v>
      </c>
      <c r="G12" s="3" t="str">
        <f>IFERROR(IF(LEN(TRIM(CLEAN(SUBSTITUTE(Setup!$B$2,CHAR(160)," "))))=0,"CHECK REVIEWER ID",IF(OR(A12="",COUNTIF($A$2:$A$14,A12)&lt;&gt;1,LEFT(A12,LEN("2025::jama.2025.4390::"))&lt;&gt;"2025::jama.2025.4390::"),"CHECK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CHECK FIELDS</v>
      </c>
      <c r="H12" s="8" t="str">
        <f t="shared" si="0"/>
        <v/>
      </c>
      <c r="I12" s="8" t="str">
        <f t="shared" si="1"/>
        <v/>
      </c>
      <c r="J12" s="9" t="str">
        <f t="shared" si="2"/>
        <v/>
      </c>
      <c r="K12" s="8" t="str">
        <f t="shared" si="3"/>
        <v>not_applicable</v>
      </c>
      <c r="L12" s="9" t="str">
        <f t="shared" si="4"/>
        <v>not_applicable</v>
      </c>
      <c r="M12" s="3"/>
      <c r="N12" s="4"/>
      <c r="O12" s="4"/>
      <c r="P12" s="4"/>
      <c r="Q12" s="4"/>
      <c r="R12" s="9"/>
    </row>
    <row r="13" spans="1:18" ht="91.95" customHeight="1">
      <c r="A13" s="1" t="s">
        <v>416</v>
      </c>
      <c r="B13" s="1" t="s">
        <v>417</v>
      </c>
      <c r="C13" s="1" t="s">
        <v>418</v>
      </c>
      <c r="D13" s="8"/>
      <c r="E13" s="8" t="s">
        <v>66</v>
      </c>
      <c r="F13" s="8" t="s">
        <v>67</v>
      </c>
      <c r="G13" s="1" t="str">
        <f>IFERROR(IF(LEN(TRIM(CLEAN(SUBSTITUTE(Setup!$B$2,CHAR(160)," "))))=0,"CHECK REVIEWER ID",IF(OR(A13="",COUNTIF($A$2:$A$14,A13)&lt;&gt;1,LEFT(A13,LEN("2025::jama.2025.4390::"))&lt;&gt;"2025::jama.2025.4390::"),"CHECK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CHECK FIELDS</v>
      </c>
      <c r="H13" s="8" t="str">
        <f t="shared" si="0"/>
        <v/>
      </c>
      <c r="I13" s="8" t="str">
        <f t="shared" si="1"/>
        <v/>
      </c>
      <c r="J13" s="9" t="str">
        <f t="shared" si="2"/>
        <v/>
      </c>
      <c r="K13" s="8" t="str">
        <f t="shared" si="3"/>
        <v>not_applicable</v>
      </c>
      <c r="L13" s="9" t="str">
        <f t="shared" si="4"/>
        <v>not_applicable</v>
      </c>
      <c r="M13" s="1"/>
      <c r="N13" s="4"/>
      <c r="O13" s="4"/>
      <c r="P13" s="4"/>
      <c r="Q13" s="4"/>
      <c r="R13" s="9"/>
    </row>
    <row r="14" spans="1:18" ht="91.95" customHeight="1">
      <c r="A14" s="3" t="s">
        <v>419</v>
      </c>
      <c r="B14" s="3" t="s">
        <v>420</v>
      </c>
      <c r="C14" s="3" t="s">
        <v>421</v>
      </c>
      <c r="D14" s="8"/>
      <c r="E14" s="8" t="s">
        <v>66</v>
      </c>
      <c r="F14" s="8" t="s">
        <v>67</v>
      </c>
      <c r="G14" s="3" t="str">
        <f>IFERROR(IF(LEN(TRIM(CLEAN(SUBSTITUTE(Setup!$B$2,CHAR(160)," "))))=0,"CHECK REVIEWER ID",IF(OR(A14="",COUNTIF($A$2:$A$14,A14)&lt;&gt;1,LEFT(A14,LEN("2025::jama.2025.4390::"))&lt;&gt;"2025::jama.2025.4390::"),"CHECK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CHECK FIELDS</v>
      </c>
      <c r="H14" s="8" t="str">
        <f t="shared" si="0"/>
        <v/>
      </c>
      <c r="I14" s="8" t="str">
        <f t="shared" si="1"/>
        <v/>
      </c>
      <c r="J14" s="9" t="str">
        <f t="shared" si="2"/>
        <v/>
      </c>
      <c r="K14" s="8" t="str">
        <f t="shared" si="3"/>
        <v>not_applicable</v>
      </c>
      <c r="L14" s="9" t="str">
        <f t="shared" si="4"/>
        <v>not_applicable</v>
      </c>
      <c r="M14" s="3"/>
      <c r="N14" s="4"/>
      <c r="O14" s="4"/>
      <c r="P14" s="4"/>
      <c r="Q14" s="4"/>
      <c r="R14" s="9"/>
    </row>
  </sheetData>
  <autoFilter ref="A1:R14" xr:uid="{00000000-0009-0000-0000-00000D000000}"/>
  <phoneticPr fontId="5" type="noConversion"/>
  <conditionalFormatting sqref="G2:G14">
    <cfRule type="expression" dxfId="19" priority="13">
      <formula>G2&lt;&gt;"PRIMARY READY"</formula>
    </cfRule>
  </conditionalFormatting>
  <conditionalFormatting sqref="H2:J14">
    <cfRule type="expression" dxfId="18" priority="8">
      <formula>NOT(AND(OR($D2="retain",$D2=""),$E2="statistical_results"))</formula>
    </cfRule>
  </conditionalFormatting>
  <conditionalFormatting sqref="K2:K14">
    <cfRule type="expression" dxfId="17" priority="11">
      <formula>NOT(AND(OR($D2="retain",$D2=""),OR($E2="report_internal_inconsistency",$E2="plan_material")))</formula>
    </cfRule>
  </conditionalFormatting>
  <conditionalFormatting sqref="L2:L14">
    <cfRule type="expression" dxfId="16" priority="12">
      <formula>NOT(AND(OR($D2="retain",$D2=""),$E2="protocol_report"))</formula>
    </cfRule>
  </conditionalFormatting>
  <dataValidations count="8">
    <dataValidation type="list" allowBlank="1" showErrorMessage="1" errorTitle="Use a listed option" error="Choose an option; G also checks pasted entries." sqref="D2:D14" xr:uid="{00000000-0002-0000-0D00-000000000000}">
      <formula1>"retain,exclude,discuss"</formula1>
    </dataValidation>
    <dataValidation type="list" allowBlank="1" showErrorMessage="1" errorTitle="Use a listed option" error="Choose an option; G also checks pasted entries." sqref="E2:E14" xr:uid="{00000000-0002-0000-0D00-000001000000}">
      <formula1>"statistical_results,report_internal_inconsistency,plan_material,protocol_report"</formula1>
    </dataValidation>
    <dataValidation type="list" allowBlank="1" showErrorMessage="1" errorTitle="Use a listed option" error="Choose an option; G also checks pasted entries." sqref="F2:F14" xr:uid="{00000000-0002-0000-0D00-000002000000}">
      <formula1>"no,primary_done"</formula1>
    </dataValidation>
    <dataValidation type="list" allowBlank="1" showErrorMessage="1" errorTitle="Use a listed option" error="Choose an option; G also checks pasted entries." sqref="H2:H14" xr:uid="{00000000-0002-0000-0D00-000003000000}">
      <formula1>"confirmed_issue,probable_issue,not_issue,indeterminate,not_applicable"</formula1>
    </dataValidation>
    <dataValidation type="list" allowBlank="1" showErrorMessage="1" errorTitle="Use a listed option" error="Choose an option; G also checks pasted entries." sqref="I2:I14" xr:uid="{00000000-0002-0000-0D00-000004000000}">
      <formula1>"substantive,minor_presentation,indeterminate,not_applicable"</formula1>
    </dataValidation>
    <dataValidation type="list" allowBlank="1" showErrorMessage="1" errorTitle="Use a listed option" error="Choose an option; G also checks pasted entries." sqref="J2:J14" xr:uid="{00000000-0002-0000-0D00-000005000000}">
      <formula1>"direct,possible,unlikely,unknown,not_applicable"</formula1>
    </dataValidation>
    <dataValidation type="list" allowBlank="1" showErrorMessage="1" errorTitle="Use a listed option" error="Choose an option; G also checks pasted entries." sqref="K2:K14" xr:uid="{00000000-0002-0000-0D00-000006000000}">
      <formula1>"substantive_inconsistency,minor_presentation,non_inconsistency,indeterminate,not_applicable"</formula1>
    </dataValidation>
    <dataValidation type="list" allowBlank="1" showErrorMessage="1" errorTitle="Use a listed option" error="Choose an option; G also checks pasted entries." sqref="L2:L14" xr:uid="{00000000-0002-0000-0D00-000007000000}">
      <formula1>"substantive_difference,minor_presentation,version_timing,non_inconsistency,indeterminate,not_applicable"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5"/>
  <sheetViews>
    <sheetView workbookViewId="0">
      <pane xSplit="1" ySplit="1" topLeftCell="B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422</v>
      </c>
      <c r="B2" s="3" t="s">
        <v>423</v>
      </c>
      <c r="C2" s="3" t="s">
        <v>424</v>
      </c>
      <c r="D2" s="8"/>
      <c r="E2" s="8" t="s">
        <v>71</v>
      </c>
      <c r="F2" s="8" t="s">
        <v>67</v>
      </c>
      <c r="G2" s="3" t="str">
        <f>IFERROR(IF(LEN(TRIM(CLEAN(SUBSTITUTE(Setup!$B$2,CHAR(160)," "))))=0,"CHECK REVIEWER ID",IF(OR(A2="",COUNTIF($A$2:$A$5,A2)&lt;&gt;1,LEFT(A2,LEN("2025::jama.2025.7583::"))&lt;&gt;"2025::jama.2025.7583::"),"CHECK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IF(AND(OR(D2="retain",D2=""),E2="statistical_results"),"","not_applicable")</f>
        <v>not_applicable</v>
      </c>
      <c r="I2" s="8" t="str">
        <f>IF(AND(OR(D2="retain",D2=""),E2="statistical_results"),"","not_applicable")</f>
        <v>not_applicable</v>
      </c>
      <c r="J2" s="9" t="str">
        <f>IF(AND(OR(D2="retain",D2=""),E2="statistical_results"),"","not_applicable")</f>
        <v>not_applicable</v>
      </c>
      <c r="K2" s="8" t="str">
        <f>IF(AND(OR(D2="retain",D2=""),OR(E2="report_internal_inconsistency",E2="plan_material")),"","not_applicable")</f>
        <v>not_applicable</v>
      </c>
      <c r="L2" s="9" t="str">
        <f>IF(AND(OR(D2="retain",D2=""),E2="protocol_report"),"","not_applicable")</f>
        <v/>
      </c>
      <c r="M2" s="3"/>
      <c r="N2" s="4"/>
      <c r="O2" s="4"/>
      <c r="P2" s="4"/>
      <c r="Q2" s="4"/>
      <c r="R2" s="9"/>
    </row>
    <row r="3" spans="1:18" ht="91.95" customHeight="1">
      <c r="A3" s="1" t="s">
        <v>425</v>
      </c>
      <c r="B3" s="1" t="s">
        <v>426</v>
      </c>
      <c r="C3" s="1" t="s">
        <v>427</v>
      </c>
      <c r="D3" s="8"/>
      <c r="E3" s="8" t="s">
        <v>71</v>
      </c>
      <c r="F3" s="8" t="s">
        <v>67</v>
      </c>
      <c r="G3" s="1" t="str">
        <f>IFERROR(IF(LEN(TRIM(CLEAN(SUBSTITUTE(Setup!$B$2,CHAR(160)," "))))=0,"CHECK REVIEWER ID",IF(OR(A3="",COUNTIF($A$2:$A$5,A3)&lt;&gt;1,LEFT(A3,LEN("2025::jama.2025.7583::"))&lt;&gt;"2025::jama.2025.7583::"),"CHECK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IF(AND(OR(D3="retain",D3=""),E3="statistical_results"),"","not_applicable")</f>
        <v>not_applicable</v>
      </c>
      <c r="I3" s="8" t="str">
        <f>IF(AND(OR(D3="retain",D3=""),E3="statistical_results"),"","not_applicable")</f>
        <v>not_applicable</v>
      </c>
      <c r="J3" s="9" t="str">
        <f>IF(AND(OR(D3="retain",D3=""),E3="statistical_results"),"","not_applicable")</f>
        <v>not_applicable</v>
      </c>
      <c r="K3" s="8" t="str">
        <f>IF(AND(OR(D3="retain",D3=""),OR(E3="report_internal_inconsistency",E3="plan_material")),"","not_applicable")</f>
        <v>not_applicable</v>
      </c>
      <c r="L3" s="9" t="str">
        <f>IF(AND(OR(D3="retain",D3=""),E3="protocol_report"),"","not_applicable")</f>
        <v/>
      </c>
      <c r="M3" s="1"/>
      <c r="N3" s="4"/>
      <c r="O3" s="4"/>
      <c r="P3" s="4"/>
      <c r="Q3" s="4"/>
      <c r="R3" s="9"/>
    </row>
    <row r="4" spans="1:18" ht="91.95" customHeight="1">
      <c r="A4" s="3" t="s">
        <v>428</v>
      </c>
      <c r="B4" s="3" t="s">
        <v>429</v>
      </c>
      <c r="C4" s="3" t="s">
        <v>430</v>
      </c>
      <c r="D4" s="8"/>
      <c r="E4" s="8" t="s">
        <v>71</v>
      </c>
      <c r="F4" s="8" t="s">
        <v>67</v>
      </c>
      <c r="G4" s="3" t="str">
        <f>IFERROR(IF(LEN(TRIM(CLEAN(SUBSTITUTE(Setup!$B$2,CHAR(160)," "))))=0,"CHECK REVIEWER ID",IF(OR(A4="",COUNTIF($A$2:$A$5,A4)&lt;&gt;1,LEFT(A4,LEN("2025::jama.2025.7583::"))&lt;&gt;"2025::jama.2025.7583::"),"CHECK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IF(AND(OR(D4="retain",D4=""),E4="statistical_results"),"","not_applicable")</f>
        <v>not_applicable</v>
      </c>
      <c r="I4" s="8" t="str">
        <f>IF(AND(OR(D4="retain",D4=""),E4="statistical_results"),"","not_applicable")</f>
        <v>not_applicable</v>
      </c>
      <c r="J4" s="9" t="str">
        <f>IF(AND(OR(D4="retain",D4=""),E4="statistical_results"),"","not_applicable")</f>
        <v>not_applicable</v>
      </c>
      <c r="K4" s="8" t="str">
        <f>IF(AND(OR(D4="retain",D4=""),OR(E4="report_internal_inconsistency",E4="plan_material")),"","not_applicable")</f>
        <v>not_applicable</v>
      </c>
      <c r="L4" s="9" t="str">
        <f>IF(AND(OR(D4="retain",D4=""),E4="protocol_report"),"","not_applicable")</f>
        <v/>
      </c>
      <c r="M4" s="3"/>
      <c r="N4" s="4"/>
      <c r="O4" s="4"/>
      <c r="P4" s="4"/>
      <c r="Q4" s="4"/>
      <c r="R4" s="9"/>
    </row>
    <row r="5" spans="1:18" ht="91.95" customHeight="1">
      <c r="A5" s="1" t="s">
        <v>431</v>
      </c>
      <c r="B5" s="1" t="s">
        <v>432</v>
      </c>
      <c r="C5" s="1" t="s">
        <v>433</v>
      </c>
      <c r="D5" s="8"/>
      <c r="E5" s="8" t="s">
        <v>66</v>
      </c>
      <c r="F5" s="8" t="s">
        <v>67</v>
      </c>
      <c r="G5" s="1" t="str">
        <f>IFERROR(IF(LEN(TRIM(CLEAN(SUBSTITUTE(Setup!$B$2,CHAR(160)," "))))=0,"CHECK REVIEWER ID",IF(OR(A5="",COUNTIF($A$2:$A$5,A5)&lt;&gt;1,LEFT(A5,LEN("2025::jama.2025.7583::"))&lt;&gt;"2025::jama.2025.7583::"),"CHECK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IF(AND(OR(D5="retain",D5=""),E5="statistical_results"),"","not_applicable")</f>
        <v/>
      </c>
      <c r="I5" s="8" t="str">
        <f>IF(AND(OR(D5="retain",D5=""),E5="statistical_results"),"","not_applicable")</f>
        <v/>
      </c>
      <c r="J5" s="9" t="str">
        <f>IF(AND(OR(D5="retain",D5=""),E5="statistical_results"),"","not_applicable")</f>
        <v/>
      </c>
      <c r="K5" s="8" t="str">
        <f>IF(AND(OR(D5="retain",D5=""),OR(E5="report_internal_inconsistency",E5="plan_material")),"","not_applicable")</f>
        <v>not_applicable</v>
      </c>
      <c r="L5" s="9" t="str">
        <f>IF(AND(OR(D5="retain",D5=""),E5="protocol_report"),"","not_applicable")</f>
        <v>not_applicable</v>
      </c>
      <c r="M5" s="1"/>
      <c r="N5" s="4"/>
      <c r="O5" s="4"/>
      <c r="P5" s="4"/>
      <c r="Q5" s="4"/>
      <c r="R5" s="9"/>
    </row>
  </sheetData>
  <autoFilter ref="A1:R5" xr:uid="{00000000-0009-0000-0000-00000E000000}"/>
  <phoneticPr fontId="5" type="noConversion"/>
  <conditionalFormatting sqref="G2:G5">
    <cfRule type="expression" dxfId="15" priority="13">
      <formula>G2&lt;&gt;"PRIMARY READY"</formula>
    </cfRule>
  </conditionalFormatting>
  <conditionalFormatting sqref="H2:J5">
    <cfRule type="expression" dxfId="14" priority="8">
      <formula>NOT(AND(OR($D2="retain",$D2=""),$E2="statistical_results"))</formula>
    </cfRule>
  </conditionalFormatting>
  <conditionalFormatting sqref="K2:K5">
    <cfRule type="expression" dxfId="13" priority="11">
      <formula>NOT(AND(OR($D2="retain",$D2=""),OR($E2="report_internal_inconsistency",$E2="plan_material")))</formula>
    </cfRule>
  </conditionalFormatting>
  <conditionalFormatting sqref="L2:L5">
    <cfRule type="expression" dxfId="12" priority="12">
      <formula>NOT(AND(OR($D2="retain",$D2=""),$E2="protocol_report"))</formula>
    </cfRule>
  </conditionalFormatting>
  <dataValidations count="8">
    <dataValidation type="list" allowBlank="1" showErrorMessage="1" errorTitle="Use a listed option" error="Choose an option; G also checks pasted entries." sqref="D2:D5" xr:uid="{00000000-0002-0000-0E00-000000000000}">
      <formula1>"retain,exclude,discuss"</formula1>
    </dataValidation>
    <dataValidation type="list" allowBlank="1" showErrorMessage="1" errorTitle="Use a listed option" error="Choose an option; G also checks pasted entries." sqref="E2:E5" xr:uid="{00000000-0002-0000-0E00-000001000000}">
      <formula1>"statistical_results,report_internal_inconsistency,plan_material,protocol_report"</formula1>
    </dataValidation>
    <dataValidation type="list" allowBlank="1" showErrorMessage="1" errorTitle="Use a listed option" error="Choose an option; G also checks pasted entries." sqref="F2:F5" xr:uid="{00000000-0002-0000-0E00-000002000000}">
      <formula1>"no,primary_done"</formula1>
    </dataValidation>
    <dataValidation type="list" allowBlank="1" showErrorMessage="1" errorTitle="Use a listed option" error="Choose an option; G also checks pasted entries." sqref="H2:H5" xr:uid="{00000000-0002-0000-0E00-000003000000}">
      <formula1>"confirmed_issue,probable_issue,not_issue,indeterminate,not_applicable"</formula1>
    </dataValidation>
    <dataValidation type="list" allowBlank="1" showErrorMessage="1" errorTitle="Use a listed option" error="Choose an option; G also checks pasted entries." sqref="I2:I5" xr:uid="{00000000-0002-0000-0E00-000004000000}">
      <formula1>"substantive,minor_presentation,indeterminate,not_applicable"</formula1>
    </dataValidation>
    <dataValidation type="list" allowBlank="1" showErrorMessage="1" errorTitle="Use a listed option" error="Choose an option; G also checks pasted entries." sqref="J2:J5" xr:uid="{00000000-0002-0000-0E00-000005000000}">
      <formula1>"direct,possible,unlikely,unknown,not_applicable"</formula1>
    </dataValidation>
    <dataValidation type="list" allowBlank="1" showErrorMessage="1" errorTitle="Use a listed option" error="Choose an option; G also checks pasted entries." sqref="K2:K5" xr:uid="{00000000-0002-0000-0E00-000006000000}">
      <formula1>"substantive_inconsistency,minor_presentation,non_inconsistency,indeterminate,not_applicable"</formula1>
    </dataValidation>
    <dataValidation type="list" allowBlank="1" showErrorMessage="1" errorTitle="Use a listed option" error="Choose an option; G also checks pasted entries." sqref="L2:L5" xr:uid="{00000000-0002-0000-0E00-000007000000}">
      <formula1>"substantive_difference,minor_presentation,version_timing,non_inconsistency,indeterminate,not_applicable"</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4"/>
  <sheetViews>
    <sheetView workbookViewId="0">
      <pane xSplit="1" ySplit="1" topLeftCell="B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434</v>
      </c>
      <c r="B2" s="3" t="s">
        <v>435</v>
      </c>
      <c r="C2" s="3" t="s">
        <v>436</v>
      </c>
      <c r="D2" s="8"/>
      <c r="E2" s="8" t="s">
        <v>71</v>
      </c>
      <c r="F2" s="8" t="s">
        <v>67</v>
      </c>
      <c r="G2" s="3" t="str">
        <f>IFERROR(IF(LEN(TRIM(CLEAN(SUBSTITUTE(Setup!$B$2,CHAR(160)," "))))=0,"CHECK REVIEWER ID",IF(OR(A2="",COUNTIF($A$2:$A$4,A2)&lt;&gt;1,LEFT(A2,LEN("2025::jama.2025.7710::"))&lt;&gt;"2025::jama.2025.7710::"),"CHECK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IF(AND(OR(D2="retain",D2=""),E2="statistical_results"),"","not_applicable")</f>
        <v>not_applicable</v>
      </c>
      <c r="I2" s="8" t="str">
        <f>IF(AND(OR(D2="retain",D2=""),E2="statistical_results"),"","not_applicable")</f>
        <v>not_applicable</v>
      </c>
      <c r="J2" s="9" t="str">
        <f>IF(AND(OR(D2="retain",D2=""),E2="statistical_results"),"","not_applicable")</f>
        <v>not_applicable</v>
      </c>
      <c r="K2" s="8" t="str">
        <f>IF(AND(OR(D2="retain",D2=""),OR(E2="report_internal_inconsistency",E2="plan_material")),"","not_applicable")</f>
        <v>not_applicable</v>
      </c>
      <c r="L2" s="9" t="str">
        <f>IF(AND(OR(D2="retain",D2=""),E2="protocol_report"),"","not_applicable")</f>
        <v/>
      </c>
      <c r="M2" s="3"/>
      <c r="N2" s="4"/>
      <c r="O2" s="4"/>
      <c r="P2" s="4"/>
      <c r="Q2" s="4"/>
      <c r="R2" s="9"/>
    </row>
    <row r="3" spans="1:18" ht="91.95" customHeight="1">
      <c r="A3" s="1" t="s">
        <v>437</v>
      </c>
      <c r="B3" s="1" t="s">
        <v>438</v>
      </c>
      <c r="C3" s="1" t="s">
        <v>439</v>
      </c>
      <c r="D3" s="8"/>
      <c r="E3" s="8" t="s">
        <v>71</v>
      </c>
      <c r="F3" s="8" t="s">
        <v>67</v>
      </c>
      <c r="G3" s="1" t="str">
        <f>IFERROR(IF(LEN(TRIM(CLEAN(SUBSTITUTE(Setup!$B$2,CHAR(160)," "))))=0,"CHECK REVIEWER ID",IF(OR(A3="",COUNTIF($A$2:$A$4,A3)&lt;&gt;1,LEFT(A3,LEN("2025::jama.2025.7710::"))&lt;&gt;"2025::jama.2025.7710::"),"CHECK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IF(AND(OR(D3="retain",D3=""),E3="statistical_results"),"","not_applicable")</f>
        <v>not_applicable</v>
      </c>
      <c r="I3" s="8" t="str">
        <f>IF(AND(OR(D3="retain",D3=""),E3="statistical_results"),"","not_applicable")</f>
        <v>not_applicable</v>
      </c>
      <c r="J3" s="9" t="str">
        <f>IF(AND(OR(D3="retain",D3=""),E3="statistical_results"),"","not_applicable")</f>
        <v>not_applicable</v>
      </c>
      <c r="K3" s="8" t="str">
        <f>IF(AND(OR(D3="retain",D3=""),OR(E3="report_internal_inconsistency",E3="plan_material")),"","not_applicable")</f>
        <v>not_applicable</v>
      </c>
      <c r="L3" s="9" t="str">
        <f>IF(AND(OR(D3="retain",D3=""),E3="protocol_report"),"","not_applicable")</f>
        <v/>
      </c>
      <c r="M3" s="1"/>
      <c r="N3" s="4"/>
      <c r="O3" s="4"/>
      <c r="P3" s="4"/>
      <c r="Q3" s="4"/>
      <c r="R3" s="9"/>
    </row>
    <row r="4" spans="1:18" ht="91.95" customHeight="1">
      <c r="A4" s="3" t="s">
        <v>440</v>
      </c>
      <c r="B4" s="3" t="s">
        <v>441</v>
      </c>
      <c r="C4" s="3" t="s">
        <v>442</v>
      </c>
      <c r="D4" s="8"/>
      <c r="E4" s="8" t="s">
        <v>71</v>
      </c>
      <c r="F4" s="8" t="s">
        <v>67</v>
      </c>
      <c r="G4" s="3" t="str">
        <f>IFERROR(IF(LEN(TRIM(CLEAN(SUBSTITUTE(Setup!$B$2,CHAR(160)," "))))=0,"CHECK REVIEWER ID",IF(OR(A4="",COUNTIF($A$2:$A$4,A4)&lt;&gt;1,LEFT(A4,LEN("2025::jama.2025.7710::"))&lt;&gt;"2025::jama.2025.7710::"),"CHECK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IF(AND(OR(D4="retain",D4=""),E4="statistical_results"),"","not_applicable")</f>
        <v>not_applicable</v>
      </c>
      <c r="I4" s="8" t="str">
        <f>IF(AND(OR(D4="retain",D4=""),E4="statistical_results"),"","not_applicable")</f>
        <v>not_applicable</v>
      </c>
      <c r="J4" s="9" t="str">
        <f>IF(AND(OR(D4="retain",D4=""),E4="statistical_results"),"","not_applicable")</f>
        <v>not_applicable</v>
      </c>
      <c r="K4" s="8" t="str">
        <f>IF(AND(OR(D4="retain",D4=""),OR(E4="report_internal_inconsistency",E4="plan_material")),"","not_applicable")</f>
        <v>not_applicable</v>
      </c>
      <c r="L4" s="9" t="str">
        <f>IF(AND(OR(D4="retain",D4=""),E4="protocol_report"),"","not_applicable")</f>
        <v/>
      </c>
      <c r="M4" s="3"/>
      <c r="N4" s="4"/>
      <c r="O4" s="4"/>
      <c r="P4" s="4"/>
      <c r="Q4" s="4"/>
      <c r="R4" s="9"/>
    </row>
  </sheetData>
  <autoFilter ref="A1:R4" xr:uid="{00000000-0009-0000-0000-00000F000000}"/>
  <phoneticPr fontId="5" type="noConversion"/>
  <conditionalFormatting sqref="G2:G4">
    <cfRule type="expression" dxfId="11" priority="13">
      <formula>G2&lt;&gt;"PRIMARY READY"</formula>
    </cfRule>
  </conditionalFormatting>
  <conditionalFormatting sqref="H2:J4">
    <cfRule type="expression" dxfId="10" priority="8">
      <formula>NOT(AND(OR($D2="retain",$D2=""),$E2="statistical_results"))</formula>
    </cfRule>
  </conditionalFormatting>
  <conditionalFormatting sqref="K2:K4">
    <cfRule type="expression" dxfId="9" priority="11">
      <formula>NOT(AND(OR($D2="retain",$D2=""),OR($E2="report_internal_inconsistency",$E2="plan_material")))</formula>
    </cfRule>
  </conditionalFormatting>
  <conditionalFormatting sqref="L2:L4">
    <cfRule type="expression" dxfId="8" priority="12">
      <formula>NOT(AND(OR($D2="retain",$D2=""),$E2="protocol_report"))</formula>
    </cfRule>
  </conditionalFormatting>
  <dataValidations count="8">
    <dataValidation type="list" allowBlank="1" showErrorMessage="1" errorTitle="Use a listed option" error="Choose an option; G also checks pasted entries." sqref="D2:D4" xr:uid="{00000000-0002-0000-0F00-000000000000}">
      <formula1>"retain,exclude,discuss"</formula1>
    </dataValidation>
    <dataValidation type="list" allowBlank="1" showErrorMessage="1" errorTitle="Use a listed option" error="Choose an option; G also checks pasted entries." sqref="E2:E4" xr:uid="{00000000-0002-0000-0F00-000001000000}">
      <formula1>"statistical_results,report_internal_inconsistency,plan_material,protocol_report"</formula1>
    </dataValidation>
    <dataValidation type="list" allowBlank="1" showErrorMessage="1" errorTitle="Use a listed option" error="Choose an option; G also checks pasted entries." sqref="F2:F4" xr:uid="{00000000-0002-0000-0F00-000002000000}">
      <formula1>"no,primary_done"</formula1>
    </dataValidation>
    <dataValidation type="list" allowBlank="1" showErrorMessage="1" errorTitle="Use a listed option" error="Choose an option; G also checks pasted entries." sqref="H2:H4" xr:uid="{00000000-0002-0000-0F00-000003000000}">
      <formula1>"confirmed_issue,probable_issue,not_issue,indeterminate,not_applicable"</formula1>
    </dataValidation>
    <dataValidation type="list" allowBlank="1" showErrorMessage="1" errorTitle="Use a listed option" error="Choose an option; G also checks pasted entries." sqref="I2:I4" xr:uid="{00000000-0002-0000-0F00-000004000000}">
      <formula1>"substantive,minor_presentation,indeterminate,not_applicable"</formula1>
    </dataValidation>
    <dataValidation type="list" allowBlank="1" showErrorMessage="1" errorTitle="Use a listed option" error="Choose an option; G also checks pasted entries." sqref="J2:J4" xr:uid="{00000000-0002-0000-0F00-000005000000}">
      <formula1>"direct,possible,unlikely,unknown,not_applicable"</formula1>
    </dataValidation>
    <dataValidation type="list" allowBlank="1" showErrorMessage="1" errorTitle="Use a listed option" error="Choose an option; G also checks pasted entries." sqref="K2:K4" xr:uid="{00000000-0002-0000-0F00-000006000000}">
      <formula1>"substantive_inconsistency,minor_presentation,non_inconsistency,indeterminate,not_applicable"</formula1>
    </dataValidation>
    <dataValidation type="list" allowBlank="1" showErrorMessage="1" errorTitle="Use a listed option" error="Choose an option; G also checks pasted entries." sqref="L2:L4" xr:uid="{00000000-0002-0000-0F00-000007000000}">
      <formula1>"substantive_difference,minor_presentation,version_timing,non_inconsistency,indeterminate,not_applicable"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4"/>
  <sheetViews>
    <sheetView workbookViewId="0">
      <pane xSplit="1" ySplit="1" topLeftCell="B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443</v>
      </c>
      <c r="B2" s="3" t="s">
        <v>444</v>
      </c>
      <c r="C2" s="3" t="s">
        <v>445</v>
      </c>
      <c r="D2" s="8"/>
      <c r="E2" s="8" t="s">
        <v>71</v>
      </c>
      <c r="F2" s="8" t="s">
        <v>67</v>
      </c>
      <c r="G2" s="3" t="str">
        <f>IFERROR(IF(LEN(TRIM(CLEAN(SUBSTITUTE(Setup!$B$2,CHAR(160)," "))))=0,"CHECK REVIEWER ID",IF(OR(A2="",COUNTIF($A$2:$A$4,A2)&lt;&gt;1,LEFT(A2,LEN("2025::jama.2025.9110::"))&lt;&gt;"2025::jama.2025.9110::"),"CHECK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IF(AND(OR(D2="retain",D2=""),E2="statistical_results"),"","not_applicable")</f>
        <v>not_applicable</v>
      </c>
      <c r="I2" s="8" t="str">
        <f>IF(AND(OR(D2="retain",D2=""),E2="statistical_results"),"","not_applicable")</f>
        <v>not_applicable</v>
      </c>
      <c r="J2" s="9" t="str">
        <f>IF(AND(OR(D2="retain",D2=""),E2="statistical_results"),"","not_applicable")</f>
        <v>not_applicable</v>
      </c>
      <c r="K2" s="8" t="str">
        <f>IF(AND(OR(D2="retain",D2=""),OR(E2="report_internal_inconsistency",E2="plan_material")),"","not_applicable")</f>
        <v>not_applicable</v>
      </c>
      <c r="L2" s="9" t="str">
        <f>IF(AND(OR(D2="retain",D2=""),E2="protocol_report"),"","not_applicable")</f>
        <v/>
      </c>
      <c r="M2" s="3"/>
      <c r="N2" s="4"/>
      <c r="O2" s="4"/>
      <c r="P2" s="4"/>
      <c r="Q2" s="4"/>
      <c r="R2" s="9"/>
    </row>
    <row r="3" spans="1:18" ht="91.95" customHeight="1">
      <c r="A3" s="1" t="s">
        <v>446</v>
      </c>
      <c r="B3" s="1" t="s">
        <v>447</v>
      </c>
      <c r="C3" s="1" t="s">
        <v>448</v>
      </c>
      <c r="D3" s="8"/>
      <c r="E3" s="8" t="s">
        <v>66</v>
      </c>
      <c r="F3" s="8" t="s">
        <v>67</v>
      </c>
      <c r="G3" s="1" t="str">
        <f>IFERROR(IF(LEN(TRIM(CLEAN(SUBSTITUTE(Setup!$B$2,CHAR(160)," "))))=0,"CHECK REVIEWER ID",IF(OR(A3="",COUNTIF($A$2:$A$4,A3)&lt;&gt;1,LEFT(A3,LEN("2025::jama.2025.9110::"))&lt;&gt;"2025::jama.2025.9110::"),"CHECK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IF(AND(OR(D3="retain",D3=""),E3="statistical_results"),"","not_applicable")</f>
        <v/>
      </c>
      <c r="I3" s="8" t="str">
        <f>IF(AND(OR(D3="retain",D3=""),E3="statistical_results"),"","not_applicable")</f>
        <v/>
      </c>
      <c r="J3" s="9" t="str">
        <f>IF(AND(OR(D3="retain",D3=""),E3="statistical_results"),"","not_applicable")</f>
        <v/>
      </c>
      <c r="K3" s="8" t="str">
        <f>IF(AND(OR(D3="retain",D3=""),OR(E3="report_internal_inconsistency",E3="plan_material")),"","not_applicable")</f>
        <v>not_applicable</v>
      </c>
      <c r="L3" s="9" t="str">
        <f>IF(AND(OR(D3="retain",D3=""),E3="protocol_report"),"","not_applicable")</f>
        <v>not_applicable</v>
      </c>
      <c r="M3" s="1"/>
      <c r="N3" s="4"/>
      <c r="O3" s="4"/>
      <c r="P3" s="4"/>
      <c r="Q3" s="4"/>
      <c r="R3" s="9"/>
    </row>
    <row r="4" spans="1:18" ht="91.95" customHeight="1">
      <c r="A4" s="3" t="s">
        <v>449</v>
      </c>
      <c r="B4" s="3" t="s">
        <v>450</v>
      </c>
      <c r="C4" s="3" t="s">
        <v>451</v>
      </c>
      <c r="D4" s="8"/>
      <c r="E4" s="8" t="s">
        <v>71</v>
      </c>
      <c r="F4" s="8" t="s">
        <v>67</v>
      </c>
      <c r="G4" s="3" t="str">
        <f>IFERROR(IF(LEN(TRIM(CLEAN(SUBSTITUTE(Setup!$B$2,CHAR(160)," "))))=0,"CHECK REVIEWER ID",IF(OR(A4="",COUNTIF($A$2:$A$4,A4)&lt;&gt;1,LEFT(A4,LEN("2025::jama.2025.9110::"))&lt;&gt;"2025::jama.2025.9110::"),"CHECK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IF(AND(OR(D4="retain",D4=""),E4="statistical_results"),"","not_applicable")</f>
        <v>not_applicable</v>
      </c>
      <c r="I4" s="8" t="str">
        <f>IF(AND(OR(D4="retain",D4=""),E4="statistical_results"),"","not_applicable")</f>
        <v>not_applicable</v>
      </c>
      <c r="J4" s="9" t="str">
        <f>IF(AND(OR(D4="retain",D4=""),E4="statistical_results"),"","not_applicable")</f>
        <v>not_applicable</v>
      </c>
      <c r="K4" s="8" t="str">
        <f>IF(AND(OR(D4="retain",D4=""),OR(E4="report_internal_inconsistency",E4="plan_material")),"","not_applicable")</f>
        <v>not_applicable</v>
      </c>
      <c r="L4" s="9" t="str">
        <f>IF(AND(OR(D4="retain",D4=""),E4="protocol_report"),"","not_applicable")</f>
        <v/>
      </c>
      <c r="M4" s="3"/>
      <c r="N4" s="4"/>
      <c r="O4" s="4"/>
      <c r="P4" s="4"/>
      <c r="Q4" s="4"/>
      <c r="R4" s="9"/>
    </row>
  </sheetData>
  <autoFilter ref="A1:R4" xr:uid="{00000000-0009-0000-0000-000010000000}"/>
  <phoneticPr fontId="5" type="noConversion"/>
  <conditionalFormatting sqref="G2:G4">
    <cfRule type="expression" dxfId="7" priority="13">
      <formula>G2&lt;&gt;"PRIMARY READY"</formula>
    </cfRule>
  </conditionalFormatting>
  <conditionalFormatting sqref="H2:J4">
    <cfRule type="expression" dxfId="6" priority="8">
      <formula>NOT(AND(OR($D2="retain",$D2=""),$E2="statistical_results"))</formula>
    </cfRule>
  </conditionalFormatting>
  <conditionalFormatting sqref="K2:K4">
    <cfRule type="expression" dxfId="5" priority="11">
      <formula>NOT(AND(OR($D2="retain",$D2=""),OR($E2="report_internal_inconsistency",$E2="plan_material")))</formula>
    </cfRule>
  </conditionalFormatting>
  <conditionalFormatting sqref="L2:L4">
    <cfRule type="expression" dxfId="4" priority="12">
      <formula>NOT(AND(OR($D2="retain",$D2=""),$E2="protocol_report"))</formula>
    </cfRule>
  </conditionalFormatting>
  <dataValidations count="8">
    <dataValidation type="list" allowBlank="1" showErrorMessage="1" errorTitle="Use a listed option" error="Choose an option; G also checks pasted entries." sqref="D2:D4" xr:uid="{00000000-0002-0000-1000-000000000000}">
      <formula1>"retain,exclude,discuss"</formula1>
    </dataValidation>
    <dataValidation type="list" allowBlank="1" showErrorMessage="1" errorTitle="Use a listed option" error="Choose an option; G also checks pasted entries." sqref="E2:E4" xr:uid="{00000000-0002-0000-1000-000001000000}">
      <formula1>"statistical_results,report_internal_inconsistency,plan_material,protocol_report"</formula1>
    </dataValidation>
    <dataValidation type="list" allowBlank="1" showErrorMessage="1" errorTitle="Use a listed option" error="Choose an option; G also checks pasted entries." sqref="F2:F4" xr:uid="{00000000-0002-0000-1000-000002000000}">
      <formula1>"no,primary_done"</formula1>
    </dataValidation>
    <dataValidation type="list" allowBlank="1" showErrorMessage="1" errorTitle="Use a listed option" error="Choose an option; G also checks pasted entries." sqref="H2:H4" xr:uid="{00000000-0002-0000-1000-000003000000}">
      <formula1>"confirmed_issue,probable_issue,not_issue,indeterminate,not_applicable"</formula1>
    </dataValidation>
    <dataValidation type="list" allowBlank="1" showErrorMessage="1" errorTitle="Use a listed option" error="Choose an option; G also checks pasted entries." sqref="I2:I4" xr:uid="{00000000-0002-0000-1000-000004000000}">
      <formula1>"substantive,minor_presentation,indeterminate,not_applicable"</formula1>
    </dataValidation>
    <dataValidation type="list" allowBlank="1" showErrorMessage="1" errorTitle="Use a listed option" error="Choose an option; G also checks pasted entries." sqref="J2:J4" xr:uid="{00000000-0002-0000-1000-000005000000}">
      <formula1>"direct,possible,unlikely,unknown,not_applicable"</formula1>
    </dataValidation>
    <dataValidation type="list" allowBlank="1" showErrorMessage="1" errorTitle="Use a listed option" error="Choose an option; G also checks pasted entries." sqref="K2:K4" xr:uid="{00000000-0002-0000-1000-000006000000}">
      <formula1>"substantive_inconsistency,minor_presentation,non_inconsistency,indeterminate,not_applicable"</formula1>
    </dataValidation>
    <dataValidation type="list" allowBlank="1" showErrorMessage="1" errorTitle="Use a listed option" error="Choose an option; G also checks pasted entries." sqref="L2:L4" xr:uid="{00000000-0002-0000-1000-000007000000}">
      <formula1>"substantive_difference,minor_presentation,version_timing,non_inconsistency,indeterminate,not_applicable"</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R6"/>
  <sheetViews>
    <sheetView workbookViewId="0">
      <pane xSplit="1" ySplit="1" topLeftCell="B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452</v>
      </c>
      <c r="B2" s="3" t="s">
        <v>453</v>
      </c>
      <c r="C2" s="3" t="s">
        <v>454</v>
      </c>
      <c r="D2" s="8"/>
      <c r="E2" s="8" t="s">
        <v>71</v>
      </c>
      <c r="F2" s="8" t="s">
        <v>67</v>
      </c>
      <c r="G2" s="3" t="str">
        <f>IFERROR(IF(LEN(TRIM(CLEAN(SUBSTITUTE(Setup!$B$2,CHAR(160)," "))))=0,"CHECK REVIEWER ID",IF(OR(A2="",COUNTIF($A$2:$A$6,A2)&lt;&gt;1,LEFT(A2,LEN("2025::jama.2025.9663::"))&lt;&gt;"2025::jama.2025.9663::"),"CHECK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IF(AND(OR(D2="retain",D2=""),E2="statistical_results"),"","not_applicable")</f>
        <v>not_applicable</v>
      </c>
      <c r="I2" s="8" t="str">
        <f>IF(AND(OR(D2="retain",D2=""),E2="statistical_results"),"","not_applicable")</f>
        <v>not_applicable</v>
      </c>
      <c r="J2" s="9" t="str">
        <f>IF(AND(OR(D2="retain",D2=""),E2="statistical_results"),"","not_applicable")</f>
        <v>not_applicable</v>
      </c>
      <c r="K2" s="8" t="str">
        <f>IF(AND(OR(D2="retain",D2=""),OR(E2="report_internal_inconsistency",E2="plan_material")),"","not_applicable")</f>
        <v>not_applicable</v>
      </c>
      <c r="L2" s="9" t="str">
        <f>IF(AND(OR(D2="retain",D2=""),E2="protocol_report"),"","not_applicable")</f>
        <v/>
      </c>
      <c r="M2" s="3"/>
      <c r="N2" s="4"/>
      <c r="O2" s="4"/>
      <c r="P2" s="4"/>
      <c r="Q2" s="4"/>
      <c r="R2" s="9"/>
    </row>
    <row r="3" spans="1:18" ht="91.95" customHeight="1">
      <c r="A3" s="1" t="s">
        <v>455</v>
      </c>
      <c r="B3" s="1" t="s">
        <v>456</v>
      </c>
      <c r="C3" s="1" t="s">
        <v>457</v>
      </c>
      <c r="D3" s="8"/>
      <c r="E3" s="8" t="s">
        <v>71</v>
      </c>
      <c r="F3" s="8" t="s">
        <v>67</v>
      </c>
      <c r="G3" s="1" t="str">
        <f>IFERROR(IF(LEN(TRIM(CLEAN(SUBSTITUTE(Setup!$B$2,CHAR(160)," "))))=0,"CHECK REVIEWER ID",IF(OR(A3="",COUNTIF($A$2:$A$6,A3)&lt;&gt;1,LEFT(A3,LEN("2025::jama.2025.9663::"))&lt;&gt;"2025::jama.2025.9663::"),"CHECK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IF(AND(OR(D3="retain",D3=""),E3="statistical_results"),"","not_applicable")</f>
        <v>not_applicable</v>
      </c>
      <c r="I3" s="8" t="str">
        <f>IF(AND(OR(D3="retain",D3=""),E3="statistical_results"),"","not_applicable")</f>
        <v>not_applicable</v>
      </c>
      <c r="J3" s="9" t="str">
        <f>IF(AND(OR(D3="retain",D3=""),E3="statistical_results"),"","not_applicable")</f>
        <v>not_applicable</v>
      </c>
      <c r="K3" s="8" t="str">
        <f>IF(AND(OR(D3="retain",D3=""),OR(E3="report_internal_inconsistency",E3="plan_material")),"","not_applicable")</f>
        <v>not_applicable</v>
      </c>
      <c r="L3" s="9" t="str">
        <f>IF(AND(OR(D3="retain",D3=""),E3="protocol_report"),"","not_applicable")</f>
        <v/>
      </c>
      <c r="M3" s="1"/>
      <c r="N3" s="4"/>
      <c r="O3" s="4"/>
      <c r="P3" s="4"/>
      <c r="Q3" s="4"/>
      <c r="R3" s="9"/>
    </row>
    <row r="4" spans="1:18" ht="91.95" customHeight="1">
      <c r="A4" s="3" t="s">
        <v>458</v>
      </c>
      <c r="B4" s="3" t="s">
        <v>459</v>
      </c>
      <c r="C4" s="3" t="s">
        <v>460</v>
      </c>
      <c r="D4" s="8"/>
      <c r="E4" s="8" t="s">
        <v>71</v>
      </c>
      <c r="F4" s="8" t="s">
        <v>67</v>
      </c>
      <c r="G4" s="3" t="str">
        <f>IFERROR(IF(LEN(TRIM(CLEAN(SUBSTITUTE(Setup!$B$2,CHAR(160)," "))))=0,"CHECK REVIEWER ID",IF(OR(A4="",COUNTIF($A$2:$A$6,A4)&lt;&gt;1,LEFT(A4,LEN("2025::jama.2025.9663::"))&lt;&gt;"2025::jama.2025.9663::"),"CHECK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IF(AND(OR(D4="retain",D4=""),E4="statistical_results"),"","not_applicable")</f>
        <v>not_applicable</v>
      </c>
      <c r="I4" s="8" t="str">
        <f>IF(AND(OR(D4="retain",D4=""),E4="statistical_results"),"","not_applicable")</f>
        <v>not_applicable</v>
      </c>
      <c r="J4" s="9" t="str">
        <f>IF(AND(OR(D4="retain",D4=""),E4="statistical_results"),"","not_applicable")</f>
        <v>not_applicable</v>
      </c>
      <c r="K4" s="8" t="str">
        <f>IF(AND(OR(D4="retain",D4=""),OR(E4="report_internal_inconsistency",E4="plan_material")),"","not_applicable")</f>
        <v>not_applicable</v>
      </c>
      <c r="L4" s="9" t="str">
        <f>IF(AND(OR(D4="retain",D4=""),E4="protocol_report"),"","not_applicable")</f>
        <v/>
      </c>
      <c r="M4" s="3"/>
      <c r="N4" s="4"/>
      <c r="O4" s="4"/>
      <c r="P4" s="4"/>
      <c r="Q4" s="4"/>
      <c r="R4" s="9"/>
    </row>
    <row r="5" spans="1:18" ht="91.95" customHeight="1">
      <c r="A5" s="1" t="s">
        <v>461</v>
      </c>
      <c r="B5" s="1" t="s">
        <v>462</v>
      </c>
      <c r="C5" s="1" t="s">
        <v>463</v>
      </c>
      <c r="D5" s="8"/>
      <c r="E5" s="8" t="s">
        <v>66</v>
      </c>
      <c r="F5" s="8" t="s">
        <v>67</v>
      </c>
      <c r="G5" s="1" t="str">
        <f>IFERROR(IF(LEN(TRIM(CLEAN(SUBSTITUTE(Setup!$B$2,CHAR(160)," "))))=0,"CHECK REVIEWER ID",IF(OR(A5="",COUNTIF($A$2:$A$6,A5)&lt;&gt;1,LEFT(A5,LEN("2025::jama.2025.9663::"))&lt;&gt;"2025::jama.2025.9663::"),"CHECK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IF(AND(OR(D5="retain",D5=""),E5="statistical_results"),"","not_applicable")</f>
        <v/>
      </c>
      <c r="I5" s="8" t="str">
        <f>IF(AND(OR(D5="retain",D5=""),E5="statistical_results"),"","not_applicable")</f>
        <v/>
      </c>
      <c r="J5" s="9" t="str">
        <f>IF(AND(OR(D5="retain",D5=""),E5="statistical_results"),"","not_applicable")</f>
        <v/>
      </c>
      <c r="K5" s="8" t="str">
        <f>IF(AND(OR(D5="retain",D5=""),OR(E5="report_internal_inconsistency",E5="plan_material")),"","not_applicable")</f>
        <v>not_applicable</v>
      </c>
      <c r="L5" s="9" t="str">
        <f>IF(AND(OR(D5="retain",D5=""),E5="protocol_report"),"","not_applicable")</f>
        <v>not_applicable</v>
      </c>
      <c r="M5" s="1"/>
      <c r="N5" s="4"/>
      <c r="O5" s="4"/>
      <c r="P5" s="4"/>
      <c r="Q5" s="4"/>
      <c r="R5" s="9"/>
    </row>
    <row r="6" spans="1:18" ht="91.95" customHeight="1">
      <c r="A6" s="3" t="s">
        <v>464</v>
      </c>
      <c r="B6" s="3" t="s">
        <v>465</v>
      </c>
      <c r="C6" s="3" t="s">
        <v>466</v>
      </c>
      <c r="D6" s="8"/>
      <c r="E6" s="8" t="s">
        <v>81</v>
      </c>
      <c r="F6" s="8" t="s">
        <v>67</v>
      </c>
      <c r="G6" s="3" t="str">
        <f>IFERROR(IF(LEN(TRIM(CLEAN(SUBSTITUTE(Setup!$B$2,CHAR(160)," "))))=0,"CHECK REVIEWER ID",IF(OR(A6="",COUNTIF($A$2:$A$6,A6)&lt;&gt;1,LEFT(A6,LEN("2025::jama.2025.9663::"))&lt;&gt;"2025::jama.2025.9663::"),"CHECK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CHECK FIELDS</v>
      </c>
      <c r="H6" s="8" t="str">
        <f>IF(AND(OR(D6="retain",D6=""),E6="statistical_results"),"","not_applicable")</f>
        <v>not_applicable</v>
      </c>
      <c r="I6" s="8" t="str">
        <f>IF(AND(OR(D6="retain",D6=""),E6="statistical_results"),"","not_applicable")</f>
        <v>not_applicable</v>
      </c>
      <c r="J6" s="9" t="str">
        <f>IF(AND(OR(D6="retain",D6=""),E6="statistical_results"),"","not_applicable")</f>
        <v>not_applicable</v>
      </c>
      <c r="K6" s="8" t="str">
        <f>IF(AND(OR(D6="retain",D6=""),OR(E6="report_internal_inconsistency",E6="plan_material")),"","not_applicable")</f>
        <v/>
      </c>
      <c r="L6" s="9" t="str">
        <f>IF(AND(OR(D6="retain",D6=""),E6="protocol_report"),"","not_applicable")</f>
        <v>not_applicable</v>
      </c>
      <c r="M6" s="3"/>
      <c r="N6" s="4"/>
      <c r="O6" s="4"/>
      <c r="P6" s="4"/>
      <c r="Q6" s="4"/>
      <c r="R6" s="9"/>
    </row>
  </sheetData>
  <autoFilter ref="A1:R6" xr:uid="{00000000-0009-0000-0000-000011000000}"/>
  <phoneticPr fontId="5" type="noConversion"/>
  <conditionalFormatting sqref="G2:G6">
    <cfRule type="expression" dxfId="3" priority="13">
      <formula>G2&lt;&gt;"PRIMARY READY"</formula>
    </cfRule>
  </conditionalFormatting>
  <conditionalFormatting sqref="H2:J6">
    <cfRule type="expression" dxfId="2" priority="8">
      <formula>NOT(AND(OR($D2="retain",$D2=""),$E2="statistical_results"))</formula>
    </cfRule>
  </conditionalFormatting>
  <conditionalFormatting sqref="K2:K6">
    <cfRule type="expression" dxfId="1" priority="11">
      <formula>NOT(AND(OR($D2="retain",$D2=""),OR($E2="report_internal_inconsistency",$E2="plan_material")))</formula>
    </cfRule>
  </conditionalFormatting>
  <conditionalFormatting sqref="L2:L6">
    <cfRule type="expression" dxfId="0" priority="12">
      <formula>NOT(AND(OR($D2="retain",$D2=""),$E2="protocol_report"))</formula>
    </cfRule>
  </conditionalFormatting>
  <dataValidations count="8">
    <dataValidation type="list" allowBlank="1" showErrorMessage="1" errorTitle="Use a listed option" error="Choose an option; G also checks pasted entries." sqref="D2:D6" xr:uid="{00000000-0002-0000-1100-000000000000}">
      <formula1>"retain,exclude,discuss"</formula1>
    </dataValidation>
    <dataValidation type="list" allowBlank="1" showErrorMessage="1" errorTitle="Use a listed option" error="Choose an option; G also checks pasted entries." sqref="E2:E6" xr:uid="{00000000-0002-0000-1100-000001000000}">
      <formula1>"statistical_results,report_internal_inconsistency,plan_material,protocol_report"</formula1>
    </dataValidation>
    <dataValidation type="list" allowBlank="1" showErrorMessage="1" errorTitle="Use a listed option" error="Choose an option; G also checks pasted entries." sqref="F2:F6" xr:uid="{00000000-0002-0000-1100-000002000000}">
      <formula1>"no,primary_done"</formula1>
    </dataValidation>
    <dataValidation type="list" allowBlank="1" showErrorMessage="1" errorTitle="Use a listed option" error="Choose an option; G also checks pasted entries." sqref="H2:H6" xr:uid="{00000000-0002-0000-1100-000003000000}">
      <formula1>"confirmed_issue,probable_issue,not_issue,indeterminate,not_applicable"</formula1>
    </dataValidation>
    <dataValidation type="list" allowBlank="1" showErrorMessage="1" errorTitle="Use a listed option" error="Choose an option; G also checks pasted entries." sqref="I2:I6" xr:uid="{00000000-0002-0000-1100-000004000000}">
      <formula1>"substantive,minor_presentation,indeterminate,not_applicable"</formula1>
    </dataValidation>
    <dataValidation type="list" allowBlank="1" showErrorMessage="1" errorTitle="Use a listed option" error="Choose an option; G also checks pasted entries." sqref="J2:J6" xr:uid="{00000000-0002-0000-1100-000005000000}">
      <formula1>"direct,possible,unlikely,unknown,not_applicable"</formula1>
    </dataValidation>
    <dataValidation type="list" allowBlank="1" showErrorMessage="1" errorTitle="Use a listed option" error="Choose an option; G also checks pasted entries." sqref="K2:K6" xr:uid="{00000000-0002-0000-1100-000006000000}">
      <formula1>"substantive_inconsistency,minor_presentation,non_inconsistency,indeterminate,not_applicable"</formula1>
    </dataValidation>
    <dataValidation type="list" allowBlank="1" showErrorMessage="1" errorTitle="Use a listed option" error="Choose an option; G also checks pasted entries." sqref="L2:L6" xr:uid="{00000000-0002-0000-1100-000007000000}">
      <formula1>"substantive_difference,minor_presentation,version_timing,non_inconsistency,indeterminate,not_applicable"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56"/>
  <sheetViews>
    <sheetView showGridLines="0" workbookViewId="0">
      <pane xSplit="1" ySplit="1" topLeftCell="B45" activePane="bottomRight" state="frozen"/>
      <selection pane="topRight"/>
      <selection pane="bottomLeft"/>
      <selection pane="bottomRight"/>
    </sheetView>
  </sheetViews>
  <sheetFormatPr defaultRowHeight="13.8"/>
  <cols>
    <col min="1" max="1" width="34" customWidth="1"/>
    <col min="2" max="2" width="30" customWidth="1"/>
    <col min="3" max="3" width="40" customWidth="1"/>
    <col min="4" max="4" width="96" customWidth="1"/>
    <col min="5" max="5" width="28" customWidth="1"/>
  </cols>
  <sheetData>
    <row r="1" spans="1:5" ht="42" customHeight="1">
      <c r="A1" s="5" t="s">
        <v>467</v>
      </c>
      <c r="B1" s="5" t="s">
        <v>468</v>
      </c>
      <c r="C1" s="5" t="s">
        <v>469</v>
      </c>
      <c r="D1" s="5" t="s">
        <v>470</v>
      </c>
      <c r="E1" s="5" t="s">
        <v>471</v>
      </c>
    </row>
    <row r="2" spans="1:5" ht="100.05" customHeight="1">
      <c r="A2" s="6" t="s">
        <v>472</v>
      </c>
      <c r="B2" s="6" t="s">
        <v>473</v>
      </c>
      <c r="C2" s="6" t="s">
        <v>474</v>
      </c>
      <c r="D2" s="6" t="s">
        <v>475</v>
      </c>
      <c r="E2" s="6"/>
    </row>
    <row r="3" spans="1:5" ht="100.05" customHeight="1">
      <c r="A3" s="7" t="s">
        <v>476</v>
      </c>
      <c r="B3" s="7" t="s">
        <v>473</v>
      </c>
      <c r="C3" s="7" t="s">
        <v>477</v>
      </c>
      <c r="D3" s="7" t="s">
        <v>478</v>
      </c>
      <c r="E3" s="7"/>
    </row>
    <row r="4" spans="1:5" ht="100.05" customHeight="1">
      <c r="A4" s="6" t="s">
        <v>479</v>
      </c>
      <c r="B4" s="6"/>
      <c r="C4" s="6"/>
      <c r="D4" s="6"/>
      <c r="E4" s="6"/>
    </row>
    <row r="5" spans="1:5" ht="100.05" customHeight="1">
      <c r="A5" s="7" t="s">
        <v>480</v>
      </c>
      <c r="B5" s="7"/>
      <c r="C5" s="7"/>
      <c r="D5" s="7"/>
      <c r="E5" s="7"/>
    </row>
    <row r="6" spans="1:5" ht="100.05" customHeight="1">
      <c r="A6" s="6" t="s">
        <v>53</v>
      </c>
      <c r="B6" s="6" t="s">
        <v>481</v>
      </c>
      <c r="C6" s="6" t="s">
        <v>482</v>
      </c>
      <c r="D6" s="6" t="s">
        <v>483</v>
      </c>
      <c r="E6" s="6" t="s">
        <v>484</v>
      </c>
    </row>
    <row r="7" spans="1:5" ht="100.05" customHeight="1">
      <c r="A7" s="7"/>
      <c r="B7" s="7" t="s">
        <v>485</v>
      </c>
      <c r="C7" s="7" t="s">
        <v>486</v>
      </c>
      <c r="D7" s="7" t="s">
        <v>487</v>
      </c>
      <c r="E7" s="7"/>
    </row>
    <row r="8" spans="1:5" ht="100.05" customHeight="1">
      <c r="A8" s="6"/>
      <c r="B8" s="6" t="s">
        <v>488</v>
      </c>
      <c r="C8" s="6" t="s">
        <v>486</v>
      </c>
      <c r="D8" s="6" t="s">
        <v>489</v>
      </c>
      <c r="E8" s="6"/>
    </row>
    <row r="9" spans="1:5" ht="100.05" customHeight="1">
      <c r="A9" s="7"/>
      <c r="B9" s="7" t="s">
        <v>490</v>
      </c>
      <c r="C9" s="7" t="s">
        <v>486</v>
      </c>
      <c r="D9" s="7" t="s">
        <v>491</v>
      </c>
      <c r="E9" s="7"/>
    </row>
    <row r="10" spans="1:5" ht="100.05" customHeight="1">
      <c r="A10" s="6" t="s">
        <v>492</v>
      </c>
      <c r="B10" s="6" t="s">
        <v>481</v>
      </c>
      <c r="C10" s="6" t="s">
        <v>482</v>
      </c>
      <c r="D10" s="6" t="s">
        <v>493</v>
      </c>
      <c r="E10" s="6" t="s">
        <v>494</v>
      </c>
    </row>
    <row r="11" spans="1:5" ht="100.05" customHeight="1">
      <c r="A11" s="7"/>
      <c r="B11" s="7" t="s">
        <v>66</v>
      </c>
      <c r="C11" s="7" t="s">
        <v>486</v>
      </c>
      <c r="D11" s="7" t="s">
        <v>495</v>
      </c>
      <c r="E11" s="7"/>
    </row>
    <row r="12" spans="1:5" ht="100.05" customHeight="1">
      <c r="A12" s="6"/>
      <c r="B12" s="6" t="s">
        <v>106</v>
      </c>
      <c r="C12" s="6" t="s">
        <v>486</v>
      </c>
      <c r="D12" s="6" t="s">
        <v>496</v>
      </c>
      <c r="E12" s="6"/>
    </row>
    <row r="13" spans="1:5" ht="100.05" customHeight="1">
      <c r="A13" s="7"/>
      <c r="B13" s="7" t="s">
        <v>71</v>
      </c>
      <c r="C13" s="7" t="s">
        <v>486</v>
      </c>
      <c r="D13" s="7" t="s">
        <v>497</v>
      </c>
      <c r="E13" s="7"/>
    </row>
    <row r="14" spans="1:5" ht="100.05" customHeight="1">
      <c r="A14" s="6"/>
      <c r="B14" s="6" t="s">
        <v>81</v>
      </c>
      <c r="C14" s="6" t="s">
        <v>486</v>
      </c>
      <c r="D14" s="6" t="s">
        <v>498</v>
      </c>
      <c r="E14" s="6"/>
    </row>
    <row r="15" spans="1:5" ht="100.05" customHeight="1">
      <c r="A15" s="7" t="s">
        <v>55</v>
      </c>
      <c r="B15" s="7" t="s">
        <v>481</v>
      </c>
      <c r="C15" s="7" t="s">
        <v>474</v>
      </c>
      <c r="D15" s="7" t="s">
        <v>499</v>
      </c>
      <c r="E15" s="7" t="s">
        <v>500</v>
      </c>
    </row>
    <row r="16" spans="1:5" ht="100.05" customHeight="1">
      <c r="A16" s="6"/>
      <c r="B16" s="6" t="s">
        <v>67</v>
      </c>
      <c r="C16" s="6" t="s">
        <v>486</v>
      </c>
      <c r="D16" s="6" t="s">
        <v>501</v>
      </c>
      <c r="E16" s="6"/>
    </row>
    <row r="17" spans="1:5" ht="100.05" customHeight="1">
      <c r="A17" s="7" t="s">
        <v>56</v>
      </c>
      <c r="B17" s="7" t="s">
        <v>481</v>
      </c>
      <c r="C17" s="7" t="s">
        <v>502</v>
      </c>
      <c r="D17" s="7" t="s">
        <v>503</v>
      </c>
      <c r="E17" s="7" t="s">
        <v>504</v>
      </c>
    </row>
    <row r="18" spans="1:5" ht="100.05" customHeight="1">
      <c r="A18" s="6" t="s">
        <v>62</v>
      </c>
      <c r="B18" s="6" t="s">
        <v>481</v>
      </c>
      <c r="C18" s="6" t="s">
        <v>505</v>
      </c>
      <c r="D18" s="6" t="s">
        <v>506</v>
      </c>
      <c r="E18" s="6" t="s">
        <v>507</v>
      </c>
    </row>
    <row r="19" spans="1:5" ht="100.05" customHeight="1">
      <c r="A19" s="7" t="s">
        <v>508</v>
      </c>
      <c r="B19" s="7"/>
      <c r="C19" s="7"/>
      <c r="D19" s="7"/>
      <c r="E19" s="7"/>
    </row>
    <row r="20" spans="1:5" ht="100.05" customHeight="1">
      <c r="A20" s="6" t="s">
        <v>57</v>
      </c>
      <c r="B20" s="6" t="s">
        <v>481</v>
      </c>
      <c r="C20" s="6" t="s">
        <v>509</v>
      </c>
      <c r="D20" s="6" t="s">
        <v>510</v>
      </c>
      <c r="E20" s="6" t="s">
        <v>511</v>
      </c>
    </row>
    <row r="21" spans="1:5" ht="100.05" customHeight="1">
      <c r="A21" s="7"/>
      <c r="B21" s="7" t="s">
        <v>512</v>
      </c>
      <c r="C21" s="7" t="s">
        <v>486</v>
      </c>
      <c r="D21" s="7" t="s">
        <v>513</v>
      </c>
      <c r="E21" s="7"/>
    </row>
    <row r="22" spans="1:5" ht="100.05" customHeight="1">
      <c r="A22" s="6"/>
      <c r="B22" s="6" t="s">
        <v>514</v>
      </c>
      <c r="C22" s="6" t="s">
        <v>486</v>
      </c>
      <c r="D22" s="6" t="s">
        <v>515</v>
      </c>
      <c r="E22" s="6"/>
    </row>
    <row r="23" spans="1:5" ht="100.05" customHeight="1">
      <c r="A23" s="7"/>
      <c r="B23" s="7" t="s">
        <v>516</v>
      </c>
      <c r="C23" s="7" t="s">
        <v>486</v>
      </c>
      <c r="D23" s="7" t="s">
        <v>517</v>
      </c>
      <c r="E23" s="7"/>
    </row>
    <row r="24" spans="1:5" ht="100.05" customHeight="1">
      <c r="A24" s="6"/>
      <c r="B24" s="6" t="s">
        <v>518</v>
      </c>
      <c r="C24" s="6" t="s">
        <v>486</v>
      </c>
      <c r="D24" s="6" t="s">
        <v>519</v>
      </c>
      <c r="E24" s="6"/>
    </row>
    <row r="25" spans="1:5" ht="100.05" customHeight="1">
      <c r="A25" s="7"/>
      <c r="B25" s="7" t="s">
        <v>520</v>
      </c>
      <c r="C25" s="7" t="s">
        <v>486</v>
      </c>
      <c r="D25" s="7" t="s">
        <v>521</v>
      </c>
      <c r="E25" s="7"/>
    </row>
    <row r="26" spans="1:5" ht="100.05" customHeight="1">
      <c r="A26" s="6" t="s">
        <v>58</v>
      </c>
      <c r="B26" s="6" t="s">
        <v>481</v>
      </c>
      <c r="C26" s="6" t="s">
        <v>509</v>
      </c>
      <c r="D26" s="6" t="s">
        <v>522</v>
      </c>
      <c r="E26" s="6" t="s">
        <v>523</v>
      </c>
    </row>
    <row r="27" spans="1:5" ht="100.05" customHeight="1">
      <c r="A27" s="7"/>
      <c r="B27" s="7" t="s">
        <v>524</v>
      </c>
      <c r="C27" s="7" t="s">
        <v>486</v>
      </c>
      <c r="D27" s="7" t="s">
        <v>525</v>
      </c>
      <c r="E27" s="7"/>
    </row>
    <row r="28" spans="1:5" ht="100.05" customHeight="1">
      <c r="A28" s="6"/>
      <c r="B28" s="6" t="s">
        <v>526</v>
      </c>
      <c r="C28" s="6" t="s">
        <v>486</v>
      </c>
      <c r="D28" s="6" t="s">
        <v>527</v>
      </c>
      <c r="E28" s="6"/>
    </row>
    <row r="29" spans="1:5" ht="100.05" customHeight="1">
      <c r="A29" s="7"/>
      <c r="B29" s="7" t="s">
        <v>518</v>
      </c>
      <c r="C29" s="7" t="s">
        <v>486</v>
      </c>
      <c r="D29" s="7" t="s">
        <v>528</v>
      </c>
      <c r="E29" s="7"/>
    </row>
    <row r="30" spans="1:5" ht="100.05" customHeight="1">
      <c r="A30" s="6"/>
      <c r="B30" s="6" t="s">
        <v>520</v>
      </c>
      <c r="C30" s="6" t="s">
        <v>486</v>
      </c>
      <c r="D30" s="6" t="s">
        <v>521</v>
      </c>
      <c r="E30" s="6"/>
    </row>
    <row r="31" spans="1:5" ht="100.05" customHeight="1">
      <c r="A31" s="7" t="s">
        <v>59</v>
      </c>
      <c r="B31" s="7" t="s">
        <v>481</v>
      </c>
      <c r="C31" s="7" t="s">
        <v>529</v>
      </c>
      <c r="D31" s="7" t="s">
        <v>530</v>
      </c>
      <c r="E31" s="7" t="s">
        <v>531</v>
      </c>
    </row>
    <row r="32" spans="1:5" ht="100.05" customHeight="1">
      <c r="A32" s="6"/>
      <c r="B32" s="6" t="s">
        <v>532</v>
      </c>
      <c r="C32" s="6" t="s">
        <v>486</v>
      </c>
      <c r="D32" s="6" t="s">
        <v>533</v>
      </c>
      <c r="E32" s="6"/>
    </row>
    <row r="33" spans="1:5" ht="100.05" customHeight="1">
      <c r="A33" s="7"/>
      <c r="B33" s="7" t="s">
        <v>534</v>
      </c>
      <c r="C33" s="7" t="s">
        <v>486</v>
      </c>
      <c r="D33" s="7" t="s">
        <v>535</v>
      </c>
      <c r="E33" s="7"/>
    </row>
    <row r="34" spans="1:5" ht="100.05" customHeight="1">
      <c r="A34" s="6"/>
      <c r="B34" s="6" t="s">
        <v>536</v>
      </c>
      <c r="C34" s="6" t="s">
        <v>486</v>
      </c>
      <c r="D34" s="6" t="s">
        <v>537</v>
      </c>
      <c r="E34" s="6"/>
    </row>
    <row r="35" spans="1:5" ht="100.05" customHeight="1">
      <c r="A35" s="7"/>
      <c r="B35" s="7" t="s">
        <v>538</v>
      </c>
      <c r="C35" s="7" t="s">
        <v>486</v>
      </c>
      <c r="D35" s="7" t="s">
        <v>539</v>
      </c>
      <c r="E35" s="7"/>
    </row>
    <row r="36" spans="1:5" ht="100.05" customHeight="1">
      <c r="A36" s="6"/>
      <c r="B36" s="6" t="s">
        <v>520</v>
      </c>
      <c r="C36" s="6" t="s">
        <v>486</v>
      </c>
      <c r="D36" s="6" t="s">
        <v>521</v>
      </c>
      <c r="E36" s="6"/>
    </row>
    <row r="37" spans="1:5" ht="100.05" customHeight="1">
      <c r="A37" s="7" t="s">
        <v>540</v>
      </c>
      <c r="B37" s="7"/>
      <c r="C37" s="7"/>
      <c r="D37" s="7"/>
      <c r="E37" s="7"/>
    </row>
    <row r="38" spans="1:5" ht="100.05" customHeight="1">
      <c r="A38" s="6" t="s">
        <v>60</v>
      </c>
      <c r="B38" s="6" t="s">
        <v>481</v>
      </c>
      <c r="C38" s="6" t="s">
        <v>541</v>
      </c>
      <c r="D38" s="6" t="s">
        <v>542</v>
      </c>
      <c r="E38" s="6" t="s">
        <v>543</v>
      </c>
    </row>
    <row r="39" spans="1:5" ht="100.05" customHeight="1">
      <c r="A39" s="7"/>
      <c r="B39" s="7" t="s">
        <v>544</v>
      </c>
      <c r="C39" s="7" t="s">
        <v>486</v>
      </c>
      <c r="D39" s="7" t="s">
        <v>545</v>
      </c>
      <c r="E39" s="7"/>
    </row>
    <row r="40" spans="1:5" ht="100.05" customHeight="1">
      <c r="A40" s="6"/>
      <c r="B40" s="6" t="s">
        <v>526</v>
      </c>
      <c r="C40" s="6" t="s">
        <v>486</v>
      </c>
      <c r="D40" s="6" t="s">
        <v>546</v>
      </c>
      <c r="E40" s="6"/>
    </row>
    <row r="41" spans="1:5" ht="100.05" customHeight="1">
      <c r="A41" s="7"/>
      <c r="B41" s="7" t="s">
        <v>547</v>
      </c>
      <c r="C41" s="7" t="s">
        <v>486</v>
      </c>
      <c r="D41" s="7" t="s">
        <v>548</v>
      </c>
      <c r="E41" s="7"/>
    </row>
    <row r="42" spans="1:5" ht="100.05" customHeight="1">
      <c r="A42" s="6"/>
      <c r="B42" s="6" t="s">
        <v>518</v>
      </c>
      <c r="C42" s="6" t="s">
        <v>486</v>
      </c>
      <c r="D42" s="6" t="s">
        <v>549</v>
      </c>
      <c r="E42" s="6"/>
    </row>
    <row r="43" spans="1:5" ht="100.05" customHeight="1">
      <c r="A43" s="7"/>
      <c r="B43" s="7" t="s">
        <v>520</v>
      </c>
      <c r="C43" s="7" t="s">
        <v>486</v>
      </c>
      <c r="D43" s="7" t="s">
        <v>521</v>
      </c>
      <c r="E43" s="7"/>
    </row>
    <row r="44" spans="1:5" ht="100.05" customHeight="1">
      <c r="A44" s="6" t="s">
        <v>550</v>
      </c>
      <c r="B44" s="6"/>
      <c r="C44" s="6"/>
      <c r="D44" s="6"/>
      <c r="E44" s="6"/>
    </row>
    <row r="45" spans="1:5" ht="100.05" customHeight="1">
      <c r="A45" s="7" t="s">
        <v>61</v>
      </c>
      <c r="B45" s="7" t="s">
        <v>481</v>
      </c>
      <c r="C45" s="7" t="s">
        <v>551</v>
      </c>
      <c r="D45" s="7" t="s">
        <v>552</v>
      </c>
      <c r="E45" s="7" t="s">
        <v>553</v>
      </c>
    </row>
    <row r="46" spans="1:5" ht="100.05" customHeight="1">
      <c r="A46" s="6"/>
      <c r="B46" s="6" t="s">
        <v>554</v>
      </c>
      <c r="C46" s="6" t="s">
        <v>486</v>
      </c>
      <c r="D46" s="6" t="s">
        <v>555</v>
      </c>
      <c r="E46" s="6"/>
    </row>
    <row r="47" spans="1:5" ht="100.05" customHeight="1">
      <c r="A47" s="7"/>
      <c r="B47" s="7" t="s">
        <v>526</v>
      </c>
      <c r="C47" s="7" t="s">
        <v>486</v>
      </c>
      <c r="D47" s="7" t="s">
        <v>556</v>
      </c>
      <c r="E47" s="7"/>
    </row>
    <row r="48" spans="1:5" ht="100.05" customHeight="1">
      <c r="A48" s="6"/>
      <c r="B48" s="6" t="s">
        <v>557</v>
      </c>
      <c r="C48" s="6" t="s">
        <v>486</v>
      </c>
      <c r="D48" s="6" t="s">
        <v>558</v>
      </c>
      <c r="E48" s="6"/>
    </row>
    <row r="49" spans="1:5" ht="100.05" customHeight="1">
      <c r="A49" s="7"/>
      <c r="B49" s="7" t="s">
        <v>547</v>
      </c>
      <c r="C49" s="7" t="s">
        <v>486</v>
      </c>
      <c r="D49" s="7" t="s">
        <v>559</v>
      </c>
      <c r="E49" s="7"/>
    </row>
    <row r="50" spans="1:5" ht="100.05" customHeight="1">
      <c r="A50" s="6"/>
      <c r="B50" s="6" t="s">
        <v>518</v>
      </c>
      <c r="C50" s="6" t="s">
        <v>486</v>
      </c>
      <c r="D50" s="6" t="s">
        <v>560</v>
      </c>
      <c r="E50" s="6"/>
    </row>
    <row r="51" spans="1:5" ht="100.05" customHeight="1">
      <c r="A51" s="7"/>
      <c r="B51" s="7" t="s">
        <v>520</v>
      </c>
      <c r="C51" s="7" t="s">
        <v>486</v>
      </c>
      <c r="D51" s="7" t="s">
        <v>521</v>
      </c>
      <c r="E51" s="7"/>
    </row>
    <row r="52" spans="1:5" ht="100.05" customHeight="1">
      <c r="A52" s="6" t="s">
        <v>561</v>
      </c>
      <c r="B52" s="6"/>
      <c r="C52" s="6"/>
      <c r="D52" s="6"/>
      <c r="E52" s="6"/>
    </row>
    <row r="53" spans="1:5" ht="100.05" customHeight="1">
      <c r="A53" s="7" t="s">
        <v>50</v>
      </c>
      <c r="B53" s="7" t="s">
        <v>481</v>
      </c>
      <c r="C53" s="7" t="s">
        <v>562</v>
      </c>
      <c r="D53" s="7" t="s">
        <v>563</v>
      </c>
      <c r="E53" s="7" t="s">
        <v>564</v>
      </c>
    </row>
    <row r="54" spans="1:5" ht="100.05" customHeight="1">
      <c r="A54" s="6" t="s">
        <v>51</v>
      </c>
      <c r="B54" s="6" t="s">
        <v>481</v>
      </c>
      <c r="C54" s="6" t="s">
        <v>562</v>
      </c>
      <c r="D54" s="6" t="s">
        <v>565</v>
      </c>
      <c r="E54" s="6" t="s">
        <v>566</v>
      </c>
    </row>
    <row r="55" spans="1:5" ht="100.05" customHeight="1">
      <c r="A55" s="7" t="s">
        <v>52</v>
      </c>
      <c r="B55" s="7" t="s">
        <v>481</v>
      </c>
      <c r="C55" s="7" t="s">
        <v>567</v>
      </c>
      <c r="D55" s="7" t="s">
        <v>568</v>
      </c>
      <c r="E55" s="7" t="s">
        <v>569</v>
      </c>
    </row>
    <row r="56" spans="1:5" ht="100.05" customHeight="1">
      <c r="A56" s="6" t="s">
        <v>55</v>
      </c>
      <c r="B56" s="6" t="s">
        <v>570</v>
      </c>
      <c r="C56" s="6" t="s">
        <v>474</v>
      </c>
      <c r="D56" s="6" t="s">
        <v>499</v>
      </c>
      <c r="E56" s="6" t="s">
        <v>500</v>
      </c>
    </row>
  </sheetData>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Setup</vt:lpstr>
      <vt:lpstr>Checks</vt:lpstr>
      <vt:lpstr>Papers</vt:lpstr>
      <vt:lpstr>C_jama.2024.24764</vt:lpstr>
      <vt:lpstr>C_jama.2024.27643</vt:lpstr>
      <vt:lpstr>C_jama.2025.11178</vt:lpstr>
      <vt:lpstr>C_jama.2025.15185</vt:lpstr>
      <vt:lpstr>C_jama.2025.15440</vt:lpstr>
      <vt:lpstr>C_jama.2025.16450</vt:lpstr>
      <vt:lpstr>C_jama.2025.19563</vt:lpstr>
      <vt:lpstr>C_jama.2025.19843</vt:lpstr>
      <vt:lpstr>C_jama.2025.20765</vt:lpstr>
      <vt:lpstr>C_jama.2025.24175</vt:lpstr>
      <vt:lpstr>C_jama.2025.4390</vt:lpstr>
      <vt:lpstr>C_jama.2025.7583</vt:lpstr>
      <vt:lpstr>C_jama.2025.7710</vt:lpstr>
      <vt:lpstr>C_jama.2025.9110</vt:lpstr>
      <vt:lpstr>C_jama.2025.9663</vt:lpstr>
      <vt:lpstr>Codebook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Te, Bulun - (bulunte)</cp:lastModifiedBy>
  <dcterms:created xsi:type="dcterms:W3CDTF">2026-09-19T05:14:09Z</dcterms:created>
  <dcterms:modified xsi:type="dcterms:W3CDTF">2026-10-21T00:15:08Z</dcterms:modified>
</cp:coreProperties>
</file>