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wsl.localhost\Debian\home\bulun-debian\ai-paper-val\human_adjudication\human_adjudication_v_2_4_1\2025\"/>
    </mc:Choice>
  </mc:AlternateContent>
  <xr:revisionPtr revIDLastSave="0" documentId="13_ncr:1_{285DAA0F-5730-4B8B-9779-1FFEF4FFB832}" xr6:coauthVersionLast="47" xr6:coauthVersionMax="47" xr10:uidLastSave="{00000000-0000-0000-0000-000000000000}"/>
  <bookViews>
    <workbookView xWindow="-108" yWindow="-108" windowWidth="23256" windowHeight="12456" tabRatio="967" firstSheet="5" activeTab="9" xr2:uid="{00000000-000D-0000-FFFF-FFFF00000000}"/>
  </bookViews>
  <sheets>
    <sheet name="Setup" sheetId="1" r:id="rId1"/>
    <sheet name="Checks" sheetId="2" r:id="rId2"/>
    <sheet name="Papers" sheetId="3" r:id="rId3"/>
    <sheet name="C_jama.2024.24764" sheetId="4" r:id="rId4"/>
    <sheet name="C_jama.2024.27643" sheetId="5" r:id="rId5"/>
    <sheet name="C_jama.2025.11178" sheetId="6" r:id="rId6"/>
    <sheet name="C_jama.2025.15185" sheetId="7" r:id="rId7"/>
    <sheet name="C_jama.2025.15440" sheetId="8" r:id="rId8"/>
    <sheet name="C_jama.2025.16450" sheetId="9" r:id="rId9"/>
    <sheet name="C_jama.2025.19563" sheetId="10" r:id="rId10"/>
    <sheet name="C_jama.2025.19843" sheetId="11" r:id="rId11"/>
    <sheet name="C_jama.2025.20765" sheetId="12" r:id="rId12"/>
    <sheet name="C_jama.2025.24175" sheetId="13" r:id="rId13"/>
    <sheet name="C_jama.2025.4390" sheetId="14" r:id="rId14"/>
    <sheet name="C_jama.2025.7583" sheetId="15" r:id="rId15"/>
    <sheet name="C_jama.2025.7710" sheetId="16" r:id="rId16"/>
    <sheet name="C_jama.2025.9110" sheetId="17" r:id="rId17"/>
    <sheet name="C_jama.2025.9663" sheetId="18" r:id="rId18"/>
    <sheet name="Codebook" sheetId="19" r:id="rId19"/>
  </sheets>
  <definedNames>
    <definedName name="_xlnm._FilterDatabase" localSheetId="3" hidden="1">'C_jama.2024.24764'!$A$1:$R$6</definedName>
    <definedName name="_xlnm._FilterDatabase" localSheetId="4" hidden="1">'C_jama.2024.27643'!$A$1:$R$17</definedName>
    <definedName name="_xlnm._FilterDatabase" localSheetId="5" hidden="1">'C_jama.2025.11178'!$A$1:$R$19</definedName>
    <definedName name="_xlnm._FilterDatabase" localSheetId="6" hidden="1">'C_jama.2025.15185'!$A$1:$R$7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5" l="1"/>
  <c r="L6" i="18"/>
  <c r="K6" i="18"/>
  <c r="J6" i="18"/>
  <c r="I6" i="18"/>
  <c r="H6" i="18"/>
  <c r="L5" i="18"/>
  <c r="K5" i="18"/>
  <c r="J5" i="18"/>
  <c r="I5" i="18"/>
  <c r="H5" i="18"/>
  <c r="L4" i="18"/>
  <c r="K4" i="18"/>
  <c r="J4" i="18"/>
  <c r="I4" i="18"/>
  <c r="H4" i="18"/>
  <c r="L3" i="18"/>
  <c r="K3" i="18"/>
  <c r="J3" i="18"/>
  <c r="I3" i="18"/>
  <c r="H3" i="18"/>
  <c r="L2" i="18"/>
  <c r="K2" i="18"/>
  <c r="J2" i="18"/>
  <c r="I2" i="18"/>
  <c r="H2" i="18"/>
  <c r="L4" i="17"/>
  <c r="K4" i="17"/>
  <c r="J4" i="17"/>
  <c r="I4" i="17"/>
  <c r="H4" i="17"/>
  <c r="L3" i="17"/>
  <c r="K3" i="17"/>
  <c r="J3" i="17"/>
  <c r="I3" i="17"/>
  <c r="H3" i="17"/>
  <c r="L2" i="17"/>
  <c r="K2" i="17"/>
  <c r="J2" i="17"/>
  <c r="I2" i="17"/>
  <c r="H2" i="17"/>
  <c r="L4" i="16"/>
  <c r="K4" i="16"/>
  <c r="J4" i="16"/>
  <c r="I4" i="16"/>
  <c r="H4" i="16"/>
  <c r="L3" i="16"/>
  <c r="K3" i="16"/>
  <c r="J3" i="16"/>
  <c r="I3" i="16"/>
  <c r="H3" i="16"/>
  <c r="L2" i="16"/>
  <c r="K2" i="16"/>
  <c r="J2" i="16"/>
  <c r="I2" i="16"/>
  <c r="H2" i="16"/>
  <c r="L5" i="15"/>
  <c r="K5" i="15"/>
  <c r="J5" i="15"/>
  <c r="I5" i="15"/>
  <c r="H5" i="15"/>
  <c r="L4" i="15"/>
  <c r="K4" i="15"/>
  <c r="J4" i="15"/>
  <c r="I4" i="15"/>
  <c r="H4" i="15"/>
  <c r="L3" i="15"/>
  <c r="K3" i="15"/>
  <c r="J3" i="15"/>
  <c r="I3" i="15"/>
  <c r="H3" i="15"/>
  <c r="L2" i="15"/>
  <c r="K2" i="15"/>
  <c r="J2" i="15"/>
  <c r="I2" i="15"/>
  <c r="H2" i="15"/>
  <c r="L14" i="14"/>
  <c r="K14" i="14"/>
  <c r="J14" i="14"/>
  <c r="I14" i="14"/>
  <c r="H14" i="14"/>
  <c r="L13" i="14"/>
  <c r="K13" i="14"/>
  <c r="J13" i="14"/>
  <c r="I13" i="14"/>
  <c r="H13" i="14"/>
  <c r="L12" i="14"/>
  <c r="K12" i="14"/>
  <c r="J12" i="14"/>
  <c r="I12" i="14"/>
  <c r="H12" i="14"/>
  <c r="L11" i="14"/>
  <c r="K11" i="14"/>
  <c r="J11" i="14"/>
  <c r="I11" i="14"/>
  <c r="H11" i="14"/>
  <c r="L10" i="14"/>
  <c r="K10" i="14"/>
  <c r="J10" i="14"/>
  <c r="I10" i="14"/>
  <c r="H10" i="14"/>
  <c r="L9" i="14"/>
  <c r="K9" i="14"/>
  <c r="J9" i="14"/>
  <c r="I9" i="14"/>
  <c r="H9" i="14"/>
  <c r="L8" i="14"/>
  <c r="K8" i="14"/>
  <c r="J8" i="14"/>
  <c r="I8" i="14"/>
  <c r="H8" i="14"/>
  <c r="L7" i="14"/>
  <c r="K7" i="14"/>
  <c r="J7" i="14"/>
  <c r="I7" i="14"/>
  <c r="H7" i="14"/>
  <c r="L6" i="14"/>
  <c r="K6" i="14"/>
  <c r="J6" i="14"/>
  <c r="I6" i="14"/>
  <c r="H6" i="14"/>
  <c r="L5" i="14"/>
  <c r="K5" i="14"/>
  <c r="J5" i="14"/>
  <c r="I5" i="14"/>
  <c r="H5" i="14"/>
  <c r="L4" i="14"/>
  <c r="K4" i="14"/>
  <c r="J4" i="14"/>
  <c r="I4" i="14"/>
  <c r="H4" i="14"/>
  <c r="L3" i="14"/>
  <c r="K3" i="14"/>
  <c r="J3" i="14"/>
  <c r="I3" i="14"/>
  <c r="H3" i="14"/>
  <c r="L2" i="14"/>
  <c r="K2" i="14"/>
  <c r="J2" i="14"/>
  <c r="I2" i="14"/>
  <c r="H2" i="14"/>
  <c r="L15" i="13"/>
  <c r="K15" i="13"/>
  <c r="J15" i="13"/>
  <c r="I15" i="13"/>
  <c r="H15" i="13"/>
  <c r="L14" i="13"/>
  <c r="K14" i="13"/>
  <c r="J14" i="13"/>
  <c r="I14" i="13"/>
  <c r="H14" i="13"/>
  <c r="L13" i="13"/>
  <c r="K13" i="13"/>
  <c r="J13" i="13"/>
  <c r="I13" i="13"/>
  <c r="H13" i="13"/>
  <c r="L12" i="13"/>
  <c r="K12" i="13"/>
  <c r="J12" i="13"/>
  <c r="I12" i="13"/>
  <c r="H12" i="13"/>
  <c r="L11" i="13"/>
  <c r="K11" i="13"/>
  <c r="J11" i="13"/>
  <c r="I11" i="13"/>
  <c r="H11" i="13"/>
  <c r="L10" i="13"/>
  <c r="K10" i="13"/>
  <c r="J10" i="13"/>
  <c r="I10" i="13"/>
  <c r="H10" i="13"/>
  <c r="L9" i="13"/>
  <c r="K9" i="13"/>
  <c r="J9" i="13"/>
  <c r="I9" i="13"/>
  <c r="H9" i="13"/>
  <c r="L8" i="13"/>
  <c r="K8" i="13"/>
  <c r="J8" i="13"/>
  <c r="I8" i="13"/>
  <c r="H8" i="13"/>
  <c r="L7" i="13"/>
  <c r="K7" i="13"/>
  <c r="J7" i="13"/>
  <c r="I7" i="13"/>
  <c r="H7" i="13"/>
  <c r="L6" i="13"/>
  <c r="K6" i="13"/>
  <c r="J6" i="13"/>
  <c r="I6" i="13"/>
  <c r="H6" i="13"/>
  <c r="L5" i="13"/>
  <c r="K5" i="13"/>
  <c r="J5" i="13"/>
  <c r="I5" i="13"/>
  <c r="H5" i="13"/>
  <c r="L4" i="13"/>
  <c r="K4" i="13"/>
  <c r="J4" i="13"/>
  <c r="I4" i="13"/>
  <c r="H4" i="13"/>
  <c r="L3" i="13"/>
  <c r="K3" i="13"/>
  <c r="J3" i="13"/>
  <c r="I3" i="13"/>
  <c r="H3" i="13"/>
  <c r="L2" i="13"/>
  <c r="K2" i="13"/>
  <c r="J2" i="13"/>
  <c r="I2" i="13"/>
  <c r="H2" i="13"/>
  <c r="L20" i="12"/>
  <c r="K20" i="12"/>
  <c r="J20" i="12"/>
  <c r="I20" i="12"/>
  <c r="H20" i="12"/>
  <c r="L19" i="12"/>
  <c r="K19" i="12"/>
  <c r="J19" i="12"/>
  <c r="I19" i="12"/>
  <c r="H19" i="12"/>
  <c r="L18" i="12"/>
  <c r="K18" i="12"/>
  <c r="J18" i="12"/>
  <c r="I18" i="12"/>
  <c r="H18" i="12"/>
  <c r="L17" i="12"/>
  <c r="K17" i="12"/>
  <c r="J17" i="12"/>
  <c r="I17" i="12"/>
  <c r="H17" i="12"/>
  <c r="L16" i="12"/>
  <c r="K16" i="12"/>
  <c r="J16" i="12"/>
  <c r="I16" i="12"/>
  <c r="H16" i="12"/>
  <c r="L15" i="12"/>
  <c r="K15" i="12"/>
  <c r="J15" i="12"/>
  <c r="I15" i="12"/>
  <c r="H15" i="12"/>
  <c r="L14" i="12"/>
  <c r="K14" i="12"/>
  <c r="J14" i="12"/>
  <c r="I14" i="12"/>
  <c r="H14" i="12"/>
  <c r="L13" i="12"/>
  <c r="K13" i="12"/>
  <c r="J13" i="12"/>
  <c r="I13" i="12"/>
  <c r="H13" i="12"/>
  <c r="L12" i="12"/>
  <c r="K12" i="12"/>
  <c r="J12" i="12"/>
  <c r="I12" i="12"/>
  <c r="H12" i="12"/>
  <c r="L11" i="12"/>
  <c r="K11" i="12"/>
  <c r="J11" i="12"/>
  <c r="I11" i="12"/>
  <c r="H11" i="12"/>
  <c r="L10" i="12"/>
  <c r="K10" i="12"/>
  <c r="J10" i="12"/>
  <c r="I10" i="12"/>
  <c r="H10" i="12"/>
  <c r="L9" i="12"/>
  <c r="K9" i="12"/>
  <c r="J9" i="12"/>
  <c r="I9" i="12"/>
  <c r="H9" i="12"/>
  <c r="L8" i="12"/>
  <c r="K8" i="12"/>
  <c r="J8" i="12"/>
  <c r="I8" i="12"/>
  <c r="H8" i="12"/>
  <c r="L7" i="12"/>
  <c r="K7" i="12"/>
  <c r="J7" i="12"/>
  <c r="I7" i="12"/>
  <c r="H7" i="12"/>
  <c r="L6" i="12"/>
  <c r="K6" i="12"/>
  <c r="J6" i="12"/>
  <c r="I6" i="12"/>
  <c r="H6" i="12"/>
  <c r="L5" i="12"/>
  <c r="K5" i="12"/>
  <c r="J5" i="12"/>
  <c r="I5" i="12"/>
  <c r="H5" i="12"/>
  <c r="L4" i="12"/>
  <c r="K4" i="12"/>
  <c r="J4" i="12"/>
  <c r="I4" i="12"/>
  <c r="H4" i="12"/>
  <c r="L3" i="12"/>
  <c r="K3" i="12"/>
  <c r="J3" i="12"/>
  <c r="I3" i="12"/>
  <c r="H3" i="12"/>
  <c r="L2" i="12"/>
  <c r="K2" i="12"/>
  <c r="J2" i="12"/>
  <c r="I2" i="12"/>
  <c r="H2" i="12"/>
  <c r="L8" i="11"/>
  <c r="K8" i="11"/>
  <c r="J8" i="11"/>
  <c r="I8" i="11"/>
  <c r="H8" i="11"/>
  <c r="L7" i="11"/>
  <c r="K7" i="11"/>
  <c r="J7" i="11"/>
  <c r="I7" i="11"/>
  <c r="H7" i="11"/>
  <c r="L6" i="11"/>
  <c r="K6" i="11"/>
  <c r="J6" i="11"/>
  <c r="I6" i="11"/>
  <c r="H6" i="11"/>
  <c r="L5" i="11"/>
  <c r="K5" i="11"/>
  <c r="J5" i="11"/>
  <c r="I5" i="11"/>
  <c r="H5" i="11"/>
  <c r="L4" i="11"/>
  <c r="K4" i="11"/>
  <c r="J4" i="11"/>
  <c r="I4" i="11"/>
  <c r="H4" i="11"/>
  <c r="L3" i="11"/>
  <c r="K3" i="11"/>
  <c r="J3" i="11"/>
  <c r="I3" i="11"/>
  <c r="H3" i="11"/>
  <c r="L2" i="11"/>
  <c r="K2" i="11"/>
  <c r="J2" i="11"/>
  <c r="I2" i="11"/>
  <c r="H2" i="11"/>
  <c r="L14" i="10"/>
  <c r="K14" i="10"/>
  <c r="J14" i="10"/>
  <c r="I14" i="10"/>
  <c r="H14" i="10"/>
  <c r="L13" i="10"/>
  <c r="K13" i="10"/>
  <c r="J13" i="10"/>
  <c r="I13" i="10"/>
  <c r="H13" i="10"/>
  <c r="L12" i="10"/>
  <c r="K12" i="10"/>
  <c r="J12" i="10"/>
  <c r="I12" i="10"/>
  <c r="H12" i="10"/>
  <c r="L11" i="10"/>
  <c r="K11" i="10"/>
  <c r="J11" i="10"/>
  <c r="I11" i="10"/>
  <c r="H11" i="10"/>
  <c r="L10" i="10"/>
  <c r="K10" i="10"/>
  <c r="J10" i="10"/>
  <c r="I10" i="10"/>
  <c r="H10" i="10"/>
  <c r="L9" i="10"/>
  <c r="K9" i="10"/>
  <c r="J9" i="10"/>
  <c r="I9" i="10"/>
  <c r="H9" i="10"/>
  <c r="L8" i="10"/>
  <c r="K8" i="10"/>
  <c r="J8" i="10"/>
  <c r="I8" i="10"/>
  <c r="H8" i="10"/>
  <c r="L7" i="10"/>
  <c r="K7" i="10"/>
  <c r="J7" i="10"/>
  <c r="I7" i="10"/>
  <c r="H7" i="10"/>
  <c r="L6" i="10"/>
  <c r="K6" i="10"/>
  <c r="J6" i="10"/>
  <c r="I6" i="10"/>
  <c r="H6" i="10"/>
  <c r="L5" i="10"/>
  <c r="K5" i="10"/>
  <c r="J5" i="10"/>
  <c r="I5" i="10"/>
  <c r="H5" i="10"/>
  <c r="L4" i="10"/>
  <c r="K4" i="10"/>
  <c r="J4" i="10"/>
  <c r="I4" i="10"/>
  <c r="H4" i="10"/>
  <c r="L3" i="10"/>
  <c r="K3" i="10"/>
  <c r="J3" i="10"/>
  <c r="I3" i="10"/>
  <c r="H3" i="10"/>
  <c r="L2" i="10"/>
  <c r="K2" i="10"/>
  <c r="J2" i="10"/>
  <c r="I2" i="10"/>
  <c r="H2" i="10"/>
  <c r="L7" i="9"/>
  <c r="K7" i="9"/>
  <c r="L6" i="9"/>
  <c r="J6" i="9"/>
  <c r="I6" i="9"/>
  <c r="H6" i="9"/>
  <c r="L5" i="9"/>
  <c r="J5" i="9"/>
  <c r="I5" i="9"/>
  <c r="H5" i="9"/>
  <c r="K4" i="9"/>
  <c r="J4" i="9"/>
  <c r="I4" i="9"/>
  <c r="H4" i="9"/>
  <c r="K3" i="9"/>
  <c r="J3" i="9"/>
  <c r="I3" i="9"/>
  <c r="H3" i="9"/>
  <c r="K2" i="9"/>
  <c r="J2" i="9"/>
  <c r="I2" i="9"/>
  <c r="H2" i="9"/>
  <c r="L2" i="8"/>
  <c r="J2" i="8"/>
  <c r="I2" i="8"/>
  <c r="H2" i="8"/>
  <c r="L7" i="7"/>
  <c r="K7" i="7"/>
  <c r="K6" i="7"/>
  <c r="J6" i="7"/>
  <c r="I6" i="7"/>
  <c r="H6" i="7"/>
  <c r="K5" i="7"/>
  <c r="J5" i="7"/>
  <c r="I5" i="7"/>
  <c r="H5" i="7"/>
  <c r="K4" i="7"/>
  <c r="J4" i="7"/>
  <c r="I4" i="7"/>
  <c r="H4" i="7"/>
  <c r="K3" i="7"/>
  <c r="J3" i="7"/>
  <c r="I3" i="7"/>
  <c r="H3" i="7"/>
  <c r="L2" i="7"/>
  <c r="K2" i="7"/>
  <c r="L19" i="6"/>
  <c r="K19" i="6"/>
  <c r="L18" i="6"/>
  <c r="K18" i="6"/>
  <c r="L17" i="6"/>
  <c r="K17" i="6"/>
  <c r="L16" i="6"/>
  <c r="K16" i="6"/>
  <c r="L15" i="6"/>
  <c r="K15" i="6"/>
  <c r="L14" i="6"/>
  <c r="K14" i="6"/>
  <c r="L13" i="6"/>
  <c r="K13" i="6"/>
  <c r="L12" i="6"/>
  <c r="K12" i="6"/>
  <c r="L11" i="6"/>
  <c r="K11" i="6"/>
  <c r="L10" i="6"/>
  <c r="K10" i="6"/>
  <c r="L9" i="6"/>
  <c r="K9" i="6"/>
  <c r="K8" i="6"/>
  <c r="J8" i="6"/>
  <c r="I8" i="6"/>
  <c r="H8" i="6"/>
  <c r="K7" i="6"/>
  <c r="J7" i="6"/>
  <c r="I7" i="6"/>
  <c r="H7" i="6"/>
  <c r="K6" i="6"/>
  <c r="J6" i="6"/>
  <c r="I6" i="6"/>
  <c r="H6" i="6"/>
  <c r="L5" i="6"/>
  <c r="K5" i="6"/>
  <c r="L4" i="6"/>
  <c r="K4" i="6"/>
  <c r="L3" i="6"/>
  <c r="K3" i="6"/>
  <c r="K2" i="6"/>
  <c r="J2" i="6"/>
  <c r="I2" i="6"/>
  <c r="H2" i="6"/>
  <c r="K17" i="5"/>
  <c r="J17" i="5"/>
  <c r="I17" i="5"/>
  <c r="H17" i="5"/>
  <c r="L16" i="5"/>
  <c r="K16" i="5"/>
  <c r="J16" i="5"/>
  <c r="I16" i="5"/>
  <c r="H16" i="5"/>
  <c r="J15" i="5"/>
  <c r="I15" i="5"/>
  <c r="H15" i="5"/>
  <c r="L14" i="5"/>
  <c r="K14" i="5"/>
  <c r="L13" i="5"/>
  <c r="K13" i="5"/>
  <c r="L12" i="5"/>
  <c r="J12" i="5"/>
  <c r="I12" i="5"/>
  <c r="H12" i="5"/>
  <c r="K11" i="5"/>
  <c r="J11" i="5"/>
  <c r="I11" i="5"/>
  <c r="H11" i="5"/>
  <c r="L10" i="5"/>
  <c r="K10" i="5"/>
  <c r="L9" i="5"/>
  <c r="J9" i="5"/>
  <c r="I9" i="5"/>
  <c r="H9" i="5"/>
  <c r="L8" i="5"/>
  <c r="K8" i="5"/>
  <c r="L7" i="5"/>
  <c r="K7" i="5"/>
  <c r="K6" i="5"/>
  <c r="J6" i="5"/>
  <c r="I6" i="5"/>
  <c r="H6" i="5"/>
  <c r="K5" i="5"/>
  <c r="J5" i="5"/>
  <c r="I5" i="5"/>
  <c r="H5" i="5"/>
  <c r="K4" i="5"/>
  <c r="J4" i="5"/>
  <c r="I4" i="5"/>
  <c r="H4" i="5"/>
  <c r="K3" i="5"/>
  <c r="J3" i="5"/>
  <c r="I3" i="5"/>
  <c r="H3" i="5"/>
  <c r="L2" i="5"/>
  <c r="K2" i="5"/>
  <c r="J2" i="5"/>
  <c r="I2" i="5"/>
  <c r="H2" i="5"/>
  <c r="J6" i="4"/>
  <c r="I6" i="4"/>
  <c r="H6" i="4"/>
  <c r="K5" i="4"/>
  <c r="J5" i="4"/>
  <c r="I5" i="4"/>
  <c r="H5" i="4"/>
  <c r="K4" i="4"/>
  <c r="J4" i="4"/>
  <c r="I4" i="4"/>
  <c r="H4" i="4"/>
  <c r="K3" i="4"/>
  <c r="J3" i="4"/>
  <c r="I3" i="4"/>
  <c r="H3" i="4"/>
  <c r="L2" i="4"/>
  <c r="K2" i="4"/>
  <c r="B5" i="2"/>
  <c r="B2" i="2"/>
  <c r="G10" i="14" l="1"/>
  <c r="G11" i="12"/>
  <c r="G5" i="14"/>
  <c r="G6" i="13"/>
  <c r="G15" i="13"/>
  <c r="G13" i="5"/>
  <c r="G13" i="13"/>
  <c r="G2" i="12"/>
  <c r="G10" i="13"/>
  <c r="G4" i="13"/>
  <c r="G2" i="11"/>
  <c r="G19" i="12"/>
  <c r="G14" i="10"/>
  <c r="G3" i="11"/>
  <c r="G11" i="6"/>
  <c r="G12" i="14"/>
  <c r="G6" i="11"/>
  <c r="G8" i="11"/>
  <c r="G4" i="12"/>
  <c r="G2" i="17"/>
  <c r="G12" i="13"/>
  <c r="G9" i="13"/>
  <c r="G20" i="12"/>
  <c r="G7" i="12"/>
  <c r="G4" i="11"/>
  <c r="G5" i="13"/>
  <c r="G2" i="7"/>
  <c r="G15" i="6"/>
  <c r="G2" i="4"/>
  <c r="G3" i="18"/>
  <c r="G16" i="5"/>
  <c r="G3" i="9"/>
  <c r="G6" i="12"/>
  <c r="G5" i="4"/>
  <c r="G17" i="12"/>
  <c r="G3" i="16"/>
  <c r="G9" i="10"/>
  <c r="G16" i="6"/>
  <c r="G4" i="17"/>
  <c r="G3" i="10"/>
  <c r="G3" i="14"/>
  <c r="G2" i="14"/>
  <c r="G5" i="11"/>
  <c r="G6" i="4"/>
  <c r="G2" i="15"/>
  <c r="G3" i="15"/>
  <c r="G14" i="12"/>
  <c r="G4" i="18"/>
  <c r="G5" i="12"/>
  <c r="G6" i="10"/>
  <c r="G15" i="5"/>
  <c r="G7" i="10"/>
  <c r="G15" i="12"/>
  <c r="G3" i="12"/>
  <c r="G12" i="6"/>
  <c r="G4" i="4"/>
  <c r="G14" i="13"/>
  <c r="G3" i="13"/>
  <c r="G6" i="9"/>
  <c r="G18" i="12"/>
  <c r="G13" i="6"/>
  <c r="G5" i="9"/>
  <c r="G17" i="6"/>
  <c r="G5" i="5"/>
  <c r="G13" i="12"/>
  <c r="G6" i="14"/>
  <c r="G2" i="10"/>
  <c r="G11" i="5"/>
  <c r="G12" i="5"/>
  <c r="G2" i="18"/>
  <c r="G7" i="7"/>
  <c r="G3" i="7"/>
  <c r="G8" i="5"/>
  <c r="G12" i="12"/>
  <c r="G10" i="12"/>
  <c r="G10" i="6"/>
  <c r="G8" i="10"/>
  <c r="G4" i="9"/>
  <c r="G18" i="6"/>
  <c r="G12" i="10"/>
  <c r="G16" i="12"/>
  <c r="G7" i="14"/>
  <c r="G13" i="14"/>
  <c r="G11" i="13"/>
  <c r="G5" i="18"/>
  <c r="G9" i="6"/>
  <c r="G2" i="8"/>
  <c r="G17" i="5"/>
  <c r="G7" i="5"/>
  <c r="G6" i="5"/>
  <c r="G10" i="5"/>
  <c r="G19" i="6"/>
  <c r="G13" i="10"/>
  <c r="G9" i="14"/>
  <c r="G2" i="16"/>
  <c r="G14" i="5"/>
  <c r="G3" i="4"/>
  <c r="G3" i="6"/>
  <c r="G8" i="6"/>
  <c r="G7" i="6"/>
  <c r="G4" i="6"/>
  <c r="G4" i="7"/>
  <c r="G3" i="5"/>
  <c r="G2" i="5"/>
  <c r="G11" i="14"/>
  <c r="G7" i="13"/>
  <c r="G5" i="15"/>
  <c r="G4" i="15"/>
  <c r="G4" i="16"/>
  <c r="G5" i="6"/>
  <c r="G2" i="6"/>
  <c r="G2" i="9"/>
  <c r="G14" i="14"/>
  <c r="G9" i="5"/>
  <c r="G5" i="7"/>
  <c r="G6" i="18"/>
  <c r="G5" i="10"/>
  <c r="G4" i="10"/>
  <c r="G14" i="6"/>
  <c r="G4" i="5"/>
  <c r="G7" i="11"/>
  <c r="G7" i="9"/>
  <c r="G10" i="10"/>
  <c r="G8" i="14"/>
  <c r="G4" i="14"/>
  <c r="G8" i="12"/>
  <c r="G6" i="6"/>
  <c r="G11" i="10"/>
  <c r="G6" i="7"/>
  <c r="G2" i="13"/>
  <c r="G3" i="17"/>
  <c r="G8" i="13"/>
  <c r="G9" i="12"/>
  <c r="B4" i="2" l="1"/>
  <c r="B6" i="2" l="1"/>
  <c r="B7" i="2"/>
</calcChain>
</file>

<file path=xl/sharedStrings.xml><?xml version="1.0" encoding="utf-8"?>
<sst xmlns="http://schemas.openxmlformats.org/spreadsheetml/2006/main" count="1301" uniqueCount="624">
  <si>
    <t>Field</t>
  </si>
  <si>
    <t>Value</t>
  </si>
  <si>
    <t>reviewerId</t>
  </si>
  <si>
    <t>reviewerName (optional)</t>
  </si>
  <si>
    <t>reviewerRole</t>
  </si>
  <si>
    <t>year</t>
  </si>
  <si>
    <t>Check</t>
  </si>
  <si>
    <t>Result</t>
  </si>
  <si>
    <t>Reviewer role</t>
  </si>
  <si>
    <t>Candidates</t>
  </si>
  <si>
    <t>Primary ready rows</t>
  </si>
  <si>
    <t>Discuss / unresolved rows</t>
  </si>
  <si>
    <t>Unfinished rows</t>
  </si>
  <si>
    <t>Workflow status</t>
  </si>
  <si>
    <t>Meaning</t>
  </si>
  <si>
    <t>PRIMARY READY means independent entry is complete. Discuss remains unresolved and is not counted as absence of error.</t>
  </si>
  <si>
    <t>Next action</t>
  </si>
  <si>
    <t>Inspect G on the C_ sheets. Save and deliver this file after review.</t>
  </si>
  <si>
    <t>Paper</t>
  </si>
  <si>
    <t>Review worksheet</t>
  </si>
  <si>
    <t>jama.2024.24764</t>
  </si>
  <si>
    <t>C_jama.2024.24764</t>
  </si>
  <si>
    <t>jama.2024.27643</t>
  </si>
  <si>
    <t>C_jama.2024.27643</t>
  </si>
  <si>
    <t>jama.2025.11178</t>
  </si>
  <si>
    <t>C_jama.2025.11178</t>
  </si>
  <si>
    <t>jama.2025.15185</t>
  </si>
  <si>
    <t>C_jama.2025.15185</t>
  </si>
  <si>
    <t>jama.2025.15440</t>
  </si>
  <si>
    <t>C_jama.2025.15440</t>
  </si>
  <si>
    <t>jama.2025.16450</t>
  </si>
  <si>
    <t>C_jama.2025.16450</t>
  </si>
  <si>
    <t>jama.2025.19563</t>
  </si>
  <si>
    <t>C_jama.2025.19563</t>
  </si>
  <si>
    <t>jama.2025.19843</t>
  </si>
  <si>
    <t>C_jama.2025.19843</t>
  </si>
  <si>
    <t>jama.2025.20765</t>
  </si>
  <si>
    <t>C_jama.2025.20765</t>
  </si>
  <si>
    <t>jama.2025.24175</t>
  </si>
  <si>
    <t>C_jama.2025.24175</t>
  </si>
  <si>
    <t>jama.2025.4390</t>
  </si>
  <si>
    <t>C_jama.2025.4390</t>
  </si>
  <si>
    <t>jama.2025.7583</t>
  </si>
  <si>
    <t>C_jama.2025.7583</t>
  </si>
  <si>
    <t>jama.2025.7710</t>
  </si>
  <si>
    <t>C_jama.2025.7710</t>
  </si>
  <si>
    <t>jama.2025.9110</t>
  </si>
  <si>
    <t>C_jama.2025.9110</t>
  </si>
  <si>
    <t>jama.2025.9663</t>
  </si>
  <si>
    <t>C_jama.2025.9663</t>
  </si>
  <si>
    <t>Candidate key</t>
  </si>
  <si>
    <t>Candidate title</t>
  </si>
  <si>
    <t>Source location</t>
  </si>
  <si>
    <t>Disposition</t>
  </si>
  <si>
    <t>Review domain (AI suggestion; editable)</t>
  </si>
  <si>
    <t>Complete</t>
  </si>
  <si>
    <t>Validation hint</t>
  </si>
  <si>
    <t>Statistical_or_numerical issue</t>
  </si>
  <si>
    <t>Substantiveness</t>
  </si>
  <si>
    <t>Downstream impact</t>
  </si>
  <si>
    <t>Report-internal or planning-material inconsistency</t>
  </si>
  <si>
    <t>Protocol interpretation</t>
  </si>
  <si>
    <t>Notes (optional)</t>
  </si>
  <si>
    <t>2025::jama.2024.24764::C001</t>
  </si>
  <si>
    <t>Quality-of-life conclusion versus the day-7 index test</t>
  </si>
  <si>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</si>
  <si>
    <t>statistical_results</t>
  </si>
  <si>
    <t>no</t>
  </si>
  <si>
    <t>2025::jama.2024.24764::C002</t>
  </si>
  <si>
    <t>Planned hospital-stay differences versus reported geometric ratios</t>
  </si>
  <si>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</si>
  <si>
    <t>protocol_report</t>
  </si>
  <si>
    <t>2025::jama.2024.24764::C003</t>
  </si>
  <si>
    <t>Reported predicted-survival exclusion versus supplied eligibility criteria</t>
  </si>
  <si>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</si>
  <si>
    <t>2025::jama.2024.24764::C004</t>
  </si>
  <si>
    <t>Unstructured versus independent quality-of-life covariance</t>
  </si>
  <si>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</si>
  <si>
    <t>2025::jama.2024.24764::C005</t>
  </si>
  <si>
    <t>SAP fixed-participant parameterization and adjusted contrasts</t>
  </si>
  <si>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</si>
  <si>
    <t>plan_material</t>
  </si>
  <si>
    <t>2025::jama.2024.27643::C001</t>
  </si>
  <si>
    <t>Muscle-strength outcome status</t>
  </si>
  <si>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</si>
  <si>
    <t>2025::jama.2024.27643::C002</t>
  </si>
  <si>
    <t>Plasma NfL prespecification</t>
  </si>
  <si>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</si>
  <si>
    <t>2025::jama.2024.27643::C003</t>
  </si>
  <si>
    <t>Unreported named planned primary/key-secondary analyses</t>
  </si>
  <si>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</si>
  <si>
    <t>2025::jama.2024.27643::C004</t>
  </si>
  <si>
    <t>Adjusted planned CAFS versus reported Wilcoxon</t>
  </si>
  <si>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</si>
  <si>
    <t>2025::jama.2024.27643::C005</t>
  </si>
  <si>
    <t>Planned survival logrank result</t>
  </si>
  <si>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</si>
  <si>
    <t>2025::jama.2024.27643::C006</t>
  </si>
  <si>
    <t>Survival covariate-set descriptions</t>
  </si>
  <si>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</si>
  <si>
    <t>2025::jama.2024.27643::C007</t>
  </si>
  <si>
    <t>Mortality component estimates</t>
  </si>
  <si>
    <t>Physical PDF pages; PLAN/REPORT roles are stated above and within the evidence. jama_berry_2025_oi_240158_1742927563.7361.pdf — PDF p. 4; joi240158supp3_prod_1742927563.7911.pdf — PDF p. 15</t>
  </si>
  <si>
    <t>2025::jama.2024.27643::C008</t>
  </si>
  <si>
    <t>SVC change versus monthly rate</t>
  </si>
  <si>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</si>
  <si>
    <t>report_internal_inconsistency</t>
  </si>
  <si>
    <t>2025::jama.2024.27643::C009</t>
  </si>
  <si>
    <t>Survival regimen-placebo exclusions and denominator</t>
  </si>
  <si>
    <t>Physical PDF pages; PLAN/REPORT roles are stated above and within the evidence. jama_berry_2025_oi_240158_1742927563.7361.pdf — PDF p. 4; jama_berry_2025_oi_240158_1742927563.7361.pdf — PDF p. 7</t>
  </si>
  <si>
    <t>2025::jama.2024.27643::C010</t>
  </si>
  <si>
    <t>Prespecified subgroup partitions</t>
  </si>
  <si>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</si>
  <si>
    <t>2025::jama.2024.27643::C011</t>
  </si>
  <si>
    <t>Six-point functional-decline composite inside PLAN</t>
  </si>
  <si>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</si>
  <si>
    <t>2025::jama.2024.27643::C012</t>
  </si>
  <si>
    <t>NfL interval versus P display pattern</t>
  </si>
  <si>
    <t>Physical PDF pages; PLAN/REPORT roles are stated above and within the evidence. joi240158supp3_prod_1742927563.7911.pdf — PDF p. 17; jama_berry_2025_oi_240158_1742927563.7361.pdf — PDF p. 4; jama_berry_2025_oi_240158_1742927563.7361.pdf — PDF p. 8</t>
  </si>
  <si>
    <t>2025::jama.2024.27643::C013</t>
  </si>
  <si>
    <t>Serum NfL contrast scale</t>
  </si>
  <si>
    <t>Physical PDF pages; PLAN/REPORT roles are stated above and within the evidence. joi240158supp3_prod_1742927563.7911.pdf — PDF p. 17; jama_berry_2025_oi_240158_1742927563.7361.pdf — PDF p. 8</t>
  </si>
  <si>
    <t>2025::jama.2024.27643::C014</t>
  </si>
  <si>
    <t>Estimated DRR direction in planned operating characteristics</t>
  </si>
  <si>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</si>
  <si>
    <t>2025::jama.2024.27643::C015</t>
  </si>
  <si>
    <t>Signed CAFS P value in illustrative PLAN prose</t>
  </si>
  <si>
    <t>Physical PDF pages; PLAN/REPORT roles are stated above and within the evidence. joi240158supp2_prod_1742927563.7711.pdf — PDF p. 59; joi240158supp2_prod_1742927563.7711.pdf — PDF p. 58; joi240158supp2_prod_1742927563.7711.pdf — PDF p. 8; joi240158supp2_prod_1742927563.7711.pdf — PDF p. 63</t>
  </si>
  <si>
    <t>2025::jama.2024.27643::C016</t>
  </si>
  <si>
    <t>Serum NfL below-quantitation substitution rule</t>
  </si>
  <si>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</si>
  <si>
    <t>2025::jama.2025.11178::C001</t>
  </si>
  <si>
    <t>Planned versus reported online session duration</t>
  </si>
  <si>
    <t>Yes, all five locations: REPORT main p.3, Health Coach Program and Online Program — jama_debar_2025_oi_250046_1755300121.13587.pdf; PLAN protocol p.43 §10.1.1 — joi250046supp1_prod_1755300121.14087.pdf and p.44 coach overview — joi250046supp1_prod_1755300121.14087.pdf; REPORT TIDieR p.3 Procedures — joi250046supp3_prod_1755300121.15087.pdf and p.4 When and How Much — joi250046supp3_prod_1755300121.15087.pdf.</t>
  </si>
  <si>
    <t>2025::jama.2025.11178::C002</t>
  </si>
  <si>
    <t>Therapeutic-dose adherence percentage</t>
  </si>
  <si>
    <t>Yes: REPORT main p.4 Results adherence paragraph — jama_debar_2025_oi_250046_1755300121.13587.pdf and p.5 Figure 1 PT allocation/session counts — jama_debar_2025_oi_250046_1755300121.13587.pdf.</t>
  </si>
  <si>
    <t>2025::jama.2025.11178::C003</t>
  </si>
  <si>
    <t>SMD construction across Table 3</t>
  </si>
  <si>
    <t>Yes: REPORT main p.4 SMD definition — jama_debar_2025_oi_250046_1755300121.13587.pdf, p.10 Table 3 — jama_debar_2025_oi_250046_1755300121.13587.pdf, and p.11 continuation and footnote d — jama_debar_2025_oi_250046_1755300121.13587.pdf. All twenty registered outcome/time rows and all three point-contrast columns per row were read directly.</t>
  </si>
  <si>
    <t>2025::jama.2025.11178::C004</t>
  </si>
  <si>
    <t>Reciprocal NNT point-reproduction pattern</t>
  </si>
  <si>
    <t>Yes: REPORT main p.4 NNT definition — jama_debar_2025_oi_250046_1755300121.13587.pdf; REPORT main p.9 Table 2 severity 6-month HC/UC, interference 6-month HC/UC and footnote d — jama_debar_2025_oi_250046_1755300121.13587.pdf; REPORT results p.14 eTable 8 reminder-letter 6-month PT/UC and footnote d — joi250046supp4_prod_1755300121.15587.pdf. All three affected rows were read.</t>
  </si>
  <si>
    <t>2025::jama.2025.11178::C005</t>
  </si>
  <si>
    <t>Age as a prespecified base adjustment covariate</t>
  </si>
  <si>
    <t>Yes: PLAN protocol p.56 §15.5 — joi250046supp1_prod_1755300121.14087.pdf; PLAN SAP p.20 §§13–14 — joi250046supp2_prod_1755300121.15087.pdf; REPORT main p.4 adjustment sentence — jama_debar_2025_oi_250046_1755300121.13587.pdf; REPORT results p.4 Adjustment — joi250046supp4_prod_1755300121.15587.pdf, p.7 eTable 2 all-model variables — joi250046supp4_prod_1755300121.15587.pdf, p.8 eTable 3 age — joi250046supp4_prod_1755300121.15587.pdf, p.9 eTable 4 age — joi250046supp4_prod_1755300121.15587.pdf, p.10 eTable 5 age — joi250046supp4_prod_1755300121.15587.pdf; REPORT workbook — joi250046supp5_prod_1755300121.16087.xlsx, worksheet eTable 3, cells G2, A10, G10, directly decoded.</t>
  </si>
  <si>
    <t>2025::jama.2025.11178::C006</t>
  </si>
  <si>
    <t>Secondary-analysis adjustment specification</t>
  </si>
  <si>
    <t>Yes: PLAN protocol p.57 §15.6 — joi250046supp1_prod_1755300121.14087.pdf; PLAN SAP p.21 §15 — joi250046supp2_prod_1755300121.15087.pdf; REPORT main p.4 secondary methods — jama_debar_2025_oi_250046_1755300121.13587.pdf, p.10 Table 3 — jama_debar_2025_oi_250046_1755300121.13587.pdf and p.11 continuation — jama_debar_2025_oi_250046_1755300121.13587.pdf.</t>
  </si>
  <si>
    <t>2025::jama.2025.11178::C007</t>
  </si>
  <si>
    <t>Primary versus sensitivity missing-data analysis roles</t>
  </si>
  <si>
    <t>Yes: PLAN SAP p.19 §11 — joi250046supp2_prod_1755300121.15087.pdf, PLAN p.4 July 17, 2024 amendment — joi250046supp2_prod_1755300121.15087.pdf; REPORT main p.4 missing-data paragraph — jama_debar_2025_oi_250046_1755300121.13587.pdf; REPORT results p.4 Missing Data — joi250046supp4_prod_1755300121.15587.pdf, p.5 Non-Response Weighting — joi250046supp4_prod_1755300121.15587.pdf, p.9 eTable 4 — joi250046supp4_prod_1755300121.15587.pdf, p.11 sensitivity narrative and complete-case block — joi250046supp4_prod_1755300121.15587.pdf. P.5 was read as disclosed-amendment context in addition to the registered comparisons.</t>
  </si>
  <si>
    <t>2025::jama.2025.11178::C008</t>
  </si>
  <si>
    <t>RR versus finite NNT null coverage</t>
  </si>
  <si>
    <t>Yes: REPORT main p.9 Table 2 HC/PT columns and footnotes b,d,e — jama_debar_2025_oi_250046_1755300121.13587.pdf, all six registered contrast/time rows; REPORT p.4 binary model and NNT method — jama_debar_2025_oi_250046_1755300121.13587.pdf.</t>
  </si>
  <si>
    <t>2025::jama.2025.11178::C009</t>
  </si>
  <si>
    <t>NNT point outside its confidence interval</t>
  </si>
  <si>
    <t>Yes: REPORT main p.9 Table 2 pain intensity 12 months, HC/PT NNT column — jama_debar_2025_oi_250046_1755300121.13587.pdf.</t>
  </si>
  <si>
    <t>2025::jama.2025.11178::C010</t>
  </si>
  <si>
    <t>SMD points outside printed confidence intervals</t>
  </si>
  <si>
    <t>Yes: REPORT main p.10 Table 3 — jama_debar_2025_oi_250046_1755300121.13587.pdf and p.11 PGIC-pain continuation — jama_debar_2025_oi_250046_1755300121.13587.pdf. Every one of the fourteen registered tuples was read directly; all matched the ledger.</t>
  </si>
  <si>
    <t>2025::jama.2025.11178::C011</t>
  </si>
  <si>
    <t>Covariate set of restricted primary analyses</t>
  </si>
  <si>
    <t>Yes: REPORT results p.4 Adjustment — joi250046supp4_prod_1755300121.15587.pdf, p.7 eTable 2 final imputation/estimation set — joi250046supp4_prod_1755300121.15587.pdf, p.13 Protocol Change Subset Analyses — joi250046supp4_prod_1755300121.15587.pdf, p.14 eTable 8 all three blocks and footnote b — joi250046supp4_prod_1755300121.15587.pdf. Fitted education/employment terms at p.8 — joi250046supp4_prod_1755300121.15587.pdf and p.9 — joi250046supp4_prod_1755300121.15587.pdf were also read as corroboration.</t>
  </si>
  <si>
    <t>2025::jama.2025.11178::C012</t>
  </si>
  <si>
    <t>Final response-weight model predictor membership</t>
  </si>
  <si>
    <t>Yes: REPORT results p.4 Adjustment/selection — joi250046supp4_prod_1755300121.15587.pdf, p.5 Non-Response Weighting — joi250046supp4_prod_1755300121.15587.pdf, p.7 eTable 2 final nonresponse predictors — joi250046supp4_prod_1755300121.15587.pdf, p.10 eTable 5 full coefficient display — joi250046supp4_prod_1755300121.15587.pdf; corroborating REPORT workbook — joi250046supp5_prod_1755300121.16087.xlsx, worksheet eTable 3, cells A18, H18, I18, J18.</t>
  </si>
  <si>
    <t>2025::jama.2025.11178::C013</t>
  </si>
  <si>
    <t>Education coding and coefficient attribution</t>
  </si>
  <si>
    <t>Yes: REPORT results p.7 eTable 2 final primary predictor list — joi250046supp4_prod_1755300121.15587.pdf, p.8 eTable 3 all three education rows — joi250046supp4_prod_1755300121.15587.pdf, p.9 eTable 4 all three education rows — joi250046supp4_prod_1755300121.15587.pdf; corroborating REPORT workbook — joi250046supp5_prod_1755300121.16087.xlsx, worksheet eTable 3, cells A12:A16.</t>
  </si>
  <si>
    <t>2025::jama.2025.11178::C014</t>
  </si>
  <si>
    <t>Coefficient CI versus P-value null-significance pattern</t>
  </si>
  <si>
    <t>Yes: REPORT results p.8 eTable 3 seven registered rows — joi250046supp4_prod_1755300121.15587.pdf, p.9 eTable 4 age and second AA rows — joi250046supp4_prod_1755300121.15587.pdf, p.10 eTable 5 PEG row — joi250046supp4_prod_1755300121.15587.pdf. Method context was read at results p.4 — joi250046supp4_prod_1755300121.15587.pdf, p.5 — joi250046supp4_prod_1755300121.15587.pdf, and REPORT main p.4 two-sided alpha=.05 — jama_debar_2025_oi_250046_1755300121.13587.pdf.</t>
  </si>
  <si>
    <t>2025::jama.2025.11178::C015</t>
  </si>
  <si>
    <t>Within-header three-month subset counts</t>
  </si>
  <si>
    <t>Yes: REPORT results p.14 eTable 8 first subgroup header — joi250046supp4_prod_1755300121.15587.pdf; corroborating REPORT p.7 eTable 1 — joi250046supp4_prod_1755300121.15587.pdf, p.13 subset definition — joi250046supp4_prod_1755300121.15587.pdf, and the second/third headers on p.14.</t>
  </si>
  <si>
    <t>2025::jama.2025.11178::C016</t>
  </si>
  <si>
    <t>Raw-score summary statistic and bounds in eTable 11</t>
  </si>
  <si>
    <t>Yes: REPORT results p.15 Additional Unadjusted Data and Analyses — joi250046supp4_prod_1755300121.15587.pdf, p.17 eTable 11 title/header and all 21 rows — joi250046supp4_prod_1755300121.15587.pdf, p.18 note b — joi250046supp4_prod_1755300121.15587.pdf; corroborating REPORT main p.11 PGIC footnotes h/i — jama_debar_2025_oi_250046_1755300121.13587.pdf.</t>
  </si>
  <si>
    <t>2025::jama.2025.11178::C017</t>
  </si>
  <si>
    <t>Workbook All Observed depression percentage</t>
  </si>
  <si>
    <t>Yes: supplied REPORT workbook — joi250046supp5_prod_1755300121.16087.xlsx, worksheet exactly eTable 3, E3, A82, E82, A83, E83, A110. Direct workbook.xml confirms worksheet name and worksheet relationship; direct sheet1.xml/sharedStrings.xml confirms all cells. B82/C82/D82 were also read as count-partition corroboration.</t>
  </si>
  <si>
    <t>2025::jama.2025.11178::C018</t>
  </si>
  <si>
    <t>Physical-function omnibus P values and contrast intervals</t>
  </si>
  <si>
    <t>Results supplement PDF p17, eTable 11 Physical Functioning 6 months — joi250046supp4_prod_1755300121.15587.pdf (REPORT); Results supplement PDF p17, eTable 11 Physical Functioning 12 months — joi250046supp4_prod_1755300121.15587.pdf (REPORT); Results supplement PDF p17, all other 19 eTable 11 outcome/time rows — joi250046supp4_prod_1755300121.15587.pdf (REPORT, same-display corroboration); Results supplement PDF p18, eTable 11 note b — joi250046supp4_prod_1755300121.15587.pdf (REPORT); Results supplement PDF page 15, Additional Unadjusted Data and Analyses — joi250046supp4_prod_1755300121.15587.pdf (REPORT); Main article PDF p11, Table 3 note c — jama_debar_2025_oi_250046_1755300121.13587.pdf (REPORT, corroboration only); Main article PDF p4, Statistical Analysis — jama_debar_2025_oi_250046_1755300121.13587.pdf (REPORT, corroboration only); The rendered p17 heading is unadjusted between-group mean differences (95%CI), with PT vs UC, HC vs UC and HC vs PT columns and a separately named omnibus P column. No pairwise P value is printed. The comparison does not equate raw medians with fitted means, and does not equate a single pairwise null with the omnibus null</t>
  </si>
  <si>
    <t>2025::jama.2025.15185::C001</t>
  </si>
  <si>
    <t>PROMIS-29 scalar scoring and direction are not specified</t>
  </si>
  <si>
    <t>jama_engelter_2025_oi_250066_1761597796.45511.pdf — p. 3, Secondary Outcomes: domain definition and direction; jama_engelter_2025_oi_250066_1761597796.45511.pdf — p. 6, Secondary Outcomes: single scalar result; joi250066supp3_prod_1761597796.4701.pdf — p. 15, eTable 4, PROMIS 29 row: corroborating scalar and adjusted result; joi250066supp1_prod_1761597796.4601.pdf — p. 70, PROMIS assessment: contextual scale description</t>
  </si>
  <si>
    <t>2025::jama.2025.15185::C002</t>
  </si>
  <si>
    <t>Primary analysis population changes from all randomized participants to survivors</t>
  </si>
  <si>
    <t>joi250066supp1_prod_1761597796.4601.pdf — p. 86, §§11.4.1–11.4.2: FAS and primary assignment; joi250066supp1_prod_1761597796.4601.pdf — p. 87, §11.5: missing-data rule; joi250066supp2_prod_1761597796.4701.pdf — p. 4, §3.2 and footnote: deceased participants' contribution; joi250066supp2_prod_1761597796.4701.pdf — p. 6, §4.3: primary/supportive status; joi250066supp2_prod_1761597796.4701.pdf — p. 7, §§4.3.1–4.3.3: primary versus death-inclusive strategy; jama_engelter_2025_oi_250066_1761597796.45511.pdf — p. 4, Statistical Analyses: survivor-primary rule; jama_engelter_2025_oi_250066_1761597796.45511.pdf — p. 5, flow and SAP explanation: participant totals and timing; joi250066supp3_prod_1761597796.4701.pdf — p. 12, population definitions: primary death exclusion; joi250066supp3_prod_1761597796.4701.pdf — p. 13, eTable 2, estimands 1, 3 and 4: primary and death-inclusive results</t>
  </si>
  <si>
    <t>2025::jama.2025.15185::C003</t>
  </si>
  <si>
    <t>Primary mixed-model terms are absent from the implemented linear model</t>
  </si>
  <si>
    <t>joi250066supp1_prod_1761597796.4601.pdf — p. 56, statistical synopsis: final mixed-model summary; joi250066supp1_prod_1761597796.4601.pdf — p. 86, §11.4.2: final primary formula/variance structure; joi250066supp2_prod_1761597796.4701.pdf — p. 10, §5.2: baseline/treatment linear model; jama_engelter_2025_oi_250066_1761597796.45511.pdf — p. 4, Statistical Analyses: reported model; jama_engelter_2025_oi_250066_1761597796.45511.pdf — p. 5, alignment explanation: SAP timing and alignment context; jama_engelter_2025_oi_250066_1761597796.45511.pdf — p. 6, Primary Outcome: affected primary result; joi250066supp5_prod_1761597796.4751.pdf — p. 1, code lines 19–26 and 31–32: explicit implementation and pooling; joi250066supp1_prod_1761597796.4601.pdf — p. 10, earlier synopsis: historical center-term context; joi250066supp1_prod_1761597796.4601.pdf — p. 39, earlier §11.4.2: historical center-term context</t>
  </si>
  <si>
    <t>2025::jama.2025.15185::C004</t>
  </si>
  <si>
    <t>Secondary missing-data procedures differ from the SAP rule</t>
  </si>
  <si>
    <t>joi250066supp2_prod_1761597796.4701.pdf — p. 5, §4.2: secondary-outcome status; joi250066supp2_prod_1761597796.4701.pdf — p. 11, §6: general imputation rule; jama_engelter_2025_oi_250066_1761597796.45511.pdf — p. 5, secondary methods: reported nonimputation; jama_engelter_2025_oi_250066_1761597796.45511.pdf — p. 6, mRS/PRAI results: affected outcomes; joi250066supp3_prod_1761597796.4701.pdf — p. 7, deviations: mRS death assignment and PRAI exception; joi250066supp3_prod_1761597796.4701.pdf — p. 15, eTable 4: mRS/PRAI results and populations</t>
  </si>
  <si>
    <t>2025::jama.2025.15185::C005</t>
  </si>
  <si>
    <t>Planned primary-endpoint supplementary analyses are not identified in the report</t>
  </si>
  <si>
    <t>joi250066supp1_prod_1761597796.4601.pdf — p. 86, §§11.4.1 and 11.4.3: primary sensitivities and bounded PP context; joi250066supp2_prod_1761597796.4701.pdf — p. 11, §7: center interaction model; joi250066supp2_prod_1761597796.4701.pdf — p. 12, §7.2: seven-variable subgroup package; joi250066supp2_prod_1761597796.4701.pdf — p. 15, addendum: subgroup directions and median splits; jama_engelter_2025_oi_250066_1761597796.45511.pdf — p. 4, supplementary/post hoc estimands: reported analysis and adherence context; jama_engelter_2025_oi_250066_1761597796.45511.pdf — p. 5, subgroup/center/spline methods: related reported analyses and prespecification statement; jama_engelter_2025_oi_250066_1761597796.45511.pdf — p. 6, primary/sensitivity results: affected primary analysis package; jama_engelter_2025_oi_250066_1761597796.45511.pdf — p. 7, Additional Post Hoc Analyses: baseline analyses; joi250066supp3_prod_1761597796.4701.pdf — p. 1, complete display index: nine eTables and seven eFigures; joi250066supp3_prod_1761597796.4701.pdf — p. 13, eTable 2: eight prespecified estimands; joi250066supp3_prod_1761597796.4701.pdf — p. 14, eTable 3: post hoc estimands; joi250066supp3_prod_1761597796.4701.pdf — p. 18, eTables 7–8: baseline interaction/spline models; joi250066supp3_prod_1761597796.4701.pdf — p. 25, eFigure 5: center graph; joi250066supp3_prod_1761597796.4701.pdf — p. 27, eFigure 7: post hoc forest</t>
  </si>
  <si>
    <t>2025::jama.2025.15185::C006</t>
  </si>
  <si>
    <t>Serious-event hierarchy counts do not reconcile with their parent totals</t>
  </si>
  <si>
    <t>jama_engelter_2025_oi_250066_1761597796.45511.pdf — p. 6, Table 2, levodopa serious-event parent and all 13 top-level category rows; jama_engelter_2025_oi_250066_1761597796.45511.pdf — p. 6, Table 2, placebo infection parent and all six infection subtype rows; jama_engelter_2025_oi_250066_1761597796.45511.pdf — p. 6, Adverse Events narrative and table notes: corroborating event totals and unit context</t>
  </si>
  <si>
    <t>2025::jama.2025.15440::C001</t>
  </si>
  <si>
    <t>Age-under-75 subgroup power does not reconcile with a reproducing same-table calculation</t>
  </si>
  <si>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</si>
  <si>
    <t>2025::jama.2025.16450::C001</t>
  </si>
  <si>
    <t>Moderate-hyperglycemia qualification pathway differs across report and plan descriptions</t>
  </si>
  <si>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</si>
  <si>
    <t>2025::jama.2025.16450::C002</t>
  </si>
  <si>
    <t>Reported BPD-severity contrasts differ from the planned ordinal model</t>
  </si>
  <si>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</si>
  <si>
    <t>2025::jama.2025.16450::C003</t>
  </si>
  <si>
    <t>Prespecified primary-analysis outputs are absent or displayed with different definitions</t>
  </si>
  <si>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</si>
  <si>
    <t>2025::jama.2025.16450::C004</t>
  </si>
  <si>
    <t>Historical Grade 3 BPD count and percentage do not reconcile in one protocol cell</t>
  </si>
  <si>
    <t>joi250072supp1_prod_1761000786.68881.pdf — Protocol PDF p. 12, Table 2, NICHD BPD Workshop Grading 2018: Grade 3 surfactant cell, combination comparator, Grade 3-or-death, Death, No BPD, Grade 1 and Grade 2.</t>
  </si>
  <si>
    <t>2025::jama.2025.16450::C005</t>
  </si>
  <si>
    <t>One nasal-cannula factor cell differs from the reproducible table relationship</t>
  </si>
  <si>
    <t>joi250072supp2_prod_1761000786.6938.pdf — Manual PDF p. 152, Appendix J Table 1: 0.125 LPM/1⁄8 LPM by 2.5 kg cell, all other 143 factor cells and nearest-input instructions; joi250072supp2_prod_1761000786.6938.pdf — manual PDF p. 154, Table 2: factor 4 and factor 5 at 100% oxygen.</t>
  </si>
  <si>
    <t>2025::jama.2025.16450::C006</t>
  </si>
  <si>
    <t>Sparse intervals described as exact reproduce a log-Wald pattern</t>
  </si>
  <si>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</si>
  <si>
    <t>2025::jama.2025.19563::C001</t>
  </si>
  <si>
    <t>Added diabetes-range HbA1c primary-composite disqualifier</t>
  </si>
  <si>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</si>
  <si>
    <t>2025::jama.2025.19563::C002</t>
  </si>
  <si>
    <t>Primary PA window and endpoint-specific mapping</t>
  </si>
  <si>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</si>
  <si>
    <t>2025::jama.2025.19563::C003</t>
  </si>
  <si>
    <t>Primary HbA1c branch restricted to baseline subset</t>
  </si>
  <si>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</si>
  <si>
    <t>2025::jama.2025.19563::C004</t>
  </si>
  <si>
    <t>Primary exclusions replaced by all-randomized failure assignment</t>
  </si>
  <si>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</si>
  <si>
    <t>2025::jama.2025.19563::C005</t>
  </si>
  <si>
    <t>Clustered logistic primary model replaced by binomial RD regression</t>
  </si>
  <si>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</si>
  <si>
    <t>2025::jama.2025.19563::C006</t>
  </si>
  <si>
    <t>Primary PA missing-data procedure and linked sensitivity replaced</t>
  </si>
  <si>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</si>
  <si>
    <t>2025::jama.2025.19563::C007</t>
  </si>
  <si>
    <t>Program-completer analysis replaced by complete-data/no-medication cohort</t>
  </si>
  <si>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</si>
  <si>
    <t>2025::jama.2025.19563::C008</t>
  </si>
  <si>
    <t>Recruitment-pool portal percentages and counts</t>
  </si>
  <si>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</si>
  <si>
    <t>2025::jama.2025.19563::C009</t>
  </si>
  <si>
    <t>Interpolated PA vector and printed summary inputs</t>
  </si>
  <si>
    <t>joi250084supp2_prod_1765403089.61751.pdf — DOC-003 p13 preprocessing/calculation; joi250084supp2_prod_1765403089.61751.pdf — p15 activity summary loop; joi250084supp2_prod_1765403089.61751.pdf — p16 bout loop</t>
  </si>
  <si>
    <t>2025::jama.2025.19563::C010</t>
  </si>
  <si>
    <t>PA averaging denominator after zero assignment</t>
  </si>
  <si>
    <t>joi250084supp2_prod_1765403089.61751.pdf — DOC-003 p13 Aggregation/compliance; joi250084supp2_prod_1765403089.61751.pdf — p30 eTable18a method; joi250084supp2_prod_1765403089.61751.pdf — p49 eTable8b zero assignment</t>
  </si>
  <si>
    <t>2025::jama.2025.19563::C011</t>
  </si>
  <si>
    <t>Two AI-version exposure percentages</t>
  </si>
  <si>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</si>
  <si>
    <t>2025::jama.2025.19563::C012</t>
  </si>
  <si>
    <t>Baseline HbA1c-subgroup categorical P-value mapping</t>
  </si>
  <si>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</si>
  <si>
    <t>2025::jama.2025.19563::C013</t>
  </si>
  <si>
    <t>MI-pooled risks and displayed risk-difference mapping</t>
  </si>
  <si>
    <t>joi250084supp2_prod_1765403089.61751.pdf — DOC-003 p59 eTable16; joi250084supp2_prod_1765403089.61751.pdf — p30 MI methods; joi250084supp1_prod_1765403089.61351.pdf — DOC-002 p88 MICE method</t>
  </si>
  <si>
    <t>2025::jama.2025.19843::C001</t>
  </si>
  <si>
    <t>Primary adjustment covariate descriptions do not reconcile</t>
  </si>
  <si>
    <t>jama_combes_2025_oi_250087_1766516490.94011.pdf — main PDF p.2; jama_combes_2025_oi_250087_1766516490.94011.pdf — main PDF p.3; jama_combes_2025_oi_250087_1766516490.94011.pdf — main PDF p.6; joi250087supp2_prod_1766516490.96511.pdf — SAP PDF p.6, corroboration only</t>
  </si>
  <si>
    <t>2025::jama.2025.19843::C002</t>
  </si>
  <si>
    <t>Organ-failure threshold differs between SAP and report</t>
  </si>
  <si>
    <t>joi250087supp2_prod_1766516490.96511.pdf — sap PDF p.4; joi250087supp2_prod_1766516490.96511.pdf — sap PDF p.7; jama_combes_2025_oi_250087_1766516490.94011.pdf — main PDF p.3; joi250087supp3_prod_1766516490.97011.pdf — results PDF p.5; joi250087supp3_prod_1766516490.97011.pdf — results PDF p.12</t>
  </si>
  <si>
    <t>2025::jama.2025.19843::C003</t>
  </si>
  <si>
    <t>Planned day-60 free-day results are absent from supplied reports</t>
  </si>
  <si>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</si>
  <si>
    <t>2025::jama.2025.19843::C004</t>
  </si>
  <si>
    <t>Planned hierarchical LV-function composite differs from reported LVEF contrast</t>
  </si>
  <si>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</si>
  <si>
    <t>2025::jama.2025.19843::C005</t>
  </si>
  <si>
    <t>Dialysis membership differs across MACE definitions</t>
  </si>
  <si>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</si>
  <si>
    <t>2025::jama.2025.19843::C006</t>
  </si>
  <si>
    <t>Planned post-arrest subgroup differs from reported predefined other-etiology subgroup</t>
  </si>
  <si>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</si>
  <si>
    <t>2025::jama.2025.19843::C007</t>
  </si>
  <si>
    <t>Planned adjusted key-secondary analyses lack supplied outputs</t>
  </si>
  <si>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</si>
  <si>
    <t>2025::jama.2025.20765::C001</t>
  </si>
  <si>
    <t>Protocol SMS totals and frequency schedules do not reconcile</t>
  </si>
  <si>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</si>
  <si>
    <t>2025::jama.2025.20765::C002</t>
  </si>
  <si>
    <t>Operational eligibility criteria differ from the plan list</t>
  </si>
  <si>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</si>
  <si>
    <t>2025::jama.2025.20765::C003</t>
  </si>
  <si>
    <t>Prospective quit-date and reminder calendar differ from the report</t>
  </si>
  <si>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</si>
  <si>
    <t>2025::jama.2025.20765::C004</t>
  </si>
  <si>
    <t>Primary cotinine verification lacks a planned-to-reported criterion crosswalk</t>
  </si>
  <si>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</si>
  <si>
    <t>2025::jama.2025.20765::C005</t>
  </si>
  <si>
    <t>Primary model changes from protocol Poisson/log link to SAP/report logistic</t>
  </si>
  <si>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</si>
  <si>
    <t>2025::jama.2025.20765::C006</t>
  </si>
  <si>
    <t>Risk-ratio derivation from stated logistic analysis is unclear</t>
  </si>
  <si>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</si>
  <si>
    <t>2025::jama.2025.20765::C007</t>
  </si>
  <si>
    <t>Planned tobacco-use-form adjustment has no reported primary counterpart</t>
  </si>
  <si>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</si>
  <si>
    <t>2025::jama.2025.20765::C008</t>
  </si>
  <si>
    <t>CO&lt;6 sensitivity results appear under a primary-outcome status label</t>
  </si>
  <si>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</si>
  <si>
    <t>2025::jama.2025.20765::C009</t>
  </si>
  <si>
    <t>Primary missing-outcome handling differs between protocol and SAP/report</t>
  </si>
  <si>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</si>
  <si>
    <t>2025::jama.2025.20765::C010</t>
  </si>
  <si>
    <t>Prespecified gender-specific primary analyses are not reported</t>
  </si>
  <si>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</si>
  <si>
    <t>2025::jama.2025.20765::C011</t>
  </si>
  <si>
    <t>Current primary-data attrition assumptions differ</t>
  </si>
  <si>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</si>
  <si>
    <t>2025::jama.2025.20765::C012</t>
  </si>
  <si>
    <t>All-cause mortality percentage is attributed to TB-specific mortality</t>
  </si>
  <si>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</si>
  <si>
    <t>2025::jama.2025.20765::C013</t>
  </si>
  <si>
    <t>Adverse-event narrative reverses two any-symptom arm directions</t>
  </si>
  <si>
    <t>jama_zahid_2025_oi_250093_1768590553.08463.pdf — DOC-001 — PDF p. 5, Adverse Events ordered percentages and summarysentence; REPORT; joi250093supp2_prod_1768590553.09463.pdf — DOC-003 — PDF p. 15, eTable10 irritability/anxiety severity rows; REPORT</t>
  </si>
  <si>
    <t>2025::jama.2025.20765::C014</t>
  </si>
  <si>
    <t>Fourteen interval rows do not reproduce a rule fitting other display rows</t>
  </si>
  <si>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</si>
  <si>
    <t>2025::jama.2025.20765::C015</t>
  </si>
  <si>
    <t>Latest protocol and SAP prescribe different failure windows</t>
  </si>
  <si>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</si>
  <si>
    <t>2025::jama.2025.20765::C016</t>
  </si>
  <si>
    <t>Current Phase 3 power statements retain different cluster allocations</t>
  </si>
  <si>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</si>
  <si>
    <t>2025::jama.2025.20765::C017</t>
  </si>
  <si>
    <t>Two cause-of-death percentages do not reconcile within eTable 4</t>
  </si>
  <si>
    <t>joi250093supp2_prod_1768590553.09463.pdf — DOC-003 — PDF p. 6, eTable4usual-careDruguser,Severepneumonia,Totaldeaths; REPORT</t>
  </si>
  <si>
    <t>2025::jama.2025.20765::C018</t>
  </si>
  <si>
    <t>Site 2008 death count and percentage do not reproduce the table denominator</t>
  </si>
  <si>
    <t>joi250093supp2_prod_1768590553.09463.pdf — DOC-003 — PDF p. 9, eTable6Controlsite2008cell5(7.5),otherdeathrows; REPORT; joi250093supp2_prod_1768590553.09463.pdf — DOC-003 — PDF p. 8, eTable5site2008recruitmentandITT40,observed35; REPORT</t>
  </si>
  <si>
    <t>2025::jama.2025.20765::C019</t>
  </si>
  <si>
    <t>Treatment-failure absolute difference has the opposite signed contrast</t>
  </si>
  <si>
    <t>joi250093supp2_prod_1768590553.09463.pdf — DOC-003 — PDF p. 13, eTable9TreatmentFailuresabsolute-difference0.5andarmrisks; REPORT; joi250093supp2_prod_1768590553.09463.pdf — DOC-003 — PDF p. 14, notebAbsolute difference; REPORT</t>
  </si>
  <si>
    <t>2025::jama.2025.24175::C001</t>
  </si>
  <si>
    <t>Primary mean/Welch versus responder/Fisher specification</t>
  </si>
  <si>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</si>
  <si>
    <t>2025::jama.2025.24175::C002</t>
  </si>
  <si>
    <t>Home-discharge versus ICU-discharge carry-forward eligibility</t>
  </si>
  <si>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</si>
  <si>
    <t>2025::jama.2025.24175::C003</t>
  </si>
  <si>
    <t>Infection and omics outcome-status pattern</t>
  </si>
  <si>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</si>
  <si>
    <t>2025::jama.2025.24175::C004</t>
  </si>
  <si>
    <t>Immune-reversal endpoint window, composite and ascertainment</t>
  </si>
  <si>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</si>
  <si>
    <t>2025::jama.2025.24175::C005</t>
  </si>
  <si>
    <t>Continuous versus binary primary-outcome power basis</t>
  </si>
  <si>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</si>
  <si>
    <t>2025::jama.2025.24175::C006</t>
  </si>
  <si>
    <t>Binary planned versus ordinal reported infection analysis</t>
  </si>
  <si>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</si>
  <si>
    <t>2025::jama.2025.24175::C007</t>
  </si>
  <si>
    <t>Prespecified primary and key-secondary analysis families not located</t>
  </si>
  <si>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</si>
  <si>
    <t>2025::jama.2025.24175::C008</t>
  </si>
  <si>
    <t>Unadjusted day-15 immunoparalysis odds ratio does not reconcile with its counts</t>
  </si>
  <si>
    <t>joi250116supp2_prod_1771885794.27755.pdf — physical PDF p.22, eTable 10, final day-15 immunoparalysis row and all three companion rows.</t>
  </si>
  <si>
    <t>2025::jama.2025.24175::C009</t>
  </si>
  <si>
    <t>MALS number-needed-to-harm direction does not reconcile with patient risks</t>
  </si>
  <si>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</si>
  <si>
    <t>2025::jama.2025.24175::C010</t>
  </si>
  <si>
    <t>Finite NNH1 intervals versus nonsignificant source-specified safety comparisons</t>
  </si>
  <si>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</si>
  <si>
    <t>2025::jama.2025.24175::C011</t>
  </si>
  <si>
    <t>Five subgroup P values do not reproduce under the companion-row test</t>
  </si>
  <si>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</si>
  <si>
    <t>2025::jama.2025.24175::C012</t>
  </si>
  <si>
    <t>Repeated APACHE coefficient does not reproduce the companion interval construction</t>
  </si>
  <si>
    <t>joi250116supp2_prod_1771885794.27755.pdf — physical PDF p.51, eFigure 7 panel B, APACHE II≥25 main-effect row and five companions; joi250116supp2_prod_1771885794.27755.pdf — physical PDF p.52, eFigure 8 panel B, corresponding row and five companions.</t>
  </si>
  <si>
    <t>2025::jama.2025.24175::C013</t>
  </si>
  <si>
    <t>Complete six-row output has unresolved attribution to two outcomes</t>
  </si>
  <si>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</si>
  <si>
    <t>2025::jama.2025.24175::C014</t>
  </si>
  <si>
    <t>90-day APACHE-treatment point lies outside its stated confidence interval</t>
  </si>
  <si>
    <t>joi250116supp2_prod_1771885794.27755.pdf — physical PDF p.53, eFigure 9 panel B, APACHE II≥25×precision-immunotherapy row and 90-day-mortality caption.</t>
  </si>
  <si>
    <t>2025::jama.2025.4390::C001</t>
  </si>
  <si>
    <t>Figure 3 primary and subgroup rate quantity/scale</t>
  </si>
  <si>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</si>
  <si>
    <t>2025::jama.2025.4390::C002</t>
  </si>
  <si>
    <t>Utilization endpoint restriction</t>
  </si>
  <si>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</si>
  <si>
    <t>2025::jama.2025.4390::C003</t>
  </si>
  <si>
    <t>Adaptive diuretic decision time/population</t>
  </si>
  <si>
    <t>PLAN joi250019supp1_prod_1749674951.29554.pdf — physical PDF p. 4; REPORT jama_garrison_2025_oi_250019_1749674951.29054.pdf — physical PDF p. 2</t>
  </si>
  <si>
    <t>2025::jama.2025.4390::C004</t>
  </si>
  <si>
    <t>Allocation specification</t>
  </si>
  <si>
    <t>PLAN joi250019supp1_prod_1749674951.29554.pdf — physical PDF p. 4; REPORT jama_garrison_2025_oi_250019_1749674951.29054.pdf — physical PDF p. 3; REPORT jama_garrison_2025_oi_250019_1749674951.29054.pdf — physical PDF p. 7; PLAN joi250019supp2_prod_1749674951.30054.pdf — physical PDF p. 4</t>
  </si>
  <si>
    <t>2025::jama.2025.4390::C005</t>
  </si>
  <si>
    <t>LTC medication-control criterion</t>
  </si>
  <si>
    <t>PLAN joi250019supp2_prod_1749674951.30054.pdf — physical PDF p. 2; REPORT jama_garrison_2025_oi_250019_1749674951.29054.pdf — physical PDF p. 3; REPORT jama_garrison_2025_oi_250019_1749674951.29054.pdf — physical PDF p. 8; REPORT joi250019supp3_prod_1749674951.30054.pdf — physical PDF p. 16</t>
  </si>
  <si>
    <t>2025::jama.2025.4390::C006</t>
  </si>
  <si>
    <t>Versioned health/glaucoma outcome hierarchy</t>
  </si>
  <si>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</si>
  <si>
    <t>2025::jama.2025.4390::C007</t>
  </si>
  <si>
    <t>Vision recall reference and aggregation</t>
  </si>
  <si>
    <t>PLAN joi250019supp1_prod_1749674951.29554.pdf — physical PDF p. 3; PLAN joi250019supp2_prod_1749674951.30054.pdf — physical PDF p. 2; REPORT jama_garrison_2025_oi_250019_1749674951.29054.pdf — physical PDF p. 3; REPORT jama_garrison_2025_oi_250019_1749674951.29054.pdf — physical PDF p. 8</t>
  </si>
  <si>
    <t>2025::jama.2025.4390::C008</t>
  </si>
  <si>
    <t>Six medication-class subgroup prespecification axes</t>
  </si>
  <si>
    <t>PLAN joi250019supp2_prod_1749674951.30054.pdf — physical PDF p. 6; REPORT jama_garrison_2025_oi_250019_1749674951.29054.pdf — physical PDF p. 6; REPORT jama_garrison_2025_oi_250019_1749674951.29054.pdf — physical PDF p. 9</t>
  </si>
  <si>
    <t>2025::jama.2025.4390::C009</t>
  </si>
  <si>
    <t>Planned within-arm withdrawal sensitivity contrast</t>
  </si>
  <si>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</si>
  <si>
    <t>2025::jama.2025.4390::C010</t>
  </si>
  <si>
    <t>eTable 4 chronotype test reproduction</t>
  </si>
  <si>
    <t>REPORT joi250019supp3_prod_1749674951.30054.pdf — physical PDF p. 33; REPORT joi250019supp3_prod_1749674951.30054.pdf — physical PDF p. 34; REPORT joi250019supp3_prod_1749674951.30054.pdf — physical PDF p. 35; REPORT joi250019supp3_prod_1749674951.30054.pdf — physical PDF p. 36</t>
  </si>
  <si>
    <t>2025::jama.2025.4390::C011</t>
  </si>
  <si>
    <t>eTable 5 ethnicity totals</t>
  </si>
  <si>
    <t>REPORT joi250019supp3_prod_1749674951.30054.pdf — physical PDF p. 37; REPORT joi250019supp3_prod_1749674951.30054.pdf — physical PDF p. 40</t>
  </si>
  <si>
    <t>2025::jama.2025.4390::C012</t>
  </si>
  <si>
    <t>Identical medication tables, differing P values</t>
  </si>
  <si>
    <t>REPORT joi250019supp3_prod_1749674951.30054.pdf — physical PDF p. 39; REPORT joi250019supp3_prod_1749674951.30054.pdf — physical PDF p. 37; REPORT joi250019supp3_prod_1749674951.30054.pdf — physical PDF p. 40</t>
  </si>
  <si>
    <t>2025::jama.2025.4390::C013</t>
  </si>
  <si>
    <t>ARB bedtime Other Reason fraction</t>
  </si>
  <si>
    <t>REPORT joi250019supp3_prod_1749674951.30054.pdf — physical PDF p. 46; REPORT joi250019supp3_prod_1749674951.30054.pdf — physical PDF p. 45; REPORT joi250019supp3_prod_1749674951.30054.pdf — physical PDF p. 48</t>
  </si>
  <si>
    <t>2025::jama.2025.7583::C001</t>
  </si>
  <si>
    <t>Planned complication comparison has no supplied comparative result</t>
  </si>
  <si>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</si>
  <si>
    <t>2025::jama.2025.7583::C002</t>
  </si>
  <si>
    <t>Strict versus inclusive primary recurrence boundary</t>
  </si>
  <si>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</si>
  <si>
    <t>2025::jama.2025.7583::C003</t>
  </si>
  <si>
    <t>Disclosed cause-restricted death amendment in primary composite</t>
  </si>
  <si>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</si>
  <si>
    <t>2025::jama.2025.7583::C004</t>
  </si>
  <si>
    <t>Midline-shift samples exceed stated unilateral populations</t>
  </si>
  <si>
    <t>REPORT jama_shotar_2025_oi_250033_1750956987.75881.pdf — physical p. 5, Table 1 headers, Unilateral CSDH row, Midline shift row and continuation footnote d. Physical p. 5 is printed journal p. 131; evidence links use physical pagination.</t>
  </si>
  <si>
    <t>2025::jama.2025.7710::C001</t>
  </si>
  <si>
    <t>Planned prognostic-adjusted primary result is not identified</t>
  </si>
  <si>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</si>
  <si>
    <t>2025::jama.2025.7710::C002</t>
  </si>
  <si>
    <t>Planned component multiplicity adjustment differs from reported rule</t>
  </si>
  <si>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</si>
  <si>
    <t>2025::jama.2025.7710::C003</t>
  </si>
  <si>
    <t>Prior-cesarean subgroup history window differs from protocol</t>
  </si>
  <si>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</si>
  <si>
    <t>2025::jama.2025.9110::C001</t>
  </si>
  <si>
    <t>Planned ventilation Cox analysis replaced by a tobit mean contrast</t>
  </si>
  <si>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</si>
  <si>
    <t>2025::jama.2025.9110::C002</t>
  </si>
  <si>
    <t>Printed ICU confidence interval and P value have different null-status readings</t>
  </si>
  <si>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</si>
  <si>
    <t>2025::jama.2025.9110::C003</t>
  </si>
  <si>
    <t>Original primary-power correlation assumptions differ between SAP and report</t>
  </si>
  <si>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</si>
  <si>
    <t>2025::jama.2025.9663::C001</t>
  </si>
  <si>
    <t>Missing stratification-only primary-outcome analysis</t>
  </si>
  <si>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</si>
  <si>
    <t>2025::jama.2025.9663::C002</t>
  </si>
  <si>
    <t>Retained protocol stay test versus SAP/report stay method</t>
  </si>
  <si>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</si>
  <si>
    <t>2025::jama.2025.9663::C003</t>
  </si>
  <si>
    <t>SAP all-outcome MICE versus reported selected predictors and stay censoring</t>
  </si>
  <si>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</si>
  <si>
    <t>2025::jama.2025.9663::C004</t>
  </si>
  <si>
    <t>Hospital missing-duration censoring at one hour versus one day</t>
  </si>
  <si>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</si>
  <si>
    <t>2025::jama.2025.9663::C005</t>
  </si>
  <si>
    <t>Pilot adherence numerator and progression direction</t>
  </si>
  <si>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</si>
  <si>
    <t>Field name</t>
  </si>
  <si>
    <t>Option / value</t>
  </si>
  <si>
    <t>Requirement / scope</t>
  </si>
  <si>
    <t>Explanation and example</t>
  </si>
  <si>
    <t>Internal key</t>
  </si>
  <si>
    <t>Working method</t>
  </si>
  <si>
    <t>GUIDE</t>
  </si>
  <si>
    <t>Independent primary</t>
  </si>
  <si>
    <t>Blank means no answer, never inherited. Clear obsolete literal answers after branch changes. not_applicable means inactive.</t>
  </si>
  <si>
    <t>Required judgments</t>
  </si>
  <si>
    <t>Retain only</t>
  </si>
  <si>
    <t>statistical_results: issue + substantiveness; report_internal_inconsistency or plan_material: internalStatus. protocol_report: no extra required judgment; interpretation is optional.</t>
  </si>
  <si>
    <t>How to read this Codebook</t>
  </si>
  <si>
    <t>1  |  Common decisions and optional notes</t>
  </si>
  <si>
    <t>FIELD</t>
  </si>
  <si>
    <t>Required; all domains</t>
  </si>
  <si>
    <t>Keep, exclude, or defer for discussion. Blank means untouched, not discuss. No AI disposition is preselected.</t>
  </si>
  <si>
    <t>disposition</t>
  </si>
  <si>
    <t>retain</t>
  </si>
  <si>
    <t>Option</t>
  </si>
  <si>
    <t>Retain candidate. After human review, keep this finding in the applicable review results; retaining a protocol discrepancy does not automatically confirm an issue.</t>
  </si>
  <si>
    <t>exclude</t>
  </si>
  <si>
    <t>Do not retain. The candidate has been assessed and should not remain as a finding, for example because the apparent mismatch has a satisfactory explanation.</t>
  </si>
  <si>
    <t>discuss</t>
  </si>
  <si>
    <t>Needs discussion. The reviewer has considered the candidate but cannot settle the disposition without further discussion. This is a decision to defer, not an untouched blank.</t>
  </si>
  <si>
    <t>Review domain</t>
  </si>
  <si>
    <t>Choose the assessment branch first. It controls automatic not_applicable defaults and which judgments are required. All four choices are available; the frozen document relationship code does not change.</t>
  </si>
  <si>
    <t>domain</t>
  </si>
  <si>
    <t>Statistical results (S_C / S_W). Assess reported numbers, estimates, intervals, denominators or statistical claims in the current report materials.</t>
  </si>
  <si>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</si>
  <si>
    <t>Protocol-report (P_R). Assess whether planned and reported conduct or analyses meaningfully differ, using the compared materials. No search for acknowledgment or reasons for changes is required.</t>
  </si>
  <si>
    <t>Plan material (P_P). Assess an inconsistency involving planning materials themselves rather than a planned-versus-reported result. The original relationship code remains unchanged.</t>
  </si>
  <si>
    <t>Use no while drafting; primary_done after manual review. Reset to no before editing a completed row, review again, then mark primary_done.</t>
  </si>
  <si>
    <t>reviewComplete</t>
  </si>
  <si>
    <t>Draft. This review stage is not yet confirmed complete; AI suggestions or partially filled fields do not count as completed human review.</t>
  </si>
  <si>
    <t>Calculated</t>
  </si>
  <si>
    <t>PRIMARY READY means valid independent primary entry and manual completion, including discuss. Other hints identify missing or invalid input. This does not establish scientific accuracy.</t>
  </si>
  <si>
    <t>readiness</t>
  </si>
  <si>
    <t>Optional</t>
  </si>
  <si>
    <t>Optional English context. Clearing removes the text; no inheritance and no control words.</t>
  </si>
  <si>
    <t>notes</t>
  </si>
  <si>
    <t>2  |  Statistical results: two required judgments</t>
  </si>
  <si>
    <t>Required; retained statistical_results</t>
  </si>
  <si>
    <t>Does a statistical or numerical reporting issue exist? Example: a reported percentage conflicts with its stated numerator and denominator after checking definitions. Certainty is separate from importance.</t>
  </si>
  <si>
    <t>statisticalIssueStatus</t>
  </si>
  <si>
    <t>confirmed_issue</t>
  </si>
  <si>
    <t>Confirmed statistical or numerical reporting issue. The available evidence establishes a reporting issue or contradiction, even if the correct replacement value is not known.</t>
  </si>
  <si>
    <t>probable_issue</t>
  </si>
  <si>
    <t>Probable statistical or numerical reporting issue. The evidence favors a reporting issue, but an unresolved limitation or plausible alternative prevents confirmation.</t>
  </si>
  <si>
    <t>not_issue</t>
  </si>
  <si>
    <t>Not a statistical or numerical issue. The apparent discrepancy is consistent with a valid calculation, definition, analysis method or reporting context.</t>
  </si>
  <si>
    <t>indeterminate</t>
  </si>
  <si>
    <t>Indeterminate. The available evidence does not support deciding whether a statistical or numerical reporting issue exists; neither confirmation nor dismissal is justified.</t>
  </si>
  <si>
    <t>not_applicable</t>
  </si>
  <si>
    <t>Automatic default outside this field's review domain or for a non-retained candidate. It is not an issue verdict, missing evidence, or an unanswered applicable question. Do not choose it for an applicable field.</t>
  </si>
  <si>
    <t>Could the issue meaningfully affect interpretation or data use? A harmless spacing typo is minor_presentation; an ambiguous extractable effect estimate may be substantive. An issue can be confirmed yet minor.</t>
  </si>
  <si>
    <t>substantiveStatus</t>
  </si>
  <si>
    <t>substantive</t>
  </si>
  <si>
    <t>Substantive. The issue could meaningfully change interpretation, data extraction or downstream analysis, rather than only the presentation of the result.</t>
  </si>
  <si>
    <t>minor_presentation</t>
  </si>
  <si>
    <t>Minor or presentation only. The intended result remains clear and the issue is a small formatting, labeling or typographic problem without a meaningful change in interpretation.</t>
  </si>
  <si>
    <t>Indeterminate. There is not enough information to decide whether the issue is substantive or limited to presentation.</t>
  </si>
  <si>
    <t>Optional; retained statistical_results</t>
  </si>
  <si>
    <t>Add only useful information about later extraction or analysis. direct means the affected value itself may be extracted, not that harm has occurred. Blank is allowed and means not assessed; it is not unlikely or not_applicable. This field does not determine temporal eligibility.</t>
  </si>
  <si>
    <t>downstreamImpact</t>
  </si>
  <si>
    <t>direct</t>
  </si>
  <si>
    <t>Direct extraction or analysis impact. The affected value or definition is itself an input to data extraction or subsequent analysis; this describes potential impact, not proven downstream harm.</t>
  </si>
  <si>
    <t>possible</t>
  </si>
  <si>
    <t>Possible downstream impact. A plausible route to affecting later interpretation, extraction or analysis exists, but the connection is indirect or uncertain.</t>
  </si>
  <si>
    <t>unlikely</t>
  </si>
  <si>
    <t>Unlikely downstream impact. The issue is unlikely to change extracted information or later analysis because the relevant result remains clear and usable.</t>
  </si>
  <si>
    <t>unknown</t>
  </si>
  <si>
    <t>Unable to assess. The materials do not establish enough about the affected information or its likely use to judge downstream impact.</t>
  </si>
  <si>
    <t>3  |  Report internal or planning-material inconsistency</t>
  </si>
  <si>
    <t>Required; retained report_internal_inconsistency or plan_material</t>
  </si>
  <si>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</si>
  <si>
    <t>internalStatus</t>
  </si>
  <si>
    <t>substantive_inconsistency</t>
  </si>
  <si>
    <t>Substantive inconsistency. Conflicting statements, values, labels, or descriptions in the compared report or planning materials could materially change how the study, population, procedures or results are understood.</t>
  </si>
  <si>
    <t>Minor presentation inconsistency. A real discrepancy exists, but it mainly affects presentation, including minor wording or labeling problems, and the intended meaning remains clear. Example: an imprecise label whose intended meaning is clear from context.</t>
  </si>
  <si>
    <t>non_inconsistency</t>
  </si>
  <si>
    <t>Not an inconsistency. The statements are compatible once their definitions, populations, time points or other context are taken into account. This includes different wording with the same substantive meaning. Example: participants and study participants refer to the same group.</t>
  </si>
  <si>
    <t>Indeterminate. The available material is insufficient to establish whether the statements conflict or how important any conflict is.</t>
  </si>
  <si>
    <t>4  |  Protocol versus report: optional description only</t>
  </si>
  <si>
    <t>Optional; retained protocol_report</t>
  </si>
  <si>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</si>
  <si>
    <t>protocolInterpretation</t>
  </si>
  <si>
    <t>substantive_difference</t>
  </si>
  <si>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</si>
  <si>
    <t>Minor presentation difference. A minor wording, labeling or presentation problem exists, but the intended planned and reported meaning or conduct remains clear. Example: an imprecise outcome label clarified by the same definition in both documents.</t>
  </si>
  <si>
    <t>version_timing</t>
  </si>
  <si>
    <t>Version or timing ambiguity. The difference may reflect which protocol version or date is being compared; the sequence cannot be resolved from the available material.</t>
  </si>
  <si>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</si>
  <si>
    <t>Indeterminate. The available evidence cannot support a more specific interpretation of the planned-versus-reported difference.</t>
  </si>
  <si>
    <t>5  |  Candidate context</t>
  </si>
  <si>
    <t>Reference</t>
  </si>
  <si>
    <t>Unique candidate identity used for matching, even after complete rows are reordered. Never edit this value.</t>
  </si>
  <si>
    <t>key</t>
  </si>
  <si>
    <t>Short candidate title. A candidate is an AI flag for human assessment, not a confirmed issue.</t>
  </si>
  <si>
    <t>title</t>
  </si>
  <si>
    <t>Source reference</t>
  </si>
  <si>
    <t>Where to check the source claim. Open the original documents named here (file and PDF page).</t>
  </si>
  <si>
    <t>locations</t>
  </si>
  <si>
    <t>primary_done</t>
  </si>
  <si>
    <t>R_BT</t>
    <phoneticPr fontId="5" type="noConversion"/>
  </si>
  <si>
    <t>BulunTe</t>
    <phoneticPr fontId="5" type="noConversion"/>
  </si>
  <si>
    <t>Review1</t>
    <phoneticPr fontId="5" type="noConversion"/>
  </si>
  <si>
    <t>The abstract's no-significant-difference quality-of-life summary and the body's unqualified no-difference statement do not reconcile with the cited day-7 EQ-5D index P=.02 when read as covering the displayed day-specific contrasts.</t>
    <phoneticPr fontId="5" type="noConversion"/>
  </si>
  <si>
    <t>The supplied plan specifies a UK hospital-stay difference analysis, while the complete supplied REPORT material presents geometric-mean ratios without the planned additive difference estimate and interval.</t>
    <phoneticPr fontId="5" type="noConversion"/>
  </si>
  <si>
    <t>Although 'or were not expected to survive beyond 30 days' criteria is not presented in protocol, yet authors have confirmed the limitation in dicusttion 'This may reflect that this study did not include patients unlikely to survive 30 days after the procedure (eg, ASA class 5).'</t>
    <phoneticPr fontId="5" type="noConversion"/>
  </si>
  <si>
    <t>At the same model level, an unstructured covariance allows variances and between-time-point covariances to be freely estimated, whereas an independent structure constrains the between-time-point covariances to zero. This distinction may affect standard errors, confidence intervals, and tests, although the reported text alone does not establish its numerical impact.</t>
    <phoneticPr fontId="5" type="noConversion"/>
  </si>
  <si>
    <t>SAP §9.6 p.26 lists participant as a fixed effect together with treatment group and baseline score; read literally, these are aliased with participant indicators. The repeated-measures/unstructured-covariance wording makes the intended model clear, so I treat it as a wording slip in the plan.</t>
    <phoneticPr fontId="5" type="noConversion"/>
  </si>
  <si>
    <t>RSA C v3.0 (Supp1 p.112) and v6.0 (p.184) list change in muscle strength (HHD and grip) as a secondary efficacy endpoint; R-SAP v1.0/v3.0 (Supp2 pp.76-78, 109-112) and the report (main p.3; Supp3 pp.5-6) treat HHD as exploratory. Outcome-status change; report follows the SAP.</t>
    <phoneticPr fontId="5" type="noConversion"/>
  </si>
  <si>
    <t>The main article describes plasma NfL analysis as prespecified, whereas Supplement 3 states that it was added post hoc following an assay substitution, "The plasma analysis was pre-specified in Clene Nanomedicine’s Pharmacodynamic SAP originally as UCH-L1 alone, but due to non-availability of the UCH-L1 assay the Neurology 4 Plex-A (including NfL) was analyzed, thus it is considered post-hoc for the purposes of this manuscript"</t>
    <phoneticPr fontId="5" type="noConversion"/>
  </si>
  <si>
    <t>Several named planned primary/key-secondary sensitivity, supportive, missingness, follow-up and subgroup analyses have no identifiable quantitative output in the supplied report package.</t>
    <phoneticPr fontId="5" type="noConversion"/>
  </si>
  <si>
    <t>The latest supplied SAP specifies adjusted primary CAFS rank inference, whereas the report names Wilcoxon rank-sum for its CAFS result, "Revision of Section 6.5.2 CAFS to clarify that the primary CAFS analysis is specified in the ALS Master Protocol Recommended Statistical Analysis, Design and Simulation Report and is an adjusted analysis, to provide code for an adjusted analysis…" in supplement file 2.</t>
    <phoneticPr fontId="5" type="noConversion"/>
  </si>
  <si>
    <t>Survival methods list five adjustment covariates while the result-table footnote lists the same five plus sex. Inconsistency exists inside main paper, "Rates of death or death-equivalent events (PAV, defined as use of ventilation for &gt;22 hours per day for more than 7 consecutive days) were analyzed using a Cox proportional hazards model, with covariates of prebaseline ALSFRS-R slope, months since symptom onset, riluzole and edaravone use at baseline, and age at baseline." v.s. "Models adjusted for age, sex, time since symptom onset, prebaseline ALSFRS-R slope, riluzole use at baseline, and edaravone use at baseline." in the footnote b of table2.</t>
    <phoneticPr fontId="5" type="noConversion"/>
  </si>
  <si>
    <t>Missing the result of log-rank tests, which is mentioned in SAP(supp2) as follow "  In the presence of a significant different by the logrank test, inference on whether active treatment extended survival will be based on the hazard ratio estimated from an unadjusted Cox proportional hazards regression.   "</t>
    <phoneticPr fontId="5" type="noConversion"/>
  </si>
  <si>
    <t>The article (0.007/0.006) and results supplement (0.010/0.009) give different monthly mortality-component estimates for the matched Bayesian primary model.</t>
    <phoneticPr fontId="5" type="noConversion"/>
  </si>
  <si>
    <t>The same SVC values are described as 24-week changes and as monthly rates, leaving their quantity and time scale unclear.</t>
    <phoneticPr fontId="5" type="noConversion"/>
  </si>
  <si>
    <t>Main p.4 says '4 of the 41 participants in the regimen placebo group and 2 in the shared placebo group were excluded' for no follow-up time, but Table 2 (p.7) uses 4/41 as regimen-placebo events and only 2 shared-placebo exclusions (164-2=162). The sentence misattributes the 4 events as exclusions.</t>
    <phoneticPr fontId="5" type="noConversion"/>
  </si>
  <si>
    <t>Reported prespecified subgroup partitions differ from the supplied prospective delta-FRS and weight definitions.</t>
    <phoneticPr fontId="5" type="noConversion"/>
  </si>
  <si>
    <t>The protocol's week-24 six-point decline proportion differs from the SAP's first-event decline/death composite.  If a patient died before a 6-point score decrease was documented, the composite endpoint would have occurred  according to the SAP; however, the aforementioned clause in the protocol does not specify how to handle such a   scenario. Therefore, the two definitions cannot be directly considered equivalent, though the SAP may be formally refining the original protocol.</t>
    <phoneticPr fontId="5" type="noConversion"/>
  </si>
  <si>
    <t>Three NfL table (eTable3) rows give printed confidence-interval and P-value significance readings that do not agree. Maybe caused by rounding issue,</t>
    <phoneticPr fontId="5" type="noConversion"/>
  </si>
  <si>
    <t>Clarification is needed regarding whether the changes in serum NfL, between-group differences, and confidence intervals are on the log scale or the back-transformed percentage scale. The current values suggest that the scales may have been mixed, but they are insufficient to determine the underlying derivation process.</t>
    <phoneticPr fontId="5" type="noConversion"/>
  </si>
  <si>
    <t>The supplied primary-design simulation prose describes decreasing estimated DRR where its table shows an increasing DRR sequence.</t>
    <phoneticPr fontId="5" type="noConversion"/>
  </si>
  <si>
    <t>A visible dash before a wrapped decimal permits a signed CAFS probability reading that conflicts with the positive matched-control figure. But since probability could not be negative, this is not an issue.</t>
    <phoneticPr fontId="5" type="noConversion"/>
  </si>
  <si>
    <t>For below-quantitation serum NfL values, the SAP specifies LOQ replacement while the results supplement specifies assay LOD replacement (imputation), which might affect results substantilly, since the author said "This result suggests that the magnitude but not directionality of the analysis of serum NfL was sensitive to the effect of an outlier." in the "Biomarker Analyses"</t>
    <phoneticPr fontId="5" type="noConversion"/>
  </si>
  <si>
    <r>
      <t>Candidate reporting issue: The planned 45–60-minute online session range differs from the reported 30–45-minute range, leaving the extractable session-duration convention unresolved.</t>
    </r>
    <r>
      <rPr>
        <sz val="11"/>
        <color rgb="FF173F57"/>
        <rFont val="等线"/>
        <family val="2"/>
        <charset val="134"/>
      </rPr>
      <t xml:space="preserve"> However, page 4 of the main text states that "The intention-to-treat principle was used for all analyses"; the primary model estimates efficacy according to randomized groups, and course minutes are not included among the listed model variables. This discrepancy in description does not in itself alter the extracted RR, confidence intervals, or sample size, nor is it sufficient to infer a change in statistical significance.</t>
    </r>
    <phoneticPr fontId="5" type="noConversion"/>
  </si>
  <si>
    <t xml:space="preserve"> The printed randomized painTRAINER adherence count of 371 (43%) does not reconcile with the randomized denominator of 776.</t>
    <phoneticPr fontId="5" type="noConversion"/>
  </si>
  <si>
    <t>C003 concerns the standardized mean differences (SMDs) in Table 3: multiple values cannot be reconciled using the methods stated in the paper, and some even have signs opposite to those of the corresponding mean differences. This   may directly affect downstream meta-analyses that utilize these SMDs; however, at present, it cannot be concluded on this basis that the primary efficacy findings have changed.</t>
    <phoneticPr fontId="5" type="noConversion"/>
  </si>
  <si>
    <t>C004 pertains to three integer NNT values that do not strictly correspond to the direct reciprocals of the
  percentages reported in the table. However,rounding up, combined with unshown decimal places, can account for these three values.</t>
    <phoneticPr fontId="5" type="noConversion"/>
  </si>
  <si>
    <t>Age was actually included in the analytical model and was referred to in the supplementary materials as a "prespecified baseline adjustment variable"; however, age was not listed in the study protocol, the SAP's primary analysis adjustment list, or the main text.</t>
    <phoneticPr fontId="5" type="noConversion"/>
  </si>
  <si>
    <t>The report explicitly adds the baseline value of each secondary outcome to adjustment, while the plans’ explicit secondary lists name baseline pain severity and stratification variables.</t>
    <phoneticPr fontId="5" type="noConversion"/>
  </si>
  <si>
    <t>The characterization of the hierarchy between "primary analysis / sensitivity analysis" is not fully consistent between the SAP and the published report. Upon re-examination, the use of imputation and weighting in the primary analysis has an explicit basis in the SAP revisions, and it cannot be concluded that it deviated from the plan solely based on the retained MAR statement.</t>
    <phoneticPr fontId="5" type="noConversion"/>
  </si>
  <si>
    <t>In the supplementary materials, the overall P-values for physical function at 6 and 12 months cannot be reconciled with the between-group differences and 95% confidence intervals in the same row under conventional Wald test reconstruction. Currently, there is no evidence to suggest that this would overturn the paper's primary conclusions; its impact on downstream analyses depends on whether these two P-values are utilized.</t>
    <phoneticPr fontId="5" type="noConversion"/>
  </si>
  <si>
    <t>C017 concerns the proportion of depression in the supplementary workbook: for the same group, it reports 711 individuals, a total of 1,568, and 2 missing, yet the percentage is labeled as 73.2%. Calculating according to the explicit denominator rule within the table yields approximately 45.4%. This substantially impacts the interpretation of this group's baseline characteristics and differences in loss to follow-up.</t>
    <phoneticPr fontId="5" type="noConversion"/>
  </si>
  <si>
    <t>The explanation of interval construction is insufficient, making it impossible to reconcile the interpretation of the certainty of benefit for the same comparison.</t>
    <phoneticPr fontId="5" type="noConversion"/>
  </si>
  <si>
    <t>The explanatory text refers to them as "means," whereas the table title and column headers label them as "medians and quartiles." Consequently, the statistical interpretation of the group values and the parenthetical ranges reported in the table remains ambiguous.</t>
    <phoneticPr fontId="5" type="noConversion"/>
  </si>
  <si>
    <r>
      <t>The table reports the same NNT as "63 (95% CI, 18–38)," yet the point estimate of 63 falls outside the interval</t>
    </r>
    <r>
      <rPr>
        <sz val="11"/>
        <color rgb="FF173F57"/>
        <rFont val="等线"/>
        <family val="2"/>
        <charset val="134"/>
      </rPr>
      <t xml:space="preserve"> </t>
    </r>
    <r>
      <rPr>
        <sz val="11"/>
        <color rgb="FF173F57"/>
        <rFont val="Calibri"/>
        <family val="2"/>
      </rPr>
      <t>of 18–38.</t>
    </r>
    <phoneticPr fontId="5" type="noConversion"/>
  </si>
  <si>
    <t>C015 pertains to the ambiguous sample size definition in supplementary table eTable 8: the first group header labels the participant counts across the three groups as counts "at 3 months," totaling 454, yet it also states that only 366 participants completed at least one follow-up visit. If the former represents participants who actually completed the 3-month follow-up, the two figures cannot be reconciled; if it denotes the randomized sample size, the discrepancy can be explained.</t>
    <phoneticPr fontId="5" type="noConversion"/>
  </si>
  <si>
    <t>C010 pertains to multiple instances in Table 3 where SMD point estimates fall outside their corresponding 95% confidence intervals. A total of 14 instances were verified; among them, 9 instances remain irreconcilable even after accounting for reporting precision, while the remaining 5 differ by only 0.01.</t>
    <phoneticPr fontId="5" type="noConversion"/>
  </si>
  <si>
    <t>C014 concerns the correspondence between the 95% confidence intervals and P-values across 10 rows in the supplementary materials. In 7 of these rows, the intervals clearly exclude zero yet report P &gt; 0.05, which warrants clarification; in the remaining 3 rows, an interval endpoint is printed exactly as 1, which can likely be explained  simply by rounding</t>
    <phoneticPr fontId="5" type="noConversion"/>
  </si>
  <si>
    <t xml:space="preserve"> The restricted-primary subset analysis attribution and its explicit adjustment footnote differ on education and employment membership from the full selected primary mode</t>
    <phoneticPr fontId="5" type="noConversion"/>
  </si>
  <si>
    <t>The report describes seven differently oriented PROMIS-29 domains but reports one scalar mean and adjusted effect without identifying its aggregation, transformation or direction.</t>
    <phoneticPr fontId="5" type="noConversion"/>
  </si>
  <si>
    <t>In Table 2, the sums of the category counts exceed their corresponding totals in two instances.</t>
    <phoneticPr fontId="5" type="noConversion"/>
  </si>
  <si>
    <t>Protocol §11.4.1-11.4.2 (p.86) and §11.5 (p.87): primary analysis in the FAS of all randomized, missing data by multiple imputation. SAP (p.4 footnote 1; §4.3) and report (main p.4; Supp3 pp.12-13) exclude the 28 participants who died before 3 months from the primary analysis (n=582 of 610); death-inclusive analyses (estimands 3, 4; post hoc estimand 10) are supportive. Report calls the protocol-SAP differences 'terminology' (main p.5).</t>
    <phoneticPr fontId="5" type="noConversion"/>
  </si>
  <si>
    <t>Every supplied protocol version specifies a mixed model with a random center intercept (synopses pp.10, 56; §11.4.2 pp.39, 86), and the final version adds stroke type as a fixed effect. SAP §5.2 (p.10), main p.4 and the code (Supp5, OCR: lm(fma_affected.Visit_3 ~ fma_affected.Visit_1.cent + medication)) fit baseline FMA and treatment only. Randomization was minimized within center (main p.3), but center is not in the analysis model.</t>
    <phoneticPr fontId="5" type="noConversion"/>
  </si>
  <si>
    <t>Not found in any report document (main article; Supp3 index of 9 eTables and 7 eFigures; Supp4 is the investigator list): SAP §7 center and treatment-by-center interaction model, SAP §7.2 seven prespecified subgroup interactions with forest plot (ICEMAN addendum pp.14-15), protocol §11.4.3(b) treatment x stroke type and (c) added-covariable analyses. Planned analyses reported as 'post hoc': center plot (eFigure 5) and the protocol per-protocol set (estimand 11). Main p.5 says prespecified analyses were performed as outlined in the SAP.</t>
    <phoneticPr fontId="5" type="noConversion"/>
  </si>
  <si>
    <t>SAP §6 (p.11): missing secondary outcomes imputed as for the primary analysis (100 MICE imputations); only harm outcomes not imputed. Report (main p.5; Supp3 p.7 deviations) did not impute mRS (deaths set to 6; analysis n=596) or the patient-reported relevance item (PRAI; n=546). Disclosed as SAP deviations in Supp3 p.7.</t>
    <phoneticPr fontId="5" type="noConversion"/>
  </si>
  <si>
    <t xml:space="preserve"> Continuity-corrected two-proportion power (R) reproduces the other cells within about 2 points (e.g., 41.8/20.5/52.1 vs 41/20/52 in the same row) but gives 28.6% for this cell. Subgroup power is low either way.</t>
    <phoneticPr fontId="5" type="noConversion"/>
  </si>
  <si>
    <t>The criteria for moderate hyperglycemia were not fully consistent across the article, operations manual, and Statistical Analysis Plan (SAP). Although the available evidence confirms discrepancies in the written definitions, it remains unclear how many participants were affected by differential classification and to what extent the reported risk ratio would consequently change.</t>
  </si>
  <si>
    <t>C002 relates to the analysis of BPD (bronchopulmonary dysplasia) severity. Although the prespecified analysis was ordinal, the article presents category-specific ORs for each BPD severity level relative to “no BPD.” Because these analyses address different statistical estimands, the relationship between the reported results and the prespecified analysis remains unclear from the available materials.</t>
  </si>
  <si>
    <t>C003 indicates that, although the primary outcome of “BPD or death” was reported, several explicitly prespecified supplementary analyses were not found in the provided article or supplementary results. Moreover, some subgroup analyses used alternative definitions of the outcome and gestational-age groupings.</t>
  </si>
  <si>
    <t>Protocol Table 2 (Supp1 p.12; OCR and rendered) prints historical-cohort Grade 3 BPD as 20% (31/294); 31/294=10.5%, and 91 (grade 3 or death) - 31 (death) = 60, 60/294=20.4%, categories then sum to 294. A real typo (31 copied from the death row), but it is background data from a prior cohort, not a design element of this trial.</t>
  </si>
  <si>
    <t>GDB MOP Appendix J Table 1 (Supp2 p.152, OCR) gives factor 4 at 0.125 LPM/2.5 kg; 100 x flow/weight = 5. The same row's 4-kg cell (3.125 -&gt; printed 4) is also off by one. Effect on effective FiO2 is 24% vs 25% at 100% O2 (Table 2, p.154), below the 27%/30% decision thresholds, so physiologic BPD classification is unaffected.</t>
  </si>
  <si>
    <t>C006 identifies a discrepancy in the stated confidence-interval method. Although the supplementary materials describe several low-event-count results as using exact 95% confidence intervals, the reported intervals are reproducible as log-Wald approximate intervals.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</si>
</sst>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sz val="11"/>
      <color rgb="FF173F57"/>
      <name val="Calibri"/>
      <family val="2"/>
    </font>
    <font>
      <b/>
      <sz val="11"/>
      <color rgb="FFFFFFFF"/>
      <name val="Calibri"/>
      <family val="2"/>
    </font>
    <font>
      <sz val="11"/>
      <color rgb="FF173F57"/>
      <name val="Calibri"/>
      <family val="2"/>
    </font>
    <font>
      <b/>
      <sz val="11"/>
      <color rgb="FFFFFFFF"/>
      <name val="Calibri"/>
      <family val="2"/>
    </font>
    <font>
      <sz val="9"/>
      <name val="宋体"/>
      <family val="3"/>
      <charset val="134"/>
    </font>
    <font>
      <sz val="11"/>
      <color rgb="FF173F57"/>
      <name val="等线"/>
      <family val="2"/>
      <charset val="134"/>
    </font>
  </fonts>
  <fills count="9">
    <fill>
      <patternFill patternType="none"/>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s>
  <borders count="1">
    <border>
      <left/>
      <right/>
      <top/>
      <bottom/>
      <diagonal/>
    </border>
  </borders>
  <cellStyleXfs count="1">
    <xf numFmtId="0" fontId="0" fillId="0" borderId="0">
      <protection locked="0"/>
    </xf>
  </cellStyleXfs>
  <cellXfs count="11">
    <xf numFmtId="0" fontId="0" fillId="0" borderId="0" xfId="0">
      <protection locked="0"/>
    </xf>
    <xf numFmtId="0" fontId="1" fillId="0" borderId="0" xfId="0" applyFont="1" applyAlignment="1">
      <alignment vertical="center" wrapText="1"/>
      <protection locked="0"/>
    </xf>
    <xf numFmtId="0" fontId="2" fillId="2" borderId="0" xfId="0" applyFont="1" applyFill="1" applyAlignment="1">
      <alignment vertical="center" wrapText="1"/>
      <protection locked="0"/>
    </xf>
    <xf numFmtId="0" fontId="1" fillId="3" borderId="0" xfId="0" applyFont="1" applyFill="1" applyAlignment="1">
      <alignment vertical="center" wrapText="1"/>
      <protection locked="0"/>
    </xf>
    <xf numFmtId="0" fontId="1" fillId="4" borderId="0" xfId="0" applyFont="1" applyFill="1" applyAlignment="1">
      <alignment vertical="center" wrapText="1"/>
      <protection locked="0"/>
    </xf>
    <xf numFmtId="0" fontId="4" fillId="5" borderId="0" xfId="0" applyFont="1" applyFill="1" applyAlignment="1">
      <alignment vertical="center" wrapText="1"/>
      <protection locked="0"/>
    </xf>
    <xf numFmtId="0" fontId="3" fillId="6" borderId="0" xfId="0" applyFont="1" applyFill="1" applyAlignment="1">
      <alignment vertical="center" wrapText="1"/>
      <protection locked="0"/>
    </xf>
    <xf numFmtId="0" fontId="3" fillId="0" borderId="0" xfId="0" applyFont="1" applyAlignment="1">
      <alignment vertical="center" wrapText="1"/>
      <protection locked="0"/>
    </xf>
    <xf numFmtId="0" fontId="1" fillId="7" borderId="0" xfId="0" applyFont="1" applyFill="1" applyAlignment="1">
      <alignment vertical="center" wrapText="1"/>
      <protection locked="0"/>
    </xf>
    <xf numFmtId="0" fontId="1" fillId="8" borderId="0" xfId="0" applyFont="1" applyFill="1" applyAlignment="1">
      <alignment vertical="center" wrapText="1"/>
      <protection locked="0"/>
    </xf>
    <xf numFmtId="0" fontId="1" fillId="6" borderId="0" xfId="0" applyFont="1" applyFill="1" applyAlignment="1">
      <alignment vertical="center" wrapText="1"/>
      <protection locked="0"/>
    </xf>
  </cellXfs>
  <cellStyles count="1">
    <cellStyle name="Normal" xfId="0" builtinId="0"/>
  </cellStyles>
  <dxfs count="60">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
      <font>
        <color rgb="FF687783"/>
      </font>
      <fill>
        <patternFill patternType="solid">
          <fgColor rgb="FFEDF2F5"/>
        </patternFill>
      </fill>
    </dxf>
    <dxf>
      <font>
        <color rgb="FF687783"/>
      </font>
      <fill>
        <patternFill patternType="solid">
          <fgColor rgb="FFEDF2F5"/>
        </patternFill>
      </fill>
    </dxf>
    <dxf>
      <font>
        <color rgb="FF687783"/>
      </font>
      <fill>
        <patternFill patternType="solid">
          <fgColor rgb="FFEDF2F5"/>
        </patternFill>
      </fill>
    </dxf>
    <dxf>
      <font>
        <color rgb="FF9C0006"/>
      </font>
      <fill>
        <patternFill patternType="solid">
          <f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showGridLines="0" workbookViewId="0">
      <pane xSplit="1" ySplit="1" topLeftCell="B2" activePane="bottomRight" state="frozen"/>
      <selection pane="topRight"/>
      <selection pane="bottomLeft"/>
      <selection pane="bottomRight" activeCell="B5" sqref="B5"/>
    </sheetView>
  </sheetViews>
  <sheetFormatPr defaultRowHeight="13.8"/>
  <cols>
    <col min="1" max="1" width="34" customWidth="1"/>
    <col min="2" max="2" width="65" customWidth="1"/>
  </cols>
  <sheetData>
    <row r="1" spans="1:2" ht="42" customHeight="1">
      <c r="A1" s="5" t="s">
        <v>0</v>
      </c>
      <c r="B1" s="5" t="s">
        <v>1</v>
      </c>
    </row>
    <row r="2" spans="1:2" ht="42" customHeight="1">
      <c r="A2" s="6" t="s">
        <v>2</v>
      </c>
      <c r="B2" s="8" t="s">
        <v>571</v>
      </c>
    </row>
    <row r="3" spans="1:2" ht="42" customHeight="1">
      <c r="A3" s="7" t="s">
        <v>3</v>
      </c>
      <c r="B3" s="8" t="s">
        <v>572</v>
      </c>
    </row>
    <row r="4" spans="1:2" ht="42" customHeight="1">
      <c r="A4" s="6" t="s">
        <v>4</v>
      </c>
      <c r="B4" s="10" t="s">
        <v>573</v>
      </c>
    </row>
    <row r="5" spans="1:2" ht="42" customHeight="1">
      <c r="A5" s="7" t="s">
        <v>5</v>
      </c>
      <c r="B5" s="7">
        <v>2025</v>
      </c>
    </row>
  </sheetData>
  <phoneticPr fontId="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
  <sheetViews>
    <sheetView showGridLines="0" workbookViewId="0">
      <pane xSplit="1" ySplit="1" topLeftCell="B5" activePane="bottomRight" state="frozen"/>
      <selection pane="topRight"/>
      <selection pane="bottomLeft"/>
      <selection pane="bottomRight"/>
    </sheetView>
  </sheetViews>
  <sheetFormatPr defaultRowHeight="13.8"/>
  <cols>
    <col min="1" max="1" width="35" customWidth="1"/>
    <col min="2" max="2" width="100" customWidth="1"/>
  </cols>
  <sheetData>
    <row r="1" spans="1:2" ht="42" customHeight="1">
      <c r="A1" s="5" t="s">
        <v>6</v>
      </c>
      <c r="B1" s="5" t="s">
        <v>7</v>
      </c>
    </row>
    <row r="2" spans="1:2" ht="55.05" customHeight="1">
      <c r="A2" s="6" t="s">
        <v>8</v>
      </c>
      <c r="B2" s="6" t="str">
        <f>Setup!B4</f>
        <v>Review1</v>
      </c>
    </row>
    <row r="3" spans="1:2" ht="55.05" customHeight="1">
      <c r="A3" s="7" t="s">
        <v>9</v>
      </c>
      <c r="B3" s="7">
        <v>133</v>
      </c>
    </row>
    <row r="4" spans="1:2" ht="55.05" customHeight="1">
      <c r="A4" s="6" t="s">
        <v>10</v>
      </c>
      <c r="B4" s="6">
        <f>COUNTIF('C_jama.2024.24764'!$G$2:$G$6,"PRIMARY READY")+COUNTIF('C_jama.2024.27643'!$G$2:$G$17,"PRIMARY READY")+COUNTIF('C_jama.2025.11178'!$G$2:$G$19,"PRIMARY READY")+COUNTIF('C_jama.2025.15185'!$G$2:$G$7,"PRIMARY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52</v>
      </c>
    </row>
    <row r="5" spans="1:2" ht="55.05" customHeight="1">
      <c r="A5" s="7" t="s">
        <v>11</v>
      </c>
      <c r="B5" s="7">
        <f>COUNTIF('C_jama.2024.24764'!$D$2:$D$6,"discuss")+COUNTIF('C_jama.2024.27643'!$D$2:$D$17,"discuss")+COUNTIF('C_jama.2025.11178'!$D$2:$D$19,"discuss")+COUNTIF('C_jama.2025.15185'!$D$2:$D$7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0</v>
      </c>
    </row>
    <row r="6" spans="1:2" ht="55.05" customHeight="1">
      <c r="A6" s="6" t="s">
        <v>12</v>
      </c>
      <c r="B6" s="6">
        <f>B3-B4</f>
        <v>81</v>
      </c>
    </row>
    <row r="7" spans="1:2" ht="55.05" customHeight="1">
      <c r="A7" s="7" t="s">
        <v>13</v>
      </c>
      <c r="B7" s="7" t="str">
        <f>IF(B4=B3,"PRIMARY READY","ACTION NEEDED")</f>
        <v>ACTION NEEDED</v>
      </c>
    </row>
    <row r="8" spans="1:2" ht="55.05" customHeight="1">
      <c r="A8" s="6" t="s">
        <v>14</v>
      </c>
      <c r="B8" s="6" t="s">
        <v>15</v>
      </c>
    </row>
    <row r="9" spans="1:2" ht="55.05" customHeight="1">
      <c r="A9" s="7" t="s">
        <v>16</v>
      </c>
      <c r="B9" s="7" t="s">
        <v>17</v>
      </c>
    </row>
  </sheetData>
  <phoneticPr fontId="5"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
  <sheetViews>
    <sheetView showGridLines="0" workbookViewId="0">
      <pane xSplit="1" ySplit="1" topLeftCell="B2" activePane="bottomRight" state="frozen"/>
      <selection pane="topRight"/>
      <selection pane="bottomLeft"/>
      <selection pane="bottomRight"/>
    </sheetView>
  </sheetViews>
  <sheetFormatPr defaultRowHeight="13.8"/>
  <cols>
    <col min="1" max="1" width="32" customWidth="1"/>
    <col min="2" max="2" width="38" customWidth="1"/>
    <col min="3" max="3" width="18" customWidth="1"/>
  </cols>
  <sheetData>
    <row r="1" spans="1:3" ht="42" customHeight="1">
      <c r="A1" s="5" t="s">
        <v>18</v>
      </c>
      <c r="B1" s="5" t="s">
        <v>19</v>
      </c>
      <c r="C1" s="5" t="s">
        <v>9</v>
      </c>
    </row>
    <row r="2" spans="1:3" ht="36" customHeight="1">
      <c r="A2" s="6" t="s">
        <v>20</v>
      </c>
      <c r="B2" s="6" t="s">
        <v>21</v>
      </c>
      <c r="C2" s="6">
        <v>5</v>
      </c>
    </row>
    <row r="3" spans="1:3" ht="36" customHeight="1">
      <c r="A3" s="7" t="s">
        <v>22</v>
      </c>
      <c r="B3" s="7" t="s">
        <v>23</v>
      </c>
      <c r="C3" s="7">
        <v>16</v>
      </c>
    </row>
    <row r="4" spans="1:3" ht="36" customHeight="1">
      <c r="A4" s="6" t="s">
        <v>24</v>
      </c>
      <c r="B4" s="6" t="s">
        <v>25</v>
      </c>
      <c r="C4" s="6">
        <v>18</v>
      </c>
    </row>
    <row r="5" spans="1:3" ht="36" customHeight="1">
      <c r="A5" s="7" t="s">
        <v>26</v>
      </c>
      <c r="B5" s="7" t="s">
        <v>27</v>
      </c>
      <c r="C5" s="7">
        <v>6</v>
      </c>
    </row>
    <row r="6" spans="1:3" ht="36" customHeight="1">
      <c r="A6" s="6" t="s">
        <v>28</v>
      </c>
      <c r="B6" s="6" t="s">
        <v>29</v>
      </c>
      <c r="C6" s="6">
        <v>1</v>
      </c>
    </row>
    <row r="7" spans="1:3" ht="36" customHeight="1">
      <c r="A7" s="7" t="s">
        <v>30</v>
      </c>
      <c r="B7" s="7" t="s">
        <v>31</v>
      </c>
      <c r="C7" s="7">
        <v>6</v>
      </c>
    </row>
    <row r="8" spans="1:3" ht="36" customHeight="1">
      <c r="A8" s="6" t="s">
        <v>32</v>
      </c>
      <c r="B8" s="6" t="s">
        <v>33</v>
      </c>
      <c r="C8" s="6">
        <v>13</v>
      </c>
    </row>
    <row r="9" spans="1:3" ht="36" customHeight="1">
      <c r="A9" s="7" t="s">
        <v>34</v>
      </c>
      <c r="B9" s="7" t="s">
        <v>35</v>
      </c>
      <c r="C9" s="7">
        <v>7</v>
      </c>
    </row>
    <row r="10" spans="1:3" ht="36" customHeight="1">
      <c r="A10" s="6" t="s">
        <v>36</v>
      </c>
      <c r="B10" s="6" t="s">
        <v>37</v>
      </c>
      <c r="C10" s="6">
        <v>19</v>
      </c>
    </row>
    <row r="11" spans="1:3" ht="36" customHeight="1">
      <c r="A11" s="7" t="s">
        <v>38</v>
      </c>
      <c r="B11" s="7" t="s">
        <v>39</v>
      </c>
      <c r="C11" s="7">
        <v>14</v>
      </c>
    </row>
    <row r="12" spans="1:3" ht="36" customHeight="1">
      <c r="A12" s="6" t="s">
        <v>40</v>
      </c>
      <c r="B12" s="6" t="s">
        <v>41</v>
      </c>
      <c r="C12" s="6">
        <v>13</v>
      </c>
    </row>
    <row r="13" spans="1:3" ht="36" customHeight="1">
      <c r="A13" s="7" t="s">
        <v>42</v>
      </c>
      <c r="B13" s="7" t="s">
        <v>43</v>
      </c>
      <c r="C13" s="7">
        <v>4</v>
      </c>
    </row>
    <row r="14" spans="1:3" ht="36" customHeight="1">
      <c r="A14" s="6" t="s">
        <v>44</v>
      </c>
      <c r="B14" s="6" t="s">
        <v>45</v>
      </c>
      <c r="C14" s="6">
        <v>3</v>
      </c>
    </row>
    <row r="15" spans="1:3" ht="36" customHeight="1">
      <c r="A15" s="7" t="s">
        <v>46</v>
      </c>
      <c r="B15" s="7" t="s">
        <v>47</v>
      </c>
      <c r="C15" s="7">
        <v>3</v>
      </c>
    </row>
    <row r="16" spans="1:3" ht="36" customHeight="1">
      <c r="A16" s="6" t="s">
        <v>48</v>
      </c>
      <c r="B16" s="6" t="s">
        <v>49</v>
      </c>
      <c r="C16" s="6">
        <v>5</v>
      </c>
    </row>
  </sheetData>
  <phoneticPr fontId="5"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
  <sheetViews>
    <sheetView zoomScale="85" zoomScaleNormal="85" workbookViewId="0">
      <pane xSplit="1" ySplit="1" topLeftCell="D2" activePane="bottomRight" state="frozen"/>
      <selection pane="topRight"/>
      <selection pane="bottomLeft"/>
      <selection pane="bottomRight" activeCell="K6" sqref="K6"/>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63</v>
      </c>
      <c r="B2" s="3" t="s">
        <v>64</v>
      </c>
      <c r="C2" s="3" t="s">
        <v>65</v>
      </c>
      <c r="D2" s="8" t="s">
        <v>485</v>
      </c>
      <c r="E2" s="8" t="s">
        <v>66</v>
      </c>
      <c r="F2" s="8" t="s">
        <v>570</v>
      </c>
      <c r="G2" s="3" t="str">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IF(AND(OR(D2="retain",D2=""),OR(E2="report_internal_inconsistency",E2="plan_material")),"","not_applicable")</f>
        <v>not_applicable</v>
      </c>
      <c r="L2" s="9" t="str">
        <f>IF(AND(OR(D2="retain",D2=""),E2="protocol_report"),"","not_applicable")</f>
        <v>not_applicable</v>
      </c>
      <c r="M2" s="3"/>
      <c r="N2" s="4"/>
      <c r="O2" s="4"/>
      <c r="P2" s="4"/>
      <c r="Q2" s="4"/>
      <c r="R2" s="9" t="s">
        <v>574</v>
      </c>
    </row>
    <row r="3" spans="1:18" ht="91.95" customHeight="1">
      <c r="A3" s="1" t="s">
        <v>68</v>
      </c>
      <c r="B3" s="1" t="s">
        <v>69</v>
      </c>
      <c r="C3" s="1" t="s">
        <v>70</v>
      </c>
      <c r="D3" s="8" t="s">
        <v>485</v>
      </c>
      <c r="E3" s="8" t="s">
        <v>71</v>
      </c>
      <c r="F3" s="8" t="s">
        <v>570</v>
      </c>
      <c r="G3" s="1" t="str">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
        <v>554</v>
      </c>
      <c r="M3" s="1"/>
      <c r="N3" s="4"/>
      <c r="O3" s="4"/>
      <c r="P3" s="4"/>
      <c r="Q3" s="4"/>
      <c r="R3" s="9" t="s">
        <v>575</v>
      </c>
    </row>
    <row r="4" spans="1:18" ht="91.95" customHeight="1">
      <c r="A4" s="3" t="s">
        <v>72</v>
      </c>
      <c r="B4" s="3" t="s">
        <v>73</v>
      </c>
      <c r="C4" s="3" t="s">
        <v>74</v>
      </c>
      <c r="D4" s="8" t="s">
        <v>485</v>
      </c>
      <c r="E4" s="8" t="s">
        <v>71</v>
      </c>
      <c r="F4" s="8" t="s">
        <v>570</v>
      </c>
      <c r="G4" s="3" t="str">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
        <v>526</v>
      </c>
      <c r="M4" s="3"/>
      <c r="N4" s="4"/>
      <c r="O4" s="4"/>
      <c r="P4" s="4"/>
      <c r="Q4" s="4"/>
      <c r="R4" s="9" t="s">
        <v>576</v>
      </c>
    </row>
    <row r="5" spans="1:18" ht="91.95" customHeight="1">
      <c r="A5" s="1" t="s">
        <v>75</v>
      </c>
      <c r="B5" s="1" t="s">
        <v>76</v>
      </c>
      <c r="C5" s="1" t="s">
        <v>77</v>
      </c>
      <c r="D5" s="8" t="s">
        <v>485</v>
      </c>
      <c r="E5" s="8" t="s">
        <v>71</v>
      </c>
      <c r="F5" s="8" t="s">
        <v>570</v>
      </c>
      <c r="G5" s="1" t="str">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IF(AND(OR(D5="retain",D5=""),E5="statistical_results"),"","not_applicable")</f>
        <v>not_applicable</v>
      </c>
      <c r="I5" s="8" t="str">
        <f>IF(AND(OR(D5="retain",D5=""),E5="statistical_results"),"","not_applicable")</f>
        <v>not_applicable</v>
      </c>
      <c r="J5" s="9" t="str">
        <f>IF(AND(OR(D5="retain",D5=""),E5="statistical_results"),"","not_applicable")</f>
        <v>not_applicable</v>
      </c>
      <c r="K5" s="8" t="str">
        <f>IF(AND(OR(D5="retain",D5=""),OR(E5="report_internal_inconsistency",E5="plan_material")),"","not_applicable")</f>
        <v>not_applicable</v>
      </c>
      <c r="L5" s="9" t="s">
        <v>554</v>
      </c>
      <c r="M5" s="1"/>
      <c r="N5" s="4"/>
      <c r="O5" s="4"/>
      <c r="P5" s="4"/>
      <c r="Q5" s="4"/>
      <c r="R5" s="9" t="s">
        <v>577</v>
      </c>
    </row>
    <row r="6" spans="1:18" ht="91.95" customHeight="1">
      <c r="A6" s="3" t="s">
        <v>78</v>
      </c>
      <c r="B6" s="3" t="s">
        <v>79</v>
      </c>
      <c r="C6" s="3" t="s">
        <v>80</v>
      </c>
      <c r="D6" s="8" t="s">
        <v>485</v>
      </c>
      <c r="E6" s="8" t="s">
        <v>81</v>
      </c>
      <c r="F6" s="8" t="s">
        <v>570</v>
      </c>
      <c r="G6" s="3" t="str">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IF(AND(OR(D6="retain",D6=""),E6="statistical_results"),"","not_applicable")</f>
        <v>not_applicable</v>
      </c>
      <c r="I6" s="8" t="str">
        <f>IF(AND(OR(D6="retain",D6=""),E6="statistical_results"),"","not_applicable")</f>
        <v>not_applicable</v>
      </c>
      <c r="J6" s="9" t="str">
        <f>IF(AND(OR(D6="retain",D6=""),E6="statistical_results"),"","not_applicable")</f>
        <v>not_applicable</v>
      </c>
      <c r="K6" s="8" t="s">
        <v>526</v>
      </c>
      <c r="L6" s="9" t="s">
        <v>520</v>
      </c>
      <c r="M6" s="3"/>
      <c r="N6" s="4"/>
      <c r="O6" s="4"/>
      <c r="P6" s="4"/>
      <c r="Q6" s="4"/>
      <c r="R6" s="9" t="s">
        <v>578</v>
      </c>
    </row>
  </sheetData>
  <autoFilter ref="A1:R6" xr:uid="{00000000-0009-0000-0000-000003000000}"/>
  <phoneticPr fontId="5" type="noConversion"/>
  <conditionalFormatting sqref="G2:G6">
    <cfRule type="expression" dxfId="59" priority="13">
      <formula>G2&lt;&gt;"PRIMARY READY"</formula>
    </cfRule>
  </conditionalFormatting>
  <conditionalFormatting sqref="H2:J6">
    <cfRule type="expression" dxfId="58" priority="8">
      <formula>NOT(AND(OR($D2="retain",$D2=""),$E2="statistical_results"))</formula>
    </cfRule>
  </conditionalFormatting>
  <conditionalFormatting sqref="K2:K6">
    <cfRule type="expression" dxfId="57" priority="11">
      <formula>NOT(AND(OR($D2="retain",$D2=""),OR($E2="report_internal_inconsistency",$E2="plan_material")))</formula>
    </cfRule>
  </conditionalFormatting>
  <conditionalFormatting sqref="L2:L6">
    <cfRule type="expression" dxfId="56" priority="12">
      <formula>NOT(AND(OR($D2="retain",$D2=""),$E2="protocol_report"))</formula>
    </cfRule>
  </conditionalFormatting>
  <dataValidations count="8">
    <dataValidation type="list" allowBlank="1" showErrorMessage="1" errorTitle="Use a listed option" error="Choose an option; G also checks pasted entries." sqref="D2:D6" xr:uid="{00000000-0002-0000-0300-000000000000}">
      <formula1>"retain,exclude,discuss"</formula1>
    </dataValidation>
    <dataValidation type="list" allowBlank="1" showErrorMessage="1" errorTitle="Use a listed option" error="Choose an option; G also checks pasted entries." sqref="E2:E6" xr:uid="{00000000-0002-0000-0300-000001000000}">
      <formula1>"statistical_results,report_internal_inconsistency,plan_material,protocol_report"</formula1>
    </dataValidation>
    <dataValidation type="list" allowBlank="1" showErrorMessage="1" errorTitle="Use a listed option" error="Choose an option; G also checks pasted entries." sqref="F2:F6" xr:uid="{00000000-0002-0000-0300-000002000000}">
      <formula1>"no,primary_done"</formula1>
    </dataValidation>
    <dataValidation type="list" allowBlank="1" showErrorMessage="1" errorTitle="Use a listed option" error="Choose an option; G also checks pasted entries." sqref="H2:H6" xr:uid="{00000000-0002-0000-0300-000003000000}">
      <formula1>"confirmed_issue,probable_issue,not_issue,indeterminate,not_applicable"</formula1>
    </dataValidation>
    <dataValidation type="list" allowBlank="1" showErrorMessage="1" errorTitle="Use a listed option" error="Choose an option; G also checks pasted entries." sqref="I2:I6" xr:uid="{00000000-0002-0000-0300-000004000000}">
      <formula1>"substantive,minor_presentation,indeterminate,not_applicable"</formula1>
    </dataValidation>
    <dataValidation type="list" allowBlank="1" showErrorMessage="1" errorTitle="Use a listed option" error="Choose an option; G also checks pasted entries." sqref="J2:J6" xr:uid="{00000000-0002-0000-0300-000005000000}">
      <formula1>"direct,possible,unlikely,unknown,not_applicable"</formula1>
    </dataValidation>
    <dataValidation type="list" allowBlank="1" showErrorMessage="1" errorTitle="Use a listed option" error="Choose an option; G also checks pasted entries." sqref="K2:K6" xr:uid="{00000000-0002-0000-0300-000006000000}">
      <formula1>"substantive_inconsistency,minor_presentation,non_inconsistency,indeterminate,not_applicable"</formula1>
    </dataValidation>
    <dataValidation type="list" allowBlank="1" showErrorMessage="1" errorTitle="Use a listed option" error="Choose an option; G also checks pasted entries." sqref="L2:L6" xr:uid="{00000000-0002-0000-0300-000007000000}">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7"/>
  <sheetViews>
    <sheetView workbookViewId="0">
      <pane xSplit="1" ySplit="1" topLeftCell="I6" activePane="bottomRight" state="frozen"/>
      <selection pane="topRight"/>
      <selection pane="bottomLeft"/>
      <selection pane="bottomRight" activeCell="R8" sqref="R8"/>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82</v>
      </c>
      <c r="B2" s="3" t="s">
        <v>83</v>
      </c>
      <c r="C2" s="3" t="s">
        <v>84</v>
      </c>
      <c r="D2" s="8" t="s">
        <v>488</v>
      </c>
      <c r="E2" s="8" t="s">
        <v>71</v>
      </c>
      <c r="F2" s="8" t="s">
        <v>570</v>
      </c>
      <c r="G2" s="3" t="str">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17" si="0">IF(AND(OR(D2="retain",D2=""),E2="statistical_results"),"","not_applicable")</f>
        <v>not_applicable</v>
      </c>
      <c r="I2" s="8" t="str">
        <f t="shared" ref="I2:I17" si="1">IF(AND(OR(D2="retain",D2=""),E2="statistical_results"),"","not_applicable")</f>
        <v>not_applicable</v>
      </c>
      <c r="J2" s="9" t="str">
        <f t="shared" ref="J2:J17" si="2">IF(AND(OR(D2="retain",D2=""),E2="statistical_results"),"","not_applicable")</f>
        <v>not_applicable</v>
      </c>
      <c r="K2" s="8" t="str">
        <f t="shared" ref="K2:K17" si="3">IF(AND(OR(D2="retain",D2=""),OR(E2="report_internal_inconsistency",E2="plan_material")),"","not_applicable")</f>
        <v>not_applicable</v>
      </c>
      <c r="L2" s="9" t="str">
        <f t="shared" ref="L2:L16" si="4">IF(AND(OR(D2="retain",D2=""),E2="protocol_report"),"","not_applicable")</f>
        <v>not_applicable</v>
      </c>
      <c r="M2" s="3"/>
      <c r="N2" s="4"/>
      <c r="O2" s="4"/>
      <c r="P2" s="4"/>
      <c r="Q2" s="4"/>
      <c r="R2" s="9" t="s">
        <v>579</v>
      </c>
    </row>
    <row r="3" spans="1:18" ht="91.95" customHeight="1">
      <c r="A3" s="1" t="s">
        <v>85</v>
      </c>
      <c r="B3" s="1" t="s">
        <v>86</v>
      </c>
      <c r="C3" s="1" t="s">
        <v>87</v>
      </c>
      <c r="D3" s="8" t="s">
        <v>485</v>
      </c>
      <c r="E3" s="8" t="s">
        <v>71</v>
      </c>
      <c r="F3" s="8" t="s">
        <v>570</v>
      </c>
      <c r="G3" s="1" t="str">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580</v>
      </c>
    </row>
    <row r="4" spans="1:18" ht="91.95" customHeight="1">
      <c r="A4" s="3" t="s">
        <v>88</v>
      </c>
      <c r="B4" s="3" t="s">
        <v>89</v>
      </c>
      <c r="C4" s="3" t="s">
        <v>90</v>
      </c>
      <c r="D4" s="8" t="s">
        <v>485</v>
      </c>
      <c r="E4" s="8" t="s">
        <v>71</v>
      </c>
      <c r="F4" s="8" t="s">
        <v>570</v>
      </c>
      <c r="G4" s="3" t="str">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554</v>
      </c>
      <c r="M4" s="3"/>
      <c r="N4" s="4"/>
      <c r="O4" s="4"/>
      <c r="P4" s="4"/>
      <c r="Q4" s="4"/>
      <c r="R4" s="9" t="s">
        <v>581</v>
      </c>
    </row>
    <row r="5" spans="1:18" ht="91.95" customHeight="1">
      <c r="A5" s="1" t="s">
        <v>91</v>
      </c>
      <c r="B5" s="1" t="s">
        <v>92</v>
      </c>
      <c r="C5" s="1" t="s">
        <v>93</v>
      </c>
      <c r="D5" s="8" t="s">
        <v>485</v>
      </c>
      <c r="E5" s="8" t="s">
        <v>71</v>
      </c>
      <c r="F5" s="8" t="s">
        <v>570</v>
      </c>
      <c r="G5" s="1" t="str">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tr">
        <f t="shared" si="3"/>
        <v>not_applicable</v>
      </c>
      <c r="L5" s="9" t="s">
        <v>554</v>
      </c>
      <c r="M5" s="1"/>
      <c r="N5" s="4"/>
      <c r="O5" s="4"/>
      <c r="P5" s="4"/>
      <c r="Q5" s="4"/>
      <c r="R5" s="9" t="s">
        <v>582</v>
      </c>
    </row>
    <row r="6" spans="1:18" ht="91.95" customHeight="1">
      <c r="A6" s="3" t="s">
        <v>94</v>
      </c>
      <c r="B6" s="3" t="s">
        <v>95</v>
      </c>
      <c r="C6" s="3" t="s">
        <v>96</v>
      </c>
      <c r="D6" s="8" t="s">
        <v>485</v>
      </c>
      <c r="E6" s="8" t="s">
        <v>71</v>
      </c>
      <c r="F6" s="8" t="s">
        <v>570</v>
      </c>
      <c r="G6" s="3" t="str">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584</v>
      </c>
    </row>
    <row r="7" spans="1:18" ht="91.95" customHeight="1">
      <c r="A7" s="1" t="s">
        <v>97</v>
      </c>
      <c r="B7" s="1" t="s">
        <v>98</v>
      </c>
      <c r="C7" s="1" t="s">
        <v>99</v>
      </c>
      <c r="D7" s="8" t="s">
        <v>485</v>
      </c>
      <c r="E7" s="8" t="s">
        <v>66</v>
      </c>
      <c r="F7" s="8" t="s">
        <v>570</v>
      </c>
      <c r="G7" s="1" t="str">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524</v>
      </c>
      <c r="J7" s="9" t="s">
        <v>532</v>
      </c>
      <c r="K7" s="8" t="str">
        <f t="shared" si="3"/>
        <v>not_applicable</v>
      </c>
      <c r="L7" s="9" t="str">
        <f t="shared" si="4"/>
        <v>not_applicable</v>
      </c>
      <c r="M7" s="1"/>
      <c r="N7" s="4"/>
      <c r="O7" s="4"/>
      <c r="P7" s="4"/>
      <c r="Q7" s="4"/>
      <c r="R7" s="9" t="s">
        <v>583</v>
      </c>
    </row>
    <row r="8" spans="1:18" ht="91.95" customHeight="1">
      <c r="A8" s="3" t="s">
        <v>100</v>
      </c>
      <c r="B8" s="3" t="s">
        <v>101</v>
      </c>
      <c r="C8" s="3" t="s">
        <v>102</v>
      </c>
      <c r="D8" s="8" t="s">
        <v>485</v>
      </c>
      <c r="E8" s="8" t="s">
        <v>66</v>
      </c>
      <c r="F8" s="8" t="s">
        <v>570</v>
      </c>
      <c r="G8" s="3" t="str">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
        <v>512</v>
      </c>
      <c r="I8" s="8" t="s">
        <v>524</v>
      </c>
      <c r="J8" s="9" t="s">
        <v>534</v>
      </c>
      <c r="K8" s="8" t="str">
        <f t="shared" si="3"/>
        <v>not_applicable</v>
      </c>
      <c r="L8" s="9" t="str">
        <f t="shared" si="4"/>
        <v>not_applicable</v>
      </c>
      <c r="M8" s="3"/>
      <c r="N8" s="4"/>
      <c r="O8" s="4"/>
      <c r="P8" s="4"/>
      <c r="Q8" s="4"/>
      <c r="R8" s="9" t="s">
        <v>585</v>
      </c>
    </row>
    <row r="9" spans="1:18" ht="91.95" customHeight="1">
      <c r="A9" s="1" t="s">
        <v>103</v>
      </c>
      <c r="B9" s="1" t="s">
        <v>104</v>
      </c>
      <c r="C9" s="1" t="s">
        <v>105</v>
      </c>
      <c r="D9" s="8" t="s">
        <v>485</v>
      </c>
      <c r="E9" s="8" t="s">
        <v>106</v>
      </c>
      <c r="F9" s="8" t="s">
        <v>570</v>
      </c>
      <c r="G9" s="1" t="str">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tr">
        <f t="shared" si="0"/>
        <v>not_applicable</v>
      </c>
      <c r="I9" s="8" t="str">
        <f t="shared" si="1"/>
        <v>not_applicable</v>
      </c>
      <c r="J9" s="9" t="str">
        <f t="shared" si="2"/>
        <v>not_applicable</v>
      </c>
      <c r="K9" s="8" t="s">
        <v>526</v>
      </c>
      <c r="L9" s="9" t="str">
        <f t="shared" si="4"/>
        <v>not_applicable</v>
      </c>
      <c r="M9" s="1"/>
      <c r="N9" s="4"/>
      <c r="O9" s="4"/>
      <c r="P9" s="4"/>
      <c r="Q9" s="4"/>
      <c r="R9" s="9" t="s">
        <v>586</v>
      </c>
    </row>
    <row r="10" spans="1:18" ht="91.95" customHeight="1">
      <c r="A10" s="3" t="s">
        <v>107</v>
      </c>
      <c r="B10" s="3" t="s">
        <v>108</v>
      </c>
      <c r="C10" s="3" t="s">
        <v>109</v>
      </c>
      <c r="D10" s="8" t="s">
        <v>485</v>
      </c>
      <c r="E10" s="8" t="s">
        <v>66</v>
      </c>
      <c r="F10" s="8" t="s">
        <v>570</v>
      </c>
      <c r="G10" s="3" t="str">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526</v>
      </c>
      <c r="J10" s="9" t="s">
        <v>536</v>
      </c>
      <c r="K10" s="8" t="str">
        <f t="shared" si="3"/>
        <v>not_applicable</v>
      </c>
      <c r="L10" s="9" t="str">
        <f t="shared" si="4"/>
        <v>not_applicable</v>
      </c>
      <c r="M10" s="3"/>
      <c r="N10" s="4"/>
      <c r="O10" s="4"/>
      <c r="P10" s="4"/>
      <c r="Q10" s="4"/>
      <c r="R10" s="9" t="s">
        <v>587</v>
      </c>
    </row>
    <row r="11" spans="1:18" ht="91.95" customHeight="1">
      <c r="A11" s="1" t="s">
        <v>110</v>
      </c>
      <c r="B11" s="1" t="s">
        <v>111</v>
      </c>
      <c r="C11" s="1" t="s">
        <v>112</v>
      </c>
      <c r="D11" s="8" t="s">
        <v>485</v>
      </c>
      <c r="E11" s="8" t="s">
        <v>71</v>
      </c>
      <c r="F11" s="8" t="s">
        <v>570</v>
      </c>
      <c r="G11" s="1" t="str">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tr">
        <f t="shared" si="0"/>
        <v>not_applicable</v>
      </c>
      <c r="I11" s="8" t="str">
        <f t="shared" si="1"/>
        <v>not_applicable</v>
      </c>
      <c r="J11" s="9" t="str">
        <f t="shared" si="2"/>
        <v>not_applicable</v>
      </c>
      <c r="K11" s="8" t="str">
        <f t="shared" si="3"/>
        <v>not_applicable</v>
      </c>
      <c r="L11" s="9" t="s">
        <v>554</v>
      </c>
      <c r="M11" s="1"/>
      <c r="N11" s="4"/>
      <c r="O11" s="4"/>
      <c r="P11" s="4"/>
      <c r="Q11" s="4"/>
      <c r="R11" s="9" t="s">
        <v>588</v>
      </c>
    </row>
    <row r="12" spans="1:18" ht="91.95" customHeight="1">
      <c r="A12" s="3" t="s">
        <v>113</v>
      </c>
      <c r="B12" s="3" t="s">
        <v>114</v>
      </c>
      <c r="C12" s="3" t="s">
        <v>115</v>
      </c>
      <c r="D12" s="8" t="s">
        <v>485</v>
      </c>
      <c r="E12" s="8" t="s">
        <v>81</v>
      </c>
      <c r="F12" s="8" t="s">
        <v>570</v>
      </c>
      <c r="G12" s="3" t="str">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tr">
        <f t="shared" si="0"/>
        <v>not_applicable</v>
      </c>
      <c r="I12" s="8" t="str">
        <f t="shared" si="1"/>
        <v>not_applicable</v>
      </c>
      <c r="J12" s="9" t="str">
        <f t="shared" si="2"/>
        <v>not_applicable</v>
      </c>
      <c r="K12" s="8" t="s">
        <v>526</v>
      </c>
      <c r="L12" s="9" t="str">
        <f t="shared" si="4"/>
        <v>not_applicable</v>
      </c>
      <c r="M12" s="3"/>
      <c r="N12" s="4"/>
      <c r="O12" s="4"/>
      <c r="P12" s="4"/>
      <c r="Q12" s="4"/>
      <c r="R12" s="9" t="s">
        <v>589</v>
      </c>
    </row>
    <row r="13" spans="1:18" ht="91.95" customHeight="1">
      <c r="A13" s="1" t="s">
        <v>116</v>
      </c>
      <c r="B13" s="1" t="s">
        <v>117</v>
      </c>
      <c r="C13" s="1" t="s">
        <v>118</v>
      </c>
      <c r="D13" s="8" t="s">
        <v>485</v>
      </c>
      <c r="E13" s="8" t="s">
        <v>66</v>
      </c>
      <c r="F13" s="8" t="s">
        <v>570</v>
      </c>
      <c r="G13" s="1" t="str">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526</v>
      </c>
      <c r="J13" s="9" t="s">
        <v>536</v>
      </c>
      <c r="K13" s="8" t="str">
        <f t="shared" si="3"/>
        <v>not_applicable</v>
      </c>
      <c r="L13" s="9" t="str">
        <f t="shared" si="4"/>
        <v>not_applicable</v>
      </c>
      <c r="M13" s="1"/>
      <c r="N13" s="4"/>
      <c r="O13" s="4"/>
      <c r="P13" s="4"/>
      <c r="Q13" s="4"/>
      <c r="R13" s="9" t="s">
        <v>590</v>
      </c>
    </row>
    <row r="14" spans="1:18" ht="91.95" customHeight="1">
      <c r="A14" s="3" t="s">
        <v>119</v>
      </c>
      <c r="B14" s="3" t="s">
        <v>120</v>
      </c>
      <c r="C14" s="3" t="s">
        <v>121</v>
      </c>
      <c r="D14" s="8" t="s">
        <v>485</v>
      </c>
      <c r="E14" s="8" t="s">
        <v>66</v>
      </c>
      <c r="F14" s="8" t="s">
        <v>570</v>
      </c>
      <c r="G14" s="3" t="str">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526</v>
      </c>
      <c r="J14" s="9" t="s">
        <v>534</v>
      </c>
      <c r="K14" s="8" t="str">
        <f t="shared" si="3"/>
        <v>not_applicable</v>
      </c>
      <c r="L14" s="9" t="str">
        <f t="shared" si="4"/>
        <v>not_applicable</v>
      </c>
      <c r="M14" s="3"/>
      <c r="N14" s="4"/>
      <c r="O14" s="4"/>
      <c r="P14" s="4"/>
      <c r="Q14" s="4"/>
      <c r="R14" s="9" t="s">
        <v>591</v>
      </c>
    </row>
    <row r="15" spans="1:18" ht="91.95" customHeight="1">
      <c r="A15" s="1" t="s">
        <v>122</v>
      </c>
      <c r="B15" s="1" t="s">
        <v>123</v>
      </c>
      <c r="C15" s="1" t="s">
        <v>124</v>
      </c>
      <c r="D15" s="8" t="s">
        <v>485</v>
      </c>
      <c r="E15" s="8" t="s">
        <v>81</v>
      </c>
      <c r="F15" s="8" t="s">
        <v>570</v>
      </c>
      <c r="G15" s="1" t="str">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PRIMARY READY</v>
      </c>
      <c r="H15" s="8" t="str">
        <f t="shared" si="0"/>
        <v>not_applicable</v>
      </c>
      <c r="I15" s="8" t="str">
        <f t="shared" si="1"/>
        <v>not_applicable</v>
      </c>
      <c r="J15" s="9" t="str">
        <f t="shared" si="2"/>
        <v>not_applicable</v>
      </c>
      <c r="K15" s="8" t="s">
        <v>526</v>
      </c>
      <c r="L15" s="9" t="str">
        <f t="shared" si="4"/>
        <v>not_applicable</v>
      </c>
      <c r="M15" s="1"/>
      <c r="N15" s="4"/>
      <c r="O15" s="4"/>
      <c r="P15" s="4"/>
      <c r="Q15" s="4"/>
      <c r="R15" s="9" t="s">
        <v>592</v>
      </c>
    </row>
    <row r="16" spans="1:18" ht="91.95" customHeight="1">
      <c r="A16" s="3" t="s">
        <v>125</v>
      </c>
      <c r="B16" s="3" t="s">
        <v>126</v>
      </c>
      <c r="C16" s="3" t="s">
        <v>127</v>
      </c>
      <c r="D16" s="8" t="s">
        <v>488</v>
      </c>
      <c r="E16" s="8" t="s">
        <v>81</v>
      </c>
      <c r="F16" s="8" t="s">
        <v>570</v>
      </c>
      <c r="G16" s="3" t="str">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PRIMARY READY</v>
      </c>
      <c r="H16" s="8" t="str">
        <f t="shared" si="0"/>
        <v>not_applicable</v>
      </c>
      <c r="I16" s="8" t="str">
        <f t="shared" si="1"/>
        <v>not_applicable</v>
      </c>
      <c r="J16" s="9" t="str">
        <f t="shared" si="2"/>
        <v>not_applicable</v>
      </c>
      <c r="K16" s="8" t="str">
        <f t="shared" si="3"/>
        <v>not_applicable</v>
      </c>
      <c r="L16" s="9" t="str">
        <f t="shared" si="4"/>
        <v>not_applicable</v>
      </c>
      <c r="M16" s="3"/>
      <c r="N16" s="4"/>
      <c r="O16" s="4"/>
      <c r="P16" s="4"/>
      <c r="Q16" s="4"/>
      <c r="R16" s="9" t="s">
        <v>593</v>
      </c>
    </row>
    <row r="17" spans="1:18" ht="91.95" customHeight="1">
      <c r="A17" s="1" t="s">
        <v>128</v>
      </c>
      <c r="B17" s="1" t="s">
        <v>129</v>
      </c>
      <c r="C17" s="1" t="s">
        <v>130</v>
      </c>
      <c r="D17" s="8" t="s">
        <v>485</v>
      </c>
      <c r="E17" s="8" t="s">
        <v>71</v>
      </c>
      <c r="F17" s="8" t="s">
        <v>570</v>
      </c>
      <c r="G17" s="1" t="str">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tr">
        <f t="shared" si="0"/>
        <v>not_applicable</v>
      </c>
      <c r="I17" s="8" t="str">
        <f t="shared" si="1"/>
        <v>not_applicable</v>
      </c>
      <c r="J17" s="9" t="str">
        <f t="shared" si="2"/>
        <v>not_applicable</v>
      </c>
      <c r="K17" s="8" t="str">
        <f t="shared" si="3"/>
        <v>not_applicable</v>
      </c>
      <c r="L17" s="9" t="s">
        <v>554</v>
      </c>
      <c r="M17" s="1"/>
      <c r="N17" s="4"/>
      <c r="O17" s="4"/>
      <c r="P17" s="4"/>
      <c r="Q17" s="4"/>
      <c r="R17" s="9" t="s">
        <v>594</v>
      </c>
    </row>
  </sheetData>
  <autoFilter ref="A1:R17" xr:uid="{00000000-0009-0000-0000-000004000000}"/>
  <phoneticPr fontId="5" type="noConversion"/>
  <conditionalFormatting sqref="G2:G17">
    <cfRule type="expression" dxfId="55" priority="13">
      <formula>G2&lt;&gt;"PRIMARY READY"</formula>
    </cfRule>
  </conditionalFormatting>
  <conditionalFormatting sqref="H2:J17">
    <cfRule type="expression" dxfId="54" priority="8">
      <formula>NOT(AND(OR($D2="retain",$D2=""),$E2="statistical_results"))</formula>
    </cfRule>
  </conditionalFormatting>
  <conditionalFormatting sqref="K2:K17">
    <cfRule type="expression" dxfId="53" priority="11">
      <formula>NOT(AND(OR($D2="retain",$D2=""),OR($E2="report_internal_inconsistency",$E2="plan_material")))</formula>
    </cfRule>
  </conditionalFormatting>
  <conditionalFormatting sqref="L2:L17">
    <cfRule type="expression" dxfId="52" priority="12">
      <formula>NOT(AND(OR($D2="retain",$D2=""),$E2="protocol_report"))</formula>
    </cfRule>
  </conditionalFormatting>
  <dataValidations count="8">
    <dataValidation type="list" allowBlank="1" showErrorMessage="1" errorTitle="Use a listed option" error="Choose an option; G also checks pasted entries." sqref="D2:D17" xr:uid="{00000000-0002-0000-0400-000000000000}">
      <formula1>"retain,exclude,discuss"</formula1>
    </dataValidation>
    <dataValidation type="list" allowBlank="1" showErrorMessage="1" errorTitle="Use a listed option" error="Choose an option; G also checks pasted entries." sqref="E2:E17" xr:uid="{00000000-0002-0000-0400-000001000000}">
      <formula1>"statistical_results,report_internal_inconsistency,plan_material,protocol_report"</formula1>
    </dataValidation>
    <dataValidation type="list" allowBlank="1" showErrorMessage="1" errorTitle="Use a listed option" error="Choose an option; G also checks pasted entries." sqref="F2:F17" xr:uid="{00000000-0002-0000-0400-000002000000}">
      <formula1>"no,primary_done"</formula1>
    </dataValidation>
    <dataValidation type="list" allowBlank="1" showErrorMessage="1" errorTitle="Use a listed option" error="Choose an option; G also checks pasted entries." sqref="H2:H17" xr:uid="{00000000-0002-0000-0400-000003000000}">
      <formula1>"confirmed_issue,probable_issue,not_issue,indeterminate,not_applicable"</formula1>
    </dataValidation>
    <dataValidation type="list" allowBlank="1" showErrorMessage="1" errorTitle="Use a listed option" error="Choose an option; G also checks pasted entries." sqref="I2:I17" xr:uid="{00000000-0002-0000-0400-000004000000}">
      <formula1>"substantive,minor_presentation,indeterminate,not_applicable"</formula1>
    </dataValidation>
    <dataValidation type="list" allowBlank="1" showErrorMessage="1" errorTitle="Use a listed option" error="Choose an option; G also checks pasted entries." sqref="J2:J17" xr:uid="{00000000-0002-0000-0400-000005000000}">
      <formula1>"direct,possible,unlikely,unknown,not_applicable"</formula1>
    </dataValidation>
    <dataValidation type="list" allowBlank="1" showErrorMessage="1" errorTitle="Use a listed option" error="Choose an option; G also checks pasted entries." sqref="K2:K17" xr:uid="{00000000-0002-0000-0400-000006000000}">
      <formula1>"substantive_inconsistency,minor_presentation,non_inconsistency,indeterminate,not_applicable"</formula1>
    </dataValidation>
    <dataValidation type="list" allowBlank="1" showErrorMessage="1" errorTitle="Use a listed option" error="Choose an option; G also checks pasted entries." sqref="L2:L17" xr:uid="{00000000-0002-0000-0400-000007000000}">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9"/>
  <sheetViews>
    <sheetView zoomScale="85" zoomScaleNormal="85" workbookViewId="0">
      <pane xSplit="1" ySplit="1" topLeftCell="E17" activePane="bottomRight" state="frozen"/>
      <selection pane="topRight"/>
      <selection pane="bottomLeft"/>
      <selection pane="bottomRight" activeCell="F14" sqref="F14"/>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131</v>
      </c>
      <c r="B2" s="3" t="s">
        <v>132</v>
      </c>
      <c r="C2" s="3" t="s">
        <v>133</v>
      </c>
      <c r="D2" s="8" t="s">
        <v>485</v>
      </c>
      <c r="E2" s="8" t="s">
        <v>71</v>
      </c>
      <c r="F2" s="8" t="s">
        <v>570</v>
      </c>
      <c r="G2" s="3" t="str">
        <f>IFERROR(IF(LEN(TRIM(CLEAN(SUBSTITUTE(Setup!$B$2,CHAR(160)," "))))=0,"CHECK REVIEWER ID",IF(OR(A2="",COUNTIF($A$2:$A$19,A2)&lt;&gt;1,LEFT(A2,LEN("2025::jama.2025.11178::"))&lt;&gt;"2025::jama.2025.11178::"),"CHECK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8" si="0">IF(AND(OR(D2="retain",D2=""),E2="statistical_results"),"","not_applicable")</f>
        <v>not_applicable</v>
      </c>
      <c r="I2" s="8" t="str">
        <f t="shared" ref="I2:I8" si="1">IF(AND(OR(D2="retain",D2=""),E2="statistical_results"),"","not_applicable")</f>
        <v>not_applicable</v>
      </c>
      <c r="J2" s="9" t="str">
        <f t="shared" ref="J2:J8" si="2">IF(AND(OR(D2="retain",D2=""),E2="statistical_results"),"","not_applicable")</f>
        <v>not_applicable</v>
      </c>
      <c r="K2" s="8" t="str">
        <f t="shared" ref="K2:K19" si="3">IF(AND(OR(D2="retain",D2=""),OR(E2="report_internal_inconsistency",E2="plan_material")),"","not_applicable")</f>
        <v>not_applicable</v>
      </c>
      <c r="L2" s="9" t="s">
        <v>526</v>
      </c>
      <c r="M2" s="3"/>
      <c r="N2" s="4"/>
      <c r="O2" s="4"/>
      <c r="P2" s="4"/>
      <c r="Q2" s="4"/>
      <c r="R2" s="9" t="s">
        <v>595</v>
      </c>
    </row>
    <row r="3" spans="1:18" ht="91.95" customHeight="1">
      <c r="A3" s="1" t="s">
        <v>134</v>
      </c>
      <c r="B3" s="1" t="s">
        <v>135</v>
      </c>
      <c r="C3" s="1" t="s">
        <v>136</v>
      </c>
      <c r="D3" s="8" t="s">
        <v>485</v>
      </c>
      <c r="E3" s="8" t="s">
        <v>66</v>
      </c>
      <c r="F3" s="8" t="s">
        <v>570</v>
      </c>
      <c r="G3" s="1" t="str">
        <f>IFERROR(IF(LEN(TRIM(CLEAN(SUBSTITUTE(Setup!$B$2,CHAR(160)," "))))=0,"CHECK REVIEWER ID",IF(OR(A3="",COUNTIF($A$2:$A$19,A3)&lt;&gt;1,LEFT(A3,LEN("2025::jama.2025.11178::"))&lt;&gt;"2025::jama.2025.11178::"),"CHECK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
        <v>512</v>
      </c>
      <c r="I3" s="8" t="s">
        <v>526</v>
      </c>
      <c r="J3" s="9" t="s">
        <v>534</v>
      </c>
      <c r="K3" s="8" t="str">
        <f t="shared" si="3"/>
        <v>not_applicable</v>
      </c>
      <c r="L3" s="9" t="str">
        <f t="shared" ref="L3:L19" si="4">IF(AND(OR(D3="retain",D3=""),E3="protocol_report"),"","not_applicable")</f>
        <v>not_applicable</v>
      </c>
      <c r="M3" s="1"/>
      <c r="N3" s="4"/>
      <c r="O3" s="4"/>
      <c r="P3" s="4"/>
      <c r="Q3" s="4"/>
      <c r="R3" s="9" t="s">
        <v>596</v>
      </c>
    </row>
    <row r="4" spans="1:18" ht="91.95" customHeight="1">
      <c r="A4" s="3" t="s">
        <v>137</v>
      </c>
      <c r="B4" s="3" t="s">
        <v>138</v>
      </c>
      <c r="C4" s="3" t="s">
        <v>139</v>
      </c>
      <c r="D4" s="8" t="s">
        <v>485</v>
      </c>
      <c r="E4" s="8" t="s">
        <v>66</v>
      </c>
      <c r="F4" s="8" t="s">
        <v>570</v>
      </c>
      <c r="G4" s="3" t="str">
        <f>IFERROR(IF(LEN(TRIM(CLEAN(SUBSTITUTE(Setup!$B$2,CHAR(160)," "))))=0,"CHECK REVIEWER ID",IF(OR(A4="",COUNTIF($A$2:$A$19,A4)&lt;&gt;1,LEFT(A4,LEN("2025::jama.2025.11178::"))&lt;&gt;"2025::jama.2025.11178::"),"CHECK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
        <v>512</v>
      </c>
      <c r="I4" s="8" t="s">
        <v>524</v>
      </c>
      <c r="J4" s="9" t="s">
        <v>532</v>
      </c>
      <c r="K4" s="8" t="str">
        <f t="shared" si="3"/>
        <v>not_applicable</v>
      </c>
      <c r="L4" s="9" t="str">
        <f t="shared" si="4"/>
        <v>not_applicable</v>
      </c>
      <c r="M4" s="3"/>
      <c r="N4" s="4"/>
      <c r="O4" s="4"/>
      <c r="P4" s="4"/>
      <c r="Q4" s="4"/>
      <c r="R4" s="9" t="s">
        <v>597</v>
      </c>
    </row>
    <row r="5" spans="1:18" ht="91.95" customHeight="1">
      <c r="A5" s="1" t="s">
        <v>140</v>
      </c>
      <c r="B5" s="1" t="s">
        <v>141</v>
      </c>
      <c r="C5" s="1" t="s">
        <v>142</v>
      </c>
      <c r="D5" s="8" t="s">
        <v>485</v>
      </c>
      <c r="E5" s="8" t="s">
        <v>66</v>
      </c>
      <c r="F5" s="8" t="s">
        <v>570</v>
      </c>
      <c r="G5" s="1" t="str">
        <f>IFERROR(IF(LEN(TRIM(CLEAN(SUBSTITUTE(Setup!$B$2,CHAR(160)," "))))=0,"CHECK REVIEWER ID",IF(OR(A5="",COUNTIF($A$2:$A$19,A5)&lt;&gt;1,LEFT(A5,LEN("2025::jama.2025.11178::"))&lt;&gt;"2025::jama.2025.11178::"),"CHECK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
        <v>514</v>
      </c>
      <c r="I5" s="8" t="s">
        <v>526</v>
      </c>
      <c r="J5" s="9" t="s">
        <v>534</v>
      </c>
      <c r="K5" s="8" t="str">
        <f t="shared" si="3"/>
        <v>not_applicable</v>
      </c>
      <c r="L5" s="9" t="str">
        <f t="shared" si="4"/>
        <v>not_applicable</v>
      </c>
      <c r="M5" s="1"/>
      <c r="N5" s="4"/>
      <c r="O5" s="4"/>
      <c r="P5" s="4"/>
      <c r="Q5" s="4"/>
      <c r="R5" s="9" t="s">
        <v>598</v>
      </c>
    </row>
    <row r="6" spans="1:18" ht="91.95" customHeight="1">
      <c r="A6" s="3" t="s">
        <v>143</v>
      </c>
      <c r="B6" s="3" t="s">
        <v>144</v>
      </c>
      <c r="C6" s="3" t="s">
        <v>145</v>
      </c>
      <c r="D6" s="8" t="s">
        <v>485</v>
      </c>
      <c r="E6" s="8" t="s">
        <v>71</v>
      </c>
      <c r="F6" s="8" t="s">
        <v>570</v>
      </c>
      <c r="G6" s="3" t="str">
        <f>IFERROR(IF(LEN(TRIM(CLEAN(SUBSTITUTE(Setup!$B$2,CHAR(160)," "))))=0,"CHECK REVIEWER ID",IF(OR(A6="",COUNTIF($A$2:$A$19,A6)&lt;&gt;1,LEFT(A6,LEN("2025::jama.2025.11178::"))&lt;&gt;"2025::jama.2025.11178::"),"CHECK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tr">
        <f t="shared" si="3"/>
        <v>not_applicable</v>
      </c>
      <c r="L6" s="9" t="s">
        <v>554</v>
      </c>
      <c r="M6" s="3"/>
      <c r="N6" s="4"/>
      <c r="O6" s="4"/>
      <c r="P6" s="4"/>
      <c r="Q6" s="4"/>
      <c r="R6" s="9" t="s">
        <v>599</v>
      </c>
    </row>
    <row r="7" spans="1:18" ht="91.95" customHeight="1">
      <c r="A7" s="1" t="s">
        <v>146</v>
      </c>
      <c r="B7" s="1" t="s">
        <v>147</v>
      </c>
      <c r="C7" s="1" t="s">
        <v>148</v>
      </c>
      <c r="D7" s="8" t="s">
        <v>485</v>
      </c>
      <c r="E7" s="8" t="s">
        <v>71</v>
      </c>
      <c r="F7" s="8" t="s">
        <v>570</v>
      </c>
      <c r="G7" s="1" t="str">
        <f>IFERROR(IF(LEN(TRIM(CLEAN(SUBSTITUTE(Setup!$B$2,CHAR(160)," "))))=0,"CHECK REVIEWER ID",IF(OR(A7="",COUNTIF($A$2:$A$19,A7)&lt;&gt;1,LEFT(A7,LEN("2025::jama.2025.11178::"))&lt;&gt;"2025::jama.2025.11178::"),"CHECK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tr">
        <f t="shared" si="0"/>
        <v>not_applicable</v>
      </c>
      <c r="I7" s="8" t="str">
        <f t="shared" si="1"/>
        <v>not_applicable</v>
      </c>
      <c r="J7" s="9" t="str">
        <f t="shared" si="2"/>
        <v>not_applicable</v>
      </c>
      <c r="K7" s="8" t="str">
        <f t="shared" si="3"/>
        <v>not_applicable</v>
      </c>
      <c r="L7" s="9" t="s">
        <v>526</v>
      </c>
      <c r="M7" s="1"/>
      <c r="N7" s="4"/>
      <c r="O7" s="4"/>
      <c r="P7" s="4"/>
      <c r="Q7" s="4"/>
      <c r="R7" s="9" t="s">
        <v>600</v>
      </c>
    </row>
    <row r="8" spans="1:18" ht="91.95" customHeight="1">
      <c r="A8" s="3" t="s">
        <v>149</v>
      </c>
      <c r="B8" s="3" t="s">
        <v>150</v>
      </c>
      <c r="C8" s="3" t="s">
        <v>151</v>
      </c>
      <c r="D8" s="8" t="s">
        <v>485</v>
      </c>
      <c r="E8" s="8" t="s">
        <v>71</v>
      </c>
      <c r="F8" s="8" t="s">
        <v>570</v>
      </c>
      <c r="G8" s="3" t="str">
        <f>IFERROR(IF(LEN(TRIM(CLEAN(SUBSTITUTE(Setup!$B$2,CHAR(160)," "))))=0,"CHECK REVIEWER ID",IF(OR(A8="",COUNTIF($A$2:$A$19,A8)&lt;&gt;1,LEFT(A8,LEN("2025::jama.2025.11178::"))&lt;&gt;"2025::jama.2025.11178::"),"CHECK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PRIMARY READY</v>
      </c>
      <c r="H8" s="8" t="str">
        <f t="shared" si="0"/>
        <v>not_applicable</v>
      </c>
      <c r="I8" s="8" t="str">
        <f t="shared" si="1"/>
        <v>not_applicable</v>
      </c>
      <c r="J8" s="9" t="str">
        <f t="shared" si="2"/>
        <v>not_applicable</v>
      </c>
      <c r="K8" s="8" t="str">
        <f t="shared" si="3"/>
        <v>not_applicable</v>
      </c>
      <c r="L8" s="9" t="s">
        <v>554</v>
      </c>
      <c r="M8" s="3"/>
      <c r="N8" s="4"/>
      <c r="O8" s="4"/>
      <c r="P8" s="4"/>
      <c r="Q8" s="4"/>
      <c r="R8" s="9" t="s">
        <v>601</v>
      </c>
    </row>
    <row r="9" spans="1:18" ht="91.95" customHeight="1">
      <c r="A9" s="1" t="s">
        <v>152</v>
      </c>
      <c r="B9" s="1" t="s">
        <v>153</v>
      </c>
      <c r="C9" s="1" t="s">
        <v>154</v>
      </c>
      <c r="D9" s="8" t="s">
        <v>485</v>
      </c>
      <c r="E9" s="8" t="s">
        <v>66</v>
      </c>
      <c r="F9" s="8" t="s">
        <v>570</v>
      </c>
      <c r="G9" s="1" t="str">
        <f>IFERROR(IF(LEN(TRIM(CLEAN(SUBSTITUTE(Setup!$B$2,CHAR(160)," "))))=0,"CHECK REVIEWER ID",IF(OR(A9="",COUNTIF($A$2:$A$19,A9)&lt;&gt;1,LEFT(A9,LEN("2025::jama.2025.11178::"))&lt;&gt;"2025::jama.2025.11178::"),"CHECK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PRIMARY READY</v>
      </c>
      <c r="H9" s="8" t="s">
        <v>512</v>
      </c>
      <c r="I9" s="8" t="s">
        <v>524</v>
      </c>
      <c r="J9" s="9" t="s">
        <v>536</v>
      </c>
      <c r="K9" s="8" t="str">
        <f t="shared" si="3"/>
        <v>not_applicable</v>
      </c>
      <c r="L9" s="9" t="str">
        <f t="shared" si="4"/>
        <v>not_applicable</v>
      </c>
      <c r="M9" s="1"/>
      <c r="N9" s="4"/>
      <c r="O9" s="4"/>
      <c r="P9" s="4"/>
      <c r="Q9" s="4"/>
      <c r="R9" s="9" t="s">
        <v>604</v>
      </c>
    </row>
    <row r="10" spans="1:18" ht="91.95" customHeight="1">
      <c r="A10" s="3" t="s">
        <v>155</v>
      </c>
      <c r="B10" s="3" t="s">
        <v>156</v>
      </c>
      <c r="C10" s="3" t="s">
        <v>157</v>
      </c>
      <c r="D10" s="8" t="s">
        <v>485</v>
      </c>
      <c r="E10" s="8" t="s">
        <v>66</v>
      </c>
      <c r="F10" s="8" t="s">
        <v>570</v>
      </c>
      <c r="G10" s="3" t="str">
        <f>IFERROR(IF(LEN(TRIM(CLEAN(SUBSTITUTE(Setup!$B$2,CHAR(160)," "))))=0,"CHECK REVIEWER ID",IF(OR(A10="",COUNTIF($A$2:$A$19,A10)&lt;&gt;1,LEFT(A10,LEN("2025::jama.2025.11178::"))&lt;&gt;"2025::jama.2025.11178::"),"CHECK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PRIMARY READY</v>
      </c>
      <c r="H10" s="8" t="s">
        <v>512</v>
      </c>
      <c r="I10" s="8" t="s">
        <v>524</v>
      </c>
      <c r="J10" s="9" t="s">
        <v>532</v>
      </c>
      <c r="K10" s="8" t="str">
        <f t="shared" si="3"/>
        <v>not_applicable</v>
      </c>
      <c r="L10" s="9" t="str">
        <f t="shared" si="4"/>
        <v>not_applicable</v>
      </c>
      <c r="M10" s="3"/>
      <c r="N10" s="4"/>
      <c r="O10" s="4"/>
      <c r="P10" s="4"/>
      <c r="Q10" s="4"/>
      <c r="R10" s="9" t="s">
        <v>606</v>
      </c>
    </row>
    <row r="11" spans="1:18" ht="91.95" customHeight="1">
      <c r="A11" s="1" t="s">
        <v>158</v>
      </c>
      <c r="B11" s="1" t="s">
        <v>159</v>
      </c>
      <c r="C11" s="1" t="s">
        <v>160</v>
      </c>
      <c r="D11" s="8" t="s">
        <v>485</v>
      </c>
      <c r="E11" s="8" t="s">
        <v>66</v>
      </c>
      <c r="F11" s="8" t="s">
        <v>570</v>
      </c>
      <c r="G11" s="1" t="str">
        <f>IFERROR(IF(LEN(TRIM(CLEAN(SUBSTITUTE(Setup!$B$2,CHAR(160)," "))))=0,"CHECK REVIEWER ID",IF(OR(A11="",COUNTIF($A$2:$A$19,A11)&lt;&gt;1,LEFT(A11,LEN("2025::jama.2025.11178::"))&lt;&gt;"2025::jama.2025.11178::"),"CHECK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PRIMARY READY</v>
      </c>
      <c r="H11" s="8" t="s">
        <v>512</v>
      </c>
      <c r="I11" s="8" t="s">
        <v>524</v>
      </c>
      <c r="J11" s="9" t="s">
        <v>532</v>
      </c>
      <c r="K11" s="8" t="str">
        <f t="shared" si="3"/>
        <v>not_applicable</v>
      </c>
      <c r="L11" s="9" t="str">
        <f t="shared" si="4"/>
        <v>not_applicable</v>
      </c>
      <c r="M11" s="1"/>
      <c r="N11" s="4"/>
      <c r="O11" s="4"/>
      <c r="P11" s="4"/>
      <c r="Q11" s="4"/>
      <c r="R11" s="9" t="s">
        <v>608</v>
      </c>
    </row>
    <row r="12" spans="1:18" ht="91.95" customHeight="1">
      <c r="A12" s="3" t="s">
        <v>161</v>
      </c>
      <c r="B12" s="3" t="s">
        <v>162</v>
      </c>
      <c r="C12" s="3" t="s">
        <v>163</v>
      </c>
      <c r="D12" s="8" t="s">
        <v>485</v>
      </c>
      <c r="E12" s="8" t="s">
        <v>66</v>
      </c>
      <c r="F12" s="8" t="s">
        <v>570</v>
      </c>
      <c r="G12" s="3" t="str">
        <f>IFERROR(IF(LEN(TRIM(CLEAN(SUBSTITUTE(Setup!$B$2,CHAR(160)," "))))=0,"CHECK REVIEWER ID",IF(OR(A12="",COUNTIF($A$2:$A$19,A12)&lt;&gt;1,LEFT(A12,LEN("2025::jama.2025.11178::"))&lt;&gt;"2025::jama.2025.11178::"),"CHECK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PRIMARY READY</v>
      </c>
      <c r="H12" s="8" t="s">
        <v>512</v>
      </c>
      <c r="I12" s="8" t="s">
        <v>524</v>
      </c>
      <c r="J12" s="9" t="s">
        <v>536</v>
      </c>
      <c r="K12" s="8" t="str">
        <f t="shared" si="3"/>
        <v>not_applicable</v>
      </c>
      <c r="L12" s="9" t="str">
        <f t="shared" si="4"/>
        <v>not_applicable</v>
      </c>
      <c r="M12" s="3"/>
      <c r="N12" s="4"/>
      <c r="O12" s="4"/>
      <c r="P12" s="4"/>
      <c r="Q12" s="4"/>
      <c r="R12" s="9" t="s">
        <v>610</v>
      </c>
    </row>
    <row r="13" spans="1:18" ht="91.95" customHeight="1">
      <c r="A13" s="1" t="s">
        <v>164</v>
      </c>
      <c r="B13" s="1" t="s">
        <v>165</v>
      </c>
      <c r="C13" s="1" t="s">
        <v>166</v>
      </c>
      <c r="D13" s="8" t="s">
        <v>485</v>
      </c>
      <c r="E13" s="8" t="s">
        <v>66</v>
      </c>
      <c r="F13" s="8" t="s">
        <v>570</v>
      </c>
      <c r="G13" s="1" t="str">
        <f>IFERROR(IF(LEN(TRIM(CLEAN(SUBSTITUTE(Setup!$B$2,CHAR(160)," "))))=0,"CHECK REVIEWER ID",IF(OR(A13="",COUNTIF($A$2:$A$19,A13)&lt;&gt;1,LEFT(A13,LEN("2025::jama.2025.11178::"))&lt;&gt;"2025::jama.2025.11178::"),"CHECK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PRIMARY READY</v>
      </c>
      <c r="H13" s="8" t="s">
        <v>512</v>
      </c>
      <c r="I13" s="8" t="s">
        <v>524</v>
      </c>
      <c r="J13" s="9" t="s">
        <v>534</v>
      </c>
      <c r="K13" s="8" t="str">
        <f t="shared" si="3"/>
        <v>not_applicable</v>
      </c>
      <c r="L13" s="9" t="str">
        <f t="shared" si="4"/>
        <v>not_applicable</v>
      </c>
      <c r="M13" s="1"/>
      <c r="N13" s="4"/>
      <c r="O13" s="4"/>
      <c r="P13" s="4"/>
      <c r="Q13" s="4"/>
      <c r="R13" s="9"/>
    </row>
    <row r="14" spans="1:18" ht="91.95" customHeight="1">
      <c r="A14" s="3" t="s">
        <v>167</v>
      </c>
      <c r="B14" s="3" t="s">
        <v>168</v>
      </c>
      <c r="C14" s="3" t="s">
        <v>169</v>
      </c>
      <c r="D14" s="8" t="s">
        <v>485</v>
      </c>
      <c r="E14" s="8" t="s">
        <v>66</v>
      </c>
      <c r="F14" s="8" t="s">
        <v>570</v>
      </c>
      <c r="G14" s="3" t="str">
        <f>IFERROR(IF(LEN(TRIM(CLEAN(SUBSTITUTE(Setup!$B$2,CHAR(160)," "))))=0,"CHECK REVIEWER ID",IF(OR(A14="",COUNTIF($A$2:$A$19,A14)&lt;&gt;1,LEFT(A14,LEN("2025::jama.2025.11178::"))&lt;&gt;"2025::jama.2025.11178::"),"CHECK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PRIMARY READY</v>
      </c>
      <c r="H14" s="8" t="s">
        <v>512</v>
      </c>
      <c r="I14" s="8" t="s">
        <v>524</v>
      </c>
      <c r="J14" s="9" t="s">
        <v>534</v>
      </c>
      <c r="K14" s="8" t="str">
        <f t="shared" si="3"/>
        <v>not_applicable</v>
      </c>
      <c r="L14" s="9" t="str">
        <f t="shared" si="4"/>
        <v>not_applicable</v>
      </c>
      <c r="M14" s="3"/>
      <c r="N14" s="4"/>
      <c r="O14" s="4"/>
      <c r="P14" s="4"/>
      <c r="Q14" s="4"/>
      <c r="R14" s="9"/>
    </row>
    <row r="15" spans="1:18" ht="91.95" customHeight="1">
      <c r="A15" s="1" t="s">
        <v>170</v>
      </c>
      <c r="B15" s="1" t="s">
        <v>171</v>
      </c>
      <c r="C15" s="1" t="s">
        <v>172</v>
      </c>
      <c r="D15" s="8" t="s">
        <v>485</v>
      </c>
      <c r="E15" s="8" t="s">
        <v>66</v>
      </c>
      <c r="F15" s="8" t="s">
        <v>570</v>
      </c>
      <c r="G15" s="1" t="str">
        <f>IFERROR(IF(LEN(TRIM(CLEAN(SUBSTITUTE(Setup!$B$2,CHAR(160)," "))))=0,"CHECK REVIEWER ID",IF(OR(A15="",COUNTIF($A$2:$A$19,A15)&lt;&gt;1,LEFT(A15,LEN("2025::jama.2025.11178::"))&lt;&gt;"2025::jama.2025.11178::"),"CHECK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PRIMARY READY</v>
      </c>
      <c r="H15" s="8" t="s">
        <v>512</v>
      </c>
      <c r="I15" s="8" t="s">
        <v>524</v>
      </c>
      <c r="J15" s="9" t="s">
        <v>532</v>
      </c>
      <c r="K15" s="8" t="str">
        <f t="shared" si="3"/>
        <v>not_applicable</v>
      </c>
      <c r="L15" s="9" t="str">
        <f t="shared" si="4"/>
        <v>not_applicable</v>
      </c>
      <c r="M15" s="1"/>
      <c r="N15" s="4"/>
      <c r="O15" s="4"/>
      <c r="P15" s="4"/>
      <c r="Q15" s="4"/>
      <c r="R15" s="9" t="s">
        <v>609</v>
      </c>
    </row>
    <row r="16" spans="1:18" ht="91.95" customHeight="1">
      <c r="A16" s="3" t="s">
        <v>173</v>
      </c>
      <c r="B16" s="3" t="s">
        <v>174</v>
      </c>
      <c r="C16" s="3" t="s">
        <v>175</v>
      </c>
      <c r="D16" s="8" t="s">
        <v>485</v>
      </c>
      <c r="E16" s="8" t="s">
        <v>66</v>
      </c>
      <c r="F16" s="8" t="s">
        <v>570</v>
      </c>
      <c r="G16" s="3" t="str">
        <f>IFERROR(IF(LEN(TRIM(CLEAN(SUBSTITUTE(Setup!$B$2,CHAR(160)," "))))=0,"CHECK REVIEWER ID",IF(OR(A16="",COUNTIF($A$2:$A$19,A16)&lt;&gt;1,LEFT(A16,LEN("2025::jama.2025.11178::"))&lt;&gt;"2025::jama.2025.11178::"),"CHECK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PRIMARY READY</v>
      </c>
      <c r="H16" s="8" t="s">
        <v>512</v>
      </c>
      <c r="I16" s="8" t="s">
        <v>524</v>
      </c>
      <c r="J16" s="9" t="s">
        <v>532</v>
      </c>
      <c r="K16" s="8" t="str">
        <f t="shared" si="3"/>
        <v>not_applicable</v>
      </c>
      <c r="L16" s="9" t="str">
        <f t="shared" si="4"/>
        <v>not_applicable</v>
      </c>
      <c r="M16" s="3"/>
      <c r="N16" s="4"/>
      <c r="O16" s="4"/>
      <c r="P16" s="4"/>
      <c r="Q16" s="4"/>
      <c r="R16" s="9" t="s">
        <v>607</v>
      </c>
    </row>
    <row r="17" spans="1:18" ht="91.95" customHeight="1">
      <c r="A17" s="1" t="s">
        <v>176</v>
      </c>
      <c r="B17" s="1" t="s">
        <v>177</v>
      </c>
      <c r="C17" s="1" t="s">
        <v>178</v>
      </c>
      <c r="D17" s="8" t="s">
        <v>485</v>
      </c>
      <c r="E17" s="8" t="s">
        <v>66</v>
      </c>
      <c r="F17" s="8" t="s">
        <v>570</v>
      </c>
      <c r="G17" s="1" t="str">
        <f>IFERROR(IF(LEN(TRIM(CLEAN(SUBSTITUTE(Setup!$B$2,CHAR(160)," "))))=0,"CHECK REVIEWER ID",IF(OR(A17="",COUNTIF($A$2:$A$19,A17)&lt;&gt;1,LEFT(A17,LEN("2025::jama.2025.11178::"))&lt;&gt;"2025::jama.2025.11178::"),"CHECK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PRIMARY READY</v>
      </c>
      <c r="H17" s="8" t="s">
        <v>512</v>
      </c>
      <c r="I17" s="8" t="s">
        <v>524</v>
      </c>
      <c r="J17" s="9" t="s">
        <v>532</v>
      </c>
      <c r="K17" s="8" t="str">
        <f t="shared" si="3"/>
        <v>not_applicable</v>
      </c>
      <c r="L17" s="9" t="str">
        <f t="shared" si="4"/>
        <v>not_applicable</v>
      </c>
      <c r="M17" s="1"/>
      <c r="N17" s="4"/>
      <c r="O17" s="4"/>
      <c r="P17" s="4"/>
      <c r="Q17" s="4"/>
      <c r="R17" s="9" t="s">
        <v>605</v>
      </c>
    </row>
    <row r="18" spans="1:18" ht="91.95" customHeight="1">
      <c r="A18" s="3" t="s">
        <v>179</v>
      </c>
      <c r="B18" s="3" t="s">
        <v>180</v>
      </c>
      <c r="C18" s="3" t="s">
        <v>181</v>
      </c>
      <c r="D18" s="8" t="s">
        <v>485</v>
      </c>
      <c r="E18" s="8" t="s">
        <v>66</v>
      </c>
      <c r="F18" s="8" t="s">
        <v>570</v>
      </c>
      <c r="G18" s="3" t="str">
        <f>IFERROR(IF(LEN(TRIM(CLEAN(SUBSTITUTE(Setup!$B$2,CHAR(160)," "))))=0,"CHECK REVIEWER ID",IF(OR(A18="",COUNTIF($A$2:$A$19,A18)&lt;&gt;1,LEFT(A18,LEN("2025::jama.2025.11178::"))&lt;&gt;"2025::jama.2025.11178::"),"CHECK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PRIMARY READY</v>
      </c>
      <c r="H18" s="8" t="s">
        <v>512</v>
      </c>
      <c r="I18" s="8" t="s">
        <v>524</v>
      </c>
      <c r="J18" s="9" t="s">
        <v>534</v>
      </c>
      <c r="K18" s="8" t="str">
        <f t="shared" si="3"/>
        <v>not_applicable</v>
      </c>
      <c r="L18" s="9" t="str">
        <f t="shared" si="4"/>
        <v>not_applicable</v>
      </c>
      <c r="M18" s="3"/>
      <c r="N18" s="4"/>
      <c r="O18" s="4"/>
      <c r="P18" s="4"/>
      <c r="Q18" s="4"/>
      <c r="R18" s="9" t="s">
        <v>603</v>
      </c>
    </row>
    <row r="19" spans="1:18" ht="91.95" customHeight="1">
      <c r="A19" s="1" t="s">
        <v>182</v>
      </c>
      <c r="B19" s="1" t="s">
        <v>183</v>
      </c>
      <c r="C19" s="1" t="s">
        <v>184</v>
      </c>
      <c r="D19" s="8" t="s">
        <v>485</v>
      </c>
      <c r="E19" s="8" t="s">
        <v>66</v>
      </c>
      <c r="F19" s="8" t="s">
        <v>570</v>
      </c>
      <c r="G19" s="1" t="str">
        <f>IFERROR(IF(LEN(TRIM(CLEAN(SUBSTITUTE(Setup!$B$2,CHAR(160)," "))))=0,"CHECK REVIEWER ID",IF(OR(A19="",COUNTIF($A$2:$A$19,A19)&lt;&gt;1,LEFT(A19,LEN("2025::jama.2025.11178::"))&lt;&gt;"2025::jama.2025.11178::"),"CHECK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PRIMARY READY</v>
      </c>
      <c r="H19" s="8" t="s">
        <v>512</v>
      </c>
      <c r="I19" s="8" t="s">
        <v>524</v>
      </c>
      <c r="J19" s="9" t="s">
        <v>536</v>
      </c>
      <c r="K19" s="8" t="str">
        <f t="shared" si="3"/>
        <v>not_applicable</v>
      </c>
      <c r="L19" s="9" t="str">
        <f t="shared" si="4"/>
        <v>not_applicable</v>
      </c>
      <c r="M19" s="1"/>
      <c r="N19" s="4"/>
      <c r="O19" s="4"/>
      <c r="P19" s="4"/>
      <c r="Q19" s="4"/>
      <c r="R19" s="9" t="s">
        <v>602</v>
      </c>
    </row>
  </sheetData>
  <autoFilter ref="A1:R19" xr:uid="{00000000-0009-0000-0000-000005000000}"/>
  <phoneticPr fontId="5" type="noConversion"/>
  <conditionalFormatting sqref="G2:G19">
    <cfRule type="expression" dxfId="51" priority="13">
      <formula>G2&lt;&gt;"PRIMARY READY"</formula>
    </cfRule>
  </conditionalFormatting>
  <conditionalFormatting sqref="H2:J19">
    <cfRule type="expression" dxfId="50" priority="8">
      <formula>NOT(AND(OR($D2="retain",$D2=""),$E2="statistical_results"))</formula>
    </cfRule>
  </conditionalFormatting>
  <conditionalFormatting sqref="K2:K19">
    <cfRule type="expression" dxfId="49" priority="11">
      <formula>NOT(AND(OR($D2="retain",$D2=""),OR($E2="report_internal_inconsistency",$E2="plan_material")))</formula>
    </cfRule>
  </conditionalFormatting>
  <conditionalFormatting sqref="L2:L19">
    <cfRule type="expression" dxfId="48" priority="12">
      <formula>NOT(AND(OR($D2="retain",$D2=""),$E2="protocol_report"))</formula>
    </cfRule>
  </conditionalFormatting>
  <dataValidations count="8">
    <dataValidation type="list" allowBlank="1" showErrorMessage="1" errorTitle="Use a listed option" error="Choose an option; G also checks pasted entries." sqref="D2:D19" xr:uid="{00000000-0002-0000-0500-000000000000}">
      <formula1>"retain,exclude,discuss"</formula1>
    </dataValidation>
    <dataValidation type="list" allowBlank="1" showErrorMessage="1" errorTitle="Use a listed option" error="Choose an option; G also checks pasted entries." sqref="E2:E19" xr:uid="{00000000-0002-0000-0500-000001000000}">
      <formula1>"statistical_results,report_internal_inconsistency,plan_material,protocol_report"</formula1>
    </dataValidation>
    <dataValidation type="list" allowBlank="1" showErrorMessage="1" errorTitle="Use a listed option" error="Choose an option; G also checks pasted entries." sqref="F2:F19" xr:uid="{00000000-0002-0000-0500-000002000000}">
      <formula1>"no,primary_done"</formula1>
    </dataValidation>
    <dataValidation type="list" allowBlank="1" showErrorMessage="1" errorTitle="Use a listed option" error="Choose an option; G also checks pasted entries." sqref="H2:H19" xr:uid="{00000000-0002-0000-0500-000003000000}">
      <formula1>"confirmed_issue,probable_issue,not_issue,indeterminate,not_applicable"</formula1>
    </dataValidation>
    <dataValidation type="list" allowBlank="1" showErrorMessage="1" errorTitle="Use a listed option" error="Choose an option; G also checks pasted entries." sqref="I2:I19" xr:uid="{00000000-0002-0000-0500-000004000000}">
      <formula1>"substantive,minor_presentation,indeterminate,not_applicable"</formula1>
    </dataValidation>
    <dataValidation type="list" allowBlank="1" showErrorMessage="1" errorTitle="Use a listed option" error="Choose an option; G also checks pasted entries." sqref="J2:J19" xr:uid="{00000000-0002-0000-0500-000005000000}">
      <formula1>"direct,possible,unlikely,unknown,not_applicable"</formula1>
    </dataValidation>
    <dataValidation type="list" allowBlank="1" showErrorMessage="1" errorTitle="Use a listed option" error="Choose an option; G also checks pasted entries." sqref="K2:K19" xr:uid="{00000000-0002-0000-0500-000006000000}">
      <formula1>"substantive_inconsistency,minor_presentation,non_inconsistency,indeterminate,not_applicable"</formula1>
    </dataValidation>
    <dataValidation type="list" allowBlank="1" showErrorMessage="1" errorTitle="Use a listed option" error="Choose an option; G also checks pasted entries." sqref="L2:L19" xr:uid="{00000000-0002-0000-0500-000007000000}">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7"/>
  <sheetViews>
    <sheetView workbookViewId="0">
      <pane xSplit="1" ySplit="1" topLeftCell="B2" activePane="bottomRight" state="frozen"/>
      <selection pane="topRight"/>
      <selection pane="bottomLeft"/>
      <selection pane="bottomRight" activeCell="F5" sqref="F5"/>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185</v>
      </c>
      <c r="B2" s="3" t="s">
        <v>186</v>
      </c>
      <c r="C2" s="3" t="s">
        <v>187</v>
      </c>
      <c r="D2" s="8" t="s">
        <v>485</v>
      </c>
      <c r="E2" s="8" t="s">
        <v>66</v>
      </c>
      <c r="F2" s="8" t="s">
        <v>570</v>
      </c>
      <c r="G2" s="3" t="str">
        <f>IFERROR(IF(LEN(TRIM(CLEAN(SUBSTITUTE(Setup!$B$2,CHAR(160)," "))))=0,"CHECK REVIEWER ID",IF(OR(A2="",COUNTIF($A$2:$A$7,A2)&lt;&gt;1,LEFT(A2,LEN("2025::jama.2025.15185::"))&lt;&gt;"2025::jama.2025.15185::"),"CHECK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
        <v>512</v>
      </c>
      <c r="I2" s="8" t="s">
        <v>524</v>
      </c>
      <c r="J2" s="9" t="s">
        <v>534</v>
      </c>
      <c r="K2" s="8" t="str">
        <f t="shared" ref="K2:K7" si="0">IF(AND(OR(D2="retain",D2=""),OR(E2="report_internal_inconsistency",E2="plan_material")),"","not_applicable")</f>
        <v>not_applicable</v>
      </c>
      <c r="L2" s="9" t="str">
        <f t="shared" ref="L2:L7" si="1">IF(AND(OR(D2="retain",D2=""),E2="protocol_report"),"","not_applicable")</f>
        <v>not_applicable</v>
      </c>
      <c r="M2" s="3"/>
      <c r="N2" s="4"/>
      <c r="O2" s="4"/>
      <c r="P2" s="4"/>
      <c r="Q2" s="4"/>
      <c r="R2" s="9" t="s">
        <v>611</v>
      </c>
    </row>
    <row r="3" spans="1:18" ht="91.95" customHeight="1">
      <c r="A3" s="1" t="s">
        <v>188</v>
      </c>
      <c r="B3" s="1" t="s">
        <v>189</v>
      </c>
      <c r="C3" s="1" t="s">
        <v>190</v>
      </c>
      <c r="D3" s="8" t="s">
        <v>485</v>
      </c>
      <c r="E3" s="8" t="s">
        <v>71</v>
      </c>
      <c r="F3" s="8" t="s">
        <v>570</v>
      </c>
      <c r="G3" s="1" t="str">
        <f>IFERROR(IF(LEN(TRIM(CLEAN(SUBSTITUTE(Setup!$B$2,CHAR(160)," "))))=0,"CHECK REVIEWER ID",IF(OR(A3="",COUNTIF($A$2:$A$7,A3)&lt;&gt;1,LEFT(A3,LEN("2025::jama.2025.15185::"))&lt;&gt;"2025::jama.2025.15185::"),"CHECK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ref="H3:H6" si="2">IF(AND(OR(D3="retain",D3=""),E3="statistical_results"),"","not_applicable")</f>
        <v>not_applicable</v>
      </c>
      <c r="I3" s="8" t="str">
        <f t="shared" ref="I3:I6" si="3">IF(AND(OR(D3="retain",D3=""),E3="statistical_results"),"","not_applicable")</f>
        <v>not_applicable</v>
      </c>
      <c r="J3" s="9" t="str">
        <f t="shared" ref="J3:J6" si="4">IF(AND(OR(D3="retain",D3=""),E3="statistical_results"),"","not_applicable")</f>
        <v>not_applicable</v>
      </c>
      <c r="K3" s="8" t="str">
        <f t="shared" si="0"/>
        <v>not_applicable</v>
      </c>
      <c r="L3" s="9" t="s">
        <v>554</v>
      </c>
      <c r="M3" s="1"/>
      <c r="N3" s="4"/>
      <c r="O3" s="4"/>
      <c r="P3" s="4"/>
      <c r="Q3" s="4"/>
      <c r="R3" s="9" t="s">
        <v>613</v>
      </c>
    </row>
    <row r="4" spans="1:18" ht="91.95" customHeight="1">
      <c r="A4" s="3" t="s">
        <v>191</v>
      </c>
      <c r="B4" s="3" t="s">
        <v>192</v>
      </c>
      <c r="C4" s="3" t="s">
        <v>193</v>
      </c>
      <c r="D4" s="8" t="s">
        <v>485</v>
      </c>
      <c r="E4" s="8" t="s">
        <v>71</v>
      </c>
      <c r="F4" s="8" t="s">
        <v>570</v>
      </c>
      <c r="G4" s="3" t="str">
        <f>IFERROR(IF(LEN(TRIM(CLEAN(SUBSTITUTE(Setup!$B$2,CHAR(160)," "))))=0,"CHECK REVIEWER ID",IF(OR(A4="",COUNTIF($A$2:$A$7,A4)&lt;&gt;1,LEFT(A4,LEN("2025::jama.2025.15185::"))&lt;&gt;"2025::jama.2025.15185::"),"CHECK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2"/>
        <v>not_applicable</v>
      </c>
      <c r="I4" s="8" t="str">
        <f t="shared" si="3"/>
        <v>not_applicable</v>
      </c>
      <c r="J4" s="9" t="str">
        <f t="shared" si="4"/>
        <v>not_applicable</v>
      </c>
      <c r="K4" s="8" t="str">
        <f t="shared" si="0"/>
        <v>not_applicable</v>
      </c>
      <c r="L4" s="9" t="s">
        <v>554</v>
      </c>
      <c r="M4" s="3"/>
      <c r="N4" s="4"/>
      <c r="O4" s="4"/>
      <c r="P4" s="4"/>
      <c r="Q4" s="4"/>
      <c r="R4" s="9" t="s">
        <v>614</v>
      </c>
    </row>
    <row r="5" spans="1:18" ht="91.95" customHeight="1">
      <c r="A5" s="1" t="s">
        <v>194</v>
      </c>
      <c r="B5" s="1" t="s">
        <v>195</v>
      </c>
      <c r="C5" s="1" t="s">
        <v>196</v>
      </c>
      <c r="D5" s="8" t="s">
        <v>485</v>
      </c>
      <c r="E5" s="8" t="s">
        <v>71</v>
      </c>
      <c r="F5" s="8" t="s">
        <v>570</v>
      </c>
      <c r="G5" s="1" t="str">
        <f>IFERROR(IF(LEN(TRIM(CLEAN(SUBSTITUTE(Setup!$B$2,CHAR(160)," "))))=0,"CHECK REVIEWER ID",IF(OR(A5="",COUNTIF($A$2:$A$7,A5)&lt;&gt;1,LEFT(A5,LEN("2025::jama.2025.15185::"))&lt;&gt;"2025::jama.2025.15185::"),"CHECK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2"/>
        <v>not_applicable</v>
      </c>
      <c r="I5" s="8" t="str">
        <f t="shared" si="3"/>
        <v>not_applicable</v>
      </c>
      <c r="J5" s="9" t="str">
        <f t="shared" si="4"/>
        <v>not_applicable</v>
      </c>
      <c r="K5" s="8" t="str">
        <f t="shared" si="0"/>
        <v>not_applicable</v>
      </c>
      <c r="L5" s="9" t="s">
        <v>554</v>
      </c>
      <c r="M5" s="1"/>
      <c r="N5" s="4"/>
      <c r="O5" s="4"/>
      <c r="P5" s="4"/>
      <c r="Q5" s="4"/>
      <c r="R5" s="9" t="s">
        <v>616</v>
      </c>
    </row>
    <row r="6" spans="1:18" ht="91.95" customHeight="1">
      <c r="A6" s="3" t="s">
        <v>197</v>
      </c>
      <c r="B6" s="3" t="s">
        <v>198</v>
      </c>
      <c r="C6" s="3" t="s">
        <v>199</v>
      </c>
      <c r="D6" s="8" t="s">
        <v>485</v>
      </c>
      <c r="E6" s="8" t="s">
        <v>71</v>
      </c>
      <c r="F6" s="8" t="s">
        <v>570</v>
      </c>
      <c r="G6" s="3" t="str">
        <f>IFERROR(IF(LEN(TRIM(CLEAN(SUBSTITUTE(Setup!$B$2,CHAR(160)," "))))=0,"CHECK REVIEWER ID",IF(OR(A6="",COUNTIF($A$2:$A$7,A6)&lt;&gt;1,LEFT(A6,LEN("2025::jama.2025.15185::"))&lt;&gt;"2025::jama.2025.15185::"),"CHECK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2"/>
        <v>not_applicable</v>
      </c>
      <c r="I6" s="8" t="str">
        <f t="shared" si="3"/>
        <v>not_applicable</v>
      </c>
      <c r="J6" s="9" t="str">
        <f t="shared" si="4"/>
        <v>not_applicable</v>
      </c>
      <c r="K6" s="8" t="str">
        <f t="shared" si="0"/>
        <v>not_applicable</v>
      </c>
      <c r="L6" s="9" t="s">
        <v>554</v>
      </c>
      <c r="M6" s="3"/>
      <c r="N6" s="4"/>
      <c r="O6" s="4"/>
      <c r="P6" s="4"/>
      <c r="Q6" s="4"/>
      <c r="R6" s="9" t="s">
        <v>615</v>
      </c>
    </row>
    <row r="7" spans="1:18" ht="91.95" customHeight="1">
      <c r="A7" s="1" t="s">
        <v>200</v>
      </c>
      <c r="B7" s="1" t="s">
        <v>201</v>
      </c>
      <c r="C7" s="1" t="s">
        <v>202</v>
      </c>
      <c r="D7" s="8" t="s">
        <v>485</v>
      </c>
      <c r="E7" s="8" t="s">
        <v>66</v>
      </c>
      <c r="F7" s="8" t="s">
        <v>570</v>
      </c>
      <c r="G7" s="1" t="str">
        <f>IFERROR(IF(LEN(TRIM(CLEAN(SUBSTITUTE(Setup!$B$2,CHAR(160)," "))))=0,"CHECK REVIEWER ID",IF(OR(A7="",COUNTIF($A$2:$A$7,A7)&lt;&gt;1,LEFT(A7,LEN("2025::jama.2025.15185::"))&lt;&gt;"2025::jama.2025.15185::"),"CHECK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524</v>
      </c>
      <c r="J7" s="9" t="s">
        <v>534</v>
      </c>
      <c r="K7" s="8" t="str">
        <f t="shared" si="0"/>
        <v>not_applicable</v>
      </c>
      <c r="L7" s="9" t="str">
        <f t="shared" si="1"/>
        <v>not_applicable</v>
      </c>
      <c r="M7" s="1"/>
      <c r="N7" s="4"/>
      <c r="O7" s="4"/>
      <c r="P7" s="4"/>
      <c r="Q7" s="4"/>
      <c r="R7" s="9" t="s">
        <v>612</v>
      </c>
    </row>
  </sheetData>
  <autoFilter ref="A1:R7" xr:uid="{00000000-0009-0000-0000-000006000000}"/>
  <phoneticPr fontId="5" type="noConversion"/>
  <conditionalFormatting sqref="G2:G7">
    <cfRule type="expression" dxfId="47" priority="13">
      <formula>G2&lt;&gt;"PRIMARY READY"</formula>
    </cfRule>
  </conditionalFormatting>
  <conditionalFormatting sqref="H2:J7">
    <cfRule type="expression" dxfId="46" priority="8">
      <formula>NOT(AND(OR($D2="retain",$D2=""),$E2="statistical_results"))</formula>
    </cfRule>
  </conditionalFormatting>
  <conditionalFormatting sqref="K2:K7">
    <cfRule type="expression" dxfId="45" priority="11">
      <formula>NOT(AND(OR($D2="retain",$D2=""),OR($E2="report_internal_inconsistency",$E2="plan_material")))</formula>
    </cfRule>
  </conditionalFormatting>
  <conditionalFormatting sqref="L2:L7">
    <cfRule type="expression" dxfId="44" priority="12">
      <formula>NOT(AND(OR($D2="retain",$D2=""),$E2="protocol_report"))</formula>
    </cfRule>
  </conditionalFormatting>
  <dataValidations count="8">
    <dataValidation type="list" allowBlank="1" showErrorMessage="1" errorTitle="Use a listed option" error="Choose an option; G also checks pasted entries." sqref="D2:D7" xr:uid="{00000000-0002-0000-0600-000000000000}">
      <formula1>"retain,exclude,discuss"</formula1>
    </dataValidation>
    <dataValidation type="list" allowBlank="1" showErrorMessage="1" errorTitle="Use a listed option" error="Choose an option; G also checks pasted entries." sqref="E2:E7" xr:uid="{00000000-0002-0000-0600-000001000000}">
      <formula1>"statistical_results,report_internal_inconsistency,plan_material,protocol_report"</formula1>
    </dataValidation>
    <dataValidation type="list" allowBlank="1" showErrorMessage="1" errorTitle="Use a listed option" error="Choose an option; G also checks pasted entries." sqref="F2:F7" xr:uid="{00000000-0002-0000-0600-000002000000}">
      <formula1>"no,primary_done"</formula1>
    </dataValidation>
    <dataValidation type="list" allowBlank="1" showErrorMessage="1" errorTitle="Use a listed option" error="Choose an option; G also checks pasted entries." sqref="H2:H7" xr:uid="{00000000-0002-0000-0600-000003000000}">
      <formula1>"confirmed_issue,probable_issue,not_issue,indeterminate,not_applicable"</formula1>
    </dataValidation>
    <dataValidation type="list" allowBlank="1" showErrorMessage="1" errorTitle="Use a listed option" error="Choose an option; G also checks pasted entries." sqref="I2:I7" xr:uid="{00000000-0002-0000-0600-000004000000}">
      <formula1>"substantive,minor_presentation,indeterminate,not_applicable"</formula1>
    </dataValidation>
    <dataValidation type="list" allowBlank="1" showErrorMessage="1" errorTitle="Use a listed option" error="Choose an option; G also checks pasted entries." sqref="J2:J7" xr:uid="{00000000-0002-0000-0600-000005000000}">
      <formula1>"direct,possible,unlikely,unknown,not_applicable"</formula1>
    </dataValidation>
    <dataValidation type="list" allowBlank="1" showErrorMessage="1" errorTitle="Use a listed option" error="Choose an option; G also checks pasted entries." sqref="K2:K7" xr:uid="{00000000-0002-0000-0600-000006000000}">
      <formula1>"substantive_inconsistency,minor_presentation,non_inconsistency,indeterminate,not_applicable"</formula1>
    </dataValidation>
    <dataValidation type="list" allowBlank="1" showErrorMessage="1" errorTitle="Use a listed option" error="Choose an option; G also checks pasted entries." sqref="L2:L7" xr:uid="{00000000-0002-0000-0600-000007000000}">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
  <sheetViews>
    <sheetView workbookViewId="0">
      <pane xSplit="1" ySplit="1" topLeftCell="D2" activePane="bottomRight" state="frozen"/>
      <selection pane="topRight"/>
      <selection pane="bottomLeft"/>
      <selection pane="bottomRight" activeCell="F2" sqref="F2"/>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203</v>
      </c>
      <c r="B2" s="3" t="s">
        <v>204</v>
      </c>
      <c r="C2" s="3" t="s">
        <v>205</v>
      </c>
      <c r="D2" s="8" t="s">
        <v>485</v>
      </c>
      <c r="E2" s="8" t="s">
        <v>81</v>
      </c>
      <c r="F2" s="8" t="s">
        <v>570</v>
      </c>
      <c r="G2" s="3" t="str">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IF(AND(OR(D2="retain",D2=""),E2="statistical_results"),"","not_applicable")</f>
        <v>not_applicable</v>
      </c>
      <c r="I2" s="8" t="str">
        <f>IF(AND(OR(D2="retain",D2=""),E2="statistical_results"),"","not_applicable")</f>
        <v>not_applicable</v>
      </c>
      <c r="J2" s="9" t="str">
        <f>IF(AND(OR(D2="retain",D2=""),E2="statistical_results"),"","not_applicable")</f>
        <v>not_applicable</v>
      </c>
      <c r="K2" s="8" t="s">
        <v>544</v>
      </c>
      <c r="L2" s="9" t="str">
        <f>IF(AND(OR(D2="retain",D2=""),E2="protocol_report"),"","not_applicable")</f>
        <v>not_applicable</v>
      </c>
      <c r="M2" s="3"/>
      <c r="N2" s="4"/>
      <c r="O2" s="4"/>
      <c r="P2" s="4"/>
      <c r="Q2" s="4"/>
      <c r="R2" s="9" t="s">
        <v>617</v>
      </c>
    </row>
  </sheetData>
  <autoFilter ref="A1:R2" xr:uid="{00000000-0009-0000-0000-000007000000}"/>
  <phoneticPr fontId="5" type="noConversion"/>
  <conditionalFormatting sqref="G2">
    <cfRule type="expression" dxfId="43" priority="13">
      <formula>G2&lt;&gt;"PRIMARY READY"</formula>
    </cfRule>
  </conditionalFormatting>
  <conditionalFormatting sqref="H2:J2">
    <cfRule type="expression" dxfId="42" priority="8">
      <formula>NOT(AND(OR($D2="retain",$D2=""),$E2="statistical_results"))</formula>
    </cfRule>
  </conditionalFormatting>
  <conditionalFormatting sqref="K2">
    <cfRule type="expression" dxfId="41" priority="11">
      <formula>NOT(AND(OR($D2="retain",$D2=""),OR($E2="report_internal_inconsistency",$E2="plan_material")))</formula>
    </cfRule>
  </conditionalFormatting>
  <conditionalFormatting sqref="L2">
    <cfRule type="expression" dxfId="40" priority="12">
      <formula>NOT(AND(OR($D2="retain",$D2=""),$E2="protocol_report"))</formula>
    </cfRule>
  </conditionalFormatting>
  <dataValidations count="8">
    <dataValidation type="list" allowBlank="1" showErrorMessage="1" errorTitle="Use a listed option" error="Choose an option; G also checks pasted entries." sqref="D2" xr:uid="{00000000-0002-0000-0700-000000000000}">
      <formula1>"retain,exclude,discuss"</formula1>
    </dataValidation>
    <dataValidation type="list" allowBlank="1" showErrorMessage="1" errorTitle="Use a listed option" error="Choose an option; G also checks pasted entries." sqref="E2" xr:uid="{00000000-0002-0000-0700-000001000000}">
      <formula1>"statistical_results,report_internal_inconsistency,plan_material,protocol_report"</formula1>
    </dataValidation>
    <dataValidation type="list" allowBlank="1" showErrorMessage="1" errorTitle="Use a listed option" error="Choose an option; G also checks pasted entries." sqref="F2" xr:uid="{00000000-0002-0000-0700-000002000000}">
      <formula1>"no,primary_done"</formula1>
    </dataValidation>
    <dataValidation type="list" allowBlank="1" showErrorMessage="1" errorTitle="Use a listed option" error="Choose an option; G also checks pasted entries." sqref="H2" xr:uid="{00000000-0002-0000-0700-000003000000}">
      <formula1>"confirmed_issue,probable_issue,not_issue,indeterminate,not_applicable"</formula1>
    </dataValidation>
    <dataValidation type="list" allowBlank="1" showErrorMessage="1" errorTitle="Use a listed option" error="Choose an option; G also checks pasted entries." sqref="I2" xr:uid="{00000000-0002-0000-0700-000004000000}">
      <formula1>"substantive,minor_presentation,indeterminate,not_applicable"</formula1>
    </dataValidation>
    <dataValidation type="list" allowBlank="1" showErrorMessage="1" errorTitle="Use a listed option" error="Choose an option; G also checks pasted entries." sqref="J2" xr:uid="{00000000-0002-0000-0700-000005000000}">
      <formula1>"direct,possible,unlikely,unknown,not_applicable"</formula1>
    </dataValidation>
    <dataValidation type="list" allowBlank="1" showErrorMessage="1" errorTitle="Use a listed option" error="Choose an option; G also checks pasted entries." sqref="K2" xr:uid="{00000000-0002-0000-0700-000006000000}">
      <formula1>"substantive_inconsistency,minor_presentation,non_inconsistency,indeterminate,not_applicable"</formula1>
    </dataValidation>
    <dataValidation type="list" allowBlank="1" showErrorMessage="1" errorTitle="Use a listed option" error="Choose an option; G also checks pasted entries." sqref="L2" xr:uid="{00000000-0002-0000-0700-000007000000}">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7"/>
  <sheetViews>
    <sheetView workbookViewId="0">
      <pane xSplit="1" ySplit="1" topLeftCell="C5" activePane="bottomRight" state="frozen"/>
      <selection pane="topRight"/>
      <selection pane="bottomLeft"/>
      <selection pane="bottomRight" activeCell="F7" sqref="F7"/>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206</v>
      </c>
      <c r="B2" s="3" t="s">
        <v>207</v>
      </c>
      <c r="C2" s="3" t="s">
        <v>208</v>
      </c>
      <c r="D2" s="8" t="s">
        <v>485</v>
      </c>
      <c r="E2" s="8" t="s">
        <v>71</v>
      </c>
      <c r="F2" s="8" t="s">
        <v>570</v>
      </c>
      <c r="G2" s="3" t="str">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PRIMARY READY</v>
      </c>
      <c r="H2" s="8" t="str">
        <f t="shared" ref="H2:H7" si="0">IF(AND(OR(D2="retain",D2=""),E2="statistical_results"),"","not_applicable")</f>
        <v>not_applicable</v>
      </c>
      <c r="I2" s="8" t="str">
        <f t="shared" ref="I2:I7" si="1">IF(AND(OR(D2="retain",D2=""),E2="statistical_results"),"","not_applicable")</f>
        <v>not_applicable</v>
      </c>
      <c r="J2" s="9" t="str">
        <f t="shared" ref="J2:J7" si="2">IF(AND(OR(D2="retain",D2=""),E2="statistical_results"),"","not_applicable")</f>
        <v>not_applicable</v>
      </c>
      <c r="K2" s="8" t="str">
        <f t="shared" ref="K2:K7" si="3">IF(AND(OR(D2="retain",D2=""),OR(E2="report_internal_inconsistency",E2="plan_material")),"","not_applicable")</f>
        <v>not_applicable</v>
      </c>
      <c r="L2" s="9" t="s">
        <v>526</v>
      </c>
      <c r="M2" s="3"/>
      <c r="N2" s="4"/>
      <c r="O2" s="4"/>
      <c r="P2" s="4"/>
      <c r="Q2" s="4"/>
      <c r="R2" s="9" t="s">
        <v>618</v>
      </c>
    </row>
    <row r="3" spans="1:18" ht="91.95" customHeight="1">
      <c r="A3" s="1" t="s">
        <v>209</v>
      </c>
      <c r="B3" s="1" t="s">
        <v>210</v>
      </c>
      <c r="C3" s="1" t="s">
        <v>211</v>
      </c>
      <c r="D3" s="8" t="s">
        <v>485</v>
      </c>
      <c r="E3" s="8" t="s">
        <v>71</v>
      </c>
      <c r="F3" s="8" t="s">
        <v>570</v>
      </c>
      <c r="G3" s="1" t="str">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PRIMARY READY</v>
      </c>
      <c r="H3" s="8" t="str">
        <f t="shared" si="0"/>
        <v>not_applicable</v>
      </c>
      <c r="I3" s="8" t="str">
        <f t="shared" si="1"/>
        <v>not_applicable</v>
      </c>
      <c r="J3" s="9" t="str">
        <f t="shared" si="2"/>
        <v>not_applicable</v>
      </c>
      <c r="K3" s="8" t="str">
        <f t="shared" si="3"/>
        <v>not_applicable</v>
      </c>
      <c r="L3" s="9" t="s">
        <v>554</v>
      </c>
      <c r="M3" s="1"/>
      <c r="N3" s="4"/>
      <c r="O3" s="4"/>
      <c r="P3" s="4"/>
      <c r="Q3" s="4"/>
      <c r="R3" s="9" t="s">
        <v>619</v>
      </c>
    </row>
    <row r="4" spans="1:18" ht="91.95" customHeight="1">
      <c r="A4" s="3" t="s">
        <v>212</v>
      </c>
      <c r="B4" s="3" t="s">
        <v>213</v>
      </c>
      <c r="C4" s="3" t="s">
        <v>214</v>
      </c>
      <c r="D4" s="8" t="s">
        <v>485</v>
      </c>
      <c r="E4" s="8" t="s">
        <v>71</v>
      </c>
      <c r="F4" s="8" t="s">
        <v>570</v>
      </c>
      <c r="G4" s="3" t="str">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PRIMARY READY</v>
      </c>
      <c r="H4" s="8" t="str">
        <f t="shared" si="0"/>
        <v>not_applicable</v>
      </c>
      <c r="I4" s="8" t="str">
        <f t="shared" si="1"/>
        <v>not_applicable</v>
      </c>
      <c r="J4" s="9" t="str">
        <f t="shared" si="2"/>
        <v>not_applicable</v>
      </c>
      <c r="K4" s="8" t="str">
        <f t="shared" si="3"/>
        <v>not_applicable</v>
      </c>
      <c r="L4" s="9" t="s">
        <v>526</v>
      </c>
      <c r="M4" s="3"/>
      <c r="N4" s="4"/>
      <c r="O4" s="4"/>
      <c r="P4" s="4"/>
      <c r="Q4" s="4"/>
      <c r="R4" s="9" t="s">
        <v>620</v>
      </c>
    </row>
    <row r="5" spans="1:18" ht="91.95" customHeight="1">
      <c r="A5" s="1" t="s">
        <v>215</v>
      </c>
      <c r="B5" s="1" t="s">
        <v>216</v>
      </c>
      <c r="C5" s="1" t="s">
        <v>217</v>
      </c>
      <c r="D5" s="8" t="s">
        <v>488</v>
      </c>
      <c r="E5" s="8" t="s">
        <v>81</v>
      </c>
      <c r="F5" s="8" t="s">
        <v>570</v>
      </c>
      <c r="G5" s="1" t="str">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PRIMARY READY</v>
      </c>
      <c r="H5" s="8" t="str">
        <f t="shared" si="0"/>
        <v>not_applicable</v>
      </c>
      <c r="I5" s="8" t="str">
        <f t="shared" si="1"/>
        <v>not_applicable</v>
      </c>
      <c r="J5" s="9" t="str">
        <f t="shared" si="2"/>
        <v>not_applicable</v>
      </c>
      <c r="K5" s="8" t="s">
        <v>520</v>
      </c>
      <c r="L5" s="9" t="str">
        <f t="shared" ref="L2:L7" si="4">IF(AND(OR(D5="retain",D5=""),E5="protocol_report"),"","not_applicable")</f>
        <v>not_applicable</v>
      </c>
      <c r="M5" s="1"/>
      <c r="N5" s="4"/>
      <c r="O5" s="4"/>
      <c r="P5" s="4"/>
      <c r="Q5" s="4"/>
      <c r="R5" s="9" t="s">
        <v>621</v>
      </c>
    </row>
    <row r="6" spans="1:18" ht="91.95" customHeight="1">
      <c r="A6" s="3" t="s">
        <v>218</v>
      </c>
      <c r="B6" s="3" t="s">
        <v>219</v>
      </c>
      <c r="C6" s="3" t="s">
        <v>220</v>
      </c>
      <c r="D6" s="8" t="s">
        <v>485</v>
      </c>
      <c r="E6" s="8" t="s">
        <v>81</v>
      </c>
      <c r="F6" s="8" t="s">
        <v>570</v>
      </c>
      <c r="G6" s="3" t="str">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PRIMARY READY</v>
      </c>
      <c r="H6" s="8" t="str">
        <f t="shared" si="0"/>
        <v>not_applicable</v>
      </c>
      <c r="I6" s="8" t="str">
        <f t="shared" si="1"/>
        <v>not_applicable</v>
      </c>
      <c r="J6" s="9" t="str">
        <f t="shared" si="2"/>
        <v>not_applicable</v>
      </c>
      <c r="K6" s="8" t="s">
        <v>526</v>
      </c>
      <c r="L6" s="9" t="str">
        <f t="shared" si="4"/>
        <v>not_applicable</v>
      </c>
      <c r="M6" s="3"/>
      <c r="N6" s="4"/>
      <c r="O6" s="4"/>
      <c r="P6" s="4"/>
      <c r="Q6" s="4"/>
      <c r="R6" s="9" t="s">
        <v>622</v>
      </c>
    </row>
    <row r="7" spans="1:18" ht="91.95" customHeight="1">
      <c r="A7" s="1" t="s">
        <v>221</v>
      </c>
      <c r="B7" s="1" t="s">
        <v>222</v>
      </c>
      <c r="C7" s="1" t="s">
        <v>223</v>
      </c>
      <c r="D7" s="8" t="s">
        <v>485</v>
      </c>
      <c r="E7" s="8" t="s">
        <v>66</v>
      </c>
      <c r="F7" s="8" t="s">
        <v>570</v>
      </c>
      <c r="G7" s="1" t="str">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PRIMARY READY</v>
      </c>
      <c r="H7" s="8" t="s">
        <v>512</v>
      </c>
      <c r="I7" s="8" t="s">
        <v>526</v>
      </c>
      <c r="J7" s="9" t="s">
        <v>536</v>
      </c>
      <c r="K7" s="8" t="str">
        <f t="shared" si="3"/>
        <v>not_applicable</v>
      </c>
      <c r="L7" s="9" t="str">
        <f t="shared" si="4"/>
        <v>not_applicable</v>
      </c>
      <c r="M7" s="1"/>
      <c r="N7" s="4"/>
      <c r="O7" s="4"/>
      <c r="P7" s="4"/>
      <c r="Q7" s="4"/>
      <c r="R7" s="9" t="s">
        <v>623</v>
      </c>
    </row>
  </sheetData>
  <autoFilter ref="A1:R7" xr:uid="{00000000-0009-0000-0000-000008000000}"/>
  <phoneticPr fontId="5" type="noConversion"/>
  <conditionalFormatting sqref="G2:G7">
    <cfRule type="expression" dxfId="39" priority="13">
      <formula>G2&lt;&gt;"PRIMARY READY"</formula>
    </cfRule>
  </conditionalFormatting>
  <conditionalFormatting sqref="H2:J7">
    <cfRule type="expression" dxfId="38" priority="8">
      <formula>NOT(AND(OR($D2="retain",$D2=""),$E2="statistical_results"))</formula>
    </cfRule>
  </conditionalFormatting>
  <conditionalFormatting sqref="K2:K7">
    <cfRule type="expression" dxfId="37" priority="11">
      <formula>NOT(AND(OR($D2="retain",$D2=""),OR($E2="report_internal_inconsistency",$E2="plan_material")))</formula>
    </cfRule>
  </conditionalFormatting>
  <conditionalFormatting sqref="L2:L7">
    <cfRule type="expression" dxfId="36" priority="12">
      <formula>NOT(AND(OR($D2="retain",$D2=""),$E2="protocol_report"))</formula>
    </cfRule>
  </conditionalFormatting>
  <dataValidations count="8">
    <dataValidation type="list" allowBlank="1" showErrorMessage="1" errorTitle="Use a listed option" error="Choose an option; G also checks pasted entries." sqref="D2:D7" xr:uid="{00000000-0002-0000-0800-000000000000}">
      <formula1>"retain,exclude,discuss"</formula1>
    </dataValidation>
    <dataValidation type="list" allowBlank="1" showErrorMessage="1" errorTitle="Use a listed option" error="Choose an option; G also checks pasted entries." sqref="E2:E7" xr:uid="{00000000-0002-0000-0800-000001000000}">
      <formula1>"statistical_results,report_internal_inconsistency,plan_material,protocol_report"</formula1>
    </dataValidation>
    <dataValidation type="list" allowBlank="1" showErrorMessage="1" errorTitle="Use a listed option" error="Choose an option; G also checks pasted entries." sqref="F2:F7" xr:uid="{00000000-0002-0000-0800-000002000000}">
      <formula1>"no,primary_done"</formula1>
    </dataValidation>
    <dataValidation type="list" allowBlank="1" showErrorMessage="1" errorTitle="Use a listed option" error="Choose an option; G also checks pasted entries." sqref="H2:H7" xr:uid="{00000000-0002-0000-0800-000003000000}">
      <formula1>"confirmed_issue,probable_issue,not_issue,indeterminate,not_applicable"</formula1>
    </dataValidation>
    <dataValidation type="list" allowBlank="1" showErrorMessage="1" errorTitle="Use a listed option" error="Choose an option; G also checks pasted entries." sqref="I2:I7" xr:uid="{00000000-0002-0000-0800-000004000000}">
      <formula1>"substantive,minor_presentation,indeterminate,not_applicable"</formula1>
    </dataValidation>
    <dataValidation type="list" allowBlank="1" showErrorMessage="1" errorTitle="Use a listed option" error="Choose an option; G also checks pasted entries." sqref="J2:J7" xr:uid="{00000000-0002-0000-0800-000005000000}">
      <formula1>"direct,possible,unlikely,unknown,not_applicable"</formula1>
    </dataValidation>
    <dataValidation type="list" allowBlank="1" showErrorMessage="1" errorTitle="Use a listed option" error="Choose an option; G also checks pasted entries." sqref="K2:K7" xr:uid="{00000000-0002-0000-0800-000006000000}">
      <formula1>"substantive_inconsistency,minor_presentation,non_inconsistency,indeterminate,not_applicable"</formula1>
    </dataValidation>
    <dataValidation type="list" allowBlank="1" showErrorMessage="1" errorTitle="Use a listed option" error="Choose an option; G also checks pasted entries." sqref="L2:L7" xr:uid="{00000000-0002-0000-0800-000007000000}">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4"/>
  <sheetViews>
    <sheetView tabSelected="1" workbookViewId="0">
      <pane xSplit="1" ySplit="1" topLeftCell="B11"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224</v>
      </c>
      <c r="B2" s="3" t="s">
        <v>225</v>
      </c>
      <c r="C2" s="3" t="s">
        <v>226</v>
      </c>
      <c r="D2" s="8"/>
      <c r="E2" s="8" t="s">
        <v>71</v>
      </c>
      <c r="F2" s="8" t="s">
        <v>67</v>
      </c>
      <c r="G2" s="3" t="str">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4" si="0">IF(AND(OR(D2="retain",D2=""),E2="statistical_results"),"","not_applicable")</f>
        <v>not_applicable</v>
      </c>
      <c r="I2" s="8" t="str">
        <f t="shared" ref="I2:I14" si="1">IF(AND(OR(D2="retain",D2=""),E2="statistical_results"),"","not_applicable")</f>
        <v>not_applicable</v>
      </c>
      <c r="J2" s="9" t="str">
        <f t="shared" ref="J2:J14" si="2">IF(AND(OR(D2="retain",D2=""),E2="statistical_results"),"","not_applicable")</f>
        <v>not_applicable</v>
      </c>
      <c r="K2" s="8" t="str">
        <f t="shared" ref="K2:K14" si="3">IF(AND(OR(D2="retain",D2=""),OR(E2="report_internal_inconsistency",E2="plan_material")),"","not_applicable")</f>
        <v>not_applicable</v>
      </c>
      <c r="L2" s="9" t="str">
        <f t="shared" ref="L2:L14" si="4">IF(AND(OR(D2="retain",D2=""),E2="protocol_report"),"","not_applicable")</f>
        <v/>
      </c>
      <c r="M2" s="3"/>
      <c r="N2" s="4"/>
      <c r="O2" s="4"/>
      <c r="P2" s="4"/>
      <c r="Q2" s="4"/>
      <c r="R2" s="9"/>
    </row>
    <row r="3" spans="1:18" ht="91.95" customHeight="1">
      <c r="A3" s="1" t="s">
        <v>227</v>
      </c>
      <c r="B3" s="1" t="s">
        <v>228</v>
      </c>
      <c r="C3" s="1" t="s">
        <v>229</v>
      </c>
      <c r="D3" s="8"/>
      <c r="E3" s="8" t="s">
        <v>71</v>
      </c>
      <c r="F3" s="8" t="s">
        <v>67</v>
      </c>
      <c r="G3" s="1" t="str">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230</v>
      </c>
      <c r="B4" s="3" t="s">
        <v>231</v>
      </c>
      <c r="C4" s="3" t="s">
        <v>232</v>
      </c>
      <c r="D4" s="8"/>
      <c r="E4" s="8" t="s">
        <v>71</v>
      </c>
      <c r="F4" s="8" t="s">
        <v>67</v>
      </c>
      <c r="G4" s="3" t="str">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233</v>
      </c>
      <c r="B5" s="1" t="s">
        <v>234</v>
      </c>
      <c r="C5" s="1" t="s">
        <v>235</v>
      </c>
      <c r="D5" s="8"/>
      <c r="E5" s="8" t="s">
        <v>71</v>
      </c>
      <c r="F5" s="8" t="s">
        <v>67</v>
      </c>
      <c r="G5" s="1" t="str">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236</v>
      </c>
      <c r="B6" s="3" t="s">
        <v>237</v>
      </c>
      <c r="C6" s="3" t="s">
        <v>238</v>
      </c>
      <c r="D6" s="8"/>
      <c r="E6" s="8" t="s">
        <v>71</v>
      </c>
      <c r="F6" s="8" t="s">
        <v>67</v>
      </c>
      <c r="G6" s="3" t="str">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239</v>
      </c>
      <c r="B7" s="1" t="s">
        <v>240</v>
      </c>
      <c r="C7" s="1" t="s">
        <v>241</v>
      </c>
      <c r="D7" s="8"/>
      <c r="E7" s="8" t="s">
        <v>71</v>
      </c>
      <c r="F7" s="8" t="s">
        <v>67</v>
      </c>
      <c r="G7" s="1" t="str">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242</v>
      </c>
      <c r="B8" s="3" t="s">
        <v>243</v>
      </c>
      <c r="C8" s="3" t="s">
        <v>244</v>
      </c>
      <c r="D8" s="8"/>
      <c r="E8" s="8" t="s">
        <v>71</v>
      </c>
      <c r="F8" s="8" t="s">
        <v>67</v>
      </c>
      <c r="G8" s="3" t="str">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245</v>
      </c>
      <c r="B9" s="1" t="s">
        <v>246</v>
      </c>
      <c r="C9" s="1" t="s">
        <v>247</v>
      </c>
      <c r="D9" s="8"/>
      <c r="E9" s="8" t="s">
        <v>81</v>
      </c>
      <c r="F9" s="8" t="s">
        <v>67</v>
      </c>
      <c r="G9" s="1" t="str">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not_applicable</v>
      </c>
      <c r="I9" s="8" t="str">
        <f t="shared" si="1"/>
        <v>not_applicable</v>
      </c>
      <c r="J9" s="9" t="str">
        <f t="shared" si="2"/>
        <v>not_applicable</v>
      </c>
      <c r="K9" s="8" t="str">
        <f t="shared" si="3"/>
        <v/>
      </c>
      <c r="L9" s="9" t="str">
        <f t="shared" si="4"/>
        <v>not_applicable</v>
      </c>
      <c r="M9" s="1"/>
      <c r="N9" s="4"/>
      <c r="O9" s="4"/>
      <c r="P9" s="4"/>
      <c r="Q9" s="4"/>
      <c r="R9" s="9"/>
    </row>
    <row r="10" spans="1:18" ht="91.95" customHeight="1">
      <c r="A10" s="3" t="s">
        <v>248</v>
      </c>
      <c r="B10" s="3" t="s">
        <v>249</v>
      </c>
      <c r="C10" s="3" t="s">
        <v>250</v>
      </c>
      <c r="D10" s="8"/>
      <c r="E10" s="8" t="s">
        <v>66</v>
      </c>
      <c r="F10" s="8" t="s">
        <v>67</v>
      </c>
      <c r="G10" s="3" t="str">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
      </c>
      <c r="I10" s="8" t="str">
        <f t="shared" si="1"/>
        <v/>
      </c>
      <c r="J10" s="9" t="str">
        <f t="shared" si="2"/>
        <v/>
      </c>
      <c r="K10" s="8" t="str">
        <f t="shared" si="3"/>
        <v>not_applicable</v>
      </c>
      <c r="L10" s="9" t="str">
        <f t="shared" si="4"/>
        <v>not_applicable</v>
      </c>
      <c r="M10" s="3"/>
      <c r="N10" s="4"/>
      <c r="O10" s="4"/>
      <c r="P10" s="4"/>
      <c r="Q10" s="4"/>
      <c r="R10" s="9"/>
    </row>
    <row r="11" spans="1:18" ht="91.95" customHeight="1">
      <c r="A11" s="1" t="s">
        <v>251</v>
      </c>
      <c r="B11" s="1" t="s">
        <v>252</v>
      </c>
      <c r="C11" s="1" t="s">
        <v>253</v>
      </c>
      <c r="D11" s="8"/>
      <c r="E11" s="8" t="s">
        <v>66</v>
      </c>
      <c r="F11" s="8" t="s">
        <v>67</v>
      </c>
      <c r="G11" s="1" t="str">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254</v>
      </c>
      <c r="B12" s="3" t="s">
        <v>255</v>
      </c>
      <c r="C12" s="3" t="s">
        <v>256</v>
      </c>
      <c r="D12" s="8"/>
      <c r="E12" s="8" t="s">
        <v>66</v>
      </c>
      <c r="F12" s="8" t="s">
        <v>67</v>
      </c>
      <c r="G12" s="3" t="str">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257</v>
      </c>
      <c r="B13" s="1" t="s">
        <v>258</v>
      </c>
      <c r="C13" s="1" t="s">
        <v>259</v>
      </c>
      <c r="D13" s="8"/>
      <c r="E13" s="8" t="s">
        <v>66</v>
      </c>
      <c r="F13" s="8" t="s">
        <v>67</v>
      </c>
      <c r="G13" s="1" t="str">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260</v>
      </c>
      <c r="B14" s="3" t="s">
        <v>261</v>
      </c>
      <c r="C14" s="3" t="s">
        <v>262</v>
      </c>
      <c r="D14" s="8"/>
      <c r="E14" s="8" t="s">
        <v>66</v>
      </c>
      <c r="F14" s="8" t="s">
        <v>67</v>
      </c>
      <c r="G14" s="3" t="str">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sheetData>
  <autoFilter ref="A1:R14" xr:uid="{00000000-0009-0000-0000-000009000000}"/>
  <phoneticPr fontId="5" type="noConversion"/>
  <conditionalFormatting sqref="G2:G14">
    <cfRule type="expression" dxfId="35" priority="13">
      <formula>G2&lt;&gt;"PRIMARY READY"</formula>
    </cfRule>
  </conditionalFormatting>
  <conditionalFormatting sqref="H2:J14">
    <cfRule type="expression" dxfId="34" priority="8">
      <formula>NOT(AND(OR($D2="retain",$D2=""),$E2="statistical_results"))</formula>
    </cfRule>
  </conditionalFormatting>
  <conditionalFormatting sqref="K2:K14">
    <cfRule type="expression" dxfId="33" priority="11">
      <formula>NOT(AND(OR($D2="retain",$D2=""),OR($E2="report_internal_inconsistency",$E2="plan_material")))</formula>
    </cfRule>
  </conditionalFormatting>
  <conditionalFormatting sqref="L2:L14">
    <cfRule type="expression" dxfId="32" priority="12">
      <formula>NOT(AND(OR($D2="retain",$D2=""),$E2="protocol_report"))</formula>
    </cfRule>
  </conditionalFormatting>
  <dataValidations count="8">
    <dataValidation type="list" allowBlank="1" showErrorMessage="1" errorTitle="Use a listed option" error="Choose an option; G also checks pasted entries." sqref="D2:D14" xr:uid="{00000000-0002-0000-0900-000000000000}">
      <formula1>"retain,exclude,discuss"</formula1>
    </dataValidation>
    <dataValidation type="list" allowBlank="1" showErrorMessage="1" errorTitle="Use a listed option" error="Choose an option; G also checks pasted entries." sqref="E2:E14" xr:uid="{00000000-0002-0000-0900-000001000000}">
      <formula1>"statistical_results,report_internal_inconsistency,plan_material,protocol_report"</formula1>
    </dataValidation>
    <dataValidation type="list" allowBlank="1" showErrorMessage="1" errorTitle="Use a listed option" error="Choose an option; G also checks pasted entries." sqref="F2:F14" xr:uid="{00000000-0002-0000-0900-000002000000}">
      <formula1>"no,primary_done"</formula1>
    </dataValidation>
    <dataValidation type="list" allowBlank="1" showErrorMessage="1" errorTitle="Use a listed option" error="Choose an option; G also checks pasted entries." sqref="H2:H14" xr:uid="{00000000-0002-0000-0900-000003000000}">
      <formula1>"confirmed_issue,probable_issue,not_issue,indeterminate,not_applicable"</formula1>
    </dataValidation>
    <dataValidation type="list" allowBlank="1" showErrorMessage="1" errorTitle="Use a listed option" error="Choose an option; G also checks pasted entries." sqref="I2:I14" xr:uid="{00000000-0002-0000-0900-000004000000}">
      <formula1>"substantive,minor_presentation,indeterminate,not_applicable"</formula1>
    </dataValidation>
    <dataValidation type="list" allowBlank="1" showErrorMessage="1" errorTitle="Use a listed option" error="Choose an option; G also checks pasted entries." sqref="J2:J14" xr:uid="{00000000-0002-0000-0900-000005000000}">
      <formula1>"direct,possible,unlikely,unknown,not_applicable"</formula1>
    </dataValidation>
    <dataValidation type="list" allowBlank="1" showErrorMessage="1" errorTitle="Use a listed option" error="Choose an option; G also checks pasted entries." sqref="K2:K14" xr:uid="{00000000-0002-0000-0900-000006000000}">
      <formula1>"substantive_inconsistency,minor_presentation,non_inconsistency,indeterminate,not_applicable"</formula1>
    </dataValidation>
    <dataValidation type="list" allowBlank="1" showErrorMessage="1" errorTitle="Use a listed option" error="Choose an option; G also checks pasted entries." sqref="L2:L14" xr:uid="{00000000-0002-0000-0900-000007000000}">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8"/>
  <sheetViews>
    <sheetView workbookViewId="0">
      <pane xSplit="1" ySplit="1" topLeftCell="B6"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263</v>
      </c>
      <c r="B2" s="3" t="s">
        <v>264</v>
      </c>
      <c r="C2" s="3" t="s">
        <v>265</v>
      </c>
      <c r="D2" s="8"/>
      <c r="E2" s="8" t="s">
        <v>66</v>
      </c>
      <c r="F2" s="8" t="s">
        <v>67</v>
      </c>
      <c r="G2" s="3" t="str">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8" si="0">IF(AND(OR(D2="retain",D2=""),E2="statistical_results"),"","not_applicable")</f>
        <v/>
      </c>
      <c r="I2" s="8" t="str">
        <f t="shared" ref="I2:I8" si="1">IF(AND(OR(D2="retain",D2=""),E2="statistical_results"),"","not_applicable")</f>
        <v/>
      </c>
      <c r="J2" s="9" t="str">
        <f t="shared" ref="J2:J8" si="2">IF(AND(OR(D2="retain",D2=""),E2="statistical_results"),"","not_applicable")</f>
        <v/>
      </c>
      <c r="K2" s="8" t="str">
        <f t="shared" ref="K2:K8" si="3">IF(AND(OR(D2="retain",D2=""),OR(E2="report_internal_inconsistency",E2="plan_material")),"","not_applicable")</f>
        <v>not_applicable</v>
      </c>
      <c r="L2" s="9" t="str">
        <f t="shared" ref="L2:L8" si="4">IF(AND(OR(D2="retain",D2=""),E2="protocol_report"),"","not_applicable")</f>
        <v>not_applicable</v>
      </c>
      <c r="M2" s="3"/>
      <c r="N2" s="4"/>
      <c r="O2" s="4"/>
      <c r="P2" s="4"/>
      <c r="Q2" s="4"/>
      <c r="R2" s="9"/>
    </row>
    <row r="3" spans="1:18" ht="91.95" customHeight="1">
      <c r="A3" s="1" t="s">
        <v>266</v>
      </c>
      <c r="B3" s="1" t="s">
        <v>267</v>
      </c>
      <c r="C3" s="1" t="s">
        <v>268</v>
      </c>
      <c r="D3" s="8"/>
      <c r="E3" s="8" t="s">
        <v>71</v>
      </c>
      <c r="F3" s="8" t="s">
        <v>67</v>
      </c>
      <c r="G3" s="1" t="str">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269</v>
      </c>
      <c r="B4" s="3" t="s">
        <v>270</v>
      </c>
      <c r="C4" s="3" t="s">
        <v>271</v>
      </c>
      <c r="D4" s="8"/>
      <c r="E4" s="8" t="s">
        <v>71</v>
      </c>
      <c r="F4" s="8" t="s">
        <v>67</v>
      </c>
      <c r="G4" s="3" t="str">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272</v>
      </c>
      <c r="B5" s="1" t="s">
        <v>273</v>
      </c>
      <c r="C5" s="1" t="s">
        <v>274</v>
      </c>
      <c r="D5" s="8"/>
      <c r="E5" s="8" t="s">
        <v>71</v>
      </c>
      <c r="F5" s="8" t="s">
        <v>67</v>
      </c>
      <c r="G5" s="1" t="str">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275</v>
      </c>
      <c r="B6" s="3" t="s">
        <v>276</v>
      </c>
      <c r="C6" s="3" t="s">
        <v>277</v>
      </c>
      <c r="D6" s="8"/>
      <c r="E6" s="8" t="s">
        <v>71</v>
      </c>
      <c r="F6" s="8" t="s">
        <v>67</v>
      </c>
      <c r="G6" s="3" t="str">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278</v>
      </c>
      <c r="B7" s="1" t="s">
        <v>279</v>
      </c>
      <c r="C7" s="1" t="s">
        <v>280</v>
      </c>
      <c r="D7" s="8"/>
      <c r="E7" s="8" t="s">
        <v>71</v>
      </c>
      <c r="F7" s="8" t="s">
        <v>67</v>
      </c>
      <c r="G7" s="1" t="str">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281</v>
      </c>
      <c r="B8" s="3" t="s">
        <v>282</v>
      </c>
      <c r="C8" s="3" t="s">
        <v>283</v>
      </c>
      <c r="D8" s="8"/>
      <c r="E8" s="8" t="s">
        <v>71</v>
      </c>
      <c r="F8" s="8" t="s">
        <v>67</v>
      </c>
      <c r="G8" s="3" t="str">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sheetData>
  <autoFilter ref="A1:R8" xr:uid="{00000000-0009-0000-0000-00000A000000}"/>
  <phoneticPr fontId="5" type="noConversion"/>
  <conditionalFormatting sqref="G2:G8">
    <cfRule type="expression" dxfId="31" priority="13">
      <formula>G2&lt;&gt;"PRIMARY READY"</formula>
    </cfRule>
  </conditionalFormatting>
  <conditionalFormatting sqref="H2:J8">
    <cfRule type="expression" dxfId="30" priority="8">
      <formula>NOT(AND(OR($D2="retain",$D2=""),$E2="statistical_results"))</formula>
    </cfRule>
  </conditionalFormatting>
  <conditionalFormatting sqref="K2:K8">
    <cfRule type="expression" dxfId="29" priority="11">
      <formula>NOT(AND(OR($D2="retain",$D2=""),OR($E2="report_internal_inconsistency",$E2="plan_material")))</formula>
    </cfRule>
  </conditionalFormatting>
  <conditionalFormatting sqref="L2:L8">
    <cfRule type="expression" dxfId="28" priority="12">
      <formula>NOT(AND(OR($D2="retain",$D2=""),$E2="protocol_report"))</formula>
    </cfRule>
  </conditionalFormatting>
  <dataValidations count="8">
    <dataValidation type="list" allowBlank="1" showErrorMessage="1" errorTitle="Use a listed option" error="Choose an option; G also checks pasted entries." sqref="D2:D8" xr:uid="{00000000-0002-0000-0A00-000000000000}">
      <formula1>"retain,exclude,discuss"</formula1>
    </dataValidation>
    <dataValidation type="list" allowBlank="1" showErrorMessage="1" errorTitle="Use a listed option" error="Choose an option; G also checks pasted entries." sqref="E2:E8" xr:uid="{00000000-0002-0000-0A00-000001000000}">
      <formula1>"statistical_results,report_internal_inconsistency,plan_material,protocol_report"</formula1>
    </dataValidation>
    <dataValidation type="list" allowBlank="1" showErrorMessage="1" errorTitle="Use a listed option" error="Choose an option; G also checks pasted entries." sqref="F2:F8" xr:uid="{00000000-0002-0000-0A00-000002000000}">
      <formula1>"no,primary_done"</formula1>
    </dataValidation>
    <dataValidation type="list" allowBlank="1" showErrorMessage="1" errorTitle="Use a listed option" error="Choose an option; G also checks pasted entries." sqref="H2:H8" xr:uid="{00000000-0002-0000-0A00-000003000000}">
      <formula1>"confirmed_issue,probable_issue,not_issue,indeterminate,not_applicable"</formula1>
    </dataValidation>
    <dataValidation type="list" allowBlank="1" showErrorMessage="1" errorTitle="Use a listed option" error="Choose an option; G also checks pasted entries." sqref="I2:I8" xr:uid="{00000000-0002-0000-0A00-000004000000}">
      <formula1>"substantive,minor_presentation,indeterminate,not_applicable"</formula1>
    </dataValidation>
    <dataValidation type="list" allowBlank="1" showErrorMessage="1" errorTitle="Use a listed option" error="Choose an option; G also checks pasted entries." sqref="J2:J8" xr:uid="{00000000-0002-0000-0A00-000005000000}">
      <formula1>"direct,possible,unlikely,unknown,not_applicable"</formula1>
    </dataValidation>
    <dataValidation type="list" allowBlank="1" showErrorMessage="1" errorTitle="Use a listed option" error="Choose an option; G also checks pasted entries." sqref="K2:K8" xr:uid="{00000000-0002-0000-0A00-000006000000}">
      <formula1>"substantive_inconsistency,minor_presentation,non_inconsistency,indeterminate,not_applicable"</formula1>
    </dataValidation>
    <dataValidation type="list" allowBlank="1" showErrorMessage="1" errorTitle="Use a listed option" error="Choose an option; G also checks pasted entries." sqref="L2:L8" xr:uid="{00000000-0002-0000-0A00-000007000000}">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20"/>
  <sheetViews>
    <sheetView workbookViewId="0">
      <pane xSplit="1" ySplit="1" topLeftCell="B17"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284</v>
      </c>
      <c r="B2" s="3" t="s">
        <v>285</v>
      </c>
      <c r="C2" s="3" t="s">
        <v>286</v>
      </c>
      <c r="D2" s="8"/>
      <c r="E2" s="8" t="s">
        <v>71</v>
      </c>
      <c r="F2" s="8" t="s">
        <v>67</v>
      </c>
      <c r="G2" s="3" t="str">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20" si="0">IF(AND(OR(D2="retain",D2=""),E2="statistical_results"),"","not_applicable")</f>
        <v>not_applicable</v>
      </c>
      <c r="I2" s="8" t="str">
        <f t="shared" ref="I2:I20" si="1">IF(AND(OR(D2="retain",D2=""),E2="statistical_results"),"","not_applicable")</f>
        <v>not_applicable</v>
      </c>
      <c r="J2" s="9" t="str">
        <f t="shared" ref="J2:J20" si="2">IF(AND(OR(D2="retain",D2=""),E2="statistical_results"),"","not_applicable")</f>
        <v>not_applicable</v>
      </c>
      <c r="K2" s="8" t="str">
        <f t="shared" ref="K2:K20" si="3">IF(AND(OR(D2="retain",D2=""),OR(E2="report_internal_inconsistency",E2="plan_material")),"","not_applicable")</f>
        <v>not_applicable</v>
      </c>
      <c r="L2" s="9" t="str">
        <f t="shared" ref="L2:L20" si="4">IF(AND(OR(D2="retain",D2=""),E2="protocol_report"),"","not_applicable")</f>
        <v/>
      </c>
      <c r="M2" s="3"/>
      <c r="N2" s="4"/>
      <c r="O2" s="4"/>
      <c r="P2" s="4"/>
      <c r="Q2" s="4"/>
      <c r="R2" s="9"/>
    </row>
    <row r="3" spans="1:18" ht="91.95" customHeight="1">
      <c r="A3" s="1" t="s">
        <v>287</v>
      </c>
      <c r="B3" s="1" t="s">
        <v>288</v>
      </c>
      <c r="C3" s="1" t="s">
        <v>289</v>
      </c>
      <c r="D3" s="8"/>
      <c r="E3" s="8" t="s">
        <v>71</v>
      </c>
      <c r="F3" s="8" t="s">
        <v>67</v>
      </c>
      <c r="G3" s="1" t="str">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290</v>
      </c>
      <c r="B4" s="3" t="s">
        <v>291</v>
      </c>
      <c r="C4" s="3" t="s">
        <v>292</v>
      </c>
      <c r="D4" s="8"/>
      <c r="E4" s="8" t="s">
        <v>71</v>
      </c>
      <c r="F4" s="8" t="s">
        <v>67</v>
      </c>
      <c r="G4" s="3" t="str">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293</v>
      </c>
      <c r="B5" s="1" t="s">
        <v>294</v>
      </c>
      <c r="C5" s="1" t="s">
        <v>295</v>
      </c>
      <c r="D5" s="8"/>
      <c r="E5" s="8" t="s">
        <v>71</v>
      </c>
      <c r="F5" s="8" t="s">
        <v>67</v>
      </c>
      <c r="G5" s="1" t="str">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296</v>
      </c>
      <c r="B6" s="3" t="s">
        <v>297</v>
      </c>
      <c r="C6" s="3" t="s">
        <v>298</v>
      </c>
      <c r="D6" s="8"/>
      <c r="E6" s="8" t="s">
        <v>71</v>
      </c>
      <c r="F6" s="8" t="s">
        <v>67</v>
      </c>
      <c r="G6" s="3" t="str">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299</v>
      </c>
      <c r="B7" s="1" t="s">
        <v>300</v>
      </c>
      <c r="C7" s="1" t="s">
        <v>301</v>
      </c>
      <c r="D7" s="8"/>
      <c r="E7" s="8" t="s">
        <v>66</v>
      </c>
      <c r="F7" s="8" t="s">
        <v>67</v>
      </c>
      <c r="G7" s="1" t="str">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
      </c>
      <c r="I7" s="8" t="str">
        <f t="shared" si="1"/>
        <v/>
      </c>
      <c r="J7" s="9" t="str">
        <f t="shared" si="2"/>
        <v/>
      </c>
      <c r="K7" s="8" t="str">
        <f t="shared" si="3"/>
        <v>not_applicable</v>
      </c>
      <c r="L7" s="9" t="str">
        <f t="shared" si="4"/>
        <v>not_applicable</v>
      </c>
      <c r="M7" s="1"/>
      <c r="N7" s="4"/>
      <c r="O7" s="4"/>
      <c r="P7" s="4"/>
      <c r="Q7" s="4"/>
      <c r="R7" s="9"/>
    </row>
    <row r="8" spans="1:18" ht="91.95" customHeight="1">
      <c r="A8" s="3" t="s">
        <v>302</v>
      </c>
      <c r="B8" s="3" t="s">
        <v>303</v>
      </c>
      <c r="C8" s="3" t="s">
        <v>304</v>
      </c>
      <c r="D8" s="8"/>
      <c r="E8" s="8" t="s">
        <v>71</v>
      </c>
      <c r="F8" s="8" t="s">
        <v>67</v>
      </c>
      <c r="G8" s="3" t="str">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305</v>
      </c>
      <c r="B9" s="1" t="s">
        <v>306</v>
      </c>
      <c r="C9" s="1" t="s">
        <v>307</v>
      </c>
      <c r="D9" s="8"/>
      <c r="E9" s="8" t="s">
        <v>71</v>
      </c>
      <c r="F9" s="8" t="s">
        <v>67</v>
      </c>
      <c r="G9" s="1" t="str">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not_applicable</v>
      </c>
      <c r="I9" s="8" t="str">
        <f t="shared" si="1"/>
        <v>not_applicable</v>
      </c>
      <c r="J9" s="9" t="str">
        <f t="shared" si="2"/>
        <v>not_applicable</v>
      </c>
      <c r="K9" s="8" t="str">
        <f t="shared" si="3"/>
        <v>not_applicable</v>
      </c>
      <c r="L9" s="9" t="str">
        <f t="shared" si="4"/>
        <v/>
      </c>
      <c r="M9" s="1"/>
      <c r="N9" s="4"/>
      <c r="O9" s="4"/>
      <c r="P9" s="4"/>
      <c r="Q9" s="4"/>
      <c r="R9" s="9"/>
    </row>
    <row r="10" spans="1:18" ht="91.95" customHeight="1">
      <c r="A10" s="3" t="s">
        <v>308</v>
      </c>
      <c r="B10" s="3" t="s">
        <v>309</v>
      </c>
      <c r="C10" s="3" t="s">
        <v>310</v>
      </c>
      <c r="D10" s="8"/>
      <c r="E10" s="8" t="s">
        <v>71</v>
      </c>
      <c r="F10" s="8" t="s">
        <v>67</v>
      </c>
      <c r="G10" s="3" t="str">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not_applicable</v>
      </c>
      <c r="I10" s="8" t="str">
        <f t="shared" si="1"/>
        <v>not_applicable</v>
      </c>
      <c r="J10" s="9" t="str">
        <f t="shared" si="2"/>
        <v>not_applicable</v>
      </c>
      <c r="K10" s="8" t="str">
        <f t="shared" si="3"/>
        <v>not_applicable</v>
      </c>
      <c r="L10" s="9" t="str">
        <f t="shared" si="4"/>
        <v/>
      </c>
      <c r="M10" s="3"/>
      <c r="N10" s="4"/>
      <c r="O10" s="4"/>
      <c r="P10" s="4"/>
      <c r="Q10" s="4"/>
      <c r="R10" s="9"/>
    </row>
    <row r="11" spans="1:18" ht="91.95" customHeight="1">
      <c r="A11" s="1" t="s">
        <v>311</v>
      </c>
      <c r="B11" s="1" t="s">
        <v>312</v>
      </c>
      <c r="C11" s="1" t="s">
        <v>313</v>
      </c>
      <c r="D11" s="8"/>
      <c r="E11" s="8" t="s">
        <v>71</v>
      </c>
      <c r="F11" s="8" t="s">
        <v>67</v>
      </c>
      <c r="G11" s="1" t="str">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not_applicable</v>
      </c>
      <c r="I11" s="8" t="str">
        <f t="shared" si="1"/>
        <v>not_applicable</v>
      </c>
      <c r="J11" s="9" t="str">
        <f t="shared" si="2"/>
        <v>not_applicable</v>
      </c>
      <c r="K11" s="8" t="str">
        <f t="shared" si="3"/>
        <v>not_applicable</v>
      </c>
      <c r="L11" s="9" t="str">
        <f t="shared" si="4"/>
        <v/>
      </c>
      <c r="M11" s="1"/>
      <c r="N11" s="4"/>
      <c r="O11" s="4"/>
      <c r="P11" s="4"/>
      <c r="Q11" s="4"/>
      <c r="R11" s="9"/>
    </row>
    <row r="12" spans="1:18" ht="91.95" customHeight="1">
      <c r="A12" s="3" t="s">
        <v>314</v>
      </c>
      <c r="B12" s="3" t="s">
        <v>315</v>
      </c>
      <c r="C12" s="3" t="s">
        <v>316</v>
      </c>
      <c r="D12" s="8"/>
      <c r="E12" s="8" t="s">
        <v>71</v>
      </c>
      <c r="F12" s="8" t="s">
        <v>67</v>
      </c>
      <c r="G12" s="3" t="str">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not_applicable</v>
      </c>
      <c r="I12" s="8" t="str">
        <f t="shared" si="1"/>
        <v>not_applicable</v>
      </c>
      <c r="J12" s="9" t="str">
        <f t="shared" si="2"/>
        <v>not_applicable</v>
      </c>
      <c r="K12" s="8" t="str">
        <f t="shared" si="3"/>
        <v>not_applicable</v>
      </c>
      <c r="L12" s="9" t="str">
        <f t="shared" si="4"/>
        <v/>
      </c>
      <c r="M12" s="3"/>
      <c r="N12" s="4"/>
      <c r="O12" s="4"/>
      <c r="P12" s="4"/>
      <c r="Q12" s="4"/>
      <c r="R12" s="9"/>
    </row>
    <row r="13" spans="1:18" ht="91.95" customHeight="1">
      <c r="A13" s="1" t="s">
        <v>317</v>
      </c>
      <c r="B13" s="1" t="s">
        <v>318</v>
      </c>
      <c r="C13" s="1" t="s">
        <v>319</v>
      </c>
      <c r="D13" s="8"/>
      <c r="E13" s="8" t="s">
        <v>106</v>
      </c>
      <c r="F13" s="8" t="s">
        <v>67</v>
      </c>
      <c r="G13" s="1" t="str">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not_applicable</v>
      </c>
      <c r="I13" s="8" t="str">
        <f t="shared" si="1"/>
        <v>not_applicable</v>
      </c>
      <c r="J13" s="9" t="str">
        <f t="shared" si="2"/>
        <v>not_applicable</v>
      </c>
      <c r="K13" s="8" t="str">
        <f t="shared" si="3"/>
        <v/>
      </c>
      <c r="L13" s="9" t="str">
        <f t="shared" si="4"/>
        <v>not_applicable</v>
      </c>
      <c r="M13" s="1"/>
      <c r="N13" s="4"/>
      <c r="O13" s="4"/>
      <c r="P13" s="4"/>
      <c r="Q13" s="4"/>
      <c r="R13" s="9"/>
    </row>
    <row r="14" spans="1:18" ht="91.95" customHeight="1">
      <c r="A14" s="3" t="s">
        <v>320</v>
      </c>
      <c r="B14" s="3" t="s">
        <v>321</v>
      </c>
      <c r="C14" s="3" t="s">
        <v>322</v>
      </c>
      <c r="D14" s="8"/>
      <c r="E14" s="8" t="s">
        <v>66</v>
      </c>
      <c r="F14" s="8" t="s">
        <v>67</v>
      </c>
      <c r="G14" s="3" t="str">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row r="15" spans="1:18" ht="91.95" customHeight="1">
      <c r="A15" s="1" t="s">
        <v>323</v>
      </c>
      <c r="B15" s="1" t="s">
        <v>324</v>
      </c>
      <c r="C15" s="1" t="s">
        <v>325</v>
      </c>
      <c r="D15" s="8"/>
      <c r="E15" s="8" t="s">
        <v>66</v>
      </c>
      <c r="F15" s="8" t="s">
        <v>67</v>
      </c>
      <c r="G15" s="1" t="str">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CHECK FIELDS</v>
      </c>
      <c r="H15" s="8" t="str">
        <f t="shared" si="0"/>
        <v/>
      </c>
      <c r="I15" s="8" t="str">
        <f t="shared" si="1"/>
        <v/>
      </c>
      <c r="J15" s="9" t="str">
        <f t="shared" si="2"/>
        <v/>
      </c>
      <c r="K15" s="8" t="str">
        <f t="shared" si="3"/>
        <v>not_applicable</v>
      </c>
      <c r="L15" s="9" t="str">
        <f t="shared" si="4"/>
        <v>not_applicable</v>
      </c>
      <c r="M15" s="1"/>
      <c r="N15" s="4"/>
      <c r="O15" s="4"/>
      <c r="P15" s="4"/>
      <c r="Q15" s="4"/>
      <c r="R15" s="9"/>
    </row>
    <row r="16" spans="1:18" ht="91.95" customHeight="1">
      <c r="A16" s="3" t="s">
        <v>326</v>
      </c>
      <c r="B16" s="3" t="s">
        <v>327</v>
      </c>
      <c r="C16" s="3" t="s">
        <v>328</v>
      </c>
      <c r="D16" s="8"/>
      <c r="E16" s="8" t="s">
        <v>81</v>
      </c>
      <c r="F16" s="8" t="s">
        <v>67</v>
      </c>
      <c r="G16" s="3" t="str">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CHECK FIELDS</v>
      </c>
      <c r="H16" s="8" t="str">
        <f t="shared" si="0"/>
        <v>not_applicable</v>
      </c>
      <c r="I16" s="8" t="str">
        <f t="shared" si="1"/>
        <v>not_applicable</v>
      </c>
      <c r="J16" s="9" t="str">
        <f t="shared" si="2"/>
        <v>not_applicable</v>
      </c>
      <c r="K16" s="8" t="str">
        <f t="shared" si="3"/>
        <v/>
      </c>
      <c r="L16" s="9" t="str">
        <f t="shared" si="4"/>
        <v>not_applicable</v>
      </c>
      <c r="M16" s="3"/>
      <c r="N16" s="4"/>
      <c r="O16" s="4"/>
      <c r="P16" s="4"/>
      <c r="Q16" s="4"/>
      <c r="R16" s="9"/>
    </row>
    <row r="17" spans="1:18" ht="91.95" customHeight="1">
      <c r="A17" s="1" t="s">
        <v>329</v>
      </c>
      <c r="B17" s="1" t="s">
        <v>330</v>
      </c>
      <c r="C17" s="1" t="s">
        <v>331</v>
      </c>
      <c r="D17" s="8"/>
      <c r="E17" s="8" t="s">
        <v>81</v>
      </c>
      <c r="F17" s="8" t="s">
        <v>67</v>
      </c>
      <c r="G17" s="1" t="str">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CHECK FIELDS</v>
      </c>
      <c r="H17" s="8" t="str">
        <f t="shared" si="0"/>
        <v>not_applicable</v>
      </c>
      <c r="I17" s="8" t="str">
        <f t="shared" si="1"/>
        <v>not_applicable</v>
      </c>
      <c r="J17" s="9" t="str">
        <f t="shared" si="2"/>
        <v>not_applicable</v>
      </c>
      <c r="K17" s="8" t="str">
        <f t="shared" si="3"/>
        <v/>
      </c>
      <c r="L17" s="9" t="str">
        <f t="shared" si="4"/>
        <v>not_applicable</v>
      </c>
      <c r="M17" s="1"/>
      <c r="N17" s="4"/>
      <c r="O17" s="4"/>
      <c r="P17" s="4"/>
      <c r="Q17" s="4"/>
      <c r="R17" s="9"/>
    </row>
    <row r="18" spans="1:18" ht="91.95" customHeight="1">
      <c r="A18" s="3" t="s">
        <v>332</v>
      </c>
      <c r="B18" s="3" t="s">
        <v>333</v>
      </c>
      <c r="C18" s="3" t="s">
        <v>334</v>
      </c>
      <c r="D18" s="8"/>
      <c r="E18" s="8" t="s">
        <v>66</v>
      </c>
      <c r="F18" s="8" t="s">
        <v>67</v>
      </c>
      <c r="G18" s="3" t="str">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CHECK FIELDS</v>
      </c>
      <c r="H18" s="8" t="str">
        <f t="shared" si="0"/>
        <v/>
      </c>
      <c r="I18" s="8" t="str">
        <f t="shared" si="1"/>
        <v/>
      </c>
      <c r="J18" s="9" t="str">
        <f t="shared" si="2"/>
        <v/>
      </c>
      <c r="K18" s="8" t="str">
        <f t="shared" si="3"/>
        <v>not_applicable</v>
      </c>
      <c r="L18" s="9" t="str">
        <f t="shared" si="4"/>
        <v>not_applicable</v>
      </c>
      <c r="M18" s="3"/>
      <c r="N18" s="4"/>
      <c r="O18" s="4"/>
      <c r="P18" s="4"/>
      <c r="Q18" s="4"/>
      <c r="R18" s="9"/>
    </row>
    <row r="19" spans="1:18" ht="91.95" customHeight="1">
      <c r="A19" s="1" t="s">
        <v>335</v>
      </c>
      <c r="B19" s="1" t="s">
        <v>336</v>
      </c>
      <c r="C19" s="1" t="s">
        <v>337</v>
      </c>
      <c r="D19" s="8"/>
      <c r="E19" s="8" t="s">
        <v>66</v>
      </c>
      <c r="F19" s="8" t="s">
        <v>67</v>
      </c>
      <c r="G19" s="1" t="str">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CHECK FIELDS</v>
      </c>
      <c r="H19" s="8" t="str">
        <f t="shared" si="0"/>
        <v/>
      </c>
      <c r="I19" s="8" t="str">
        <f t="shared" si="1"/>
        <v/>
      </c>
      <c r="J19" s="9" t="str">
        <f t="shared" si="2"/>
        <v/>
      </c>
      <c r="K19" s="8" t="str">
        <f t="shared" si="3"/>
        <v>not_applicable</v>
      </c>
      <c r="L19" s="9" t="str">
        <f t="shared" si="4"/>
        <v>not_applicable</v>
      </c>
      <c r="M19" s="1"/>
      <c r="N19" s="4"/>
      <c r="O19" s="4"/>
      <c r="P19" s="4"/>
      <c r="Q19" s="4"/>
      <c r="R19" s="9"/>
    </row>
    <row r="20" spans="1:18" ht="91.95" customHeight="1">
      <c r="A20" s="3" t="s">
        <v>338</v>
      </c>
      <c r="B20" s="3" t="s">
        <v>339</v>
      </c>
      <c r="C20" s="3" t="s">
        <v>340</v>
      </c>
      <c r="D20" s="8"/>
      <c r="E20" s="8" t="s">
        <v>66</v>
      </c>
      <c r="F20" s="8" t="s">
        <v>67</v>
      </c>
      <c r="G20" s="3" t="str">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CHECK FIELDS</v>
      </c>
      <c r="H20" s="8" t="str">
        <f t="shared" si="0"/>
        <v/>
      </c>
      <c r="I20" s="8" t="str">
        <f t="shared" si="1"/>
        <v/>
      </c>
      <c r="J20" s="9" t="str">
        <f t="shared" si="2"/>
        <v/>
      </c>
      <c r="K20" s="8" t="str">
        <f t="shared" si="3"/>
        <v>not_applicable</v>
      </c>
      <c r="L20" s="9" t="str">
        <f t="shared" si="4"/>
        <v>not_applicable</v>
      </c>
      <c r="M20" s="3"/>
      <c r="N20" s="4"/>
      <c r="O20" s="4"/>
      <c r="P20" s="4"/>
      <c r="Q20" s="4"/>
      <c r="R20" s="9"/>
    </row>
  </sheetData>
  <autoFilter ref="A1:R20" xr:uid="{00000000-0009-0000-0000-00000B000000}"/>
  <phoneticPr fontId="5" type="noConversion"/>
  <conditionalFormatting sqref="G2:G20">
    <cfRule type="expression" dxfId="27" priority="13">
      <formula>G2&lt;&gt;"PRIMARY READY"</formula>
    </cfRule>
  </conditionalFormatting>
  <conditionalFormatting sqref="H2:J20">
    <cfRule type="expression" dxfId="26" priority="8">
      <formula>NOT(AND(OR($D2="retain",$D2=""),$E2="statistical_results"))</formula>
    </cfRule>
  </conditionalFormatting>
  <conditionalFormatting sqref="K2:K20">
    <cfRule type="expression" dxfId="25" priority="11">
      <formula>NOT(AND(OR($D2="retain",$D2=""),OR($E2="report_internal_inconsistency",$E2="plan_material")))</formula>
    </cfRule>
  </conditionalFormatting>
  <conditionalFormatting sqref="L2:L20">
    <cfRule type="expression" dxfId="24" priority="12">
      <formula>NOT(AND(OR($D2="retain",$D2=""),$E2="protocol_report"))</formula>
    </cfRule>
  </conditionalFormatting>
  <dataValidations count="8">
    <dataValidation type="list" allowBlank="1" showErrorMessage="1" errorTitle="Use a listed option" error="Choose an option; G also checks pasted entries." sqref="D2:D20" xr:uid="{00000000-0002-0000-0B00-000000000000}">
      <formula1>"retain,exclude,discuss"</formula1>
    </dataValidation>
    <dataValidation type="list" allowBlank="1" showErrorMessage="1" errorTitle="Use a listed option" error="Choose an option; G also checks pasted entries." sqref="E2:E20" xr:uid="{00000000-0002-0000-0B00-000001000000}">
      <formula1>"statistical_results,report_internal_inconsistency,plan_material,protocol_report"</formula1>
    </dataValidation>
    <dataValidation type="list" allowBlank="1" showErrorMessage="1" errorTitle="Use a listed option" error="Choose an option; G also checks pasted entries." sqref="F2:F20" xr:uid="{00000000-0002-0000-0B00-000002000000}">
      <formula1>"no,primary_done"</formula1>
    </dataValidation>
    <dataValidation type="list" allowBlank="1" showErrorMessage="1" errorTitle="Use a listed option" error="Choose an option; G also checks pasted entries." sqref="H2:H20" xr:uid="{00000000-0002-0000-0B00-000003000000}">
      <formula1>"confirmed_issue,probable_issue,not_issue,indeterminate,not_applicable"</formula1>
    </dataValidation>
    <dataValidation type="list" allowBlank="1" showErrorMessage="1" errorTitle="Use a listed option" error="Choose an option; G also checks pasted entries." sqref="I2:I20" xr:uid="{00000000-0002-0000-0B00-000004000000}">
      <formula1>"substantive,minor_presentation,indeterminate,not_applicable"</formula1>
    </dataValidation>
    <dataValidation type="list" allowBlank="1" showErrorMessage="1" errorTitle="Use a listed option" error="Choose an option; G also checks pasted entries." sqref="J2:J20" xr:uid="{00000000-0002-0000-0B00-000005000000}">
      <formula1>"direct,possible,unlikely,unknown,not_applicable"</formula1>
    </dataValidation>
    <dataValidation type="list" allowBlank="1" showErrorMessage="1" errorTitle="Use a listed option" error="Choose an option; G also checks pasted entries." sqref="K2:K20" xr:uid="{00000000-0002-0000-0B00-000006000000}">
      <formula1>"substantive_inconsistency,minor_presentation,non_inconsistency,indeterminate,not_applicable"</formula1>
    </dataValidation>
    <dataValidation type="list" allowBlank="1" showErrorMessage="1" errorTitle="Use a listed option" error="Choose an option; G also checks pasted entries." sqref="L2:L20" xr:uid="{00000000-0002-0000-0B00-000007000000}">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15"/>
  <sheetViews>
    <sheetView workbookViewId="0">
      <pane xSplit="1" ySplit="1" topLeftCell="B1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341</v>
      </c>
      <c r="B2" s="3" t="s">
        <v>342</v>
      </c>
      <c r="C2" s="3" t="s">
        <v>343</v>
      </c>
      <c r="D2" s="8"/>
      <c r="E2" s="8" t="s">
        <v>71</v>
      </c>
      <c r="F2" s="8" t="s">
        <v>67</v>
      </c>
      <c r="G2" s="3" t="str">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5" si="0">IF(AND(OR(D2="retain",D2=""),E2="statistical_results"),"","not_applicable")</f>
        <v>not_applicable</v>
      </c>
      <c r="I2" s="8" t="str">
        <f t="shared" ref="I2:I15" si="1">IF(AND(OR(D2="retain",D2=""),E2="statistical_results"),"","not_applicable")</f>
        <v>not_applicable</v>
      </c>
      <c r="J2" s="9" t="str">
        <f t="shared" ref="J2:J15" si="2">IF(AND(OR(D2="retain",D2=""),E2="statistical_results"),"","not_applicable")</f>
        <v>not_applicable</v>
      </c>
      <c r="K2" s="8" t="str">
        <f t="shared" ref="K2:K15" si="3">IF(AND(OR(D2="retain",D2=""),OR(E2="report_internal_inconsistency",E2="plan_material")),"","not_applicable")</f>
        <v>not_applicable</v>
      </c>
      <c r="L2" s="9" t="str">
        <f t="shared" ref="L2:L15" si="4">IF(AND(OR(D2="retain",D2=""),E2="protocol_report"),"","not_applicable")</f>
        <v/>
      </c>
      <c r="M2" s="3"/>
      <c r="N2" s="4"/>
      <c r="O2" s="4"/>
      <c r="P2" s="4"/>
      <c r="Q2" s="4"/>
      <c r="R2" s="9"/>
    </row>
    <row r="3" spans="1:18" ht="91.95" customHeight="1">
      <c r="A3" s="1" t="s">
        <v>344</v>
      </c>
      <c r="B3" s="1" t="s">
        <v>345</v>
      </c>
      <c r="C3" s="1" t="s">
        <v>346</v>
      </c>
      <c r="D3" s="8"/>
      <c r="E3" s="8" t="s">
        <v>71</v>
      </c>
      <c r="F3" s="8" t="s">
        <v>67</v>
      </c>
      <c r="G3" s="1" t="str">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347</v>
      </c>
      <c r="B4" s="3" t="s">
        <v>348</v>
      </c>
      <c r="C4" s="3" t="s">
        <v>349</v>
      </c>
      <c r="D4" s="8"/>
      <c r="E4" s="8" t="s">
        <v>71</v>
      </c>
      <c r="F4" s="8" t="s">
        <v>67</v>
      </c>
      <c r="G4" s="3" t="str">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350</v>
      </c>
      <c r="B5" s="1" t="s">
        <v>351</v>
      </c>
      <c r="C5" s="1" t="s">
        <v>352</v>
      </c>
      <c r="D5" s="8"/>
      <c r="E5" s="8" t="s">
        <v>71</v>
      </c>
      <c r="F5" s="8" t="s">
        <v>67</v>
      </c>
      <c r="G5" s="1" t="str">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353</v>
      </c>
      <c r="B6" s="3" t="s">
        <v>354</v>
      </c>
      <c r="C6" s="3" t="s">
        <v>355</v>
      </c>
      <c r="D6" s="8"/>
      <c r="E6" s="8" t="s">
        <v>71</v>
      </c>
      <c r="F6" s="8" t="s">
        <v>67</v>
      </c>
      <c r="G6" s="3" t="str">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356</v>
      </c>
      <c r="B7" s="1" t="s">
        <v>357</v>
      </c>
      <c r="C7" s="1" t="s">
        <v>358</v>
      </c>
      <c r="D7" s="8"/>
      <c r="E7" s="8" t="s">
        <v>71</v>
      </c>
      <c r="F7" s="8" t="s">
        <v>67</v>
      </c>
      <c r="G7" s="1" t="str">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359</v>
      </c>
      <c r="B8" s="3" t="s">
        <v>360</v>
      </c>
      <c r="C8" s="3" t="s">
        <v>361</v>
      </c>
      <c r="D8" s="8"/>
      <c r="E8" s="8" t="s">
        <v>71</v>
      </c>
      <c r="F8" s="8" t="s">
        <v>67</v>
      </c>
      <c r="G8" s="3" t="str">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362</v>
      </c>
      <c r="B9" s="1" t="s">
        <v>363</v>
      </c>
      <c r="C9" s="1" t="s">
        <v>364</v>
      </c>
      <c r="D9" s="8"/>
      <c r="E9" s="8" t="s">
        <v>66</v>
      </c>
      <c r="F9" s="8" t="s">
        <v>67</v>
      </c>
      <c r="G9" s="1" t="str">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
      </c>
      <c r="I9" s="8" t="str">
        <f t="shared" si="1"/>
        <v/>
      </c>
      <c r="J9" s="9" t="str">
        <f t="shared" si="2"/>
        <v/>
      </c>
      <c r="K9" s="8" t="str">
        <f t="shared" si="3"/>
        <v>not_applicable</v>
      </c>
      <c r="L9" s="9" t="str">
        <f t="shared" si="4"/>
        <v>not_applicable</v>
      </c>
      <c r="M9" s="1"/>
      <c r="N9" s="4"/>
      <c r="O9" s="4"/>
      <c r="P9" s="4"/>
      <c r="Q9" s="4"/>
      <c r="R9" s="9"/>
    </row>
    <row r="10" spans="1:18" ht="91.95" customHeight="1">
      <c r="A10" s="3" t="s">
        <v>365</v>
      </c>
      <c r="B10" s="3" t="s">
        <v>366</v>
      </c>
      <c r="C10" s="3" t="s">
        <v>367</v>
      </c>
      <c r="D10" s="8"/>
      <c r="E10" s="8" t="s">
        <v>66</v>
      </c>
      <c r="F10" s="8" t="s">
        <v>67</v>
      </c>
      <c r="G10" s="3" t="str">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
      </c>
      <c r="I10" s="8" t="str">
        <f t="shared" si="1"/>
        <v/>
      </c>
      <c r="J10" s="9" t="str">
        <f t="shared" si="2"/>
        <v/>
      </c>
      <c r="K10" s="8" t="str">
        <f t="shared" si="3"/>
        <v>not_applicable</v>
      </c>
      <c r="L10" s="9" t="str">
        <f t="shared" si="4"/>
        <v>not_applicable</v>
      </c>
      <c r="M10" s="3"/>
      <c r="N10" s="4"/>
      <c r="O10" s="4"/>
      <c r="P10" s="4"/>
      <c r="Q10" s="4"/>
      <c r="R10" s="9"/>
    </row>
    <row r="11" spans="1:18" ht="91.95" customHeight="1">
      <c r="A11" s="1" t="s">
        <v>368</v>
      </c>
      <c r="B11" s="1" t="s">
        <v>369</v>
      </c>
      <c r="C11" s="1" t="s">
        <v>370</v>
      </c>
      <c r="D11" s="8"/>
      <c r="E11" s="8" t="s">
        <v>66</v>
      </c>
      <c r="F11" s="8" t="s">
        <v>67</v>
      </c>
      <c r="G11" s="1" t="str">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371</v>
      </c>
      <c r="B12" s="3" t="s">
        <v>372</v>
      </c>
      <c r="C12" s="3" t="s">
        <v>373</v>
      </c>
      <c r="D12" s="8"/>
      <c r="E12" s="8" t="s">
        <v>66</v>
      </c>
      <c r="F12" s="8" t="s">
        <v>67</v>
      </c>
      <c r="G12" s="3" t="str">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374</v>
      </c>
      <c r="B13" s="1" t="s">
        <v>375</v>
      </c>
      <c r="C13" s="1" t="s">
        <v>376</v>
      </c>
      <c r="D13" s="8"/>
      <c r="E13" s="8" t="s">
        <v>66</v>
      </c>
      <c r="F13" s="8" t="s">
        <v>67</v>
      </c>
      <c r="G13" s="1" t="str">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377</v>
      </c>
      <c r="B14" s="3" t="s">
        <v>378</v>
      </c>
      <c r="C14" s="3" t="s">
        <v>379</v>
      </c>
      <c r="D14" s="8"/>
      <c r="E14" s="8" t="s">
        <v>106</v>
      </c>
      <c r="F14" s="8" t="s">
        <v>67</v>
      </c>
      <c r="G14" s="3" t="str">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not_applicable</v>
      </c>
      <c r="I14" s="8" t="str">
        <f t="shared" si="1"/>
        <v>not_applicable</v>
      </c>
      <c r="J14" s="9" t="str">
        <f t="shared" si="2"/>
        <v>not_applicable</v>
      </c>
      <c r="K14" s="8" t="str">
        <f t="shared" si="3"/>
        <v/>
      </c>
      <c r="L14" s="9" t="str">
        <f t="shared" si="4"/>
        <v>not_applicable</v>
      </c>
      <c r="M14" s="3"/>
      <c r="N14" s="4"/>
      <c r="O14" s="4"/>
      <c r="P14" s="4"/>
      <c r="Q14" s="4"/>
      <c r="R14" s="9"/>
    </row>
    <row r="15" spans="1:18" ht="91.95" customHeight="1">
      <c r="A15" s="1" t="s">
        <v>380</v>
      </c>
      <c r="B15" s="1" t="s">
        <v>381</v>
      </c>
      <c r="C15" s="1" t="s">
        <v>382</v>
      </c>
      <c r="D15" s="8"/>
      <c r="E15" s="8" t="s">
        <v>66</v>
      </c>
      <c r="F15" s="8" t="s">
        <v>67</v>
      </c>
      <c r="G15" s="1" t="str">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CHECK FIELDS</v>
      </c>
      <c r="H15" s="8" t="str">
        <f t="shared" si="0"/>
        <v/>
      </c>
      <c r="I15" s="8" t="str">
        <f t="shared" si="1"/>
        <v/>
      </c>
      <c r="J15" s="9" t="str">
        <f t="shared" si="2"/>
        <v/>
      </c>
      <c r="K15" s="8" t="str">
        <f t="shared" si="3"/>
        <v>not_applicable</v>
      </c>
      <c r="L15" s="9" t="str">
        <f t="shared" si="4"/>
        <v>not_applicable</v>
      </c>
      <c r="M15" s="1"/>
      <c r="N15" s="4"/>
      <c r="O15" s="4"/>
      <c r="P15" s="4"/>
      <c r="Q15" s="4"/>
      <c r="R15" s="9"/>
    </row>
  </sheetData>
  <autoFilter ref="A1:R15" xr:uid="{00000000-0009-0000-0000-00000C000000}"/>
  <phoneticPr fontId="5" type="noConversion"/>
  <conditionalFormatting sqref="G2:G15">
    <cfRule type="expression" dxfId="23" priority="13">
      <formula>G2&lt;&gt;"PRIMARY READY"</formula>
    </cfRule>
  </conditionalFormatting>
  <conditionalFormatting sqref="H2:J15">
    <cfRule type="expression" dxfId="22" priority="8">
      <formula>NOT(AND(OR($D2="retain",$D2=""),$E2="statistical_results"))</formula>
    </cfRule>
  </conditionalFormatting>
  <conditionalFormatting sqref="K2:K15">
    <cfRule type="expression" dxfId="21" priority="11">
      <formula>NOT(AND(OR($D2="retain",$D2=""),OR($E2="report_internal_inconsistency",$E2="plan_material")))</formula>
    </cfRule>
  </conditionalFormatting>
  <conditionalFormatting sqref="L2:L15">
    <cfRule type="expression" dxfId="20" priority="12">
      <formula>NOT(AND(OR($D2="retain",$D2=""),$E2="protocol_report"))</formula>
    </cfRule>
  </conditionalFormatting>
  <dataValidations count="8">
    <dataValidation type="list" allowBlank="1" showErrorMessage="1" errorTitle="Use a listed option" error="Choose an option; G also checks pasted entries." sqref="D2:D15" xr:uid="{00000000-0002-0000-0C00-000000000000}">
      <formula1>"retain,exclude,discuss"</formula1>
    </dataValidation>
    <dataValidation type="list" allowBlank="1" showErrorMessage="1" errorTitle="Use a listed option" error="Choose an option; G also checks pasted entries." sqref="E2:E15" xr:uid="{00000000-0002-0000-0C00-000001000000}">
      <formula1>"statistical_results,report_internal_inconsistency,plan_material,protocol_report"</formula1>
    </dataValidation>
    <dataValidation type="list" allowBlank="1" showErrorMessage="1" errorTitle="Use a listed option" error="Choose an option; G also checks pasted entries." sqref="F2:F15" xr:uid="{00000000-0002-0000-0C00-000002000000}">
      <formula1>"no,primary_done"</formula1>
    </dataValidation>
    <dataValidation type="list" allowBlank="1" showErrorMessage="1" errorTitle="Use a listed option" error="Choose an option; G also checks pasted entries." sqref="H2:H15" xr:uid="{00000000-0002-0000-0C00-000003000000}">
      <formula1>"confirmed_issue,probable_issue,not_issue,indeterminate,not_applicable"</formula1>
    </dataValidation>
    <dataValidation type="list" allowBlank="1" showErrorMessage="1" errorTitle="Use a listed option" error="Choose an option; G also checks pasted entries." sqref="I2:I15" xr:uid="{00000000-0002-0000-0C00-000004000000}">
      <formula1>"substantive,minor_presentation,indeterminate,not_applicable"</formula1>
    </dataValidation>
    <dataValidation type="list" allowBlank="1" showErrorMessage="1" errorTitle="Use a listed option" error="Choose an option; G also checks pasted entries." sqref="J2:J15" xr:uid="{00000000-0002-0000-0C00-000005000000}">
      <formula1>"direct,possible,unlikely,unknown,not_applicable"</formula1>
    </dataValidation>
    <dataValidation type="list" allowBlank="1" showErrorMessage="1" errorTitle="Use a listed option" error="Choose an option; G also checks pasted entries." sqref="K2:K15" xr:uid="{00000000-0002-0000-0C00-000006000000}">
      <formula1>"substantive_inconsistency,minor_presentation,non_inconsistency,indeterminate,not_applicable"</formula1>
    </dataValidation>
    <dataValidation type="list" allowBlank="1" showErrorMessage="1" errorTitle="Use a listed option" error="Choose an option; G also checks pasted entries." sqref="L2:L15" xr:uid="{00000000-0002-0000-0C00-000007000000}">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1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383</v>
      </c>
      <c r="B2" s="3" t="s">
        <v>384</v>
      </c>
      <c r="C2" s="3" t="s">
        <v>385</v>
      </c>
      <c r="D2" s="8"/>
      <c r="E2" s="8" t="s">
        <v>66</v>
      </c>
      <c r="F2" s="8" t="s">
        <v>67</v>
      </c>
      <c r="G2" s="3" t="str">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 t="shared" ref="H2:H14" si="0">IF(AND(OR(D2="retain",D2=""),E2="statistical_results"),"","not_applicable")</f>
        <v/>
      </c>
      <c r="I2" s="8" t="str">
        <f t="shared" ref="I2:I14" si="1">IF(AND(OR(D2="retain",D2=""),E2="statistical_results"),"","not_applicable")</f>
        <v/>
      </c>
      <c r="J2" s="9" t="str">
        <f t="shared" ref="J2:J14" si="2">IF(AND(OR(D2="retain",D2=""),E2="statistical_results"),"","not_applicable")</f>
        <v/>
      </c>
      <c r="K2" s="8" t="str">
        <f t="shared" ref="K2:K14" si="3">IF(AND(OR(D2="retain",D2=""),OR(E2="report_internal_inconsistency",E2="plan_material")),"","not_applicable")</f>
        <v>not_applicable</v>
      </c>
      <c r="L2" s="9" t="str">
        <f t="shared" ref="L2:L14" si="4">IF(AND(OR(D2="retain",D2=""),E2="protocol_report"),"","not_applicable")</f>
        <v>not_applicable</v>
      </c>
      <c r="M2" s="3"/>
      <c r="N2" s="4"/>
      <c r="O2" s="4"/>
      <c r="P2" s="4"/>
      <c r="Q2" s="4"/>
      <c r="R2" s="9"/>
    </row>
    <row r="3" spans="1:18" ht="91.95" customHeight="1">
      <c r="A3" s="1" t="s">
        <v>386</v>
      </c>
      <c r="B3" s="1" t="s">
        <v>387</v>
      </c>
      <c r="C3" s="1" t="s">
        <v>388</v>
      </c>
      <c r="D3" s="8"/>
      <c r="E3" s="8" t="s">
        <v>71</v>
      </c>
      <c r="F3" s="8" t="s">
        <v>67</v>
      </c>
      <c r="G3" s="1" t="str">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 t="shared" si="0"/>
        <v>not_applicable</v>
      </c>
      <c r="I3" s="8" t="str">
        <f t="shared" si="1"/>
        <v>not_applicable</v>
      </c>
      <c r="J3" s="9" t="str">
        <f t="shared" si="2"/>
        <v>not_applicable</v>
      </c>
      <c r="K3" s="8" t="str">
        <f t="shared" si="3"/>
        <v>not_applicable</v>
      </c>
      <c r="L3" s="9" t="str">
        <f t="shared" si="4"/>
        <v/>
      </c>
      <c r="M3" s="1"/>
      <c r="N3" s="4"/>
      <c r="O3" s="4"/>
      <c r="P3" s="4"/>
      <c r="Q3" s="4"/>
      <c r="R3" s="9"/>
    </row>
    <row r="4" spans="1:18" ht="91.95" customHeight="1">
      <c r="A4" s="3" t="s">
        <v>389</v>
      </c>
      <c r="B4" s="3" t="s">
        <v>390</v>
      </c>
      <c r="C4" s="3" t="s">
        <v>391</v>
      </c>
      <c r="D4" s="8"/>
      <c r="E4" s="8" t="s">
        <v>71</v>
      </c>
      <c r="F4" s="8" t="s">
        <v>67</v>
      </c>
      <c r="G4" s="3" t="str">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 t="shared" si="0"/>
        <v>not_applicable</v>
      </c>
      <c r="I4" s="8" t="str">
        <f t="shared" si="1"/>
        <v>not_applicable</v>
      </c>
      <c r="J4" s="9" t="str">
        <f t="shared" si="2"/>
        <v>not_applicable</v>
      </c>
      <c r="K4" s="8" t="str">
        <f t="shared" si="3"/>
        <v>not_applicable</v>
      </c>
      <c r="L4" s="9" t="str">
        <f t="shared" si="4"/>
        <v/>
      </c>
      <c r="M4" s="3"/>
      <c r="N4" s="4"/>
      <c r="O4" s="4"/>
      <c r="P4" s="4"/>
      <c r="Q4" s="4"/>
      <c r="R4" s="9"/>
    </row>
    <row r="5" spans="1:18" ht="91.95" customHeight="1">
      <c r="A5" s="1" t="s">
        <v>392</v>
      </c>
      <c r="B5" s="1" t="s">
        <v>393</v>
      </c>
      <c r="C5" s="1" t="s">
        <v>394</v>
      </c>
      <c r="D5" s="8"/>
      <c r="E5" s="8" t="s">
        <v>71</v>
      </c>
      <c r="F5" s="8" t="s">
        <v>67</v>
      </c>
      <c r="G5" s="1" t="str">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 t="shared" si="0"/>
        <v>not_applicable</v>
      </c>
      <c r="I5" s="8" t="str">
        <f t="shared" si="1"/>
        <v>not_applicable</v>
      </c>
      <c r="J5" s="9" t="str">
        <f t="shared" si="2"/>
        <v>not_applicable</v>
      </c>
      <c r="K5" s="8" t="str">
        <f t="shared" si="3"/>
        <v>not_applicable</v>
      </c>
      <c r="L5" s="9" t="str">
        <f t="shared" si="4"/>
        <v/>
      </c>
      <c r="M5" s="1"/>
      <c r="N5" s="4"/>
      <c r="O5" s="4"/>
      <c r="P5" s="4"/>
      <c r="Q5" s="4"/>
      <c r="R5" s="9"/>
    </row>
    <row r="6" spans="1:18" ht="91.95" customHeight="1">
      <c r="A6" s="3" t="s">
        <v>395</v>
      </c>
      <c r="B6" s="3" t="s">
        <v>396</v>
      </c>
      <c r="C6" s="3" t="s">
        <v>397</v>
      </c>
      <c r="D6" s="8"/>
      <c r="E6" s="8" t="s">
        <v>71</v>
      </c>
      <c r="F6" s="8" t="s">
        <v>67</v>
      </c>
      <c r="G6" s="3" t="str">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 t="shared" si="0"/>
        <v>not_applicable</v>
      </c>
      <c r="I6" s="8" t="str">
        <f t="shared" si="1"/>
        <v>not_applicable</v>
      </c>
      <c r="J6" s="9" t="str">
        <f t="shared" si="2"/>
        <v>not_applicable</v>
      </c>
      <c r="K6" s="8" t="str">
        <f t="shared" si="3"/>
        <v>not_applicable</v>
      </c>
      <c r="L6" s="9" t="str">
        <f t="shared" si="4"/>
        <v/>
      </c>
      <c r="M6" s="3"/>
      <c r="N6" s="4"/>
      <c r="O6" s="4"/>
      <c r="P6" s="4"/>
      <c r="Q6" s="4"/>
      <c r="R6" s="9"/>
    </row>
    <row r="7" spans="1:18" ht="91.95" customHeight="1">
      <c r="A7" s="1" t="s">
        <v>398</v>
      </c>
      <c r="B7" s="1" t="s">
        <v>399</v>
      </c>
      <c r="C7" s="1" t="s">
        <v>400</v>
      </c>
      <c r="D7" s="8"/>
      <c r="E7" s="8" t="s">
        <v>71</v>
      </c>
      <c r="F7" s="8" t="s">
        <v>67</v>
      </c>
      <c r="G7" s="1" t="str">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CHECK FIELDS</v>
      </c>
      <c r="H7" s="8" t="str">
        <f t="shared" si="0"/>
        <v>not_applicable</v>
      </c>
      <c r="I7" s="8" t="str">
        <f t="shared" si="1"/>
        <v>not_applicable</v>
      </c>
      <c r="J7" s="9" t="str">
        <f t="shared" si="2"/>
        <v>not_applicable</v>
      </c>
      <c r="K7" s="8" t="str">
        <f t="shared" si="3"/>
        <v>not_applicable</v>
      </c>
      <c r="L7" s="9" t="str">
        <f t="shared" si="4"/>
        <v/>
      </c>
      <c r="M7" s="1"/>
      <c r="N7" s="4"/>
      <c r="O7" s="4"/>
      <c r="P7" s="4"/>
      <c r="Q7" s="4"/>
      <c r="R7" s="9"/>
    </row>
    <row r="8" spans="1:18" ht="91.95" customHeight="1">
      <c r="A8" s="3" t="s">
        <v>401</v>
      </c>
      <c r="B8" s="3" t="s">
        <v>402</v>
      </c>
      <c r="C8" s="3" t="s">
        <v>403</v>
      </c>
      <c r="D8" s="8"/>
      <c r="E8" s="8" t="s">
        <v>71</v>
      </c>
      <c r="F8" s="8" t="s">
        <v>67</v>
      </c>
      <c r="G8" s="3" t="str">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CHECK FIELDS</v>
      </c>
      <c r="H8" s="8" t="str">
        <f t="shared" si="0"/>
        <v>not_applicable</v>
      </c>
      <c r="I8" s="8" t="str">
        <f t="shared" si="1"/>
        <v>not_applicable</v>
      </c>
      <c r="J8" s="9" t="str">
        <f t="shared" si="2"/>
        <v>not_applicable</v>
      </c>
      <c r="K8" s="8" t="str">
        <f t="shared" si="3"/>
        <v>not_applicable</v>
      </c>
      <c r="L8" s="9" t="str">
        <f t="shared" si="4"/>
        <v/>
      </c>
      <c r="M8" s="3"/>
      <c r="N8" s="4"/>
      <c r="O8" s="4"/>
      <c r="P8" s="4"/>
      <c r="Q8" s="4"/>
      <c r="R8" s="9"/>
    </row>
    <row r="9" spans="1:18" ht="91.95" customHeight="1">
      <c r="A9" s="1" t="s">
        <v>404</v>
      </c>
      <c r="B9" s="1" t="s">
        <v>405</v>
      </c>
      <c r="C9" s="1" t="s">
        <v>406</v>
      </c>
      <c r="D9" s="8"/>
      <c r="E9" s="8" t="s">
        <v>71</v>
      </c>
      <c r="F9" s="8" t="s">
        <v>67</v>
      </c>
      <c r="G9" s="1" t="str">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CHECK FIELDS</v>
      </c>
      <c r="H9" s="8" t="str">
        <f t="shared" si="0"/>
        <v>not_applicable</v>
      </c>
      <c r="I9" s="8" t="str">
        <f t="shared" si="1"/>
        <v>not_applicable</v>
      </c>
      <c r="J9" s="9" t="str">
        <f t="shared" si="2"/>
        <v>not_applicable</v>
      </c>
      <c r="K9" s="8" t="str">
        <f t="shared" si="3"/>
        <v>not_applicable</v>
      </c>
      <c r="L9" s="9" t="str">
        <f t="shared" si="4"/>
        <v/>
      </c>
      <c r="M9" s="1"/>
      <c r="N9" s="4"/>
      <c r="O9" s="4"/>
      <c r="P9" s="4"/>
      <c r="Q9" s="4"/>
      <c r="R9" s="9"/>
    </row>
    <row r="10" spans="1:18" ht="91.95" customHeight="1">
      <c r="A10" s="3" t="s">
        <v>407</v>
      </c>
      <c r="B10" s="3" t="s">
        <v>408</v>
      </c>
      <c r="C10" s="3" t="s">
        <v>409</v>
      </c>
      <c r="D10" s="8"/>
      <c r="E10" s="8" t="s">
        <v>71</v>
      </c>
      <c r="F10" s="8" t="s">
        <v>67</v>
      </c>
      <c r="G10" s="3" t="str">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CHECK FIELDS</v>
      </c>
      <c r="H10" s="8" t="str">
        <f t="shared" si="0"/>
        <v>not_applicable</v>
      </c>
      <c r="I10" s="8" t="str">
        <f t="shared" si="1"/>
        <v>not_applicable</v>
      </c>
      <c r="J10" s="9" t="str">
        <f t="shared" si="2"/>
        <v>not_applicable</v>
      </c>
      <c r="K10" s="8" t="str">
        <f t="shared" si="3"/>
        <v>not_applicable</v>
      </c>
      <c r="L10" s="9" t="str">
        <f t="shared" si="4"/>
        <v/>
      </c>
      <c r="M10" s="3"/>
      <c r="N10" s="4"/>
      <c r="O10" s="4"/>
      <c r="P10" s="4"/>
      <c r="Q10" s="4"/>
      <c r="R10" s="9"/>
    </row>
    <row r="11" spans="1:18" ht="91.95" customHeight="1">
      <c r="A11" s="1" t="s">
        <v>410</v>
      </c>
      <c r="B11" s="1" t="s">
        <v>411</v>
      </c>
      <c r="C11" s="1" t="s">
        <v>412</v>
      </c>
      <c r="D11" s="8"/>
      <c r="E11" s="8" t="s">
        <v>66</v>
      </c>
      <c r="F11" s="8" t="s">
        <v>67</v>
      </c>
      <c r="G11" s="1" t="str">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CHECK FIELDS</v>
      </c>
      <c r="H11" s="8" t="str">
        <f t="shared" si="0"/>
        <v/>
      </c>
      <c r="I11" s="8" t="str">
        <f t="shared" si="1"/>
        <v/>
      </c>
      <c r="J11" s="9" t="str">
        <f t="shared" si="2"/>
        <v/>
      </c>
      <c r="K11" s="8" t="str">
        <f t="shared" si="3"/>
        <v>not_applicable</v>
      </c>
      <c r="L11" s="9" t="str">
        <f t="shared" si="4"/>
        <v>not_applicable</v>
      </c>
      <c r="M11" s="1"/>
      <c r="N11" s="4"/>
      <c r="O11" s="4"/>
      <c r="P11" s="4"/>
      <c r="Q11" s="4"/>
      <c r="R11" s="9"/>
    </row>
    <row r="12" spans="1:18" ht="91.95" customHeight="1">
      <c r="A12" s="3" t="s">
        <v>413</v>
      </c>
      <c r="B12" s="3" t="s">
        <v>414</v>
      </c>
      <c r="C12" s="3" t="s">
        <v>415</v>
      </c>
      <c r="D12" s="8"/>
      <c r="E12" s="8" t="s">
        <v>66</v>
      </c>
      <c r="F12" s="8" t="s">
        <v>67</v>
      </c>
      <c r="G12" s="3" t="str">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CHECK FIELDS</v>
      </c>
      <c r="H12" s="8" t="str">
        <f t="shared" si="0"/>
        <v/>
      </c>
      <c r="I12" s="8" t="str">
        <f t="shared" si="1"/>
        <v/>
      </c>
      <c r="J12" s="9" t="str">
        <f t="shared" si="2"/>
        <v/>
      </c>
      <c r="K12" s="8" t="str">
        <f t="shared" si="3"/>
        <v>not_applicable</v>
      </c>
      <c r="L12" s="9" t="str">
        <f t="shared" si="4"/>
        <v>not_applicable</v>
      </c>
      <c r="M12" s="3"/>
      <c r="N12" s="4"/>
      <c r="O12" s="4"/>
      <c r="P12" s="4"/>
      <c r="Q12" s="4"/>
      <c r="R12" s="9"/>
    </row>
    <row r="13" spans="1:18" ht="91.95" customHeight="1">
      <c r="A13" s="1" t="s">
        <v>416</v>
      </c>
      <c r="B13" s="1" t="s">
        <v>417</v>
      </c>
      <c r="C13" s="1" t="s">
        <v>418</v>
      </c>
      <c r="D13" s="8"/>
      <c r="E13" s="8" t="s">
        <v>66</v>
      </c>
      <c r="F13" s="8" t="s">
        <v>67</v>
      </c>
      <c r="G13" s="1" t="str">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CHECK FIELDS</v>
      </c>
      <c r="H13" s="8" t="str">
        <f t="shared" si="0"/>
        <v/>
      </c>
      <c r="I13" s="8" t="str">
        <f t="shared" si="1"/>
        <v/>
      </c>
      <c r="J13" s="9" t="str">
        <f t="shared" si="2"/>
        <v/>
      </c>
      <c r="K13" s="8" t="str">
        <f t="shared" si="3"/>
        <v>not_applicable</v>
      </c>
      <c r="L13" s="9" t="str">
        <f t="shared" si="4"/>
        <v>not_applicable</v>
      </c>
      <c r="M13" s="1"/>
      <c r="N13" s="4"/>
      <c r="O13" s="4"/>
      <c r="P13" s="4"/>
      <c r="Q13" s="4"/>
      <c r="R13" s="9"/>
    </row>
    <row r="14" spans="1:18" ht="91.95" customHeight="1">
      <c r="A14" s="3" t="s">
        <v>419</v>
      </c>
      <c r="B14" s="3" t="s">
        <v>420</v>
      </c>
      <c r="C14" s="3" t="s">
        <v>421</v>
      </c>
      <c r="D14" s="8"/>
      <c r="E14" s="8" t="s">
        <v>66</v>
      </c>
      <c r="F14" s="8" t="s">
        <v>67</v>
      </c>
      <c r="G14" s="3" t="str">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CHECK FIELDS</v>
      </c>
      <c r="H14" s="8" t="str">
        <f t="shared" si="0"/>
        <v/>
      </c>
      <c r="I14" s="8" t="str">
        <f t="shared" si="1"/>
        <v/>
      </c>
      <c r="J14" s="9" t="str">
        <f t="shared" si="2"/>
        <v/>
      </c>
      <c r="K14" s="8" t="str">
        <f t="shared" si="3"/>
        <v>not_applicable</v>
      </c>
      <c r="L14" s="9" t="str">
        <f t="shared" si="4"/>
        <v>not_applicable</v>
      </c>
      <c r="M14" s="3"/>
      <c r="N14" s="4"/>
      <c r="O14" s="4"/>
      <c r="P14" s="4"/>
      <c r="Q14" s="4"/>
      <c r="R14" s="9"/>
    </row>
  </sheetData>
  <autoFilter ref="A1:R14" xr:uid="{00000000-0009-0000-0000-00000D000000}"/>
  <phoneticPr fontId="5" type="noConversion"/>
  <conditionalFormatting sqref="G2:G14">
    <cfRule type="expression" dxfId="19" priority="13">
      <formula>G2&lt;&gt;"PRIMARY READY"</formula>
    </cfRule>
  </conditionalFormatting>
  <conditionalFormatting sqref="H2:J14">
    <cfRule type="expression" dxfId="18" priority="8">
      <formula>NOT(AND(OR($D2="retain",$D2=""),$E2="statistical_results"))</formula>
    </cfRule>
  </conditionalFormatting>
  <conditionalFormatting sqref="K2:K14">
    <cfRule type="expression" dxfId="17" priority="11">
      <formula>NOT(AND(OR($D2="retain",$D2=""),OR($E2="report_internal_inconsistency",$E2="plan_material")))</formula>
    </cfRule>
  </conditionalFormatting>
  <conditionalFormatting sqref="L2:L14">
    <cfRule type="expression" dxfId="16" priority="12">
      <formula>NOT(AND(OR($D2="retain",$D2=""),$E2="protocol_report"))</formula>
    </cfRule>
  </conditionalFormatting>
  <dataValidations count="8">
    <dataValidation type="list" allowBlank="1" showErrorMessage="1" errorTitle="Use a listed option" error="Choose an option; G also checks pasted entries." sqref="D2:D14" xr:uid="{00000000-0002-0000-0D00-000000000000}">
      <formula1>"retain,exclude,discuss"</formula1>
    </dataValidation>
    <dataValidation type="list" allowBlank="1" showErrorMessage="1" errorTitle="Use a listed option" error="Choose an option; G also checks pasted entries." sqref="E2:E14" xr:uid="{00000000-0002-0000-0D00-000001000000}">
      <formula1>"statistical_results,report_internal_inconsistency,plan_material,protocol_report"</formula1>
    </dataValidation>
    <dataValidation type="list" allowBlank="1" showErrorMessage="1" errorTitle="Use a listed option" error="Choose an option; G also checks pasted entries." sqref="F2:F14" xr:uid="{00000000-0002-0000-0D00-000002000000}">
      <formula1>"no,primary_done"</formula1>
    </dataValidation>
    <dataValidation type="list" allowBlank="1" showErrorMessage="1" errorTitle="Use a listed option" error="Choose an option; G also checks pasted entries." sqref="H2:H14" xr:uid="{00000000-0002-0000-0D00-000003000000}">
      <formula1>"confirmed_issue,probable_issue,not_issue,indeterminate,not_applicable"</formula1>
    </dataValidation>
    <dataValidation type="list" allowBlank="1" showErrorMessage="1" errorTitle="Use a listed option" error="Choose an option; G also checks pasted entries." sqref="I2:I14" xr:uid="{00000000-0002-0000-0D00-000004000000}">
      <formula1>"substantive,minor_presentation,indeterminate,not_applicable"</formula1>
    </dataValidation>
    <dataValidation type="list" allowBlank="1" showErrorMessage="1" errorTitle="Use a listed option" error="Choose an option; G also checks pasted entries." sqref="J2:J14" xr:uid="{00000000-0002-0000-0D00-000005000000}">
      <formula1>"direct,possible,unlikely,unknown,not_applicable"</formula1>
    </dataValidation>
    <dataValidation type="list" allowBlank="1" showErrorMessage="1" errorTitle="Use a listed option" error="Choose an option; G also checks pasted entries." sqref="K2:K14" xr:uid="{00000000-0002-0000-0D00-000006000000}">
      <formula1>"substantive_inconsistency,minor_presentation,non_inconsistency,indeterminate,not_applicable"</formula1>
    </dataValidation>
    <dataValidation type="list" allowBlank="1" showErrorMessage="1" errorTitle="Use a listed option" error="Choose an option; G also checks pasted entries." sqref="L2:L14" xr:uid="{00000000-0002-0000-0D00-000007000000}">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5"/>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422</v>
      </c>
      <c r="B2" s="3" t="s">
        <v>423</v>
      </c>
      <c r="C2" s="3" t="s">
        <v>424</v>
      </c>
      <c r="D2" s="8"/>
      <c r="E2" s="8" t="s">
        <v>71</v>
      </c>
      <c r="F2" s="8" t="s">
        <v>67</v>
      </c>
      <c r="G2" s="3" t="str">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425</v>
      </c>
      <c r="B3" s="1" t="s">
        <v>426</v>
      </c>
      <c r="C3" s="1" t="s">
        <v>427</v>
      </c>
      <c r="D3" s="8"/>
      <c r="E3" s="8" t="s">
        <v>71</v>
      </c>
      <c r="F3" s="8" t="s">
        <v>67</v>
      </c>
      <c r="G3" s="1" t="str">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428</v>
      </c>
      <c r="B4" s="3" t="s">
        <v>429</v>
      </c>
      <c r="C4" s="3" t="s">
        <v>430</v>
      </c>
      <c r="D4" s="8"/>
      <c r="E4" s="8" t="s">
        <v>71</v>
      </c>
      <c r="F4" s="8" t="s">
        <v>67</v>
      </c>
      <c r="G4" s="3" t="str">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row r="5" spans="1:18" ht="91.95" customHeight="1">
      <c r="A5" s="1" t="s">
        <v>431</v>
      </c>
      <c r="B5" s="1" t="s">
        <v>432</v>
      </c>
      <c r="C5" s="1" t="s">
        <v>433</v>
      </c>
      <c r="D5" s="8"/>
      <c r="E5" s="8" t="s">
        <v>66</v>
      </c>
      <c r="F5" s="8" t="s">
        <v>67</v>
      </c>
      <c r="G5" s="1" t="str">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IF(AND(OR(D5="retain",D5=""),E5="statistical_results"),"","not_applicable")</f>
        <v/>
      </c>
      <c r="I5" s="8" t="str">
        <f>IF(AND(OR(D5="retain",D5=""),E5="statistical_results"),"","not_applicable")</f>
        <v/>
      </c>
      <c r="J5" s="9" t="str">
        <f>IF(AND(OR(D5="retain",D5=""),E5="statistical_results"),"","not_applicable")</f>
        <v/>
      </c>
      <c r="K5" s="8" t="str">
        <f>IF(AND(OR(D5="retain",D5=""),OR(E5="report_internal_inconsistency",E5="plan_material")),"","not_applicable")</f>
        <v>not_applicable</v>
      </c>
      <c r="L5" s="9" t="str">
        <f>IF(AND(OR(D5="retain",D5=""),E5="protocol_report"),"","not_applicable")</f>
        <v>not_applicable</v>
      </c>
      <c r="M5" s="1"/>
      <c r="N5" s="4"/>
      <c r="O5" s="4"/>
      <c r="P5" s="4"/>
      <c r="Q5" s="4"/>
      <c r="R5" s="9"/>
    </row>
  </sheetData>
  <autoFilter ref="A1:R5" xr:uid="{00000000-0009-0000-0000-00000E000000}"/>
  <phoneticPr fontId="5" type="noConversion"/>
  <conditionalFormatting sqref="G2:G5">
    <cfRule type="expression" dxfId="15" priority="13">
      <formula>G2&lt;&gt;"PRIMARY READY"</formula>
    </cfRule>
  </conditionalFormatting>
  <conditionalFormatting sqref="H2:J5">
    <cfRule type="expression" dxfId="14" priority="8">
      <formula>NOT(AND(OR($D2="retain",$D2=""),$E2="statistical_results"))</formula>
    </cfRule>
  </conditionalFormatting>
  <conditionalFormatting sqref="K2:K5">
    <cfRule type="expression" dxfId="13" priority="11">
      <formula>NOT(AND(OR($D2="retain",$D2=""),OR($E2="report_internal_inconsistency",$E2="plan_material")))</formula>
    </cfRule>
  </conditionalFormatting>
  <conditionalFormatting sqref="L2:L5">
    <cfRule type="expression" dxfId="12" priority="12">
      <formula>NOT(AND(OR($D2="retain",$D2=""),$E2="protocol_report"))</formula>
    </cfRule>
  </conditionalFormatting>
  <dataValidations count="8">
    <dataValidation type="list" allowBlank="1" showErrorMessage="1" errorTitle="Use a listed option" error="Choose an option; G also checks pasted entries." sqref="D2:D5" xr:uid="{00000000-0002-0000-0E00-000000000000}">
      <formula1>"retain,exclude,discuss"</formula1>
    </dataValidation>
    <dataValidation type="list" allowBlank="1" showErrorMessage="1" errorTitle="Use a listed option" error="Choose an option; G also checks pasted entries." sqref="E2:E5" xr:uid="{00000000-0002-0000-0E00-000001000000}">
      <formula1>"statistical_results,report_internal_inconsistency,plan_material,protocol_report"</formula1>
    </dataValidation>
    <dataValidation type="list" allowBlank="1" showErrorMessage="1" errorTitle="Use a listed option" error="Choose an option; G also checks pasted entries." sqref="F2:F5" xr:uid="{00000000-0002-0000-0E00-000002000000}">
      <formula1>"no,primary_done"</formula1>
    </dataValidation>
    <dataValidation type="list" allowBlank="1" showErrorMessage="1" errorTitle="Use a listed option" error="Choose an option; G also checks pasted entries." sqref="H2:H5" xr:uid="{00000000-0002-0000-0E00-000003000000}">
      <formula1>"confirmed_issue,probable_issue,not_issue,indeterminate,not_applicable"</formula1>
    </dataValidation>
    <dataValidation type="list" allowBlank="1" showErrorMessage="1" errorTitle="Use a listed option" error="Choose an option; G also checks pasted entries." sqref="I2:I5" xr:uid="{00000000-0002-0000-0E00-000004000000}">
      <formula1>"substantive,minor_presentation,indeterminate,not_applicable"</formula1>
    </dataValidation>
    <dataValidation type="list" allowBlank="1" showErrorMessage="1" errorTitle="Use a listed option" error="Choose an option; G also checks pasted entries." sqref="J2:J5" xr:uid="{00000000-0002-0000-0E00-000005000000}">
      <formula1>"direct,possible,unlikely,unknown,not_applicable"</formula1>
    </dataValidation>
    <dataValidation type="list" allowBlank="1" showErrorMessage="1" errorTitle="Use a listed option" error="Choose an option; G also checks pasted entries." sqref="K2:K5" xr:uid="{00000000-0002-0000-0E00-000006000000}">
      <formula1>"substantive_inconsistency,minor_presentation,non_inconsistency,indeterminate,not_applicable"</formula1>
    </dataValidation>
    <dataValidation type="list" allowBlank="1" showErrorMessage="1" errorTitle="Use a listed option" error="Choose an option; G also checks pasted entries." sqref="L2:L5" xr:uid="{00000000-0002-0000-0E00-000007000000}">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434</v>
      </c>
      <c r="B2" s="3" t="s">
        <v>435</v>
      </c>
      <c r="C2" s="3" t="s">
        <v>436</v>
      </c>
      <c r="D2" s="8"/>
      <c r="E2" s="8" t="s">
        <v>71</v>
      </c>
      <c r="F2" s="8" t="s">
        <v>67</v>
      </c>
      <c r="G2" s="3" t="str">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437</v>
      </c>
      <c r="B3" s="1" t="s">
        <v>438</v>
      </c>
      <c r="C3" s="1" t="s">
        <v>439</v>
      </c>
      <c r="D3" s="8"/>
      <c r="E3" s="8" t="s">
        <v>71</v>
      </c>
      <c r="F3" s="8" t="s">
        <v>67</v>
      </c>
      <c r="G3" s="1" t="str">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440</v>
      </c>
      <c r="B4" s="3" t="s">
        <v>441</v>
      </c>
      <c r="C4" s="3" t="s">
        <v>442</v>
      </c>
      <c r="D4" s="8"/>
      <c r="E4" s="8" t="s">
        <v>71</v>
      </c>
      <c r="F4" s="8" t="s">
        <v>67</v>
      </c>
      <c r="G4" s="3" t="str">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sheetData>
  <autoFilter ref="A1:R4" xr:uid="{00000000-0009-0000-0000-00000F000000}"/>
  <phoneticPr fontId="5" type="noConversion"/>
  <conditionalFormatting sqref="G2:G4">
    <cfRule type="expression" dxfId="11" priority="13">
      <formula>G2&lt;&gt;"PRIMARY READY"</formula>
    </cfRule>
  </conditionalFormatting>
  <conditionalFormatting sqref="H2:J4">
    <cfRule type="expression" dxfId="10" priority="8">
      <formula>NOT(AND(OR($D2="retain",$D2=""),$E2="statistical_results"))</formula>
    </cfRule>
  </conditionalFormatting>
  <conditionalFormatting sqref="K2:K4">
    <cfRule type="expression" dxfId="9" priority="11">
      <formula>NOT(AND(OR($D2="retain",$D2=""),OR($E2="report_internal_inconsistency",$E2="plan_material")))</formula>
    </cfRule>
  </conditionalFormatting>
  <conditionalFormatting sqref="L2:L4">
    <cfRule type="expression" dxfId="8" priority="12">
      <formula>NOT(AND(OR($D2="retain",$D2=""),$E2="protocol_report"))</formula>
    </cfRule>
  </conditionalFormatting>
  <dataValidations count="8">
    <dataValidation type="list" allowBlank="1" showErrorMessage="1" errorTitle="Use a listed option" error="Choose an option; G also checks pasted entries." sqref="D2:D4" xr:uid="{00000000-0002-0000-0F00-000000000000}">
      <formula1>"retain,exclude,discuss"</formula1>
    </dataValidation>
    <dataValidation type="list" allowBlank="1" showErrorMessage="1" errorTitle="Use a listed option" error="Choose an option; G also checks pasted entries." sqref="E2:E4" xr:uid="{00000000-0002-0000-0F00-000001000000}">
      <formula1>"statistical_results,report_internal_inconsistency,plan_material,protocol_report"</formula1>
    </dataValidation>
    <dataValidation type="list" allowBlank="1" showErrorMessage="1" errorTitle="Use a listed option" error="Choose an option; G also checks pasted entries." sqref="F2:F4" xr:uid="{00000000-0002-0000-0F00-000002000000}">
      <formula1>"no,primary_done"</formula1>
    </dataValidation>
    <dataValidation type="list" allowBlank="1" showErrorMessage="1" errorTitle="Use a listed option" error="Choose an option; G also checks pasted entries." sqref="H2:H4" xr:uid="{00000000-0002-0000-0F00-000003000000}">
      <formula1>"confirmed_issue,probable_issue,not_issue,indeterminate,not_applicable"</formula1>
    </dataValidation>
    <dataValidation type="list" allowBlank="1" showErrorMessage="1" errorTitle="Use a listed option" error="Choose an option; G also checks pasted entries." sqref="I2:I4" xr:uid="{00000000-0002-0000-0F00-000004000000}">
      <formula1>"substantive,minor_presentation,indeterminate,not_applicable"</formula1>
    </dataValidation>
    <dataValidation type="list" allowBlank="1" showErrorMessage="1" errorTitle="Use a listed option" error="Choose an option; G also checks pasted entries." sqref="J2:J4" xr:uid="{00000000-0002-0000-0F00-000005000000}">
      <formula1>"direct,possible,unlikely,unknown,not_applicable"</formula1>
    </dataValidation>
    <dataValidation type="list" allowBlank="1" showErrorMessage="1" errorTitle="Use a listed option" error="Choose an option; G also checks pasted entries." sqref="K2:K4" xr:uid="{00000000-0002-0000-0F00-000006000000}">
      <formula1>"substantive_inconsistency,minor_presentation,non_inconsistency,indeterminate,not_applicable"</formula1>
    </dataValidation>
    <dataValidation type="list" allowBlank="1" showErrorMessage="1" errorTitle="Use a listed option" error="Choose an option; G also checks pasted entries." sqref="L2:L4" xr:uid="{00000000-0002-0000-0F00-000007000000}">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4"/>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443</v>
      </c>
      <c r="B2" s="3" t="s">
        <v>444</v>
      </c>
      <c r="C2" s="3" t="s">
        <v>445</v>
      </c>
      <c r="D2" s="8"/>
      <c r="E2" s="8" t="s">
        <v>71</v>
      </c>
      <c r="F2" s="8" t="s">
        <v>67</v>
      </c>
      <c r="G2" s="3" t="str">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446</v>
      </c>
      <c r="B3" s="1" t="s">
        <v>447</v>
      </c>
      <c r="C3" s="1" t="s">
        <v>448</v>
      </c>
      <c r="D3" s="8"/>
      <c r="E3" s="8" t="s">
        <v>66</v>
      </c>
      <c r="F3" s="8" t="s">
        <v>67</v>
      </c>
      <c r="G3" s="1" t="str">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
      </c>
      <c r="I3" s="8" t="str">
        <f>IF(AND(OR(D3="retain",D3=""),E3="statistical_results"),"","not_applicable")</f>
        <v/>
      </c>
      <c r="J3" s="9" t="str">
        <f>IF(AND(OR(D3="retain",D3=""),E3="statistical_results"),"","not_applicable")</f>
        <v/>
      </c>
      <c r="K3" s="8" t="str">
        <f>IF(AND(OR(D3="retain",D3=""),OR(E3="report_internal_inconsistency",E3="plan_material")),"","not_applicable")</f>
        <v>not_applicable</v>
      </c>
      <c r="L3" s="9" t="str">
        <f>IF(AND(OR(D3="retain",D3=""),E3="protocol_report"),"","not_applicable")</f>
        <v>not_applicable</v>
      </c>
      <c r="M3" s="1"/>
      <c r="N3" s="4"/>
      <c r="O3" s="4"/>
      <c r="P3" s="4"/>
      <c r="Q3" s="4"/>
      <c r="R3" s="9"/>
    </row>
    <row r="4" spans="1:18" ht="91.95" customHeight="1">
      <c r="A4" s="3" t="s">
        <v>449</v>
      </c>
      <c r="B4" s="3" t="s">
        <v>450</v>
      </c>
      <c r="C4" s="3" t="s">
        <v>451</v>
      </c>
      <c r="D4" s="8"/>
      <c r="E4" s="8" t="s">
        <v>71</v>
      </c>
      <c r="F4" s="8" t="s">
        <v>67</v>
      </c>
      <c r="G4" s="3" t="str">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sheetData>
  <autoFilter ref="A1:R4" xr:uid="{00000000-0009-0000-0000-000010000000}"/>
  <phoneticPr fontId="5" type="noConversion"/>
  <conditionalFormatting sqref="G2:G4">
    <cfRule type="expression" dxfId="7" priority="13">
      <formula>G2&lt;&gt;"PRIMARY READY"</formula>
    </cfRule>
  </conditionalFormatting>
  <conditionalFormatting sqref="H2:J4">
    <cfRule type="expression" dxfId="6" priority="8">
      <formula>NOT(AND(OR($D2="retain",$D2=""),$E2="statistical_results"))</formula>
    </cfRule>
  </conditionalFormatting>
  <conditionalFormatting sqref="K2:K4">
    <cfRule type="expression" dxfId="5" priority="11">
      <formula>NOT(AND(OR($D2="retain",$D2=""),OR($E2="report_internal_inconsistency",$E2="plan_material")))</formula>
    </cfRule>
  </conditionalFormatting>
  <conditionalFormatting sqref="L2:L4">
    <cfRule type="expression" dxfId="4" priority="12">
      <formula>NOT(AND(OR($D2="retain",$D2=""),$E2="protocol_report"))</formula>
    </cfRule>
  </conditionalFormatting>
  <dataValidations count="8">
    <dataValidation type="list" allowBlank="1" showErrorMessage="1" errorTitle="Use a listed option" error="Choose an option; G also checks pasted entries." sqref="D2:D4" xr:uid="{00000000-0002-0000-1000-000000000000}">
      <formula1>"retain,exclude,discuss"</formula1>
    </dataValidation>
    <dataValidation type="list" allowBlank="1" showErrorMessage="1" errorTitle="Use a listed option" error="Choose an option; G also checks pasted entries." sqref="E2:E4" xr:uid="{00000000-0002-0000-1000-000001000000}">
      <formula1>"statistical_results,report_internal_inconsistency,plan_material,protocol_report"</formula1>
    </dataValidation>
    <dataValidation type="list" allowBlank="1" showErrorMessage="1" errorTitle="Use a listed option" error="Choose an option; G also checks pasted entries." sqref="F2:F4" xr:uid="{00000000-0002-0000-1000-000002000000}">
      <formula1>"no,primary_done"</formula1>
    </dataValidation>
    <dataValidation type="list" allowBlank="1" showErrorMessage="1" errorTitle="Use a listed option" error="Choose an option; G also checks pasted entries." sqref="H2:H4" xr:uid="{00000000-0002-0000-1000-000003000000}">
      <formula1>"confirmed_issue,probable_issue,not_issue,indeterminate,not_applicable"</formula1>
    </dataValidation>
    <dataValidation type="list" allowBlank="1" showErrorMessage="1" errorTitle="Use a listed option" error="Choose an option; G also checks pasted entries." sqref="I2:I4" xr:uid="{00000000-0002-0000-1000-000004000000}">
      <formula1>"substantive,minor_presentation,indeterminate,not_applicable"</formula1>
    </dataValidation>
    <dataValidation type="list" allowBlank="1" showErrorMessage="1" errorTitle="Use a listed option" error="Choose an option; G also checks pasted entries." sqref="J2:J4" xr:uid="{00000000-0002-0000-1000-000005000000}">
      <formula1>"direct,possible,unlikely,unknown,not_applicable"</formula1>
    </dataValidation>
    <dataValidation type="list" allowBlank="1" showErrorMessage="1" errorTitle="Use a listed option" error="Choose an option; G also checks pasted entries." sqref="K2:K4" xr:uid="{00000000-0002-0000-1000-000006000000}">
      <formula1>"substantive_inconsistency,minor_presentation,non_inconsistency,indeterminate,not_applicable"</formula1>
    </dataValidation>
    <dataValidation type="list" allowBlank="1" showErrorMessage="1" errorTitle="Use a listed option" error="Choose an option; G also checks pasted entries." sqref="L2:L4" xr:uid="{00000000-0002-0000-1000-000007000000}">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6"/>
  <sheetViews>
    <sheetView workbookViewId="0">
      <pane xSplit="1" ySplit="1" topLeftCell="B2" activePane="bottomRight" state="frozen"/>
      <selection pane="topRight"/>
      <selection pane="bottomLeft"/>
      <selection pane="bottomRight"/>
    </sheetView>
  </sheetViews>
  <sheetFormatPr defaultRowHeight="13.8"/>
  <cols>
    <col min="1" max="1" width="22" customWidth="1"/>
    <col min="2" max="2" width="28" customWidth="1"/>
    <col min="3" max="3" width="22" customWidth="1"/>
    <col min="4" max="4" width="20" customWidth="1"/>
    <col min="5" max="5" width="35" customWidth="1"/>
    <col min="6" max="6" width="17" customWidth="1"/>
    <col min="7" max="7" width="29" customWidth="1"/>
    <col min="8" max="8" width="28" customWidth="1"/>
    <col min="9" max="10" width="20" customWidth="1"/>
    <col min="11" max="11" width="34" customWidth="1"/>
    <col min="12" max="12" width="26" customWidth="1"/>
    <col min="13" max="17" width="3" hidden="1" customWidth="1"/>
    <col min="18" max="18" width="32" customWidth="1"/>
  </cols>
  <sheetData>
    <row r="1" spans="1:18" ht="70.05" customHeight="1">
      <c r="A1" s="2" t="s">
        <v>50</v>
      </c>
      <c r="B1" s="2" t="s">
        <v>51</v>
      </c>
      <c r="C1" s="2" t="s">
        <v>52</v>
      </c>
      <c r="D1" s="2" t="s">
        <v>53</v>
      </c>
      <c r="E1" s="2" t="s">
        <v>54</v>
      </c>
      <c r="F1" s="2" t="s">
        <v>55</v>
      </c>
      <c r="G1" s="2" t="s">
        <v>56</v>
      </c>
      <c r="H1" s="2" t="s">
        <v>57</v>
      </c>
      <c r="I1" s="2" t="s">
        <v>58</v>
      </c>
      <c r="J1" s="2" t="s">
        <v>59</v>
      </c>
      <c r="K1" s="2" t="s">
        <v>60</v>
      </c>
      <c r="L1" s="2" t="s">
        <v>61</v>
      </c>
      <c r="M1" s="2"/>
      <c r="N1" s="2"/>
      <c r="O1" s="2"/>
      <c r="P1" s="2"/>
      <c r="Q1" s="2"/>
      <c r="R1" s="2" t="s">
        <v>62</v>
      </c>
    </row>
    <row r="2" spans="1:18" ht="91.95" customHeight="1">
      <c r="A2" s="3" t="s">
        <v>452</v>
      </c>
      <c r="B2" s="3" t="s">
        <v>453</v>
      </c>
      <c r="C2" s="3" t="s">
        <v>454</v>
      </c>
      <c r="D2" s="8"/>
      <c r="E2" s="8" t="s">
        <v>71</v>
      </c>
      <c r="F2" s="8" t="s">
        <v>67</v>
      </c>
      <c r="G2" s="3" t="str">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CHECK FIELDS</v>
      </c>
      <c r="H2" s="8" t="str">
        <f>IF(AND(OR(D2="retain",D2=""),E2="statistical_results"),"","not_applicable")</f>
        <v>not_applicable</v>
      </c>
      <c r="I2" s="8" t="str">
        <f>IF(AND(OR(D2="retain",D2=""),E2="statistical_results"),"","not_applicable")</f>
        <v>not_applicable</v>
      </c>
      <c r="J2" s="9" t="str">
        <f>IF(AND(OR(D2="retain",D2=""),E2="statistical_results"),"","not_applicable")</f>
        <v>not_applicable</v>
      </c>
      <c r="K2" s="8" t="str">
        <f>IF(AND(OR(D2="retain",D2=""),OR(E2="report_internal_inconsistency",E2="plan_material")),"","not_applicable")</f>
        <v>not_applicable</v>
      </c>
      <c r="L2" s="9" t="str">
        <f>IF(AND(OR(D2="retain",D2=""),E2="protocol_report"),"","not_applicable")</f>
        <v/>
      </c>
      <c r="M2" s="3"/>
      <c r="N2" s="4"/>
      <c r="O2" s="4"/>
      <c r="P2" s="4"/>
      <c r="Q2" s="4"/>
      <c r="R2" s="9"/>
    </row>
    <row r="3" spans="1:18" ht="91.95" customHeight="1">
      <c r="A3" s="1" t="s">
        <v>455</v>
      </c>
      <c r="B3" s="1" t="s">
        <v>456</v>
      </c>
      <c r="C3" s="1" t="s">
        <v>457</v>
      </c>
      <c r="D3" s="8"/>
      <c r="E3" s="8" t="s">
        <v>71</v>
      </c>
      <c r="F3" s="8" t="s">
        <v>67</v>
      </c>
      <c r="G3" s="1" t="str">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CHECK FIELDS</v>
      </c>
      <c r="H3" s="8" t="str">
        <f>IF(AND(OR(D3="retain",D3=""),E3="statistical_results"),"","not_applicable")</f>
        <v>not_applicable</v>
      </c>
      <c r="I3" s="8" t="str">
        <f>IF(AND(OR(D3="retain",D3=""),E3="statistical_results"),"","not_applicable")</f>
        <v>not_applicable</v>
      </c>
      <c r="J3" s="9" t="str">
        <f>IF(AND(OR(D3="retain",D3=""),E3="statistical_results"),"","not_applicable")</f>
        <v>not_applicable</v>
      </c>
      <c r="K3" s="8" t="str">
        <f>IF(AND(OR(D3="retain",D3=""),OR(E3="report_internal_inconsistency",E3="plan_material")),"","not_applicable")</f>
        <v>not_applicable</v>
      </c>
      <c r="L3" s="9" t="str">
        <f>IF(AND(OR(D3="retain",D3=""),E3="protocol_report"),"","not_applicable")</f>
        <v/>
      </c>
      <c r="M3" s="1"/>
      <c r="N3" s="4"/>
      <c r="O3" s="4"/>
      <c r="P3" s="4"/>
      <c r="Q3" s="4"/>
      <c r="R3" s="9"/>
    </row>
    <row r="4" spans="1:18" ht="91.95" customHeight="1">
      <c r="A4" s="3" t="s">
        <v>458</v>
      </c>
      <c r="B4" s="3" t="s">
        <v>459</v>
      </c>
      <c r="C4" s="3" t="s">
        <v>460</v>
      </c>
      <c r="D4" s="8"/>
      <c r="E4" s="8" t="s">
        <v>71</v>
      </c>
      <c r="F4" s="8" t="s">
        <v>67</v>
      </c>
      <c r="G4" s="3" t="str">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CHECK FIELDS</v>
      </c>
      <c r="H4" s="8" t="str">
        <f>IF(AND(OR(D4="retain",D4=""),E4="statistical_results"),"","not_applicable")</f>
        <v>not_applicable</v>
      </c>
      <c r="I4" s="8" t="str">
        <f>IF(AND(OR(D4="retain",D4=""),E4="statistical_results"),"","not_applicable")</f>
        <v>not_applicable</v>
      </c>
      <c r="J4" s="9" t="str">
        <f>IF(AND(OR(D4="retain",D4=""),E4="statistical_results"),"","not_applicable")</f>
        <v>not_applicable</v>
      </c>
      <c r="K4" s="8" t="str">
        <f>IF(AND(OR(D4="retain",D4=""),OR(E4="report_internal_inconsistency",E4="plan_material")),"","not_applicable")</f>
        <v>not_applicable</v>
      </c>
      <c r="L4" s="9" t="str">
        <f>IF(AND(OR(D4="retain",D4=""),E4="protocol_report"),"","not_applicable")</f>
        <v/>
      </c>
      <c r="M4" s="3"/>
      <c r="N4" s="4"/>
      <c r="O4" s="4"/>
      <c r="P4" s="4"/>
      <c r="Q4" s="4"/>
      <c r="R4" s="9"/>
    </row>
    <row r="5" spans="1:18" ht="91.95" customHeight="1">
      <c r="A5" s="1" t="s">
        <v>461</v>
      </c>
      <c r="B5" s="1" t="s">
        <v>462</v>
      </c>
      <c r="C5" s="1" t="s">
        <v>463</v>
      </c>
      <c r="D5" s="8"/>
      <c r="E5" s="8" t="s">
        <v>66</v>
      </c>
      <c r="F5" s="8" t="s">
        <v>67</v>
      </c>
      <c r="G5" s="1" t="str">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CHECK FIELDS</v>
      </c>
      <c r="H5" s="8" t="str">
        <f>IF(AND(OR(D5="retain",D5=""),E5="statistical_results"),"","not_applicable")</f>
        <v/>
      </c>
      <c r="I5" s="8" t="str">
        <f>IF(AND(OR(D5="retain",D5=""),E5="statistical_results"),"","not_applicable")</f>
        <v/>
      </c>
      <c r="J5" s="9" t="str">
        <f>IF(AND(OR(D5="retain",D5=""),E5="statistical_results"),"","not_applicable")</f>
        <v/>
      </c>
      <c r="K5" s="8" t="str">
        <f>IF(AND(OR(D5="retain",D5=""),OR(E5="report_internal_inconsistency",E5="plan_material")),"","not_applicable")</f>
        <v>not_applicable</v>
      </c>
      <c r="L5" s="9" t="str">
        <f>IF(AND(OR(D5="retain",D5=""),E5="protocol_report"),"","not_applicable")</f>
        <v>not_applicable</v>
      </c>
      <c r="M5" s="1"/>
      <c r="N5" s="4"/>
      <c r="O5" s="4"/>
      <c r="P5" s="4"/>
      <c r="Q5" s="4"/>
      <c r="R5" s="9"/>
    </row>
    <row r="6" spans="1:18" ht="91.95" customHeight="1">
      <c r="A6" s="3" t="s">
        <v>464</v>
      </c>
      <c r="B6" s="3" t="s">
        <v>465</v>
      </c>
      <c r="C6" s="3" t="s">
        <v>466</v>
      </c>
      <c r="D6" s="8"/>
      <c r="E6" s="8" t="s">
        <v>81</v>
      </c>
      <c r="F6" s="8" t="s">
        <v>67</v>
      </c>
      <c r="G6" s="3" t="str">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CHECK FIELDS</v>
      </c>
      <c r="H6" s="8" t="str">
        <f>IF(AND(OR(D6="retain",D6=""),E6="statistical_results"),"","not_applicable")</f>
        <v>not_applicable</v>
      </c>
      <c r="I6" s="8" t="str">
        <f>IF(AND(OR(D6="retain",D6=""),E6="statistical_results"),"","not_applicable")</f>
        <v>not_applicable</v>
      </c>
      <c r="J6" s="9" t="str">
        <f>IF(AND(OR(D6="retain",D6=""),E6="statistical_results"),"","not_applicable")</f>
        <v>not_applicable</v>
      </c>
      <c r="K6" s="8" t="str">
        <f>IF(AND(OR(D6="retain",D6=""),OR(E6="report_internal_inconsistency",E6="plan_material")),"","not_applicable")</f>
        <v/>
      </c>
      <c r="L6" s="9" t="str">
        <f>IF(AND(OR(D6="retain",D6=""),E6="protocol_report"),"","not_applicable")</f>
        <v>not_applicable</v>
      </c>
      <c r="M6" s="3"/>
      <c r="N6" s="4"/>
      <c r="O6" s="4"/>
      <c r="P6" s="4"/>
      <c r="Q6" s="4"/>
      <c r="R6" s="9"/>
    </row>
  </sheetData>
  <autoFilter ref="A1:R6" xr:uid="{00000000-0009-0000-0000-000011000000}"/>
  <phoneticPr fontId="5" type="noConversion"/>
  <conditionalFormatting sqref="G2:G6">
    <cfRule type="expression" dxfId="3" priority="13">
      <formula>G2&lt;&gt;"PRIMARY READY"</formula>
    </cfRule>
  </conditionalFormatting>
  <conditionalFormatting sqref="H2:J6">
    <cfRule type="expression" dxfId="2" priority="8">
      <formula>NOT(AND(OR($D2="retain",$D2=""),$E2="statistical_results"))</formula>
    </cfRule>
  </conditionalFormatting>
  <conditionalFormatting sqref="K2:K6">
    <cfRule type="expression" dxfId="1" priority="11">
      <formula>NOT(AND(OR($D2="retain",$D2=""),OR($E2="report_internal_inconsistency",$E2="plan_material")))</formula>
    </cfRule>
  </conditionalFormatting>
  <conditionalFormatting sqref="L2:L6">
    <cfRule type="expression" dxfId="0" priority="12">
      <formula>NOT(AND(OR($D2="retain",$D2=""),$E2="protocol_report"))</formula>
    </cfRule>
  </conditionalFormatting>
  <dataValidations count="8">
    <dataValidation type="list" allowBlank="1" showErrorMessage="1" errorTitle="Use a listed option" error="Choose an option; G also checks pasted entries." sqref="D2:D6" xr:uid="{00000000-0002-0000-1100-000000000000}">
      <formula1>"retain,exclude,discuss"</formula1>
    </dataValidation>
    <dataValidation type="list" allowBlank="1" showErrorMessage="1" errorTitle="Use a listed option" error="Choose an option; G also checks pasted entries." sqref="E2:E6" xr:uid="{00000000-0002-0000-1100-000001000000}">
      <formula1>"statistical_results,report_internal_inconsistency,plan_material,protocol_report"</formula1>
    </dataValidation>
    <dataValidation type="list" allowBlank="1" showErrorMessage="1" errorTitle="Use a listed option" error="Choose an option; G also checks pasted entries." sqref="F2:F6" xr:uid="{00000000-0002-0000-1100-000002000000}">
      <formula1>"no,primary_done"</formula1>
    </dataValidation>
    <dataValidation type="list" allowBlank="1" showErrorMessage="1" errorTitle="Use a listed option" error="Choose an option; G also checks pasted entries." sqref="H2:H6" xr:uid="{00000000-0002-0000-1100-000003000000}">
      <formula1>"confirmed_issue,probable_issue,not_issue,indeterminate,not_applicable"</formula1>
    </dataValidation>
    <dataValidation type="list" allowBlank="1" showErrorMessage="1" errorTitle="Use a listed option" error="Choose an option; G also checks pasted entries." sqref="I2:I6" xr:uid="{00000000-0002-0000-1100-000004000000}">
      <formula1>"substantive,minor_presentation,indeterminate,not_applicable"</formula1>
    </dataValidation>
    <dataValidation type="list" allowBlank="1" showErrorMessage="1" errorTitle="Use a listed option" error="Choose an option; G also checks pasted entries." sqref="J2:J6" xr:uid="{00000000-0002-0000-1100-000005000000}">
      <formula1>"direct,possible,unlikely,unknown,not_applicable"</formula1>
    </dataValidation>
    <dataValidation type="list" allowBlank="1" showErrorMessage="1" errorTitle="Use a listed option" error="Choose an option; G also checks pasted entries." sqref="K2:K6" xr:uid="{00000000-0002-0000-1100-000006000000}">
      <formula1>"substantive_inconsistency,minor_presentation,non_inconsistency,indeterminate,not_applicable"</formula1>
    </dataValidation>
    <dataValidation type="list" allowBlank="1" showErrorMessage="1" errorTitle="Use a listed option" error="Choose an option; G also checks pasted entries." sqref="L2:L6" xr:uid="{00000000-0002-0000-1100-000007000000}">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6"/>
  <sheetViews>
    <sheetView showGridLines="0" workbookViewId="0">
      <pane xSplit="1" ySplit="1" topLeftCell="C39" activePane="bottomRight" state="frozen"/>
      <selection pane="topRight"/>
      <selection pane="bottomLeft"/>
      <selection pane="bottomRight"/>
    </sheetView>
  </sheetViews>
  <sheetFormatPr defaultRowHeight="13.8"/>
  <cols>
    <col min="1" max="1" width="34" customWidth="1"/>
    <col min="2" max="2" width="30" customWidth="1"/>
    <col min="3" max="3" width="40" customWidth="1"/>
    <col min="4" max="4" width="96" customWidth="1"/>
    <col min="5" max="5" width="28" customWidth="1"/>
  </cols>
  <sheetData>
    <row r="1" spans="1:5" ht="42" customHeight="1">
      <c r="A1" s="5" t="s">
        <v>467</v>
      </c>
      <c r="B1" s="5" t="s">
        <v>468</v>
      </c>
      <c r="C1" s="5" t="s">
        <v>469</v>
      </c>
      <c r="D1" s="5" t="s">
        <v>470</v>
      </c>
      <c r="E1" s="5" t="s">
        <v>471</v>
      </c>
    </row>
    <row r="2" spans="1:5" ht="100.05" customHeight="1">
      <c r="A2" s="6" t="s">
        <v>472</v>
      </c>
      <c r="B2" s="6" t="s">
        <v>473</v>
      </c>
      <c r="C2" s="6" t="s">
        <v>474</v>
      </c>
      <c r="D2" s="6" t="s">
        <v>475</v>
      </c>
      <c r="E2" s="6"/>
    </row>
    <row r="3" spans="1:5" ht="100.05" customHeight="1">
      <c r="A3" s="7" t="s">
        <v>476</v>
      </c>
      <c r="B3" s="7" t="s">
        <v>473</v>
      </c>
      <c r="C3" s="7" t="s">
        <v>477</v>
      </c>
      <c r="D3" s="7" t="s">
        <v>478</v>
      </c>
      <c r="E3" s="7"/>
    </row>
    <row r="4" spans="1:5" ht="100.05" customHeight="1">
      <c r="A4" s="6" t="s">
        <v>479</v>
      </c>
      <c r="B4" s="6"/>
      <c r="C4" s="6"/>
      <c r="D4" s="6"/>
      <c r="E4" s="6"/>
    </row>
    <row r="5" spans="1:5" ht="100.05" customHeight="1">
      <c r="A5" s="7" t="s">
        <v>480</v>
      </c>
      <c r="B5" s="7"/>
      <c r="C5" s="7"/>
      <c r="D5" s="7"/>
      <c r="E5" s="7"/>
    </row>
    <row r="6" spans="1:5" ht="100.05" customHeight="1">
      <c r="A6" s="6" t="s">
        <v>53</v>
      </c>
      <c r="B6" s="6" t="s">
        <v>481</v>
      </c>
      <c r="C6" s="6" t="s">
        <v>482</v>
      </c>
      <c r="D6" s="6" t="s">
        <v>483</v>
      </c>
      <c r="E6" s="6" t="s">
        <v>484</v>
      </c>
    </row>
    <row r="7" spans="1:5" ht="100.05" customHeight="1">
      <c r="A7" s="7"/>
      <c r="B7" s="7" t="s">
        <v>485</v>
      </c>
      <c r="C7" s="7" t="s">
        <v>486</v>
      </c>
      <c r="D7" s="7" t="s">
        <v>487</v>
      </c>
      <c r="E7" s="7"/>
    </row>
    <row r="8" spans="1:5" ht="100.05" customHeight="1">
      <c r="A8" s="6"/>
      <c r="B8" s="6" t="s">
        <v>488</v>
      </c>
      <c r="C8" s="6" t="s">
        <v>486</v>
      </c>
      <c r="D8" s="6" t="s">
        <v>489</v>
      </c>
      <c r="E8" s="6"/>
    </row>
    <row r="9" spans="1:5" ht="100.05" customHeight="1">
      <c r="A9" s="7"/>
      <c r="B9" s="7" t="s">
        <v>490</v>
      </c>
      <c r="C9" s="7" t="s">
        <v>486</v>
      </c>
      <c r="D9" s="7" t="s">
        <v>491</v>
      </c>
      <c r="E9" s="7"/>
    </row>
    <row r="10" spans="1:5" ht="100.05" customHeight="1">
      <c r="A10" s="6" t="s">
        <v>492</v>
      </c>
      <c r="B10" s="6" t="s">
        <v>481</v>
      </c>
      <c r="C10" s="6" t="s">
        <v>482</v>
      </c>
      <c r="D10" s="6" t="s">
        <v>493</v>
      </c>
      <c r="E10" s="6" t="s">
        <v>494</v>
      </c>
    </row>
    <row r="11" spans="1:5" ht="100.05" customHeight="1">
      <c r="A11" s="7"/>
      <c r="B11" s="7" t="s">
        <v>66</v>
      </c>
      <c r="C11" s="7" t="s">
        <v>486</v>
      </c>
      <c r="D11" s="7" t="s">
        <v>495</v>
      </c>
      <c r="E11" s="7"/>
    </row>
    <row r="12" spans="1:5" ht="100.05" customHeight="1">
      <c r="A12" s="6"/>
      <c r="B12" s="6" t="s">
        <v>106</v>
      </c>
      <c r="C12" s="6" t="s">
        <v>486</v>
      </c>
      <c r="D12" s="6" t="s">
        <v>496</v>
      </c>
      <c r="E12" s="6"/>
    </row>
    <row r="13" spans="1:5" ht="100.05" customHeight="1">
      <c r="A13" s="7"/>
      <c r="B13" s="7" t="s">
        <v>71</v>
      </c>
      <c r="C13" s="7" t="s">
        <v>486</v>
      </c>
      <c r="D13" s="7" t="s">
        <v>497</v>
      </c>
      <c r="E13" s="7"/>
    </row>
    <row r="14" spans="1:5" ht="100.05" customHeight="1">
      <c r="A14" s="6"/>
      <c r="B14" s="6" t="s">
        <v>81</v>
      </c>
      <c r="C14" s="6" t="s">
        <v>486</v>
      </c>
      <c r="D14" s="6" t="s">
        <v>498</v>
      </c>
      <c r="E14" s="6"/>
    </row>
    <row r="15" spans="1:5" ht="100.05" customHeight="1">
      <c r="A15" s="7" t="s">
        <v>55</v>
      </c>
      <c r="B15" s="7" t="s">
        <v>481</v>
      </c>
      <c r="C15" s="7" t="s">
        <v>474</v>
      </c>
      <c r="D15" s="7" t="s">
        <v>499</v>
      </c>
      <c r="E15" s="7" t="s">
        <v>500</v>
      </c>
    </row>
    <row r="16" spans="1:5" ht="100.05" customHeight="1">
      <c r="A16" s="6"/>
      <c r="B16" s="6" t="s">
        <v>67</v>
      </c>
      <c r="C16" s="6" t="s">
        <v>486</v>
      </c>
      <c r="D16" s="6" t="s">
        <v>501</v>
      </c>
      <c r="E16" s="6"/>
    </row>
    <row r="17" spans="1:5" ht="100.05" customHeight="1">
      <c r="A17" s="7" t="s">
        <v>56</v>
      </c>
      <c r="B17" s="7" t="s">
        <v>481</v>
      </c>
      <c r="C17" s="7" t="s">
        <v>502</v>
      </c>
      <c r="D17" s="7" t="s">
        <v>503</v>
      </c>
      <c r="E17" s="7" t="s">
        <v>504</v>
      </c>
    </row>
    <row r="18" spans="1:5" ht="100.05" customHeight="1">
      <c r="A18" s="6" t="s">
        <v>62</v>
      </c>
      <c r="B18" s="6" t="s">
        <v>481</v>
      </c>
      <c r="C18" s="6" t="s">
        <v>505</v>
      </c>
      <c r="D18" s="6" t="s">
        <v>506</v>
      </c>
      <c r="E18" s="6" t="s">
        <v>507</v>
      </c>
    </row>
    <row r="19" spans="1:5" ht="100.05" customHeight="1">
      <c r="A19" s="7" t="s">
        <v>508</v>
      </c>
      <c r="B19" s="7"/>
      <c r="C19" s="7"/>
      <c r="D19" s="7"/>
      <c r="E19" s="7"/>
    </row>
    <row r="20" spans="1:5" ht="100.05" customHeight="1">
      <c r="A20" s="6" t="s">
        <v>57</v>
      </c>
      <c r="B20" s="6" t="s">
        <v>481</v>
      </c>
      <c r="C20" s="6" t="s">
        <v>509</v>
      </c>
      <c r="D20" s="6" t="s">
        <v>510</v>
      </c>
      <c r="E20" s="6" t="s">
        <v>511</v>
      </c>
    </row>
    <row r="21" spans="1:5" ht="100.05" customHeight="1">
      <c r="A21" s="7"/>
      <c r="B21" s="7" t="s">
        <v>512</v>
      </c>
      <c r="C21" s="7" t="s">
        <v>486</v>
      </c>
      <c r="D21" s="7" t="s">
        <v>513</v>
      </c>
      <c r="E21" s="7"/>
    </row>
    <row r="22" spans="1:5" ht="100.05" customHeight="1">
      <c r="A22" s="6"/>
      <c r="B22" s="6" t="s">
        <v>514</v>
      </c>
      <c r="C22" s="6" t="s">
        <v>486</v>
      </c>
      <c r="D22" s="6" t="s">
        <v>515</v>
      </c>
      <c r="E22" s="6"/>
    </row>
    <row r="23" spans="1:5" ht="100.05" customHeight="1">
      <c r="A23" s="7"/>
      <c r="B23" s="7" t="s">
        <v>516</v>
      </c>
      <c r="C23" s="7" t="s">
        <v>486</v>
      </c>
      <c r="D23" s="7" t="s">
        <v>517</v>
      </c>
      <c r="E23" s="7"/>
    </row>
    <row r="24" spans="1:5" ht="100.05" customHeight="1">
      <c r="A24" s="6"/>
      <c r="B24" s="6" t="s">
        <v>518</v>
      </c>
      <c r="C24" s="6" t="s">
        <v>486</v>
      </c>
      <c r="D24" s="6" t="s">
        <v>519</v>
      </c>
      <c r="E24" s="6"/>
    </row>
    <row r="25" spans="1:5" ht="100.05" customHeight="1">
      <c r="A25" s="7"/>
      <c r="B25" s="7" t="s">
        <v>520</v>
      </c>
      <c r="C25" s="7" t="s">
        <v>486</v>
      </c>
      <c r="D25" s="7" t="s">
        <v>521</v>
      </c>
      <c r="E25" s="7"/>
    </row>
    <row r="26" spans="1:5" ht="100.05" customHeight="1">
      <c r="A26" s="6" t="s">
        <v>58</v>
      </c>
      <c r="B26" s="6" t="s">
        <v>481</v>
      </c>
      <c r="C26" s="6" t="s">
        <v>509</v>
      </c>
      <c r="D26" s="6" t="s">
        <v>522</v>
      </c>
      <c r="E26" s="6" t="s">
        <v>523</v>
      </c>
    </row>
    <row r="27" spans="1:5" ht="100.05" customHeight="1">
      <c r="A27" s="7"/>
      <c r="B27" s="7" t="s">
        <v>524</v>
      </c>
      <c r="C27" s="7" t="s">
        <v>486</v>
      </c>
      <c r="D27" s="7" t="s">
        <v>525</v>
      </c>
      <c r="E27" s="7"/>
    </row>
    <row r="28" spans="1:5" ht="100.05" customHeight="1">
      <c r="A28" s="6"/>
      <c r="B28" s="6" t="s">
        <v>526</v>
      </c>
      <c r="C28" s="6" t="s">
        <v>486</v>
      </c>
      <c r="D28" s="6" t="s">
        <v>527</v>
      </c>
      <c r="E28" s="6"/>
    </row>
    <row r="29" spans="1:5" ht="100.05" customHeight="1">
      <c r="A29" s="7"/>
      <c r="B29" s="7" t="s">
        <v>518</v>
      </c>
      <c r="C29" s="7" t="s">
        <v>486</v>
      </c>
      <c r="D29" s="7" t="s">
        <v>528</v>
      </c>
      <c r="E29" s="7"/>
    </row>
    <row r="30" spans="1:5" ht="100.05" customHeight="1">
      <c r="A30" s="6"/>
      <c r="B30" s="6" t="s">
        <v>520</v>
      </c>
      <c r="C30" s="6" t="s">
        <v>486</v>
      </c>
      <c r="D30" s="6" t="s">
        <v>521</v>
      </c>
      <c r="E30" s="6"/>
    </row>
    <row r="31" spans="1:5" ht="100.05" customHeight="1">
      <c r="A31" s="7" t="s">
        <v>59</v>
      </c>
      <c r="B31" s="7" t="s">
        <v>481</v>
      </c>
      <c r="C31" s="7" t="s">
        <v>529</v>
      </c>
      <c r="D31" s="7" t="s">
        <v>530</v>
      </c>
      <c r="E31" s="7" t="s">
        <v>531</v>
      </c>
    </row>
    <row r="32" spans="1:5" ht="100.05" customHeight="1">
      <c r="A32" s="6"/>
      <c r="B32" s="6" t="s">
        <v>532</v>
      </c>
      <c r="C32" s="6" t="s">
        <v>486</v>
      </c>
      <c r="D32" s="6" t="s">
        <v>533</v>
      </c>
      <c r="E32" s="6"/>
    </row>
    <row r="33" spans="1:5" ht="100.05" customHeight="1">
      <c r="A33" s="7"/>
      <c r="B33" s="7" t="s">
        <v>534</v>
      </c>
      <c r="C33" s="7" t="s">
        <v>486</v>
      </c>
      <c r="D33" s="7" t="s">
        <v>535</v>
      </c>
      <c r="E33" s="7"/>
    </row>
    <row r="34" spans="1:5" ht="100.05" customHeight="1">
      <c r="A34" s="6"/>
      <c r="B34" s="6" t="s">
        <v>536</v>
      </c>
      <c r="C34" s="6" t="s">
        <v>486</v>
      </c>
      <c r="D34" s="6" t="s">
        <v>537</v>
      </c>
      <c r="E34" s="6"/>
    </row>
    <row r="35" spans="1:5" ht="100.05" customHeight="1">
      <c r="A35" s="7"/>
      <c r="B35" s="7" t="s">
        <v>538</v>
      </c>
      <c r="C35" s="7" t="s">
        <v>486</v>
      </c>
      <c r="D35" s="7" t="s">
        <v>539</v>
      </c>
      <c r="E35" s="7"/>
    </row>
    <row r="36" spans="1:5" ht="100.05" customHeight="1">
      <c r="A36" s="6"/>
      <c r="B36" s="6" t="s">
        <v>520</v>
      </c>
      <c r="C36" s="6" t="s">
        <v>486</v>
      </c>
      <c r="D36" s="6" t="s">
        <v>521</v>
      </c>
      <c r="E36" s="6"/>
    </row>
    <row r="37" spans="1:5" ht="100.05" customHeight="1">
      <c r="A37" s="7" t="s">
        <v>540</v>
      </c>
      <c r="B37" s="7"/>
      <c r="C37" s="7"/>
      <c r="D37" s="7"/>
      <c r="E37" s="7"/>
    </row>
    <row r="38" spans="1:5" ht="100.05" customHeight="1">
      <c r="A38" s="6" t="s">
        <v>60</v>
      </c>
      <c r="B38" s="6" t="s">
        <v>481</v>
      </c>
      <c r="C38" s="6" t="s">
        <v>541</v>
      </c>
      <c r="D38" s="6" t="s">
        <v>542</v>
      </c>
      <c r="E38" s="6" t="s">
        <v>543</v>
      </c>
    </row>
    <row r="39" spans="1:5" ht="100.05" customHeight="1">
      <c r="A39" s="7"/>
      <c r="B39" s="7" t="s">
        <v>544</v>
      </c>
      <c r="C39" s="7" t="s">
        <v>486</v>
      </c>
      <c r="D39" s="7" t="s">
        <v>545</v>
      </c>
      <c r="E39" s="7"/>
    </row>
    <row r="40" spans="1:5" ht="100.05" customHeight="1">
      <c r="A40" s="6"/>
      <c r="B40" s="6" t="s">
        <v>526</v>
      </c>
      <c r="C40" s="6" t="s">
        <v>486</v>
      </c>
      <c r="D40" s="6" t="s">
        <v>546</v>
      </c>
      <c r="E40" s="6"/>
    </row>
    <row r="41" spans="1:5" ht="100.05" customHeight="1">
      <c r="A41" s="7"/>
      <c r="B41" s="7" t="s">
        <v>547</v>
      </c>
      <c r="C41" s="7" t="s">
        <v>486</v>
      </c>
      <c r="D41" s="7" t="s">
        <v>548</v>
      </c>
      <c r="E41" s="7"/>
    </row>
    <row r="42" spans="1:5" ht="100.05" customHeight="1">
      <c r="A42" s="6"/>
      <c r="B42" s="6" t="s">
        <v>518</v>
      </c>
      <c r="C42" s="6" t="s">
        <v>486</v>
      </c>
      <c r="D42" s="6" t="s">
        <v>549</v>
      </c>
      <c r="E42" s="6"/>
    </row>
    <row r="43" spans="1:5" ht="100.05" customHeight="1">
      <c r="A43" s="7"/>
      <c r="B43" s="7" t="s">
        <v>520</v>
      </c>
      <c r="C43" s="7" t="s">
        <v>486</v>
      </c>
      <c r="D43" s="7" t="s">
        <v>521</v>
      </c>
      <c r="E43" s="7"/>
    </row>
    <row r="44" spans="1:5" ht="100.05" customHeight="1">
      <c r="A44" s="6" t="s">
        <v>550</v>
      </c>
      <c r="B44" s="6"/>
      <c r="C44" s="6"/>
      <c r="D44" s="6"/>
      <c r="E44" s="6"/>
    </row>
    <row r="45" spans="1:5" ht="100.05" customHeight="1">
      <c r="A45" s="7" t="s">
        <v>61</v>
      </c>
      <c r="B45" s="7" t="s">
        <v>481</v>
      </c>
      <c r="C45" s="7" t="s">
        <v>551</v>
      </c>
      <c r="D45" s="7" t="s">
        <v>552</v>
      </c>
      <c r="E45" s="7" t="s">
        <v>553</v>
      </c>
    </row>
    <row r="46" spans="1:5" ht="100.05" customHeight="1">
      <c r="A46" s="6"/>
      <c r="B46" s="6" t="s">
        <v>554</v>
      </c>
      <c r="C46" s="6" t="s">
        <v>486</v>
      </c>
      <c r="D46" s="6" t="s">
        <v>555</v>
      </c>
      <c r="E46" s="6"/>
    </row>
    <row r="47" spans="1:5" ht="100.05" customHeight="1">
      <c r="A47" s="7"/>
      <c r="B47" s="7" t="s">
        <v>526</v>
      </c>
      <c r="C47" s="7" t="s">
        <v>486</v>
      </c>
      <c r="D47" s="7" t="s">
        <v>556</v>
      </c>
      <c r="E47" s="7"/>
    </row>
    <row r="48" spans="1:5" ht="100.05" customHeight="1">
      <c r="A48" s="6"/>
      <c r="B48" s="6" t="s">
        <v>557</v>
      </c>
      <c r="C48" s="6" t="s">
        <v>486</v>
      </c>
      <c r="D48" s="6" t="s">
        <v>558</v>
      </c>
      <c r="E48" s="6"/>
    </row>
    <row r="49" spans="1:5" ht="100.05" customHeight="1">
      <c r="A49" s="7"/>
      <c r="B49" s="7" t="s">
        <v>547</v>
      </c>
      <c r="C49" s="7" t="s">
        <v>486</v>
      </c>
      <c r="D49" s="7" t="s">
        <v>559</v>
      </c>
      <c r="E49" s="7"/>
    </row>
    <row r="50" spans="1:5" ht="100.05" customHeight="1">
      <c r="A50" s="6"/>
      <c r="B50" s="6" t="s">
        <v>518</v>
      </c>
      <c r="C50" s="6" t="s">
        <v>486</v>
      </c>
      <c r="D50" s="6" t="s">
        <v>560</v>
      </c>
      <c r="E50" s="6"/>
    </row>
    <row r="51" spans="1:5" ht="100.05" customHeight="1">
      <c r="A51" s="7"/>
      <c r="B51" s="7" t="s">
        <v>520</v>
      </c>
      <c r="C51" s="7" t="s">
        <v>486</v>
      </c>
      <c r="D51" s="7" t="s">
        <v>521</v>
      </c>
      <c r="E51" s="7"/>
    </row>
    <row r="52" spans="1:5" ht="100.05" customHeight="1">
      <c r="A52" s="6" t="s">
        <v>561</v>
      </c>
      <c r="B52" s="6"/>
      <c r="C52" s="6"/>
      <c r="D52" s="6"/>
      <c r="E52" s="6"/>
    </row>
    <row r="53" spans="1:5" ht="100.05" customHeight="1">
      <c r="A53" s="7" t="s">
        <v>50</v>
      </c>
      <c r="B53" s="7" t="s">
        <v>481</v>
      </c>
      <c r="C53" s="7" t="s">
        <v>562</v>
      </c>
      <c r="D53" s="7" t="s">
        <v>563</v>
      </c>
      <c r="E53" s="7" t="s">
        <v>564</v>
      </c>
    </row>
    <row r="54" spans="1:5" ht="100.05" customHeight="1">
      <c r="A54" s="6" t="s">
        <v>51</v>
      </c>
      <c r="B54" s="6" t="s">
        <v>481</v>
      </c>
      <c r="C54" s="6" t="s">
        <v>562</v>
      </c>
      <c r="D54" s="6" t="s">
        <v>565</v>
      </c>
      <c r="E54" s="6" t="s">
        <v>566</v>
      </c>
    </row>
    <row r="55" spans="1:5" ht="100.05" customHeight="1">
      <c r="A55" s="7" t="s">
        <v>52</v>
      </c>
      <c r="B55" s="7" t="s">
        <v>481</v>
      </c>
      <c r="C55" s="7" t="s">
        <v>567</v>
      </c>
      <c r="D55" s="7" t="s">
        <v>568</v>
      </c>
      <c r="E55" s="7" t="s">
        <v>569</v>
      </c>
    </row>
    <row r="56" spans="1:5" ht="100.05" customHeight="1">
      <c r="A56" s="6" t="s">
        <v>55</v>
      </c>
      <c r="B56" s="6" t="s">
        <v>570</v>
      </c>
      <c r="C56" s="6" t="s">
        <v>474</v>
      </c>
      <c r="D56" s="6" t="s">
        <v>499</v>
      </c>
      <c r="E56" s="6" t="s">
        <v>500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Setup</vt:lpstr>
      <vt:lpstr>Checks</vt:lpstr>
      <vt:lpstr>Papers</vt:lpstr>
      <vt:lpstr>C_jama.2024.24764</vt:lpstr>
      <vt:lpstr>C_jama.2024.27643</vt:lpstr>
      <vt:lpstr>C_jama.2025.11178</vt:lpstr>
      <vt:lpstr>C_jama.2025.15185</vt:lpstr>
      <vt:lpstr>C_jama.2025.15440</vt:lpstr>
      <vt:lpstr>C_jama.2025.16450</vt:lpstr>
      <vt:lpstr>C_jama.2025.19563</vt:lpstr>
      <vt:lpstr>C_jama.2025.19843</vt:lpstr>
      <vt:lpstr>C_jama.2025.20765</vt:lpstr>
      <vt:lpstr>C_jama.2025.24175</vt:lpstr>
      <vt:lpstr>C_jama.2025.4390</vt:lpstr>
      <vt:lpstr>C_jama.2025.7583</vt:lpstr>
      <vt:lpstr>C_jama.2025.7710</vt:lpstr>
      <vt:lpstr>C_jama.2025.9110</vt:lpstr>
      <vt:lpstr>C_jama.2025.9663</vt:lpstr>
      <vt:lpstr>Codebook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 Bulun - (bulunte)</cp:lastModifiedBy>
  <dcterms:created xsi:type="dcterms:W3CDTF">2026-09-19T05:14:09Z</dcterms:created>
  <dcterms:modified xsi:type="dcterms:W3CDTF">2026-10-19T23:24:43Z</dcterms:modified>
</cp:coreProperties>
</file>