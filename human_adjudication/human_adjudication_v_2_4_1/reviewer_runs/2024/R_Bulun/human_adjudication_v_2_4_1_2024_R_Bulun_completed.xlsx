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0318" sheetId="4" state="visible" r:id="rId4"/>
    <sheet name="C_jama.2024.0572" sheetId="5" state="visible" r:id="rId5"/>
    <sheet name="C_jama.2024.11057" sheetId="6" state="visible" r:id="rId6"/>
    <sheet name="C_jama.2024.12829" sheetId="7" state="visible" r:id="rId7"/>
    <sheet name="C_jama.2024.19585" sheetId="8" state="visible" r:id="rId8"/>
    <sheet name="C_jama.2024.2302" sheetId="9" state="visible" r:id="rId9"/>
    <sheet name="C_jama.2024.23898" sheetId="10" state="visible" r:id="rId10"/>
    <sheet name="C_jama.2024.25786" sheetId="11" state="visible" r:id="rId11"/>
    <sheet name="C_jama.2024.4183" sheetId="12" state="visible" r:id="rId12"/>
    <sheet name="C_jama.2024.6063" sheetId="13" state="visible" r:id="rId13"/>
    <sheet name="Codebook" sheetId="14" state="visible" r:id="rId14"/>
  </sheets>
  <definedNames>
    <definedName name="_xlnm._FilterDatabase" localSheetId="3" hidden="1">'C_jama.2024.0318'!$A$1:$R$15</definedName>
    <definedName name="_xlnm._FilterDatabase" localSheetId="4" hidden="1">'C_jama.2024.0572'!$A$1:$R$20</definedName>
    <definedName name="_xlnm._FilterDatabase" localSheetId="5" hidden="1">'C_jama.2024.11057'!$A$1:$R$6</definedName>
    <definedName name="_xlnm._FilterDatabase" localSheetId="6" hidden="1">'C_jama.2024.12829'!$A$1:$R$8</definedName>
    <definedName name="_xlnm._FilterDatabase" localSheetId="7" hidden="1">'C_jama.2024.19585'!$A$1:$R$8</definedName>
    <definedName name="_xlnm._FilterDatabase" localSheetId="8" hidden="1">'C_jama.2024.2302'!$A$1:$R$7</definedName>
    <definedName name="_xlnm._FilterDatabase" localSheetId="9" hidden="1">'C_jama.2024.23898'!$A$1:$R$14</definedName>
    <definedName name="_xlnm._FilterDatabase" localSheetId="10" hidden="1">'C_jama.2024.25786'!$A$1:$R$16</definedName>
    <definedName name="_xlnm._FilterDatabase" localSheetId="11" hidden="1">'C_jama.2024.4183'!$A$1:$R$15</definedName>
    <definedName name="_xlnm._FilterDatabase" localSheetId="12" hidden="1">'C_jama.2024.6063'!$A$1:$R$14</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xf numFmtId="0" fontId="0" fillId="0" borderId="0" pivotButton="0" quotePrefix="0" xfId="0"/>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R_Bulun</t>
        </is>
      </c>
    </row>
    <row r="3" ht="42" customFormat="1" customHeight="1" s="14">
      <c r="A3" s="17" t="inlineStr">
        <is>
          <t>reviewerName (optional)</t>
        </is>
      </c>
      <c r="B3" s="18" t="n"/>
    </row>
    <row r="4" ht="42" customFormat="1" customHeight="1" s="14">
      <c r="A4" s="16" t="inlineStr">
        <is>
          <t>reviewerRole</t>
        </is>
      </c>
      <c r="B4" s="16" t="inlineStr">
        <is>
          <t>R_Bulun</t>
        </is>
      </c>
    </row>
    <row r="5" ht="42" customFormat="1" customHeight="1" s="14">
      <c r="A5" s="17" t="inlineStr">
        <is>
          <t>year</t>
        </is>
      </c>
      <c r="B5" s="17" t="n">
        <v>2024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113</v>
      </c>
    </row>
    <row r="4" ht="55" customFormat="1" customHeight="1" s="14">
      <c r="A4" s="16" t="inlineStr">
        <is>
          <t>Primary ready rows</t>
        </is>
      </c>
      <c r="B4" s="16">
        <f>COUNTIF('C_jama.2024.0318'!$G$2:$G$15,"PRIMARY READY")+COUNTIF('C_jama.2024.0572'!$G$2:$G$20,"PRIMARY READY")+COUNTIF('C_jama.2024.11057'!$G$2:$G$6,"PRIMARY READY")+COUNTIF('C_jama.2024.12829'!$G$2:$G$8,"PRIMARY READY")+COUNTIF('C_jama.2024.19585'!$G$2:$G$8,"PRIMARY READY")+COUNTIF('C_jama.2024.2302'!$G$2:$G$7,"PRIMARY READY")+COUNTIF('C_jama.2024.23898'!$G$2:$G$14,"PRIMARY READY")+COUNTIF('C_jama.2024.25786'!$G$2:$G$16,"PRIMARY READY")+COUNTIF('C_jama.2024.4183'!$G$2:$G$15,"PRIMARY READY")+COUNTIF('C_jama.2024.6063'!$G$2:$G$14,"PRIMARY READY")</f>
        <v/>
      </c>
    </row>
    <row r="5" ht="55" customFormat="1" customHeight="1" s="14">
      <c r="A5" s="17" t="inlineStr">
        <is>
          <t>Discuss / unresolved rows</t>
        </is>
      </c>
      <c r="B5" s="17">
        <f>COUNTIF('C_jama.2024.0318'!$D$2:$D$15,"discuss")+COUNTIF('C_jama.2024.0572'!$D$2:$D$20,"discuss")+COUNTIF('C_jama.2024.11057'!$D$2:$D$6,"discuss")+COUNTIF('C_jama.2024.12829'!$D$2:$D$8,"discuss")+COUNTIF('C_jama.2024.19585'!$D$2:$D$8,"discuss")+COUNTIF('C_jama.2024.2302'!$D$2:$D$7,"discuss")+COUNTIF('C_jama.2024.23898'!$D$2:$D$14,"discuss")+COUNTIF('C_jama.2024.25786'!$D$2:$D$16,"discuss")+COUNTIF('C_jama.2024.4183'!$D$2:$D$15,"discuss")+COUNTIF('C_jama.2024.6063'!$D$2:$D$14,"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Height="1" s="25">
      <c r="A2" s="16" t="inlineStr">
        <is>
          <t>jama.2024.0318</t>
        </is>
      </c>
      <c r="B2" s="16" t="inlineStr">
        <is>
          <t>C_jama.2024.0318</t>
        </is>
      </c>
      <c r="C2" s="16" t="n">
        <v>14</v>
      </c>
    </row>
    <row r="3" ht="36" customHeight="1" s="25">
      <c r="A3" s="17" t="inlineStr">
        <is>
          <t>jama.2024.0572</t>
        </is>
      </c>
      <c r="B3" s="17" t="inlineStr">
        <is>
          <t>C_jama.2024.0572</t>
        </is>
      </c>
      <c r="C3" s="17" t="n">
        <v>19</v>
      </c>
    </row>
    <row r="4" ht="36" customHeight="1" s="25">
      <c r="A4" s="16" t="inlineStr">
        <is>
          <t>jama.2024.11057</t>
        </is>
      </c>
      <c r="B4" s="16" t="inlineStr">
        <is>
          <t>C_jama.2024.11057</t>
        </is>
      </c>
      <c r="C4" s="16" t="n">
        <v>5</v>
      </c>
    </row>
    <row r="5" ht="36" customHeight="1" s="25">
      <c r="A5" s="17" t="inlineStr">
        <is>
          <t>jama.2024.12829</t>
        </is>
      </c>
      <c r="B5" s="17" t="inlineStr">
        <is>
          <t>C_jama.2024.12829</t>
        </is>
      </c>
      <c r="C5" s="17" t="n">
        <v>7</v>
      </c>
    </row>
    <row r="6" ht="36" customHeight="1" s="25">
      <c r="A6" s="16" t="inlineStr">
        <is>
          <t>jama.2024.19585</t>
        </is>
      </c>
      <c r="B6" s="16" t="inlineStr">
        <is>
          <t>C_jama.2024.19585</t>
        </is>
      </c>
      <c r="C6" s="16" t="n">
        <v>7</v>
      </c>
    </row>
    <row r="7" ht="36" customHeight="1" s="25">
      <c r="A7" s="17" t="inlineStr">
        <is>
          <t>jama.2024.2302</t>
        </is>
      </c>
      <c r="B7" s="17" t="inlineStr">
        <is>
          <t>C_jama.2024.2302</t>
        </is>
      </c>
      <c r="C7" s="17" t="n">
        <v>6</v>
      </c>
    </row>
    <row r="8" ht="36" customHeight="1" s="25">
      <c r="A8" s="16" t="inlineStr">
        <is>
          <t>jama.2024.23898</t>
        </is>
      </c>
      <c r="B8" s="16" t="inlineStr">
        <is>
          <t>C_jama.2024.23898</t>
        </is>
      </c>
      <c r="C8" s="16" t="n">
        <v>13</v>
      </c>
    </row>
    <row r="9" ht="36" customHeight="1" s="25">
      <c r="A9" s="17" t="inlineStr">
        <is>
          <t>jama.2024.25786</t>
        </is>
      </c>
      <c r="B9" s="17" t="inlineStr">
        <is>
          <t>C_jama.2024.25786</t>
        </is>
      </c>
      <c r="C9" s="17" t="n">
        <v>15</v>
      </c>
    </row>
    <row r="10" ht="36" customHeight="1" s="25">
      <c r="A10" s="16" t="inlineStr">
        <is>
          <t>jama.2024.4183</t>
        </is>
      </c>
      <c r="B10" s="16" t="inlineStr">
        <is>
          <t>C_jama.2024.4183</t>
        </is>
      </c>
      <c r="C10" s="16" t="n">
        <v>14</v>
      </c>
    </row>
    <row r="11" ht="36" customHeight="1" s="25">
      <c r="A11" s="17" t="inlineStr">
        <is>
          <t>jama.2024.6063</t>
        </is>
      </c>
      <c r="B11" s="17" t="inlineStr">
        <is>
          <t>C_jama.2024.6063</t>
        </is>
      </c>
      <c r="C11" s="17" t="n">
        <v>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2024::jama.2024.0318::C001</t>
        </is>
      </c>
      <c r="B2" s="20" t="inlineStr">
        <is>
          <t>Positive HbA1c point and signed interval</t>
        </is>
      </c>
      <c r="C2" s="20" t="inlineStr">
        <is>
          <t>every affected occurrence: jama_courcoulas_2024_oi_240004_1721756962.76052.pdf — main p1 abstract, jama_courcoulas_2024_oi_240004_1721756962.76052.pdf — main p3 Results paragraph, and jama_courcoulas_2024_oi_240004_1721756962.76052.pdf — main p6 Table 2 HbA1c row and footnote b; all REPORT by published result content.</t>
        </is>
      </c>
      <c r="D2" s="21" t="inlineStr">
        <is>
          <t>retain</t>
        </is>
      </c>
      <c r="E2" s="21" t="inlineStr">
        <is>
          <t>statistical_results</t>
        </is>
      </c>
      <c r="F2" s="21" t="inlineStr">
        <is>
          <t>primary_done</t>
        </is>
      </c>
      <c r="G2" s="20">
        <f>IFERROR(IF(LEN(TRIM(CLEAN(SUBSTITUTE(Setup!$B$2,CHAR(160)," "))))=0,"CHECK REVIEWER ID",IF(OR(A2="",COUNTIF($A$2:$A$15,A2)&lt;&gt;1,LEFT(A2,LEN("2024::jama.2024.0318::"))&lt;&gt;"2024::jama.2024.0318::"),"CHECK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Main p1 abstract and p3 Results print the surgery HbA1c change as 1.6% with 95% CI -1.8% to -1.3% (point outside its interval) and the medical change as 0.2% (-0.5% to 0.2%); Table 2 p6 gives signed -1.6 and -0.2 with the same CIs. Mixed sign convention; direction is clear from 'decreased' and Table 2.</t>
        </is>
      </c>
    </row>
    <row r="3" ht="92" customHeight="1" s="25">
      <c r="A3" s="24" t="inlineStr">
        <is>
          <t>2024::jama.2024.0318::C002</t>
        </is>
      </c>
      <c r="B3" s="24" t="inlineStr">
        <is>
          <t>Year-12 HbA1c P value</t>
        </is>
      </c>
      <c r="C3" s="24" t="inlineStr">
        <is>
          <t>jama_courcoulas_2024_oi_240004_1721756962.76052.pdf — main p1 abstract, jama_courcoulas_2024_oi_240004_1721756962.76052.pdf — main p3 year-12 result, joi240004supp2_prod_1721756962.82552.pdf — supplement p15 eTable 2 HbA1c row, and joi240004supp2_prod_1721756962.82552.pdf — supplement p4 ITT model/visit contrasts; all REPORT. Contextual correction notice: jama_courcoulas_2024_oi_240004_1721756962.76052.pdf — main p9 registry-link correction.</t>
        </is>
      </c>
      <c r="D3" s="21" t="inlineStr">
        <is>
          <t>retain</t>
        </is>
      </c>
      <c r="E3" s="21" t="inlineStr">
        <is>
          <t>statistical_results</t>
        </is>
      </c>
      <c r="F3" s="21" t="inlineStr">
        <is>
          <t>primary_done</t>
        </is>
      </c>
      <c r="G3" s="24">
        <f>IFERROR(IF(LEN(TRIM(CLEAN(SUBSTITUTE(Setup!$B$2,CHAR(160)," "))))=0,"CHECK REVIEWER ID",IF(OR(A3="",COUNTIF($A$2:$A$15,A3)&lt;&gt;1,LEFT(A3,LEN("2024::jama.2024.0318::"))&lt;&gt;"2024::jama.2024.0318::"),"CHECK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Year-12 HbA1c difference -1.1% (-1.7 to -0.5) is given P=.002 in main p1/p3 but P&lt;.001 in eTable 2 (supp 2 p15), same model and interval. Wald P from the CI = .0003 (worst-case rounding .0015); the two printed P values conflict; inference unchanged.</t>
        </is>
      </c>
    </row>
    <row r="4" ht="92" customHeight="1" s="25">
      <c r="A4" s="20" t="inlineStr">
        <is>
          <t>2024::jama.2024.0318::C003</t>
        </is>
      </c>
      <c r="B4" s="20" t="inlineStr">
        <is>
          <t>Pooled mortality percentage</t>
        </is>
      </c>
      <c r="C4" s="20" t="inlineStr">
        <is>
          <t>jama_courcoulas_2024_oi_240004_1721756962.76052.pdf — main p1 abstract cohort and deaths, jama_courcoulas_2024_oi_240004_1721756962.76052.pdf — p3 enrolled cohort, jama_courcoulas_2024_oi_240004_1721756962.76052.pdf — p4 Table 1 headers, jama_courcoulas_2024_oi_240004_1721756962.76052.pdf — p7 death paragraph, and jama_courcoulas_2024_oi_240004_1721756962.76052.pdf — p8 Table 3 headers/Death row/footnote; all REPORT.</t>
        </is>
      </c>
      <c r="D4" s="21" t="inlineStr">
        <is>
          <t>retain</t>
        </is>
      </c>
      <c r="E4" s="21" t="inlineStr">
        <is>
          <t>statistical_results</t>
        </is>
      </c>
      <c r="F4" s="21" t="inlineStr">
        <is>
          <t>primary_done</t>
        </is>
      </c>
      <c r="G4" s="20">
        <f>IFERROR(IF(LEN(TRIM(CLEAN(SUBSTITUTE(Setup!$B$2,CHAR(160)," "))))=0,"CHECK REVIEWER ID",IF(OR(A4="",COUNTIF($A$2:$A$15,A4)&lt;&gt;1,LEFT(A4,LEN("2024::jama.2024.0318::"))&lt;&gt;"2024::jama.2024.0318::"),"CHECK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Abstract p1: '4 deaths (2.2%), 2 in each group' with N=262 enrolled; 4/262 = 1.5%. Table 3 p8 arm values 2/96=2.1% and 2/166=1.2% reproduce. No alternative denominator is stated. Counts are correct, so the percentage alone is wrong.</t>
        </is>
      </c>
    </row>
    <row r="5" ht="92" customHeight="1" s="25">
      <c r="A5" s="24" t="inlineStr">
        <is>
          <t>2024::jama.2024.0318::C004</t>
        </is>
      </c>
      <c r="B5" s="24" t="inlineStr">
        <is>
          <t>Primary HbA1c response scale</t>
        </is>
      </c>
      <c r="C5" s="24" t="inlineStr">
        <is>
          <t>PLAN joi240004supp1_prod_1721756962.80052.pdf — p17 primary endpoint, joi240004supp1_prod_1721756962.80052.pdf — p26 A1 response, joi240004supp1_prod_1721756962.80052.pdf — p27 hypothesis/power assumptions, joi240004supp1_prod_1721756962.80052.pdf — p29 Table A1/Figure A1; REPORT jama_courcoulas_2024_oi_240004_1721756962.76052.pdf — main p2 outcome/statistical methods, jama_courcoulas_2024_oi_240004_1721756962.76052.pdf — main p6 Table 2/footnotes, joi240004supp2_prod_1721756962.82552.pdf — supplement p4 primary model, joi240004supp2_prod_1721756962.82552.pdf — p15 eTable 2/footnote b, joi240004supp2_prod_1721756962.82552.pdf — p16 continued footnote c.</t>
        </is>
      </c>
      <c r="D5" s="21" t="inlineStr">
        <is>
          <t>retain</t>
        </is>
      </c>
      <c r="E5" s="21" t="inlineStr">
        <is>
          <t>protocol_report</t>
        </is>
      </c>
      <c r="F5" s="21" t="inlineStr">
        <is>
          <t>primary_done</t>
        </is>
      </c>
      <c r="G5" s="24">
        <f>IFERROR(IF(LEN(TRIM(CLEAN(SUBSTITUTE(Setup!$B$2,CHAR(160)," "))))=0,"CHECK REVIEWER ID",IF(OR(A5="",COUNTIF($A$2:$A$15,A5)&lt;&gt;1,LEFT(A5,LEN("2024::jama.2024.0318::"))&lt;&gt;"2024::jama.2024.0318::"),"CHECK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v6 p17, p26-27, p29 define the primary outcome as relative percent change in HbA1c (power assumes -15% vs -7% to +2%); the report's Table 2 footnote b (p6) and eTable 2 present net (absolute) change in HbA1c units (-1.4 points), while main p2 still calls it 'percent change'.</t>
        </is>
      </c>
    </row>
    <row r="6" ht="92" customHeight="1" s="25">
      <c r="A6" s="20" t="inlineStr">
        <is>
          <t>2024::jama.2024.0318::C005</t>
        </is>
      </c>
      <c r="B6" s="20" t="inlineStr">
        <is>
          <t>Remission medication-free window</t>
        </is>
      </c>
      <c r="C6" s="20" t="inlineStr">
        <is>
          <t>PLAN joi240004supp1_prod_1721756962.80052.pdf — p18 remission item 2, joi240004supp1_prod_1721756962.80052.pdf — p29 Table A1 remission row; REPORT jama_courcoulas_2024_oi_240004_1721756962.76052.pdf — main p2 remission definition, jama_courcoulas_2024_oi_240004_1721756962.76052.pdf — p1 abstract remission rates, jama_courcoulas_2024_oi_240004_1721756962.76052.pdf — p7 Figure 3/caption. The associated reported OR is found in jama_courcoulas_2024_oi_240004_1721756962.76052.pdf — main p6 Table 2.</t>
        </is>
      </c>
      <c r="D6" s="21" t="inlineStr">
        <is>
          <t>retain</t>
        </is>
      </c>
      <c r="E6" s="21" t="inlineStr">
        <is>
          <t>protocol_report</t>
        </is>
      </c>
      <c r="F6" s="21" t="inlineStr">
        <is>
          <t>primary_done</t>
        </is>
      </c>
      <c r="G6" s="20">
        <f>IFERROR(IF(LEN(TRIM(CLEAN(SUBSTITUTE(Setup!$B$2,CHAR(160)," "))))=0,"CHECK REVIEWER ID",IF(OR(A6="",COUNTIF($A$2:$A$15,A6)&lt;&gt;1,LEFT(A6,LEN("2024::jama.2024.0318::"))&lt;&gt;"2024::jama.2024.0318::"),"CHECK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minor_presentation</t>
        </is>
      </c>
      <c r="M6" s="20" t="n"/>
      <c r="N6" s="23" t="n"/>
      <c r="O6" s="23" t="n"/>
      <c r="P6" s="23" t="n"/>
      <c r="Q6" s="23" t="n"/>
      <c r="R6" s="22" t="inlineStr">
        <is>
          <t>Protocol p18 and Table A1 p29 define remission as HbA1c &lt;6.5% off diabetes medications with no duration; main p2 requires no medications for at least 3 months, assessed annually. The report adds an operational window; threshold and medication criterion agree.</t>
        </is>
      </c>
    </row>
    <row r="7" ht="92" customHeight="1" s="25">
      <c r="A7" s="24" t="inlineStr">
        <is>
          <t>2024::jama.2024.0318::C006</t>
        </is>
      </c>
      <c r="B7" s="24" t="inlineStr">
        <is>
          <t>Cardiovascular outcome status</t>
        </is>
      </c>
      <c r="C7" s="24" t="inlineStr">
        <is>
          <t>PLAN joi240004supp1_prod_1721756962.80052.pdf — p18 secondary list/section 4.4, joi240004supp1_prod_1721756962.80052.pdf — p29 Table A1 Aim 2 efficacy entries, joi240004supp1_prod_1721756962.80052.pdf — p30 Table A1 continuation/safety entry; REPORT jama_courcoulas_2024_oi_240004_1721756962.76052.pdf — main p2 other secondary outcomes, jama_courcoulas_2024_oi_240004_1721756962.76052.pdf — p1 abstract cardiovascular finding, jama_courcoulas_2024_oi_240004_1721756962.76052.pdf — p8 Table 3 cardiovascular rows.</t>
        </is>
      </c>
      <c r="D7" s="21" t="inlineStr">
        <is>
          <t>retain</t>
        </is>
      </c>
      <c r="E7" s="21" t="inlineStr">
        <is>
          <t>protocol_report</t>
        </is>
      </c>
      <c r="F7" s="21" t="inlineStr">
        <is>
          <t>primary_done</t>
        </is>
      </c>
      <c r="G7" s="24">
        <f>IFERROR(IF(LEN(TRIM(CLEAN(SUBSTITUTE(Setup!$B$2,CHAR(160)," "))))=0,"CHECK REVIEWER ID",IF(OR(A7="",COUNTIF($A$2:$A$15,A7)&lt;&gt;1,LEFT(A7,LEN("2024::jama.2024.0318::"))&lt;&gt;"2024::jama.2024.0318::"),"CHECK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indeterminate</t>
        </is>
      </c>
      <c r="M7" s="24" t="n"/>
      <c r="N7" s="23" t="n"/>
      <c r="O7" s="23" t="n"/>
      <c r="P7" s="23" t="n"/>
      <c r="Q7" s="23" t="n"/>
      <c r="R7" s="22" t="inlineStr">
        <is>
          <t>Protocol Table A1 p30 lists major adverse cardiovascular events under Aim 2 Safety (vascular efficacy outcomes are stroke, retinopathy, nephropathy, foot ulcer); main p2 lists major adverse cardiovascular events among 'other secondary outcomes'. Plan p18 says some study outcomes are also secondary endpoints without naming them.</t>
        </is>
      </c>
    </row>
    <row r="8" ht="92" customHeight="1" s="25">
      <c r="A8" s="20" t="inlineStr">
        <is>
          <t>2024::jama.2024.0318::C007</t>
        </is>
      </c>
      <c r="B8" s="20" t="inlineStr">
        <is>
          <t>Primary baseline adjustment</t>
        </is>
      </c>
      <c r="C8" s="20" t="inlineStr">
        <is>
          <t>PLAN joi240004supp1_prod_1721756962.80052.pdf — p26 A1 and Z definition, joi240004supp1_prod_1721756962.80052.pdf — p34 further baseline sensitivities; REPORT jama_courcoulas_2024_oi_240004_1721756962.76052.pdf — main p2 fixed-effect list, jama_courcoulas_2024_oi_240004_1721756962.76052.pdf — p3 fixed-effect continuation, joi240004supp2_prod_1721756962.82552.pdf — supplement p4 primary model.</t>
        </is>
      </c>
      <c r="D8" s="21" t="inlineStr">
        <is>
          <t>retain</t>
        </is>
      </c>
      <c r="E8" s="21" t="inlineStr">
        <is>
          <t>protocol_report</t>
        </is>
      </c>
      <c r="F8" s="21" t="inlineStr">
        <is>
          <t>primary_done</t>
        </is>
      </c>
      <c r="G8" s="20">
        <f>IFERROR(IF(LEN(TRIM(CLEAN(SUBSTITUTE(Setup!$B$2,CHAR(160)," "))))=0,"CHECK REVIEWER ID",IF(OR(A8="",COUNTIF($A$2:$A$15,A8)&lt;&gt;1,LEFT(A8,LEN("2024::jama.2024.0318::"))&lt;&gt;"2024::jama.2024.0318::"),"CHECK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Planned primary model A1 (protocol p26) adjusts for group, visit, group x visit and site only; baseline HbA1c appears among further sensitivity covariates (p34). The reported primary model (main p2-3; supp 2 p4) includes baseline HbA1c as a fixed effect.</t>
        </is>
      </c>
    </row>
    <row r="9" ht="92" customHeight="1" s="25">
      <c r="A9" s="24" t="inlineStr">
        <is>
          <t>2024::jama.2024.0318::C008</t>
        </is>
      </c>
      <c r="B9" s="24" t="inlineStr">
        <is>
          <t>Planned primary sensitivity package not reported</t>
        </is>
      </c>
      <c r="C9" s="24" t="inlineStr">
        <is>
          <t>PLAN joi240004supp1_prod_1721756962.80052.pdf — p30 MICE/Rubin/pattern-mixture/crossover sensitivity, joi240004supp1_prod_1721756962.80052.pdf — p31 treatment×censoring weight and postcrossover discard, joi240004supp1_prod_1721756962.80052.pdf — p34 expanded baseline sensitivities; REPORT jama_courcoulas_2024_oi_240004_1721756962.76052.pdf — main p3 methods/sensitivity estimate, jama_courcoulas_2024_oi_240004_1721756962.76052.pdf — p9 limitations, joi240004supp2_prod_1721756962.82552.pdf — supplement p4 model, joi240004supp2_prod_1721756962.82552.pdf — p5 IPW formula/assignment/missingness, joi240004supp2_prod_1721756962.82552.pdf — p6 continuation, joi240004supp2_prod_1721756962.82552.pdf — p9 eFigure 2.</t>
        </is>
      </c>
      <c r="D9" s="21" t="inlineStr">
        <is>
          <t>retain</t>
        </is>
      </c>
      <c r="E9" s="21" t="inlineStr">
        <is>
          <t>protocol_report</t>
        </is>
      </c>
      <c r="F9" s="21" t="inlineStr">
        <is>
          <t>primary_done</t>
        </is>
      </c>
      <c r="G9" s="24">
        <f>IFERROR(IF(LEN(TRIM(CLEAN(SUBSTITUTE(Setup!$B$2,CHAR(160)," "))))=0,"CHECK REVIEWER ID",IF(OR(A9="",COUNTIF($A$2:$A$15,A9)&lt;&gt;1,LEFT(A9,LEN("2024::jama.2024.0318::"))&lt;&gt;"2024::jama.2024.0318::"),"CHECK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Planned sensitivity analyses (protocol p30-31, p34: MICE with Rubin's rules, pattern-mixture models, MSM with combined treatment and censoring weights, per-protocol discarding post-crossover outcomes, expanded baseline-covariate models) are not reported; the report gives only an IPW per-protocol analysis with treatment weights (main p3; supp 2 p5).</t>
        </is>
      </c>
    </row>
    <row r="10" ht="92" customHeight="1" s="25">
      <c r="A10" s="20" t="inlineStr">
        <is>
          <t>2024::jama.2024.0318::C009</t>
        </is>
      </c>
      <c r="B10" s="20" t="inlineStr">
        <is>
          <t>Planned binary A2 and reported GEE</t>
        </is>
      </c>
      <c r="C10" s="20" t="inlineStr">
        <is>
          <t>PLAN joi240004supp1_prod_1721756962.80052.pdf — p27 A2/secondary-model text; REPORT jama_courcoulas_2024_oi_240004_1721756962.76052.pdf — main p3 binary/GEE paragraph, jama_courcoulas_2024_oi_240004_1721756962.76052.pdf — p6 Table 2 binary rows, joi240004supp2_prod_1721756962.82552.pdf — supplement p4 binary GEE, joi240004supp2_prod_1721756962.82552.pdf — p5 continuation, joi240004supp2_prod_1721756962.82552.pdf — p15 eTable 2 binary rows.</t>
        </is>
      </c>
      <c r="D10" s="21" t="inlineStr">
        <is>
          <t>retain</t>
        </is>
      </c>
      <c r="E10" s="21" t="inlineStr">
        <is>
          <t>protocol_report</t>
        </is>
      </c>
      <c r="F10" s="21" t="inlineStr">
        <is>
          <t>primary_done</t>
        </is>
      </c>
      <c r="G10" s="20">
        <f>IFERROR(IF(LEN(TRIM(CLEAN(SUBSTITUTE(Setup!$B$2,CHAR(160)," "))))=0,"CHECK REVIEWER ID",IF(OR(A10="",COUNTIF($A$2:$A$15,A10)&lt;&gt;1,LEFT(A10,LEN("2024::jama.2024.0318::"))&lt;&gt;"2024::jama.2024.0318::"),"CHECK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Plan model A2 (protocol p27) is a mixed-effects logistic model with a patient random intercept for glycemic control and remission; the report (main p3; supp 2 p4) analyzes these outcomes with GEE and sandwich SEs, adjusting for baseline HbA1c. No A2 result is reported.</t>
        </is>
      </c>
    </row>
    <row r="11" ht="92" customHeight="1" s="25">
      <c r="A11" s="24" t="inlineStr">
        <is>
          <t>2024::jama.2024.0318::C010</t>
        </is>
      </c>
      <c r="B11" s="24" t="inlineStr">
        <is>
          <t>Medical medication OR interval pattern</t>
        </is>
      </c>
      <c r="C11" s="24" t="inlineStr">
        <is>
          <t>REPORT jama_courcoulas_2024_oi_240004_1721756962.76052.pdf — main p6 Table 2 use-of-medications medical change column and all binary comparator cells/footnotes, and corroborating REPORT joi240004supp2_prod_1721756962.82552.pdf — supplement p4 GEE/sandwich method. Every lower/upper limit and displayed decimal precision was visually checked.</t>
        </is>
      </c>
      <c r="D11" s="21" t="inlineStr">
        <is>
          <t>retain</t>
        </is>
      </c>
      <c r="E11" s="21" t="inlineStr">
        <is>
          <t>statistical_results</t>
        </is>
      </c>
      <c r="F11" s="21" t="inlineStr">
        <is>
          <t>primary_done</t>
        </is>
      </c>
      <c r="G11" s="24">
        <f>IFERROR(IF(LEN(TRIM(CLEAN(SUBSTITUTE(Setup!$B$2,CHAR(160)," "))))=0,"CHECK REVIEWER ID",IF(OR(A11="",COUNTIF($A$2:$A$15,A11)&lt;&gt;1,LEFT(A11,LEN("2024::jama.2024.0318::"))&lt;&gt;"2024::jama.2024.0318::"),"CHECK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probable_issue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t="inlineStr">
        <is>
          <t>Table 2 p6, medical group change OR for diabetes medication use 0.10 (0.01 to 3.27): geometric CI midpoint 0.18 (rounding range 0.128-0.222), while all 17 other OR cells in the table reproduce sqrt(L*U) within rounding. Point or a limit likely misprinted; within-group change, not the group comparison.</t>
        </is>
      </c>
    </row>
    <row r="12" ht="92" customHeight="1" s="25">
      <c r="A12" s="20" t="inlineStr">
        <is>
          <t>2024::jama.2024.0318::C011</t>
        </is>
      </c>
      <c r="B12" s="20" t="inlineStr">
        <is>
          <t>Vascular and safety test mapping</t>
        </is>
      </c>
      <c r="C12" s="20" t="inlineStr">
        <is>
          <t>PLAN joi240004supp1_prod_1721756962.80052.pdf — p34 Aim 2 vascular/safety paragraph, joi240004supp1_prod_1721756962.80052.pdf — p35 power/secondary continuation, joi240004supp1_prod_1721756962.80052.pdf — p26 separate baseline-comparison CMH paragraph; REPORT jama_courcoulas_2024_oi_240004_1721756962.76052.pdf — main p1 abstract cardiovascular statement, jama_courcoulas_2024_oi_240004_1721756962.76052.pdf — p7 event/procedure narrative, joi240004supp2_prod_1721756962.82552.pdf — supplement p6 event-test methods, joi240004supp2_prod_1721756962.82552.pdf — p17 nutritional categorical comparisons, joi240004supp2_prod_1721756962.82552.pdf — p19 eTable 5 example P cells, joi240004supp2_prod_1721756962.82552.pdf — p20 eTable 5 footnote b, joi240004supp2_prod_1721756962.82552.pdf — p21 eTable 6/footnote b.</t>
        </is>
      </c>
      <c r="D12" s="21" t="inlineStr">
        <is>
          <t>retain</t>
        </is>
      </c>
      <c r="E12" s="21" t="inlineStr">
        <is>
          <t>protocol_report</t>
        </is>
      </c>
      <c r="F12" s="21" t="inlineStr">
        <is>
          <t>primary_done</t>
        </is>
      </c>
      <c r="G12" s="20">
        <f>IFERROR(IF(LEN(TRIM(CLEAN(SUBSTITUTE(Setup!$B$2,CHAR(160)," "))))=0,"CHECK REVIEWER ID",IF(OR(A12="",COUNTIF($A$2:$A$15,A12)&lt;&gt;1,LEFT(A12,LEN("2024::jama.2024.0318::"))&lt;&gt;"2024::jama.2024.0318::"),"CHECK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t="inlineStr">
        <is>
          <t>substantive_difference</t>
        </is>
      </c>
      <c r="M12" s="20" t="n"/>
      <c r="N12" s="23" t="n"/>
      <c r="O12" s="23" t="n"/>
      <c r="P12" s="23" t="n"/>
      <c r="Q12" s="23" t="n"/>
      <c r="R12" s="22" t="inlineStr">
        <is>
          <t>Plan p34 specifies Cochran-Mantel-Haenszel (site-stratified) tests for microvascular/macrovascular and safety outcomes; supp 2 p6 and eTable 5/6 footnotes state chi-squared or Fisher exact tests, with no stratification mentioned.</t>
        </is>
      </c>
    </row>
    <row r="13" ht="92" customHeight="1" s="25">
      <c r="A13" s="24" t="inlineStr">
        <is>
          <t>2024::jama.2024.0318::C012</t>
        </is>
      </c>
      <c r="B13" s="24" t="inlineStr">
        <is>
          <t>Fixed site and power variance specification</t>
        </is>
      </c>
      <c r="C13" s="24" t="inlineStr">
        <is>
          <t>PLAN joi240004supp1_prod_1721756962.80052.pdf — p26 A1/b_i/Z definition, joi240004supp1_prod_1721756962.80052.pdf — p28 primary power variance-component paragraph, joi240004supp1_prod_1721756962.80052.pdf — p31 heterogeneity/distribution paragraph; corroborating REPORT jama_courcoulas_2024_oi_240004_1721756962.76052.pdf — main p2 primary model, jama_courcoulas_2024_oi_240004_1721756962.76052.pdf — p3 fixed-effect continuation, joi240004supp2_prod_1721756962.82552.pdf — supplement p4 fixed-site model. PLAN joi240004supp1_prod_1721756962.80052.pdf — p27 identifiability clause was also reread.</t>
        </is>
      </c>
      <c r="D13" s="21" t="inlineStr">
        <is>
          <t>retain</t>
        </is>
      </c>
      <c r="E13" s="21" t="inlineStr">
        <is>
          <t>plan_material</t>
        </is>
      </c>
      <c r="F13" s="21" t="inlineStr">
        <is>
          <t>primary_done</t>
        </is>
      </c>
      <c r="G13" s="24">
        <f>IFERROR(IF(LEN(TRIM(CLEAN(SUBSTITUTE(Setup!$B$2,CHAR(160)," "))))=0,"CHECK REVIEWER ID",IF(OR(A13="",COUNTIF($A$2:$A$15,A13)&lt;&gt;1,LEFT(A13,LEN("2024::jama.2024.0318::"))&lt;&gt;"2024::jama.2024.0318::"),"CHECK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t="inlineStr">
        <is>
          <t>minor_presentation</t>
        </is>
      </c>
      <c r="L13" s="22">
        <f>IF(AND(OR(D13="retain",D13=""),E13="protocol_report"),"","not_applicable")</f>
        <v/>
      </c>
      <c r="M13" s="24" t="n"/>
      <c r="N13" s="23" t="n"/>
      <c r="O13" s="23" t="n"/>
      <c r="P13" s="23" t="n"/>
      <c r="Q13" s="23" t="n"/>
      <c r="R13" s="22" t="inlineStr">
        <is>
          <t>Within the protocol, model A1 (p26) treats site as fixed (Z site vector and b_i 'fixed effect for site'), but the power section (p28) uses a fitted site variance component sigma_b=0.06 and p31 describes site effects as following a distribution with the CI reflecting heterogeneity. The operative fixed-site specification is clear and matches the report.</t>
        </is>
      </c>
    </row>
    <row r="14" ht="92" customHeight="1" s="25">
      <c r="A14" s="20" t="inlineStr">
        <is>
          <t>2024::jama.2024.0318::C013</t>
        </is>
      </c>
      <c r="B14" s="20" t="inlineStr">
        <is>
          <t>Appendix randomization-dropout accounting</t>
        </is>
      </c>
      <c r="C14" s="20" t="inlineStr">
        <is>
          <t>PLAN joi240004supp1_prod_1721756962.80052.pdf — p55 Appendix 2 table title, # Randomized and Number underwent intervention† rows, joi240004supp1_prod_1721756962.80052.pdf — p56 table continuation and dagger definition/dropout statement, and corroborating PLAN joi240004supp1_prod_1721756962.80052.pdf — p27 randomized/initiated population paragraph.</t>
        </is>
      </c>
      <c r="D14" s="21" t="inlineStr">
        <is>
          <t>retain</t>
        </is>
      </c>
      <c r="E14" s="21" t="inlineStr">
        <is>
          <t>plan_material</t>
        </is>
      </c>
      <c r="F14" s="21" t="inlineStr">
        <is>
          <t>primary_done</t>
        </is>
      </c>
      <c r="G14" s="20">
        <f>IFERROR(IF(LEN(TRIM(CLEAN(SUBSTITUTE(Setup!$B$2,CHAR(160)," "))))=0,"CHECK REVIEWER ID",IF(OR(A14="",COUNTIF($A$2:$A$15,A14)&lt;&gt;1,LEFT(A14,LEN("2024::jama.2024.0318::"))&lt;&gt;"2024::jama.2024.0318::"),"CHECK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minor_presentation</t>
        </is>
      </c>
      <c r="L14" s="22">
        <f>IF(AND(OR(D14="retain",D14=""),E14="protocol_report"),"","not_applicable")</f>
        <v/>
      </c>
      <c r="M14" s="20" t="n"/>
      <c r="N14" s="23" t="n"/>
      <c r="O14" s="23" t="n"/>
      <c r="P14" s="23" t="n"/>
      <c r="Q14" s="23" t="n"/>
      <c r="R14" s="22" t="inlineStr">
        <is>
          <t>Protocol Appendix 2 (p55-56): randomized 155+69+43+45+43=355, underwent intervention 154+61+38+40+32=325 (also p27), implying 30 not treated, but the dagger footnote says 38 dropped at randomization. Background participant accounting; the 302 eligible figure (140+56+35+39+32) is unaffected.</t>
        </is>
      </c>
    </row>
    <row r="15" ht="92" customHeight="1" s="25">
      <c r="A15" s="24" t="inlineStr">
        <is>
          <t>2024::jama.2024.0318::C014</t>
        </is>
      </c>
      <c r="B15" s="24" t="inlineStr">
        <is>
          <t>Other race count and percentage</t>
        </is>
      </c>
      <c r="C15" s="24" t="inlineStr">
        <is>
          <t>REPORT joi240004supp2_prod_1721756962.82552.pdf — supplement p14 eTable 1 7-year column, race rows and footnotes a/b.</t>
        </is>
      </c>
      <c r="D15" s="21" t="inlineStr">
        <is>
          <t>retain</t>
        </is>
      </c>
      <c r="E15" s="21" t="inlineStr">
        <is>
          <t>statistical_results</t>
        </is>
      </c>
      <c r="F15" s="21" t="inlineStr">
        <is>
          <t>primary_done</t>
        </is>
      </c>
      <c r="G15" s="24">
        <f>IFERROR(IF(LEN(TRIM(CLEAN(SUBSTITUTE(Setup!$B$2,CHAR(160)," "))))=0,"CHECK REVIEWER ID",IF(OR(A15="",COUNTIF($A$2:$A$15,A15)&lt;&gt;1,LEFT(A15,LEN("2024::jama.2024.0318::"))&lt;&gt;"2024::jama.2024.0318::"),"CHECK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eTable 1 (supp 2 p14), 7-year column N=262: Other race 4 (1.9); 4/262=1.5%. Race counts 81+176+4=261, not 262; main Table 1 gives White 59+118=177 (67.6%) and Other 2+2=4, whereas eTable 1 and the abstract give White 176 (67.2%).</t>
        </is>
      </c>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20"/>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2024::jama.2024.0572::C001</t>
        </is>
      </c>
      <c r="B2" s="20" t="inlineStr">
        <is>
          <t>Follow-up MRI analysis-population count</t>
        </is>
      </c>
      <c r="C2" s="20" t="inlineStr">
        <is>
          <t>jama_sarraj_2024_oi_240006_1708623114.96234.pdf — Main p.4, Results imaging paragraph; jama_sarraj_2024_oi_240006_1708623114.96234.pdf — Main p.9, infarct-growth paragraph; jama_sarraj_2024_oi_240006_1708623114.96234.pdf — Main p.11 discussion; joi240006supp5_prod_1708623115.01733.pdf — Results p.51 eTable11; jama_sarraj_2024_oi_240006_1708623114.96234.pdf — Main p.6 baseline-MRI context</t>
        </is>
      </c>
      <c r="D2" s="21" t="inlineStr">
        <is>
          <t>retain</t>
        </is>
      </c>
      <c r="E2" s="21" t="inlineStr">
        <is>
          <t>statistical_results</t>
        </is>
      </c>
      <c r="F2" s="21" t="inlineStr">
        <is>
          <t>primary_done</t>
        </is>
      </c>
      <c r="G2" s="20">
        <f>IFERROR(IF(LEN(TRIM(CLEAN(SUBSTITUTE(Setup!$B$2,CHAR(160)," "))))=0,"CHECK REVIEWER ID",IF(OR(A2="",COUNTIF($A$2:$A$20,A2)&lt;&gt;1,LEFT(A2,LEN("2024::jama.2024.0572::"))&lt;&gt;"2024::jama.2024.0572::"),"CHECK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Main p4: follow-up imaging was MRI in 8 of 336 (2%) and CT in 328 (98%); p9 and eTable 11 (supp 5 p51; N 101+24+79=204) describe 204 (61%) patients with MR diffusion follow-up; p11 says 'two-thirds'. The count of the post hoc infarct-growth population is irreconcilable within the report.</t>
        </is>
      </c>
    </row>
    <row r="3" ht="92" customHeight="1" s="25">
      <c r="A3" s="24" t="inlineStr">
        <is>
          <t>2024::jama.2024.0572::C002</t>
        </is>
      </c>
      <c r="B3" s="24" t="inlineStr">
        <is>
          <t>Primary treatment-group specification</t>
        </is>
      </c>
      <c r="C3" s="24" t="inlineStr">
        <is>
          <t>joi240006supp4_prod_1708623115.00733.pdf — Analysis SAP p.3, §5.1; joi240006supp4_prod_1708623115.00733.pdf — Its p.4, §5.2.1; jama_sarraj_2024_oi_240006_1708623114.96234.pdf — Main p.4, Statistical Analysis; jama_sarraj_2024_oi_240006_1708623114.96234.pdf — Main p.6 Figure1; joi240006supp5_prod_1708623115.01733.pdf — results p.8 flow diagram; joi240006supp5_prod_1708623115.01733.pdf — Results p.38 eTable2</t>
        </is>
      </c>
      <c r="D3" s="21" t="inlineStr">
        <is>
          <t>retain</t>
        </is>
      </c>
      <c r="E3" s="21" t="inlineStr">
        <is>
          <t>protocol_report</t>
        </is>
      </c>
      <c r="F3" s="21" t="inlineStr">
        <is>
          <t>primary_done</t>
        </is>
      </c>
      <c r="G3" s="24">
        <f>IFERROR(IF(LEN(TRIM(CLEAN(SUBSTITUTE(Setup!$B$2,CHAR(160)," "))))=0,"CHECK REVIEWER ID",IF(OR(A3="",COUNTIF($A$2:$A$20,A3)&lt;&gt;1,LEFT(A3,LEN("2024::jama.2024.0572::"))&lt;&gt;"2024::jama.2024.0572::"),"CHECK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Analysis SAP (supp 4 p3, section 5.1) states all analyses will be as-treated; the report (main p4) analyzes treatment-effect comparisons across imaging strata by randomized group and within-group associations as-treated (Figure 1; Figure 2 labeled intention to treat). Two crossovers, so numerical impact likely small.</t>
        </is>
      </c>
    </row>
    <row r="4" ht="92" customHeight="1" s="25">
      <c r="A4" s="20" t="inlineStr">
        <is>
          <t>2024::jama.2024.0572::C003</t>
        </is>
      </c>
      <c r="B4" s="20" t="inlineStr">
        <is>
          <t>Composite-core analysis hierarchy and prespecification</t>
        </is>
      </c>
      <c r="C4" s="20" t="inlineStr">
        <is>
          <t>joi240006supp4_prod_1708623115.00733.pdf — Analysis SAP p.3 imaging-definition bullets; joi240006supp4_prod_1708623115.00733.pdf — SAP p.7 appendix item1; jama_sarraj_2024_oi_240006_1708623114.96234.pdf — Main p.4 methods; jama_sarraj_2024_oi_240006_1708623114.96234.pdf — Main p.6; jama_sarraj_2024_oi_240006_1708623114.96234.pdf — main p.8 Figure3; joi240006supp5_prod_1708623115.01733.pdf — results p.16 eFigure10; jama_sarraj_2024_oi_240006_1708623114.96234.pdf — Main p.1 abstract; jama_sarraj_2024_oi_240006_1708623114.96234.pdf — Main p.11 limitations</t>
        </is>
      </c>
      <c r="D4" s="21" t="inlineStr">
        <is>
          <t>retain</t>
        </is>
      </c>
      <c r="E4" s="21" t="inlineStr">
        <is>
          <t>protocol_report</t>
        </is>
      </c>
      <c r="F4" s="21" t="inlineStr">
        <is>
          <t>primary_done</t>
        </is>
      </c>
      <c r="G4" s="20">
        <f>IFERROR(IF(LEN(TRIM(CLEAN(SUBSTITUTE(Setup!$B$2,CHAR(160)," "))))=0,"CHECK REVIEWER ID",IF(OR(A4="",COUNTIF($A$2:$A$20,A4)&lt;&gt;1,LEFT(A4,LEN("2024::jama.2024.0572::"))&lt;&gt;"2024::jama.2024.0572::"),"CHECK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Analysis SAP p3 makes composite core (larger of CTP/MRI and CT hypodensity) the primary volume and CTP/MRI core a sensitivity analysis; the appendix (p7) calls composite core pre-specified. The report uses CTP/MRI core as the main measure and labels composite-core analyses post hoc (main p4, p6; Figure 3; eFigure 10).</t>
        </is>
      </c>
    </row>
    <row r="5" ht="92" customHeight="1" s="25">
      <c r="A5" s="24" t="inlineStr">
        <is>
          <t>2024::jama.2024.0572::C004</t>
        </is>
      </c>
      <c r="B5" s="24" t="inlineStr">
        <is>
          <t>Finite all-zero subgroup risk estimates</t>
        </is>
      </c>
      <c r="C5" s="24" t="inlineStr">
        <is>
          <t>jama_sarraj_2024_oi_240006_1708623114.96234.pdf — Main p.4; joi240006supp5_prod_1708623115.01733.pdf — results p.13 eFigure7 ASPECTS0–2; joi240006supp5_prod_1708623115.01733.pdf — p.14 eFigure8 ASPECTS0–2; joi240006supp4_prod_1708623115.00733.pdf — Analysis SAP p.4; joi240006supp4_prod_1708623115.00733.pdf — p.5</t>
        </is>
      </c>
      <c r="D5" s="21" t="inlineStr">
        <is>
          <t>retain</t>
        </is>
      </c>
      <c r="E5" s="21" t="inlineStr">
        <is>
          <t>statistical_results</t>
        </is>
      </c>
      <c r="F5" s="21" t="inlineStr">
        <is>
          <t>primary_done</t>
        </is>
      </c>
      <c r="G5" s="24">
        <f>IFERROR(IF(LEN(TRIM(CLEAN(SUBSTITUTE(Setup!$B$2,CHAR(160)," "))))=0,"CHECK REVIEWER ID",IF(OR(A5="",COUNTIF($A$2:$A$20,A5)&lt;&gt;1,LEFT(A5,LEN("2024::jama.2024.0572::"))&lt;&gt;"2024::jama.2024.0572::"),"CHECK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eFigures 7 and 8 (supp 5 p13-14): ASPECTS 0-2 (n=19) has 0 events in both arms for mRS 0-2 and for mRS 0-3, yet both print RR 1.00 (0.37-2.72), identical across outcomes; other zero-cell rows (e.g., &gt;=150 mL) print '*'. A risk ratio is not estimable with no events in either arm.</t>
        </is>
      </c>
    </row>
    <row r="6" ht="92" customHeight="1" s="25">
      <c r="A6" s="20" t="inlineStr">
        <is>
          <t>2024::jama.2024.0572::C005</t>
        </is>
      </c>
      <c r="B6" s="20" t="inlineStr">
        <is>
          <t>Printed null-boundary intervals and significant associations</t>
        </is>
      </c>
      <c r="C6" s="20" t="inlineStr">
        <is>
          <t>jama_sarraj_2024_oi_240006_1708623114.96234.pdf — Main p.6 ASPECTS paragraph; jama_sarraj_2024_oi_240006_1708623114.96234.pdf — main p.7 Table2; jama_sarraj_2024_oi_240006_1708623114.96234.pdf — Main p.10 age/time paragraph; jama_sarraj_2024_oi_240006_1708623114.96234.pdf — Main p.4; jama_sarraj_2024_oi_240006_1708623114.96234.pdf — p.1 abstract</t>
        </is>
      </c>
      <c r="D6" s="21" t="inlineStr">
        <is>
          <t>exclude</t>
        </is>
      </c>
      <c r="E6" s="21" t="inlineStr">
        <is>
          <t>statistical_results</t>
        </is>
      </c>
      <c r="F6" s="21" t="inlineStr">
        <is>
          <t>primary_done</t>
        </is>
      </c>
      <c r="G6" s="20">
        <f>IFERROR(IF(LEN(TRIM(CLEAN(SUBSTITUTE(Setup!$B$2,CHAR(160)," "))))=0,"CHECK REVIEWER ID",IF(OR(A6="",COUNTIF($A$2:$A$20,A6)&lt;&gt;1,LEFT(A6,LEN("2024::jama.2024.0572::"))&lt;&gt;"2024::jama.2024.0572::"),"CHECK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inlineStr">
        <is>
          <t>Main p6/abstract (aGenOR 0.91, 0.82-1.00, 'significantly worse') and p10 (aRR 0.97, 0.93-1.00, 'significantly decreased'): upper limits print as 1.00 at two decimals; unrounded limits in [0.995, 1.000) are compatible with the significance statements. No P values are given that would contradict them. Rounding explains the apparent conflict.</t>
        </is>
      </c>
    </row>
    <row r="7" ht="92" customHeight="1" s="25">
      <c r="A7" s="24" t="inlineStr">
        <is>
          <t>2024::jama.2024.0572::C006</t>
        </is>
      </c>
      <c r="B7" s="24" t="inlineStr">
        <is>
          <t>Large-core primary mRS distribution and functional thresholds</t>
        </is>
      </c>
      <c r="C7" s="24" t="inlineStr">
        <is>
          <t>jama_sarraj_2024_oi_240006_1708623114.96234.pdf — main p.7 Figure2B; joi240006supp5_prod_1708623115.01733.pdf — results p.13 eFigure7 ≥100mL; joi240006supp5_prod_1708623115.01733.pdf — p.14 eFigure8 ≥100mL; jama_sarraj_2024_oi_240006_1708623114.96234.pdf — Main p.3 outcomes; jama_sarraj_2024_oi_240006_1708623114.96234.pdf — Main p.10 discussion</t>
        </is>
      </c>
      <c r="D7" s="21" t="inlineStr">
        <is>
          <t>retain</t>
        </is>
      </c>
      <c r="E7" s="21" t="inlineStr">
        <is>
          <t>statistical_results</t>
        </is>
      </c>
      <c r="F7" s="21" t="inlineStr">
        <is>
          <t>primary_done</t>
        </is>
      </c>
      <c r="G7" s="24">
        <f>IFERROR(IF(LEN(TRIM(CLEAN(SUBSTITUTE(Setup!$B$2,CHAR(160)," "))))=0,"CHECK REVIEWER ID",IF(OR(A7="",COUNTIF($A$2:$A$20,A7)&lt;&gt;1,LEFT(A7,LEN("2024::jama.2024.0572::"))&lt;&gt;"2024::jama.2024.0572::"),"CHECK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t="inlineStr">
        <is>
          <t>direct</t>
        </is>
      </c>
      <c r="K7" s="21">
        <f>IF(AND(OR(D7="retain",D7=""),OR(E7="report_internal_inconsistency",E7="plan_material")),"","not_applicable")</f>
        <v/>
      </c>
      <c r="L7" s="22">
        <f>IF(AND(OR(D7="retain",D7=""),E7="protocol_report"),"","not_applicable")</f>
        <v/>
      </c>
      <c r="M7" s="24" t="n"/>
      <c r="N7" s="23" t="n"/>
      <c r="O7" s="23" t="n"/>
      <c r="P7" s="23" t="n"/>
      <c r="Q7" s="23" t="n"/>
      <c r="R7" s="22" t="inlineStr">
        <is>
          <t>Figure 2B (main p7, core &gt;=100 mL): segment colors assign EVT 2/6/10/20 to mRS 0-3 (no mRS 4 segment), giving mRS 0-2 18% and 0-3 38%; eFigures 7-8 give 4/51 (7.8%) and 9/51 (17.6%), and the Discussion says about 80% had mRS &gt;=4. The values fit if each segment is shifted one category (mRS 1-6); MM bar shows the same shift.</t>
        </is>
      </c>
    </row>
    <row r="8" ht="92" customHeight="1" s="25">
      <c r="A8" s="20" t="inlineStr">
        <is>
          <t>2024::jama.2024.0572::C007</t>
        </is>
      </c>
      <c r="B8" s="20" t="inlineStr">
        <is>
          <t>EVT continuous mismatch prediction direction</t>
        </is>
      </c>
      <c r="C8" s="20" t="inlineStr">
        <is>
          <t>jama_sarraj_2024_oi_240006_1708623114.96234.pdf — Main p.8 final mismatch paragraph; jama_sarraj_2024_oi_240006_1708623114.96234.pdf — p.9; joi240006supp5_prod_1708623115.01733.pdf — results p.23 eFigure17A/B</t>
        </is>
      </c>
      <c r="D8" s="21" t="inlineStr">
        <is>
          <t>retain</t>
        </is>
      </c>
      <c r="E8" s="21" t="inlineStr">
        <is>
          <t>statistical_results</t>
        </is>
      </c>
      <c r="F8" s="21" t="inlineStr">
        <is>
          <t>primary_done</t>
        </is>
      </c>
      <c r="G8" s="20">
        <f>IFERROR(IF(LEN(TRIM(CLEAN(SUBSTITUTE(Setup!$B$2,CHAR(160)," "))))=0,"CHECK REVIEWER ID",IF(OR(A8="",COUNTIF($A$2:$A$20,A8)&lt;&gt;1,LEFT(A8,LEN("2024::jama.2024.0572::"))&lt;&gt;"2024::jama.2024.0572::"),"CHECK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t="inlineStr">
        <is>
          <t>possible</t>
        </is>
      </c>
      <c r="K8" s="21">
        <f>IF(AND(OR(D8="retain",D8=""),OR(E8="report_internal_inconsistency",E8="plan_material")),"","not_applicable")</f>
        <v/>
      </c>
      <c r="L8" s="22">
        <f>IF(AND(OR(D8="retain",D8=""),E8="protocol_report"),"","not_applicable")</f>
        <v/>
      </c>
      <c r="M8" s="20" t="n"/>
      <c r="N8" s="23" t="n"/>
      <c r="O8" s="23" t="n"/>
      <c r="P8" s="23" t="n"/>
      <c r="Q8" s="23" t="n"/>
      <c r="R8" s="22" t="inlineStr">
        <is>
          <t>Main p8 states that as mismatch volume increased the marginal probability of mRS 0-2 and 0-3 increased with EVT and decreased with MM; eFigure 17A/B (supp 5 p23) shows both EVT curves (and MM curves) decreasing across mismatch volume.</t>
        </is>
      </c>
    </row>
    <row r="9" ht="92" customHeight="1" s="25">
      <c r="A9" s="24" t="inlineStr">
        <is>
          <t>2024::jama.2024.0572::C008</t>
        </is>
      </c>
      <c r="B9" s="24" t="inlineStr">
        <is>
          <t>Core covariate identity in age/time surfaces</t>
        </is>
      </c>
      <c r="C9" s="24" t="inlineStr">
        <is>
          <t>jama_sarraj_2024_oi_240006_1708623114.96234.pdf — main p.10; jama_sarraj_2024_oi_240006_1708623114.96234.pdf — Main p.3 imaging definitions; joi240006supp5_prod_1708623115.01733.pdf — Results p.24 eFigure18 title; joi240006supp5_prod_1708623115.01733.pdf — Results p.25 eFigure19 title and explanation</t>
        </is>
      </c>
      <c r="D9" s="21" t="inlineStr">
        <is>
          <t>retain</t>
        </is>
      </c>
      <c r="E9" s="21" t="inlineStr">
        <is>
          <t>report_internal_inconsistency</t>
        </is>
      </c>
      <c r="F9" s="21" t="inlineStr">
        <is>
          <t>primary_done</t>
        </is>
      </c>
      <c r="G9" s="24">
        <f>IFERROR(IF(LEN(TRIM(CLEAN(SUBSTITUTE(Setup!$B$2,CHAR(160)," "))))=0,"CHECK REVIEWER ID",IF(OR(A9="",COUNTIF($A$2:$A$20,A9)&lt;&gt;1,LEFT(A9,LEN("2024::jama.2024.0572::"))&lt;&gt;"2024::jama.2024.0572::"),"CHECK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minor_presentation</t>
        </is>
      </c>
      <c r="L9" s="22">
        <f>IF(AND(OR(D9="retain",D9=""),E9="protocol_report"),"","not_applicable")</f>
        <v/>
      </c>
      <c r="M9" s="24" t="n"/>
      <c r="N9" s="23" t="n"/>
      <c r="O9" s="23" t="n"/>
      <c r="P9" s="23" t="n"/>
      <c r="Q9" s="23" t="n"/>
      <c r="R9" s="22" t="inlineStr">
        <is>
          <t>E changed: the issue is which core variable conditions the age/time surfaces, a labeling conflict rather than a numerical error. eFigure 18 title says CTP/MRI core while its explanation says composite core; eFigure 19 uses composite core; main p10 cites both and says 'consistent across estimated CT perfusion/MRI core volumes'.</t>
        </is>
      </c>
    </row>
    <row r="10" ht="92" customHeight="1" s="25">
      <c r="A10" s="20" t="inlineStr">
        <is>
          <t>2024::jama.2024.0572::C009</t>
        </is>
      </c>
      <c r="B10" s="20" t="inlineStr">
        <is>
          <t>Planned versus reported prognostic time predictor</t>
        </is>
      </c>
      <c r="C10" s="20" t="inlineStr">
        <is>
          <t>joi240006supp4_prod_1708623115.00733.pdf — Analysis SAP p.5 §5.2.3; jama_sarraj_2024_oi_240006_1708623114.96234.pdf — Main p.10 age/time results; joi240006supp5_prod_1708623115.01733.pdf — results p.24 eFigure18; joi240006supp5_prod_1708623115.01733.pdf — Results p.25 eFigure19</t>
        </is>
      </c>
      <c r="D10" s="21" t="inlineStr">
        <is>
          <t>retain</t>
        </is>
      </c>
      <c r="E10" s="21" t="inlineStr">
        <is>
          <t>protocol_report</t>
        </is>
      </c>
      <c r="F10" s="21" t="inlineStr">
        <is>
          <t>primary_done</t>
        </is>
      </c>
      <c r="G10" s="20">
        <f>IFERROR(IF(LEN(TRIM(CLEAN(SUBSTITUTE(Setup!$B$2,CHAR(160)," "))))=0,"CHECK REVIEWER ID",IF(OR(A10="",COUNTIF($A$2:$A$20,A10)&lt;&gt;1,LEFT(A10,LEN("2024::jama.2024.0572::"))&lt;&gt;"2024::jama.2024.0572::"),"CHECK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Analysis SAP p5 (section 5.2.3) plans predicted probabilities of independent ambulation by age and time from last known well to randomization in EVT patients; the report shows age by time from CTP to reperfusion/end of procedure (eFigure 18) and from LKW to reperfusion/end of procedure (eFigure 19). No LKW-to-randomization surface is reported.</t>
        </is>
      </c>
    </row>
    <row r="11" ht="92" customHeight="1" s="25">
      <c r="A11" s="24" t="inlineStr">
        <is>
          <t>2024::jama.2024.0572::C010</t>
        </is>
      </c>
      <c r="B11" s="24" t="inlineStr">
        <is>
          <t>Planned outcome hierarchy</t>
        </is>
      </c>
      <c r="C11" s="24" t="inlineStr">
        <is>
          <t>joi240006supp2_prod_1708623114.99233.pdf — Protocol p.8 synopsis; joi240006supp2_prod_1708623114.99233.pdf — p.37 primary-outcome section; joi240006supp2_prod_1708623114.99233.pdf — Protocol p.50 secondary analysis; joi240006supp3_prod_1708623114.99733.pdf — trial SAP p.13; joi240006supp3_prod_1708623114.99733.pdf — SAP p.14; joi240006supp3_prod_1708623114.99733.pdf — SAP p.17</t>
        </is>
      </c>
      <c r="D11" s="21" t="inlineStr">
        <is>
          <t>retain</t>
        </is>
      </c>
      <c r="E11" s="21" t="inlineStr">
        <is>
          <t>plan_material</t>
        </is>
      </c>
      <c r="F11" s="21" t="inlineStr">
        <is>
          <t>primary_done</t>
        </is>
      </c>
      <c r="G11" s="24">
        <f>IFERROR(IF(LEN(TRIM(CLEAN(SUBSTITUTE(Setup!$B$2,CHAR(160)," "))))=0,"CHECK REVIEWER ID",IF(OR(A11="",COUNTIF($A$2:$A$20,A11)&lt;&gt;1,LEFT(A11,LEN("2024::jama.2024.0572::"))&lt;&gt;"2024::jama.2024.0572::"),"CHECK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t="inlineStr">
        <is>
          <t>substantive_inconsistency</t>
        </is>
      </c>
      <c r="L11" s="22">
        <f>IF(AND(OR(D11="retain",D11=""),E11="protocol_report"),"","not_applicable")</f>
        <v/>
      </c>
      <c r="M11" s="24" t="n"/>
      <c r="N11" s="23" t="n"/>
      <c r="O11" s="23" t="n"/>
      <c r="P11" s="23" t="n"/>
      <c r="Q11" s="23" t="n"/>
      <c r="R11" s="22" t="inlineStr">
        <is>
          <t>Protocol (Aug 2021) synopsis p8 and section 3.7.1.1 p37 call mRS 0-2 the second primary outcome, but protocol p50 calls it 'our secondary endpoint'; the trial SAP v1.0.0 (Nov 2022, p13, p17) lists it as secondary. Infarct volume/lesion growth are secondary in protocol p50 but tertiary in SAP p13.</t>
        </is>
      </c>
    </row>
    <row r="12" ht="92" customHeight="1" s="25">
      <c r="A12" s="20" t="inlineStr">
        <is>
          <t>2024::jama.2024.0572::C011</t>
        </is>
      </c>
      <c r="B12" s="20" t="inlineStr">
        <is>
          <t>Historical SELECT intervals at the null and significant P values</t>
        </is>
      </c>
      <c r="C12" s="20" t="inlineStr">
        <is>
          <t>PLAN joi240006supp2_prod_1708623114.99233.pdf — protocol — PDF p.13, historical SELECT functional-independence and ordinal-shift results.</t>
        </is>
      </c>
      <c r="D12" s="21" t="inlineStr">
        <is>
          <t>exclude</t>
        </is>
      </c>
      <c r="E12" s="21" t="inlineStr">
        <is>
          <t>plan_material</t>
        </is>
      </c>
      <c r="F12" s="21" t="inlineStr">
        <is>
          <t>primary_done</t>
        </is>
      </c>
      <c r="G12" s="20">
        <f>IFERROR(IF(LEN(TRIM(CLEAN(SUBSTITUTE(Setup!$B$2,CHAR(160)," "))))=0,"CHECK REVIEWER ID",IF(OR(A12="",COUNTIF($A$2:$A$20,A12)&lt;&gt;1,LEFT(A12,LEN("2024::jama.2024.0572::"))&lt;&gt;"2024::jama.2024.0572::"),"CHECK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inlineStr">
        <is>
          <t>Protocol p13 background: results of the earlier non-randomized SELECT cohort (aOR 2.92, 1.00-7.91, P=.041; 2.01, 1.00-4.03, P=.049). Background literature, not a design element of SELECT2 or this analysis; the 1.00 lower limits are also compatible with rounding.</t>
        </is>
      </c>
    </row>
    <row r="13" ht="92" customHeight="1" s="25">
      <c r="A13" s="24" t="inlineStr">
        <is>
          <t>2024::jama.2024.0572::C012</t>
        </is>
      </c>
      <c r="B13" s="24" t="inlineStr">
        <is>
          <t>Historical safety significance statement includes P = .072</t>
        </is>
      </c>
      <c r="C13" s="24" t="inlineStr">
        <is>
          <t>PLAN joi240006supp2_prod_1708623114.99233.pdf — protocol — PDF p.16, historical safety paragraph.</t>
        </is>
      </c>
      <c r="D13" s="21" t="inlineStr">
        <is>
          <t>exclude</t>
        </is>
      </c>
      <c r="E13" s="21" t="inlineStr">
        <is>
          <t>plan_material</t>
        </is>
      </c>
      <c r="F13" s="21" t="inlineStr">
        <is>
          <t>primary_done</t>
        </is>
      </c>
      <c r="G13" s="24">
        <f>IFERROR(IF(LEN(TRIM(CLEAN(SUBSTITUTE(Setup!$B$2,CHAR(160)," "))))=0,"CHECK REVIEWER ID",IF(OR(A13="",COUNTIF($A$2:$A$20,A13)&lt;&gt;1,LEFT(A13,LEN("2024::jama.2024.0572::"))&lt;&gt;"2024::jama.2024.0572::"),"CHECK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inlineStr">
        <is>
          <t>Protocol p14 background: SELECT cohort safety outcomes 'significantly increased' include sICH 8/173 vs 3/18, P=.072. A wording slip in the historical rationale, not a design element of this trial or analysis.</t>
        </is>
      </c>
    </row>
    <row r="14" ht="92" customHeight="1" s="25">
      <c r="A14" s="20" t="inlineStr">
        <is>
          <t>2024::jama.2024.0572::C013</t>
        </is>
      </c>
      <c r="B14" s="20" t="inlineStr">
        <is>
          <t>Planned efficacy probability has the opposite treatment-score orientation</t>
        </is>
      </c>
      <c r="C14" s="20" t="inlineStr">
        <is>
          <t>PLAN joi240006supp2_prod_1708623114.99233.pdf — protocol — PDF p.37, lower-score benefit, joi240006supp2_prod_1708623114.99233.pdf — p.80, statistic and efficacy rule, joi240006supp2_prod_1708623114.99233.pdf — p.81, alternative and variable labels; PLAN joi240006supp3_prod_1708623114.99733.pdf — trial SAP — PDF p.39, repeated statistic, joi240006supp3_prod_1708623114.99733.pdf — p.40, alternative and bounds. REPORT jama_sarraj_2024_oi_240006_1708623114.96234.pdf — main article — PDF p.3, mRS direction corroborates only.</t>
        </is>
      </c>
      <c r="D14" s="21" t="inlineStr">
        <is>
          <t>retain</t>
        </is>
      </c>
      <c r="E14" s="21" t="inlineStr">
        <is>
          <t>plan_material</t>
        </is>
      </c>
      <c r="F14" s="21" t="inlineStr">
        <is>
          <t>primary_done</t>
        </is>
      </c>
      <c r="G14" s="20">
        <f>IFERROR(IF(LEN(TRIM(CLEAN(SUBSTITUTE(Setup!$B$2,CHAR(160)," "))))=0,"CHECK REVIEWER ID",IF(OR(A14="",COUNTIF($A$2:$A$20,A14)&lt;&gt;1,LEFT(A14,LEN("2024::jama.2024.0572::"))&lt;&gt;"2024::jama.2024.0572::"),"CHECK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minor_presentation</t>
        </is>
      </c>
      <c r="L14" s="22">
        <f>IF(AND(OR(D14="retain",D14=""),E14="protocol_report"),"","not_applicable")</f>
        <v/>
      </c>
      <c r="M14" s="20" t="n"/>
      <c r="N14" s="23" t="n"/>
      <c r="O14" s="23" t="n"/>
      <c r="P14" s="23" t="n"/>
      <c r="Q14" s="23" t="n"/>
      <c r="R14" s="22" t="inlineStr">
        <is>
          <t>Protocol Appendix B (p80-81) and trial SAP (p39-40): W is the rank sum of mRS scores in the EVT group and efficacy is claimed if Z &gt;= b; H_A is P(Y &lt;= X) = 1/2 + theta with Y = MM and X = EVT mRS. As written, large values indicate worse (higher) EVT mRS, opposite to benefit (lower mRS, p37).</t>
        </is>
      </c>
    </row>
    <row r="15" ht="92" customHeight="1" s="25">
      <c r="A15" s="24" t="inlineStr">
        <is>
          <t>2024::jama.2024.0572::C014</t>
        </is>
      </c>
      <c r="B15" s="24" t="inlineStr">
        <is>
          <t>Retained interim schedule does not identify the 300-outcome rejection rule</t>
        </is>
      </c>
      <c r="C15" s="24" t="inlineStr">
        <is>
          <t>PLAN joi240006supp3_prod_1708623114.99733.pdf — trial SAP — PDF p.9, §7.2 planned looks, joi240006supp3_prod_1708623114.99733.pdf — p.11, planned sample counts, joi240006supp3_prod_1708623114.99733.pdf — p.12, §7.5 300-outcome review and unchanged-design statements, joi240006supp3_prod_1708623114.99733.pdf — p.40, calibrated settings.</t>
        </is>
      </c>
      <c r="D15" s="21" t="inlineStr">
        <is>
          <t>retain</t>
        </is>
      </c>
      <c r="E15" s="21" t="inlineStr">
        <is>
          <t>plan_material</t>
        </is>
      </c>
      <c r="F15" s="21" t="inlineStr">
        <is>
          <t>primary_done</t>
        </is>
      </c>
      <c r="G15" s="24">
        <f>IFERROR(IF(LEN(TRIM(CLEAN(SUBSTITUTE(Setup!$B$2,CHAR(160)," "))))=0,"CHECK REVIEWER ID",IF(OR(A15="",COUNTIF($A$2:$A$20,A15)&lt;&gt;1,LEFT(A15,LEN("2024::jama.2024.0572::"))&lt;&gt;"2024::jama.2024.0572::"),"CHECK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t="inlineStr">
        <is>
          <t>substantive_inconsistency</t>
        </is>
      </c>
      <c r="L15" s="22">
        <f>IF(AND(OR(D15="retain",D15=""),E15="protocol_report"),"","not_applicable")</f>
        <v/>
      </c>
      <c r="M15" s="24" t="n"/>
      <c r="N15" s="23" t="n"/>
      <c r="O15" s="23" t="n"/>
      <c r="P15" s="23" t="n"/>
      <c r="Q15" s="23" t="n"/>
      <c r="R15" s="22" t="inlineStr">
        <is>
          <t>Trial SAP section 7.2 (p9) and Appendix B (p40) prespecify interim looks at 200 and 380 patients; section 7.5 (p12) says the DSMB 300-patient review was provided 'without making any alteration to the study design or incorporating any additional interim analyses', yet the trial was stopped because the efficacy boundary was crossed at 300 using 'pre-specified boundaries'. The boundary applicable at 300 is not specified.</t>
        </is>
      </c>
    </row>
    <row r="16" ht="92" customHeight="1" s="25">
      <c r="A16" s="20" t="inlineStr">
        <is>
          <t>2024::jama.2024.0572::C015</t>
        </is>
      </c>
      <c r="B16" s="20" t="inlineStr">
        <is>
          <t>PLAN sICH window and death component differ</t>
        </is>
      </c>
      <c r="C16" s="20" t="inlineStr">
        <is>
          <t>PLAN joi240006supp4_prod_1708623115.00733.pdf — analysis-specific SAP — PDF p.5, §5.2.5; PLAN joi240006supp3_prod_1708623114.99733.pdf — trial SAP — PDF p.13, secondary endpoints, joi240006supp3_prod_1708623114.99733.pdf — p.18, §10.2.3.4.1, joi240006supp3_prod_1708623114.99733.pdf — p.31, template footnote. REPORT jama_sarraj_2024_oi_240006_1708623114.96234.pdf — main article — PDF p.3, endpoint name and joi240006supp5_prod_1708623115.01733.pdf — results supplement — PDF p.38, eTable2 counts establish relevance and corroborate only.</t>
        </is>
      </c>
      <c r="D16" s="21" t="inlineStr">
        <is>
          <t>retain</t>
        </is>
      </c>
      <c r="E16" s="21" t="inlineStr">
        <is>
          <t>plan_material</t>
        </is>
      </c>
      <c r="F16" s="21" t="inlineStr">
        <is>
          <t>primary_done</t>
        </is>
      </c>
      <c r="G16" s="20">
        <f>IFERROR(IF(LEN(TRIM(CLEAN(SUBSTITUTE(Setup!$B$2,CHAR(160)," "))))=0,"CHECK REVIEWER ID",IF(OR(A16="",COUNTIF($A$2:$A$20,A16)&lt;&gt;1,LEFT(A16,LEN("2024::jama.2024.0572::"))&lt;&gt;"2024::jama.2024.0572::"),"CHECK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t="inlineStr">
        <is>
          <t>minor_presentation</t>
        </is>
      </c>
      <c r="L16" s="22">
        <f>IF(AND(OR(D16="retain",D16=""),E16="protocol_report"),"","not_applicable")</f>
        <v/>
      </c>
      <c r="M16" s="20" t="n"/>
      <c r="N16" s="23" t="n"/>
      <c r="O16" s="23" t="n"/>
      <c r="P16" s="23" t="n"/>
      <c r="Q16" s="23" t="n"/>
      <c r="R16" s="22" t="inlineStr">
        <is>
          <t>Analysis SAP p5 (5.2.5) defines sICH with a &gt;=4-point NIHSS increase 'at 4-hour follow-up window' and no death component; trial SAP p13 uses '&gt;=4-point increase ... or death within 24 hours' and p18/p31 a 24-hour window. Report cites SITS-MOST and reports counts only.</t>
        </is>
      </c>
    </row>
    <row r="17" ht="92" customHeight="1" s="25">
      <c r="A17" s="24" t="inlineStr">
        <is>
          <t>2024::jama.2024.0572::C016</t>
        </is>
      </c>
      <c r="B17" s="24" t="inlineStr">
        <is>
          <t>Planned mismatch-volume primary strata have no supplied counterpart</t>
        </is>
      </c>
      <c r="C17" s="24" t="inlineStr">
        <is>
          <t>PLAN joi240006supp4_prod_1708623115.00733.pdf — analysis-specific SAP — PDF p.6, §5.3.3, joi240006supp4_prod_1708623115.00733.pdf — p.4, §5.2.1 primary endpoint. Identified REPORT comparisons: jama_sarraj_2024_oi_240006_1708623114.96234.pdf — main article — PDF p.6, Figure1, jama_sarraj_2024_oi_240006_1708623114.96234.pdf — p.8, mismatch results, joi240006supp5_prod_1708623115.01733.pdf — results supplement — PDF p.23, eFigure17, joi240006supp5_prod_1708623115.01733.pdf — p.43, eTable7. Complete counterpart scope: jama_sarraj_2024_oi_240006_1708623114.96234.pdf — main article, PDF pp.1–14; entry p.1, joi240006supp5_prod_1708623115.01733.pdf — results supplement, PDF pp.1–53; entry p.1, joi240006supp1_prod_1708623114.97236.pdf — contributors, PDF pp.1–30; entry p.1, and joi240006supp6_prod_1708623115.02733.pdf — data sharing, PDF p.1.</t>
        </is>
      </c>
      <c r="D17" s="21" t="inlineStr">
        <is>
          <t>retain</t>
        </is>
      </c>
      <c r="E17" s="21" t="inlineStr">
        <is>
          <t>protocol_report</t>
        </is>
      </c>
      <c r="F17" s="21" t="inlineStr">
        <is>
          <t>primary_done</t>
        </is>
      </c>
      <c r="G17" s="24">
        <f>IFERROR(IF(LEN(TRIM(CLEAN(SUBSTITUTE(Setup!$B$2,CHAR(160)," "))))=0,"CHECK REVIEWER ID",IF(OR(A17="",COUNTIF($A$2:$A$20,A17)&lt;&gt;1,LEFT(A17,LEN("2024::jama.2024.0572::"))&lt;&gt;"2024::jama.2024.0572::"),"CHECK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t="inlineStr">
        <is>
          <t>substantive_difference</t>
        </is>
      </c>
      <c r="M17" s="24" t="n"/>
      <c r="N17" s="23" t="n"/>
      <c r="O17" s="23" t="n"/>
      <c r="P17" s="23" t="n"/>
      <c r="Q17" s="23" t="n"/>
      <c r="R17" s="22" t="inlineStr">
        <is>
          <t>Analysis SAP p6 (5.3.3) plans stratification by mismatch volume thresholds of 50 and 100 mL; neither the main article nor supplement 5 reports these strata (only the two ratio/volume mismatch profiles and a continuous mismatch-volume analysis, eFigure 17).</t>
        </is>
      </c>
    </row>
    <row r="18" ht="92" customHeight="1" s="25">
      <c r="A18" s="20" t="inlineStr">
        <is>
          <t>2024::jama.2024.0572::C017</t>
        </is>
      </c>
      <c r="B18" s="20" t="inlineStr">
        <is>
          <t>Adverse-outcome forest favors labels reverse its printed contrast</t>
        </is>
      </c>
      <c r="C18" s="20" t="inlineStr">
        <is>
          <t>REPORT joi240006supp5_prod_1708623115.01733.pdf — results supplement — PDF p.19, eFigure13 title, contrast, axis labels and all 16 rows; REPORT joi240006supp5_prod_1708623115.01733.pdf — results supplement — PDF p.15, eFigure9 direction convention and jama_sarraj_2024_oi_240006_1708623114.96234.pdf — main article — PDF p.3, mRS 5–6 definition corroborate only.</t>
        </is>
      </c>
      <c r="D18" s="21" t="inlineStr">
        <is>
          <t>retain</t>
        </is>
      </c>
      <c r="E18" s="21" t="inlineStr">
        <is>
          <t>statistical_results</t>
        </is>
      </c>
      <c r="F18" s="21" t="inlineStr">
        <is>
          <t>primary_done</t>
        </is>
      </c>
      <c r="G18" s="20">
        <f>IFERROR(IF(LEN(TRIM(CLEAN(SUBSTITUTE(Setup!$B$2,CHAR(160)," "))))=0,"CHECK REVIEWER ID",IF(OR(A18="",COUNTIF($A$2:$A$20,A18)&lt;&gt;1,LEFT(A18,LEN("2024::jama.2024.0572::"))&lt;&gt;"2024::jama.2024.0572::"),"CHECK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unlikely</t>
        </is>
      </c>
      <c r="K18" s="21">
        <f>IF(AND(OR(D18="retain",D18=""),OR(E18="report_internal_inconsistency",E18="plan_material")),"","not_applicable")</f>
        <v/>
      </c>
      <c r="L18" s="22">
        <f>IF(AND(OR(D18="retain",D18=""),E18="protocol_report"),"","not_applicable")</f>
        <v/>
      </c>
      <c r="M18" s="20" t="n"/>
      <c r="N18" s="23" t="n"/>
      <c r="O18" s="23" t="n"/>
      <c r="P18" s="23" t="n"/>
      <c r="Q18" s="23" t="n"/>
      <c r="R18" s="22" t="inlineStr">
        <is>
          <t>eFigure 13 (supp 5 p19), RR of mRS 5-6 (adverse) with EVT vs MM: all 16 RRs are below 1 (favoring EVT), but the axis labels read 'Favours Medical Management' on the left and 'Favours Thrombectomy' on the right. eFigure 9 (p15), the same outcome, labels the axis correctly.</t>
        </is>
      </c>
    </row>
    <row r="19" ht="92" customHeight="1" s="25">
      <c r="A19" s="24" t="inlineStr">
        <is>
          <t>2024::jama.2024.0572::C018</t>
        </is>
      </c>
      <c r="B19" s="24" t="inlineStr">
        <is>
          <t>Discordant-profile counts exceed disjoint totals and change arm attribution</t>
        </is>
      </c>
      <c r="C19" s="24" t="inlineStr">
        <is>
          <t>REPORT joi240006supp5_prod_1708623115.01733.pdf — results supplement — PDF p.45, eTable8 independence, joi240006supp5_prod_1708623115.01733.pdf — p.46, eTable8 ambulation/adverse outcomes, joi240006supp5_prod_1708623115.01733.pdf — p.47, eTable9 favorable outcomes, joi240006supp5_prod_1708623115.01733.pdf — p.48, eTable9 adverse outcomes, joi240006supp5_prod_1708623115.01733.pdf — p.49, eTable10 favorable outcomes, joi240006supp5_prod_1708623115.01733.pdf — p.50, eTable10 adverse outcomes, joi240006supp5_prod_1708623115.01733.pdf — p.31, eFigure20x profile heading, and joi240006supp5_prod_1708623115.01733.pdf — p.32, eFigure20x distribution.</t>
        </is>
      </c>
      <c r="D19" s="21" t="inlineStr">
        <is>
          <t>retain</t>
        </is>
      </c>
      <c r="E19" s="21" t="inlineStr">
        <is>
          <t>statistical_results</t>
        </is>
      </c>
      <c r="F19" s="21" t="inlineStr">
        <is>
          <t>primary_done</t>
        </is>
      </c>
      <c r="G19" s="24">
        <f>IFERROR(IF(LEN(TRIM(CLEAN(SUBSTITUTE(Setup!$B$2,CHAR(160)," "))))=0,"CHECK REVIEWER ID",IF(OR(A19="",COUNTIF($A$2:$A$20,A19)&lt;&gt;1,LEFT(A19,LEN("2024::jama.2024.0572::"))&lt;&gt;"2024::jama.2024.0572::"),"CHECK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t="inlineStr">
        <is>
          <t>direct</t>
        </is>
      </c>
      <c r="K19" s="21">
        <f>IF(AND(OR(D19="retain",D19=""),OR(E19="report_internal_inconsistency",E19="plan_material")),"","not_applicable")</f>
        <v/>
      </c>
      <c r="L19" s="22">
        <f>IF(AND(OR(D19="retain",D19=""),E19="protocol_report"),"","not_applicable")</f>
        <v/>
      </c>
      <c r="M19" s="24" t="n"/>
      <c r="N19" s="23" t="n"/>
      <c r="O19" s="23" t="n"/>
      <c r="P19" s="23" t="n"/>
      <c r="Q19" s="23" t="n"/>
      <c r="R19" s="22" t="inlineStr">
        <is>
          <t>Discordant profile 2 (ASPECTS 6-10, core &gt;=70 mL): eTable 9 MM has mRS 0-3 3/11 and mRS 5-6 10/11 (13 &gt; 11); eTable 10 MM has 4/12 and 11/12 (15 &gt; 12) and mRS 0-2 2/12 with 11/12. eTable 8 attributes the favorable counts to EVT (mRS 0-2 1/12, 0-3 3/12; MM 0/11), so arms appear swapped for favorable outcomes in eTables 9-10.</t>
        </is>
      </c>
    </row>
    <row r="20" ht="92" customHeight="1" s="25">
      <c r="A20" s="20" t="inlineStr">
        <is>
          <t>2024::jama.2024.0572::C019</t>
        </is>
      </c>
      <c r="B20" s="20" t="inlineStr">
        <is>
          <t>Final overall efficacy failure has competing rescue and terminal branches</t>
        </is>
      </c>
      <c r="C20" s="20" t="inlineStr">
        <is>
          <t>Principal PLAN comparison: joi240006supp2_prod_1708623114.99233.pdf — protocol — PDF p.48, final scenario 1 items 2/2.1/2.2 versus joi240006supp3_prod_1708623114.99733.pdf — trial SAP — PDF p.10, final paragraph and conclusions. PLAN context: joi240006supp2_prod_1708623114.99233.pdf — protocol p.1, August 4, 2021 date, joi240006supp2_prod_1708623114.99233.pdf — p.45, primary analysis/selection, joi240006supp2_prod_1708623114.99233.pdf — p.46, schedule/bounds, joi240006supp2_prod_1708623114.99233.pdf — p.47, enrollment scenarios, joi240006supp2_prod_1708623114.99233.pdf — p.49, simulation context, joi240006supp2_prod_1708623114.99233.pdf — p.81, final appendix rule; joi240006supp3_prod_1708623114.99733.pdf — trial SAP p.2, November 20, 2022 v1.0.0 approval, joi240006supp3_prod_1708623114.99733.pdf — p.9, retained final-selection language, joi240006supp3_prod_1708623114.99733.pdf — p.12, early-stop chronology, joi240006supp3_prod_1708623114.99733.pdf — p.40, final appendix threshold.</t>
        </is>
      </c>
      <c r="D20" s="21" t="inlineStr">
        <is>
          <t>retain</t>
        </is>
      </c>
      <c r="E20" s="21" t="inlineStr">
        <is>
          <t>plan_material</t>
        </is>
      </c>
      <c r="F20" s="21" t="inlineStr">
        <is>
          <t>primary_done</t>
        </is>
      </c>
      <c r="G20" s="20">
        <f>IFERROR(IF(LEN(TRIM(CLEAN(SUBSTITUTE(Setup!$B$2,CHAR(160)," "))))=0,"CHECK REVIEWER ID",IF(OR(A20="",COUNTIF($A$2:$A$20,A20)&lt;&gt;1,LEFT(A20,LEN("2024::jama.2024.0572::"))&lt;&gt;"2024::jama.2024.0572::"),"CHECK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f>IF(AND(OR(D20="retain",D20=""),E20="statistical_results"),"","not_applicable")</f>
        <v/>
      </c>
      <c r="I20" s="21">
        <f>IF(AND(OR(D20="retain",D20=""),E20="statistical_results"),"","not_applicable")</f>
        <v/>
      </c>
      <c r="J20" s="22">
        <f>IF(AND(OR(D20="retain",D20=""),E20="statistical_results"),"","not_applicable")</f>
        <v/>
      </c>
      <c r="K20" s="21" t="inlineStr">
        <is>
          <t>substantive_inconsistency</t>
        </is>
      </c>
      <c r="L20" s="22">
        <f>IF(AND(OR(D20="retain",D20=""),E20="protocol_report"),"","not_applicable")</f>
        <v/>
      </c>
      <c r="M20" s="20" t="n"/>
      <c r="N20" s="23" t="n"/>
      <c r="O20" s="23" t="n"/>
      <c r="P20" s="23" t="n"/>
      <c r="Q20" s="23" t="n"/>
      <c r="R20" s="22" t="inlineStr">
        <is>
          <t>Protocol (Aug 2021) p48: at the final analysis, if the overall efficacy bound is not crossed, an optimal subgroup is selected and tested; trial SAP v1.0.0 (Nov 2022) p10: if the final efficacy bound is not crossed, EVT is declared not superior (no subgroup rescue). The final stage was never reached (trial stopped at the 300-patient review).</t>
        </is>
      </c>
    </row>
  </sheetData>
  <autoFilter ref="A1:R20"/>
  <conditionalFormatting sqref="H2:H20">
    <cfRule type="expression" priority="8" dxfId="70">
      <formula>NOT(AND(OR($D2="retain",$D2=""),$E2="statistical_results"))</formula>
    </cfRule>
  </conditionalFormatting>
  <conditionalFormatting sqref="I2:I20">
    <cfRule type="expression" priority="9" dxfId="70">
      <formula>NOT(AND(OR($D2="retain",$D2=""),$E2="statistical_results"))</formula>
    </cfRule>
  </conditionalFormatting>
  <conditionalFormatting sqref="J2:J20">
    <cfRule type="expression" priority="10" dxfId="70">
      <formula>NOT(AND(OR($D2="retain",$D2=""),$E2="statistical_results"))</formula>
    </cfRule>
  </conditionalFormatting>
  <conditionalFormatting sqref="K2:K20">
    <cfRule type="expression" priority="11" dxfId="70">
      <formula>NOT(AND(OR($D2="retain",$D2=""),OR($E2="report_internal_inconsistency",$E2="plan_material")))</formula>
    </cfRule>
  </conditionalFormatting>
  <conditionalFormatting sqref="L2:L20">
    <cfRule type="expression" priority="12" dxfId="70">
      <formula>NOT(AND(OR($D2="retain",$D2=""),$E2="protocol_report"))</formula>
    </cfRule>
  </conditionalFormatting>
  <conditionalFormatting sqref="G2:G20">
    <cfRule type="expression" priority="13" dxfId="71">
      <formula>G2&lt;&gt;"PRIMARY READY"</formula>
    </cfRule>
  </conditionalFormatting>
  <dataValidations count="8">
    <dataValidation sqref="D2:D20" showDropDown="0" showInputMessage="0" showErrorMessage="1" allowBlank="1" errorTitle="Use a listed option" error="Choose an option; G also checks pasted entries." type="list" errorStyle="stop">
      <formula1>"retain,exclude,discuss"</formula1>
    </dataValidation>
    <dataValidation sqref="E2:E20"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0" showDropDown="0" showInputMessage="0" showErrorMessage="1" allowBlank="1" errorTitle="Use a listed option" error="Choose an option; G also checks pasted entries." type="list" errorStyle="stop">
      <formula1>"no,primary_done"</formula1>
    </dataValidation>
    <dataValidation sqref="H2:H20"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0"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0" showDropDown="0" showInputMessage="0" showErrorMessage="1" allowBlank="1" errorTitle="Use a listed option" error="Choose an option; G also checks pasted entries." type="list" errorStyle="stop">
      <formula1>"direct,possible,unlikely,unknown,not_applicable"</formula1>
    </dataValidation>
    <dataValidation sqref="K2:K20"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0"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2024::jama.2024.11057::C001</t>
        </is>
      </c>
      <c r="B2" s="20" t="inlineStr">
        <is>
          <t>Primary estimate attribution to planned baseline adjustment</t>
        </is>
      </c>
      <c r="C2" s="20" t="inlineStr">
        <is>
          <t>PLAN joi240078supp1_prod_1739900423.22574.pdf — p. 5, Primary Analysis; REPORT jama_graham_2024_oi_240078_1739900423.19074.pdf — p. 1, abstract, jama_graham_2024_oi_240078_1739900423.19074.pdf — p. 4, Statistical Methods, jama_graham_2024_oi_240078_1739900423.19074.pdf — p. 5, Vaping Cessation, and jama_graham_2024_oi_240078_1739900423.19074.pdf — p. 6, Table 2; REPORT joi240078supp2_prod_1739900423.24574.pdf — p. 14, eTable 5, Missing=Vaping; Amendment context: PLAN joi240078supp1_prod_1739900423.22574.pdf — p. 15</t>
        </is>
      </c>
      <c r="D2" s="21" t="inlineStr">
        <is>
          <t>retain</t>
        </is>
      </c>
      <c r="E2" s="21" t="inlineStr">
        <is>
          <t>protocol_report</t>
        </is>
      </c>
      <c r="F2" s="21" t="inlineStr">
        <is>
          <t>primary_done</t>
        </is>
      </c>
      <c r="G2" s="20">
        <f>IFERROR(IF(LEN(TRIM(CLEAN(SUBSTITUTE(Setup!$B$2,CHAR(160)," "))))=0,"CHECK REVIEWER ID",IF(OR(A2="",COUNTIF($A$2:$A$6,A2)&lt;&gt;1,LEFT(A2,LEN("2024::jama.2024.11057::"))&lt;&gt;"2024::jama.2024.11057::"),"CHECK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p5 primary analysis: logistic regression with 'all estimates adjusted for baseline confounders'; report p4 uses ordinary logistic regression with no covariates named, and Table 2 RR 1.35 (1.17-1.57) and OR 1.57 reproduce the crude 287/759 vs 208/744 exactly. The primary estimates appear unadjusted.</t>
        </is>
      </c>
    </row>
    <row r="3" ht="92" customHeight="1" s="25">
      <c r="A3" s="24" t="inlineStr">
        <is>
          <t>2024::jama.2024.11057::C002</t>
        </is>
      </c>
      <c r="B3" s="24" t="inlineStr">
        <is>
          <t>Retention test population and waitlist exclusion</t>
        </is>
      </c>
      <c r="C3" s="24" t="inlineStr">
        <is>
          <t>REPORT jama_graham_2024_oi_240078_1739900423.19074.pdf — p. 2, waitlist discussion, jama_graham_2024_oi_240078_1739900423.19074.pdf — p. 4, first Results retention paragraph, and jama_graham_2024_oi_240078_1739900423.19074.pdf — p. 6, corroborating participant-flow figure.</t>
        </is>
      </c>
      <c r="D3" s="21" t="inlineStr">
        <is>
          <t>retain</t>
        </is>
      </c>
      <c r="E3" s="21" t="inlineStr">
        <is>
          <t>statistical_results</t>
        </is>
      </c>
      <c r="F3" s="21" t="inlineStr">
        <is>
          <t>primary_done</t>
        </is>
      </c>
      <c r="G3" s="24">
        <f>IFERROR(IF(LEN(TRIM(CLEAN(SUBSTITUTE(Setup!$B$2,CHAR(160)," "))))=0,"CHECK REVIEWER ID",IF(OR(A3="",COUNTIF($A$2:$A$6,A3)&lt;&gt;1,LEFT(A3,LEN("2024::jama.2024.11057::"))&lt;&gt;"2024::jama.2024.11057::"),"CHECK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Main p2 says the waitlist group was not included in tests of statistical significance; p4 reports retention P=.02 (1 month) and P=.11 (7 months). These reproduce only as 3-group chi-square tests including waitlist (P=.017, .115); the 2-group tests give P=.009 and .073. Conclusions about retention are unchanged.</t>
        </is>
      </c>
    </row>
    <row r="4" ht="92" customHeight="1" s="25">
      <c r="A4" s="20" t="inlineStr">
        <is>
          <t>2024::jama.2024.11057::C003</t>
        </is>
      </c>
      <c r="B4" s="20" t="inlineStr">
        <is>
          <t>Prequit intervention duration across supplied documents</t>
        </is>
      </c>
      <c r="C4" s="20" t="inlineStr">
        <is>
          <t>REPORT jama_graham_2024_oi_240078_1739900423.19074.pdf — p. 3, intervention description; PLAN joi240078supp1_prod_1739900423.22574.pdf — p. 2, program description and joi240078supp1_prod_1739900423.22574.pdf — p. 4, trial intervention assignment; REPORT joi240078supp2_prod_1739900423.24574.pdf — p. 2, eAppendix A; Amendment context: PLAN joi240078supp1_prod_1739900423.22574.pdf — p. 15</t>
        </is>
      </c>
      <c r="D4" s="21" t="inlineStr">
        <is>
          <t>retain</t>
        </is>
      </c>
      <c r="E4" s="21" t="inlineStr">
        <is>
          <t>report_internal_inconsistency</t>
        </is>
      </c>
      <c r="F4" s="21" t="inlineStr">
        <is>
          <t>primary_done</t>
        </is>
      </c>
      <c r="G4" s="20">
        <f>IFERROR(IF(LEN(TRIM(CLEAN(SUBSTITUTE(Setup!$B$2,CHAR(160)," "))))=0,"CHECK REVIEWER ID",IF(OR(A4="",COUNTIF($A$2:$A$6,A4)&lt;&gt;1,LEFT(A4,LEN("2024::jama.2024.11057::"))&lt;&gt;"2024::jama.2024.11057::"),"CHECK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inlineStr">
        <is>
          <t>E changed: main article p3 says participants who set a quit date receive messages 6 weeks before and 8 weeks after it; the results supplement eAppendix A (supp 2 p2) says 1 week before and 8 weeks after, as does the protocol (p2). The plan only corroborates the supplement, so this is a report-internal conflict about the intervention.</t>
        </is>
      </c>
    </row>
    <row r="5" ht="92" customHeight="1" s="25">
      <c r="A5" s="24" t="inlineStr">
        <is>
          <t>2024::jama.2024.11057::C004</t>
        </is>
      </c>
      <c r="B5" s="24" t="inlineStr">
        <is>
          <t>Planned moderator selection and reported testing family</t>
        </is>
      </c>
      <c r="C5" s="24" t="inlineStr">
        <is>
          <t>PLAN joi240078supp1_prod_1739900423.22574.pdf — p. 5, Primary Analysis and joi240078supp1_prod_1739900423.22574.pdf — p. 6, opening continuation; REPORT jama_graham_2024_oi_240078_1739900423.19074.pdf — p. 4, Statistical Methods and jama_graham_2024_oi_240078_1739900423.19074.pdf — p. 5, Moderator Results; REPORT joi240078supp2_prod_1739900423.24574.pdf — p. 6, eAppendix D and joi240078supp2_prod_1739900423.24574.pdf — p. 15, eTable 6; Amendment context: PLAN joi240078supp1_prod_1739900423.22574.pdf — p. 15</t>
        </is>
      </c>
      <c r="D5" s="21" t="inlineStr">
        <is>
          <t>retain</t>
        </is>
      </c>
      <c r="E5" s="21" t="inlineStr">
        <is>
          <t>protocol_report</t>
        </is>
      </c>
      <c r="F5" s="21" t="inlineStr">
        <is>
          <t>primary_done</t>
        </is>
      </c>
      <c r="G5" s="24">
        <f>IFERROR(IF(LEN(TRIM(CLEAN(SUBSTITUTE(Setup!$B$2,CHAR(160)," "))))=0,"CHECK REVIEWER ID",IF(OR(A5="",COUNTIF($A$2:$A$6,A5)&lt;&gt;1,LEFT(A5,LEN("2024::jama.2024.11057::"))&lt;&gt;"2024::jama.2024.11057::"),"CHECK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p5-6: identify potential moderators (e.g., age, gender, motivation) and examine treatment-by-moderator interactions for those associated with the primary outcome; report p4-5 and eAppendix D/eTable 6 test every Table 1 characteristic one at a time with Holm adjustment across about 25 tests.</t>
        </is>
      </c>
    </row>
    <row r="6" ht="92" customHeight="1" s="25">
      <c r="A6" s="20" t="inlineStr">
        <is>
          <t>2024::jama.2024.11057::C005</t>
        </is>
      </c>
      <c r="B6" s="20" t="inlineStr">
        <is>
          <t>Weighted odds-ratio upper confidence limit in eTable 5</t>
        </is>
      </c>
      <c r="C6" s="20" t="inlineStr">
        <is>
          <t>REPORT joi240078supp2_prod_1739900423.24574.pdf — p. 14, eTable 5, 30-day IPRW OR cell and all five comparator OR cells; method context in REPORT joi240078supp2_prod_1739900423.24574.pdf — the same PDF — p. 5, eAppendix C.</t>
        </is>
      </c>
      <c r="D6" s="21" t="inlineStr">
        <is>
          <t>retain</t>
        </is>
      </c>
      <c r="E6" s="21" t="inlineStr">
        <is>
          <t>statistical_results</t>
        </is>
      </c>
      <c r="F6" s="21" t="inlineStr">
        <is>
          <t>primary_done</t>
        </is>
      </c>
      <c r="G6" s="20">
        <f>IFERROR(IF(LEN(TRIM(CLEAN(SUBSTITUTE(Setup!$B$2,CHAR(160)," "))))=0,"CHECK REVIEWER ID",IF(OR(A6="",COUNTIF($A$2:$A$6,A6)&lt;&gt;1,LEFT(A6,LEN("2024::jama.2024.11057::"))&lt;&gt;"2024::jama.2024.11057::"),"CHECK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eTable 5 (supp 2 p14), 30-day IPRW OR 1.92 (1.50, 2.24): a log-symmetric interval with lower 1.50 implies an upper limit near 2.46 (1.92^2/1.50); all 11 other RR/OR cells in the table are log-symmetric within rounding. The IPRW interval is also narrower than the CCA OR interval, unlike the RR rows.</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8"/>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2024::jama.2024.12829::C001</t>
        </is>
      </c>
      <c r="B2" s="20" t="inlineStr">
        <is>
          <t>BMI subgroup partition and prespecification</t>
        </is>
      </c>
      <c r="C2" s="20" t="inlineStr">
        <is>
          <t>REPORT jama_sun_2024_oi_240088_1746815064.14747.pdf — main p4, Statistical Analysis prespecification sentence, jama_sun_2024_oi_240088_1746815064.14747.pdf — p5, subgroup narrative, and jama_sun_2024_oi_240088_1746815064.14747.pdf — p7, Figure 2, both BMI rows and interaction cell; PLAN joi240088supp2_prod_1746815064.36071.pdf — original protocol p41, line 760, joi240088supp2_prod_1746815064.36071.pdf — final protocol p103, line 1779, joi240088supp2_prod_1746815064.36071.pdf — original SAP p140, line 2358, and joi240088supp2_prod_1746815064.36071.pdf — final SAP p160, line 2768. The original-SAP line locator was clarified to 2358 during screening, before stable registration.</t>
        </is>
      </c>
      <c r="D2" s="21" t="inlineStr">
        <is>
          <t>retain</t>
        </is>
      </c>
      <c r="E2" s="21" t="inlineStr">
        <is>
          <t>protocol_report</t>
        </is>
      </c>
      <c r="F2" s="21" t="inlineStr">
        <is>
          <t>primary_done</t>
        </is>
      </c>
      <c r="G2" s="20">
        <f>IFERROR(IF(LEN(TRIM(CLEAN(SUBSTITUTE(Setup!$B$2,CHAR(160)," "))))=0,"CHECK REVIEWER ID",IF(OR(A2="",COUNTIF($A$2:$A$8,A2)&lt;&gt;1,LEFT(A2,LEN("2024::jama.2024.12829::"))&lt;&gt;"2024::jama.2024.12829::"),"CHECK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Both protocol versions (supp 2 p41 line 759; p103 line 1778) and both SAP versions (p140 line 2357; p160 line 2767) specify BMI subgroups &lt;25, 25-30 and &gt;=30 kg/m2; Figure 2 (main p7) uses &lt;25 vs &gt;=25, while main p4 states all forest-plot subgroups were prespecified.</t>
        </is>
      </c>
    </row>
    <row r="3" ht="92" customHeight="1" s="25">
      <c r="A3" s="24" t="inlineStr">
        <is>
          <t>2024::jama.2024.12829::C002</t>
        </is>
      </c>
      <c r="B3" s="24" t="inlineStr">
        <is>
          <t>Sensitivity-analysis population headers</t>
        </is>
      </c>
      <c r="C3" s="24" t="inlineStr">
        <is>
          <t>REPORT jama_sun_2024_oi_240088_1746815064.14747.pdf — main p5, Figure 1 final per-protocol boxes; joi240088supp1_prod_1746815064.21247.pdf — results supplement p20, Table S7 both arm headers, both site totals, and both arms' event rows; joi240088supp1_prod_1746815064.21247.pdf — p21, Table S8 title, both headers, primary row, and all three component rows; joi240088supp1_prod_1746815064.21247.pdf — p23, Table S10 per-protocol section.</t>
        </is>
      </c>
      <c r="D3" s="21" t="inlineStr">
        <is>
          <t>retain</t>
        </is>
      </c>
      <c r="E3" s="21" t="inlineStr">
        <is>
          <t>statistical_results</t>
        </is>
      </c>
      <c r="F3" s="21" t="inlineStr">
        <is>
          <t>primary_done</t>
        </is>
      </c>
      <c r="G3" s="24">
        <f>IFERROR(IF(LEN(TRIM(CLEAN(SUBSTITUTE(Setup!$B$2,CHAR(160)," "))))=0,"CHECK REVIEWER ID",IF(OR(A3="",COUNTIF($A$2:$A$8,A3)&lt;&gt;1,LEFT(A3,LEN("2024::jama.2024.12829::"))&lt;&gt;"2024::jama.2024.12829::"),"CHECK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possible</t>
        </is>
      </c>
      <c r="K3" s="21">
        <f>IF(AND(OR(D3="retain",D3=""),OR(E3="report_internal_inconsistency",E3="plan_material")),"","not_applicable")</f>
        <v/>
      </c>
      <c r="L3" s="22">
        <f>IF(AND(OR(D3="retain",D3=""),E3="protocol_report"),"","not_applicable")</f>
        <v/>
      </c>
      <c r="M3" s="24" t="n"/>
      <c r="N3" s="23" t="n"/>
      <c r="O3" s="23" t="n"/>
      <c r="P3" s="23" t="n"/>
      <c r="Q3" s="23" t="n"/>
      <c r="R3" s="22" t="inlineStr">
        <is>
          <t>Table S7 (supp 1 p20) headers say N=233/238 (per-protocol) but its site totals 256+245=501 and events 4+7=11, 19+15=34 are the primary analysis population; Table S8 (p21), titled per-protocol, has headers n=249/252 although its counts reproduce with 233/238 (9/233=3.9%, 33/238=13.9%, 20/238=8.4%). The two tables' headers appear swapped.</t>
        </is>
      </c>
    </row>
    <row r="4" ht="92" customHeight="1" s="25">
      <c r="A4" s="20" t="inlineStr">
        <is>
          <t>2024::jama.2024.12829::C003</t>
        </is>
      </c>
      <c r="B4" s="20" t="inlineStr">
        <is>
          <t>Center-adjusted primary event count</t>
        </is>
      </c>
      <c r="C4" s="20" t="inlineStr">
        <is>
          <t>REPORT jama_sun_2024_oi_240088_1746815064.14747.pdf — main p7, Figure 2 overall row, jama_sun_2024_oi_240088_1746815064.14747.pdf — p8, Table 2 primary row, arm headers, and first-event footnote, jama_sun_2024_oi_240088_1746815064.14747.pdf — p6, adjusted-result narrative; joi240088supp1_prod_1746815064.21247.pdf — results supplement p19, Table S6 primary row, headers, full endpoint, and adjustment footnotes. joi240088supp1_prod_1746815064.21247.pdf — Supplement p21, Table S8 is an alternative-population locator only.</t>
        </is>
      </c>
      <c r="D4" s="21" t="inlineStr">
        <is>
          <t>retain</t>
        </is>
      </c>
      <c r="E4" s="21" t="inlineStr">
        <is>
          <t>statistical_results</t>
        </is>
      </c>
      <c r="F4" s="21" t="inlineStr">
        <is>
          <t>primary_done</t>
        </is>
      </c>
      <c r="G4" s="20">
        <f>IFERROR(IF(LEN(TRIM(CLEAN(SUBSTITUTE(Setup!$B$2,CHAR(160)," "))))=0,"CHECK REVIEWER ID",IF(OR(A4="",COUNTIF($A$2:$A$8,A4)&lt;&gt;1,LEFT(A4,LEN("2024::jama.2024.12829::"))&lt;&gt;"2024::jama.2024.12829::"),"CHECK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Table S6 (supp 1 p19), center-adjusted primary analysis with n=249/252, gives balloon events 9 (3.9) vs 11 (4.4) in Table 2 and Figure 2; 9/249=3.6%, whereas 9/233=3.9% matches the per-protocol count (Table S8). Adjustment does not change event counts; the HR 0.32 (0.16-0.62) matches the main analysis, suggesting a transcription error in the count.</t>
        </is>
      </c>
    </row>
    <row r="5" ht="92" customHeight="1" s="25">
      <c r="A5" s="24" t="inlineStr">
        <is>
          <t>2024::jama.2024.12829::C004</t>
        </is>
      </c>
      <c r="B5" s="24" t="inlineStr">
        <is>
          <t>Outside-territory stroke difference interval</t>
        </is>
      </c>
      <c r="C5" s="24" t="inlineStr">
        <is>
          <t>REPORT jama_sun_2024_oi_240088_1746815064.14747.pdf — main p8, Table 2 one-year outside-territory stroke row, all count/difference/HR/P cells; jama_sun_2024_oi_240088_1746815064.14747.pdf — p4, Statistical Analysis confidence and significance conventions.</t>
        </is>
      </c>
      <c r="D5" s="21" t="inlineStr">
        <is>
          <t>retain</t>
        </is>
      </c>
      <c r="E5" s="21" t="inlineStr">
        <is>
          <t>statistical_results</t>
        </is>
      </c>
      <c r="F5" s="21" t="inlineStr">
        <is>
          <t>primary_done</t>
        </is>
      </c>
      <c r="G5" s="24">
        <f>IFERROR(IF(LEN(TRIM(CLEAN(SUBSTITUTE(Setup!$B$2,CHAR(160)," "))))=0,"CHECK REVIEWER ID",IF(OR(A5="",COUNTIF($A$2:$A$8,A5)&lt;&gt;1,LEFT(A5,LEN("2024::jama.2024.12829::"))&lt;&gt;"2024::jama.2024.12829::"),"CHECK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Table 2 (main p8), any stroke outside the qualifying territory within 1 year, 3 (1.2) vs 4 (1.6): incidence difference -0.4 (95% CI -2.4 to -1.7), HR 0.76, P=.72. The point lies outside its interval and the interval excludes 0. Wald recomputation gives -0.38 (-2.44 to 1.67): the upper limit has lost its sign.</t>
        </is>
      </c>
    </row>
    <row r="6" ht="92" customHeight="1" s="25">
      <c r="A6" s="20" t="inlineStr">
        <is>
          <t>2024::jama.2024.12829::C005</t>
        </is>
      </c>
      <c r="B6" s="20" t="inlineStr">
        <is>
          <t>Ninety-day mRS count and percentage</t>
        </is>
      </c>
      <c r="C6" s="20" t="inlineStr">
        <is>
          <t>REPORT joi240088supp1_prod_1746815064.21247.pdf — results supplement p13, Figure S4 BA header, all seven category annotations and mRS 2 leader. jama_sun_2024_oi_240088_1746815064.14747.pdf — Main p8, 90-day mRS generalized-OR row and footnote is corroborative only.</t>
        </is>
      </c>
      <c r="D6" s="21" t="inlineStr">
        <is>
          <t>retain</t>
        </is>
      </c>
      <c r="E6" s="21" t="inlineStr">
        <is>
          <t>statistical_results</t>
        </is>
      </c>
      <c r="F6" s="21" t="inlineStr">
        <is>
          <t>primary_done</t>
        </is>
      </c>
      <c r="G6" s="20">
        <f>IFERROR(IF(LEN(TRIM(CLEAN(SUBSTITUTE(Setup!$B$2,CHAR(160)," "))))=0,"CHECK REVIEWER ID",IF(OR(A6="",COUNTIF($A$2:$A$8,A6)&lt;&gt;1,LEFT(A6,LEN("2024::jama.2024.12829::"))&lt;&gt;"2024::jama.2024.12829::"),"CHECK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Figure S4 (supp 1 p13), balloon group mRS 2 at 90 days: '2.0 (N=50)'; 50/249=20.1%, and with 50 the category counts sum to 294, not 249. N=5 gives 2.0% and a total of 249 (205+36+5+2+0+1+0).</t>
        </is>
      </c>
    </row>
    <row r="7" ht="92" customHeight="1" s="25">
      <c r="A7" s="24" t="inlineStr">
        <is>
          <t>2024::jama.2024.12829::C006</t>
        </is>
      </c>
      <c r="B7" s="24" t="inlineStr">
        <is>
          <t>Safety-test specification</t>
        </is>
      </c>
      <c r="C7" s="24" t="inlineStr">
        <is>
          <t>PLAN joi240088supp2_prod_1746815064.36071.pdf — original SAP p142, §12.4, lines 2387–2390, joi240088supp2_prod_1746815064.36071.pdf — final SAP p162, lines 2801–2806; REPORT joi240088supp1_prod_1746815064.21247.pdf — results supplement p24, Table S11 overall, nervous-system, and disabling-stroke rows, superscripts c/d and both test footnotes. jama_sun_2024_oi_240088_1746815064.14747.pdf — Main p6, disabling-stroke narrative corroborates the reported result only.</t>
        </is>
      </c>
      <c r="D7" s="21" t="inlineStr">
        <is>
          <t>retain</t>
        </is>
      </c>
      <c r="E7" s="21" t="inlineStr">
        <is>
          <t>protocol_report</t>
        </is>
      </c>
      <c r="F7" s="21" t="inlineStr">
        <is>
          <t>primary_done</t>
        </is>
      </c>
      <c r="G7" s="24">
        <f>IFERROR(IF(LEN(TRIM(CLEAN(SUBSTITUTE(Setup!$B$2,CHAR(160)," "))))=0,"CHECK REVIEWER ID",IF(OR(A7="",COUNTIF($A$2:$A$8,A7)&lt;&gt;1,LEFT(A7,LEN("2024::jama.2024.12829::"))&lt;&gt;"2024::jama.2024.12829::"),"CHECK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minor_presentation</t>
        </is>
      </c>
      <c r="M7" s="24" t="n"/>
      <c r="N7" s="23" t="n"/>
      <c r="O7" s="23" t="n"/>
      <c r="P7" s="23" t="n"/>
      <c r="Q7" s="23" t="n"/>
      <c r="R7" s="22" t="inlineStr">
        <is>
          <t>Both SAP versions (p142 lines 2387-2389; p162 lines 2803-2805) specify Fisher exact tests for grouped AEs; Table S11 (supp 1 p24) footnotes label overall, nervous-system and disabling-stroke rows as chi-square. Recomputed, the printed P values (0.84, 0.35, 0.02) match Fisher (0.841, 0.350, 0.020), not Pearson (0.71, 0.25, 0.013) or Yates (0.865, 0.363, 0.023) for the first two, so the difference appears to be in labeling only.</t>
        </is>
      </c>
    </row>
    <row r="8" ht="92" customHeight="1" s="25">
      <c r="A8" s="20" t="inlineStr">
        <is>
          <t>2024::jama.2024.12829::C007</t>
        </is>
      </c>
      <c r="B8" s="20" t="inlineStr">
        <is>
          <t>Original planned event forecast</t>
        </is>
      </c>
      <c r="C8" s="20" t="inlineStr">
        <is>
          <t>PLAN joi240088supp2_prod_1746815064.36071.pdf — original protocol p11, sample-size synopsis, joi240088supp2_prod_1746815064.36071.pdf — p12, 728→802 expansion and follow-up, joi240088supp2_prod_1746815064.36071.pdf — p18, twelve-month primary hypothesis and 1:1 allocation, joi240088supp2_prod_1746815064.36071.pdf — p40, original statistical section and sample-size opening, joi240088supp2_prod_1746815064.36071.pdf — p41, detailed sample-size continuation. jama_sun_2024_oi_240088_1746815064.14747.pdf — Main p3, original 802 design history is corroborative only. joi240088supp2_prod_1746815064.36071.pdf — PLAN p126, later 802→512 amendment establishes the revised-design boundary.</t>
        </is>
      </c>
      <c r="D8" s="21" t="inlineStr">
        <is>
          <t>retain</t>
        </is>
      </c>
      <c r="E8" s="21" t="inlineStr">
        <is>
          <t>plan_material</t>
        </is>
      </c>
      <c r="F8" s="21" t="inlineStr">
        <is>
          <t>primary_done</t>
        </is>
      </c>
      <c r="G8" s="20">
        <f>IFERROR(IF(LEN(TRIM(CLEAN(SUBSTITUTE(Setup!$B$2,CHAR(160)," "))))=0,"CHECK REVIEWER ID",IF(OR(A8="",COUNTIF($A$2:$A$8,A8)&lt;&gt;1,LEFT(A8,LEN("2024::jama.2024.12829::"))&lt;&gt;"2024::jama.2024.12829::"),"CHECK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indeterminate</t>
        </is>
      </c>
      <c r="L8" s="22">
        <f>IF(AND(OR(D8="retain",D8=""),E8="protocol_report"),"","not_applicable")</f>
        <v/>
      </c>
      <c r="M8" s="20" t="n"/>
      <c r="N8" s="23" t="n"/>
      <c r="O8" s="23" t="n"/>
      <c r="P8" s="23" t="n"/>
      <c r="Q8" s="23" t="n"/>
      <c r="R8" s="22" t="inlineStr">
        <is>
          <t>Original protocol synopsis (supp 2 p11-12): 686 patients, 91 endpoint events, '90% confidence', Lan-DeMets; section 20.1 (p40-41): 686 patients, 80% power, O'Brien-Fleming. With 12.76% vs 6.25% one-year risk and 1:1 allocation, 686 patients give about 65 first-year events, and the required events are about 56 (80%) or 75 (90%). The 91-event figure does not reproduce; the design was later re-estimated to 512.</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8"/>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2024::jama.2024.19585::C001</t>
        </is>
      </c>
      <c r="B2" s="20" t="inlineStr">
        <is>
          <t>ED absolute-effect interval and separately adjusted test give different null-value readings</t>
        </is>
      </c>
      <c r="C2" s="20" t="inlineStr">
        <is>
          <t>REPORT jama_dupuis_2024_oi_240111_1733431204.38761.pdf — DOC-001 p. 9 Table 3 ED row and footnote b; REPORT jama_dupuis_2024_oi_240111_1733431204.38761.pdf — p. 4 significance rule; corroborating REPORT jama_dupuis_2024_oi_240111_1733431204.38761.pdf — p. 1 abstract, jama_dupuis_2024_oi_240111_1733431204.38761.pdf — p. 6 ED narrative, and joi240111supp2_prod_1733431204.76024.pdf — DOC-003 p. 17 eTable 12 Poisson ED result.</t>
        </is>
      </c>
      <c r="D2" s="21" t="inlineStr">
        <is>
          <t>exclude</t>
        </is>
      </c>
      <c r="E2" s="21" t="inlineStr">
        <is>
          <t>statistical_results</t>
        </is>
      </c>
      <c r="F2" s="21" t="inlineStr">
        <is>
          <t>primary_done</t>
        </is>
      </c>
      <c r="G2" s="20">
        <f>IFERROR(IF(LEN(TRIM(CLEAN(SUBSTITUTE(Setup!$B$2,CHAR(160)," "))))=0,"CHECK REVIEWER ID",IF(OR(A2="",COUNTIF($A$2:$A$8,A2)&lt;&gt;1,LEFT(A2,LEN("2024::jama.2024.19585::"))&lt;&gt;"2024::jama.2024.19585::"),"CHECK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inlineStr">
        <is>
          <t>Table 3 (main p9) ED visits: absolute difference 3.38 (95% CrI -0.57 to 7.94) vs rate ratio 1.72 (1.03-2.87), P=.04. Footnote b states the absolute difference comes from a different model (treatment plus random site only, marginalized; credible interval), while the RR and P come from the adjusted mixed Poisson model. Different models and inferential summaries; no contradiction.</t>
        </is>
      </c>
    </row>
    <row r="3" ht="92" customHeight="1" s="25">
      <c r="A3" s="24" t="inlineStr">
        <is>
          <t>2024::jama.2024.19585::C002</t>
        </is>
      </c>
      <c r="B3" s="24" t="inlineStr">
        <is>
          <t>Triggered primary total-score ordinal sensitivity is absent from the supplied report</t>
        </is>
      </c>
      <c r="C3" s="24" t="inlineStr">
        <is>
          <t>PLAN joi240111supp1_prod_1733431204.57929.pdf — DOC-002 p. 11 final protocol primary analysis, joi240111supp1_prod_1733431204.57929.pdf — p. 36 SAP primary analysis, joi240111supp1_prod_1733431204.57929.pdf — p. 31 amendment history; REPORT jama_dupuis_2024_oi_240111_1733431204.38761.pdf — DOC-001 p. 3 primary methods, jama_dupuis_2024_oi_240111_1733431204.38761.pdf — p. 4 sensitivities, joi240111supp2_prod_1733431204.76024.pdf — DOC-003 p. 18 eFigure 1 item 2, joi240111supp2_prod_1733431204.76024.pdf — p. 19 other sensitivities. Absence check covers DOC-001 pp. 1–11 and DOC-003 pp. 1–23, as mapped and independently searched.</t>
        </is>
      </c>
      <c r="D3" s="21" t="inlineStr">
        <is>
          <t>retain</t>
        </is>
      </c>
      <c r="E3" s="21" t="inlineStr">
        <is>
          <t>protocol_report</t>
        </is>
      </c>
      <c r="F3" s="21" t="inlineStr">
        <is>
          <t>primary_done</t>
        </is>
      </c>
      <c r="G3" s="24">
        <f>IFERROR(IF(LEN(TRIM(CLEAN(SUBSTITUTE(Setup!$B$2,CHAR(160)," "))))=0,"CHECK REVIEWER ID",IF(OR(A3="",COUNTIF($A$2:$A$8,A3)&lt;&gt;1,LEFT(A3,LEN("2024::jama.2024.19585::"))&lt;&gt;"2024::jama.2024.19585::"),"CHECK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(supp 1 p11) and SAP (p36) specify that if residuals of the primary model are substantially non-normal, two sensitivity analyses will be done: a normalizing transformation and an ordinal regression. eFigure 1 (supp 2 p18) reports residuals 'clearly non-normal' and gives only the square-root transformation; no ordinal model of the total score is reported in the main article or supplement 2.</t>
        </is>
      </c>
    </row>
    <row r="4" ht="92" customHeight="1" s="25">
      <c r="A4" s="20" t="inlineStr">
        <is>
          <t>2024::jama.2024.19585::C003</t>
        </is>
      </c>
      <c r="B4" s="20" t="inlineStr">
        <is>
          <t>Explicitly planned week-4 symptom and chart-outcome comparisons are not supplied</t>
        </is>
      </c>
      <c r="C4" s="20" t="inlineStr">
        <is>
          <t>PLAN joi240111supp1_prod_1733431204.57929.pdf — DOC-002 p. 11 final protocol secondary items 1–4, joi240111supp1_prod_1733431204.57929.pdf — p. 12 item 5, joi240111supp1_prod_1733431204.57929.pdf — p. 34 PRO definitions, joi240111supp1_prod_1733431204.57929.pdf — p. 35 chart endpoints, joi240111supp1_prod_1733431204.57929.pdf — p. 36 symptom models, joi240111supp1_prod_1733431204.57929.pdf — p. 37 secondary models; REPORT jama_dupuis_2024_oi_240111_1733431204.38761.pdf — DOC-001 p. 1 abstract, jama_dupuis_2024_oi_240111_1733431204.38761.pdf — p. 4 analyses/results, jama_dupuis_2024_oi_240111_1733431204.38761.pdf — p. 7 Table 2; REPORT joi240111supp2_prod_1733431204.76024.pdf — DOC-003 p. 12 eTable 9, joi240111supp2_prod_1733431204.76024.pdf — p. 13 eTable 10, joi240111supp2_prod_1733431204.76024.pdf — p. 14 eTable 10, joi240111supp2_prod_1733431204.76024.pdf — p. 15 eTable 10, joi240111supp2_prod_1733431204.76024.pdf — p. 20 eFigure 2, joi240111supp2_prod_1733431204.76024.pdf — p. 21 eFigure 3. Complete absence search: all supplied REPORT pages.</t>
        </is>
      </c>
      <c r="D4" s="21" t="inlineStr">
        <is>
          <t>retain</t>
        </is>
      </c>
      <c r="E4" s="21" t="inlineStr">
        <is>
          <t>protocol_report</t>
        </is>
      </c>
      <c r="F4" s="21" t="inlineStr">
        <is>
          <t>primary_done</t>
        </is>
      </c>
      <c r="G4" s="20">
        <f>IFERROR(IF(LEN(TRIM(CLEAN(SUBSTITUTE(Setup!$B$2,CHAR(160)," "))))=0,"CHECK REVIEWER ID",IF(OR(A4="",COUNTIF($A$2:$A$8,A4)&lt;&gt;1,LEFT(A4,LEN("2024::jama.2024.19585::"))&lt;&gt;"2024::jama.2024.19585::"),"CHECK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p11-12 and SAP p34-37 plan between-group models for individual SSPedi symptoms and for symptom documentation and interventions at weeks 4 and 8. The report gives week-8 comparisons only; week 4 appears descriptively (eTable 9, supp 2 p12) without comparative estimates.</t>
        </is>
      </c>
    </row>
    <row r="5" ht="92" customHeight="1" s="25">
      <c r="A5" s="24" t="inlineStr">
        <is>
          <t>2024::jama.2024.19585::C004</t>
        </is>
      </c>
      <c r="B5" s="24" t="inlineStr">
        <is>
          <t>Final planned intervention effects and reported logistic OR analyses differ</t>
        </is>
      </c>
      <c r="C5" s="24" t="inlineStr">
        <is>
          <t>PLAN joi240111supp1_prod_1733431204.57929.pdf — DOC-002 p. 12 final protocol item 5, joi240111supp1_prod_1733431204.57929.pdf — p. 37 final SAP item 5, joi240111supp1_prod_1733431204.57929.pdf — p. 31 version history; REPORT jama_dupuis_2024_oi_240111_1733431204.38761.pdf — DOC-001 p. 1 abstract secondary outcomes/conclusion, jama_dupuis_2024_oi_240111_1733431204.38761.pdf — p. 4 secondary methods, joi240111supp2_prod_1733431204.76024.pdf — DOC-003 p. 13 eTable 10, joi240111supp2_prod_1733431204.76024.pdf — p. 14 eTable 10, joi240111supp2_prod_1733431204.76024.pdf — p. 15 footnote b, joi240111supp2_prod_1733431204.76024.pdf — p. 22 eMethods.</t>
        </is>
      </c>
      <c r="D5" s="21" t="inlineStr">
        <is>
          <t>retain</t>
        </is>
      </c>
      <c r="E5" s="21" t="inlineStr">
        <is>
          <t>protocol_report</t>
        </is>
      </c>
      <c r="F5" s="21" t="inlineStr">
        <is>
          <t>primary_done</t>
        </is>
      </c>
      <c r="G5" s="24">
        <f>IFERROR(IF(LEN(TRIM(CLEAN(SUBSTITUTE(Setup!$B$2,CHAR(160)," "))))=0,"CHECK REVIEWER ID",IF(OR(A5="",COUNTIF($A$2:$A$8,A5)&lt;&gt;1,LEFT(A5,LEN("2024::jama.2024.19585::"))&lt;&gt;"2024::jama.2024.19585::"),"CHECK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Final protocol item 5 (supp 1 p12) and SAP (p37): intervention outcomes analyzed as simple differences in proportions ignoring clustering, Fisher exact P values and Newcombe CIs. Report (main p4; eTable 10 footnote b; eMethods p22) presents odds ratios from mixed or fixed effects logistic regression for any and symptom-specific interventions.</t>
        </is>
      </c>
    </row>
    <row r="6" ht="92" customHeight="1" s="25">
      <c r="A6" s="20" t="inlineStr">
        <is>
          <t>2024::jama.2024.19585::C005</t>
        </is>
      </c>
      <c r="B6" s="20" t="inlineStr">
        <is>
          <t>Finite severe-mouth-sore ORs accompany an empty intervention cohort</t>
        </is>
      </c>
      <c r="C6" s="20" t="inlineStr">
        <is>
          <t>REPORT joi240111supp2_prod_1733431204.76024.pdf — DOC-003 p. 13 documentation, mouth sores, SSPedi≥3; REPORT joi240111supp2_prod_1733431204.76024.pdf — p. 14 any intervention, mouth sores, SSPedi≥3; REPORT joi240111supp2_prod_1733431204.76024.pdf — p. 14 symptom-specific intervention, mouth sores, SSPedi≥3; REPORT joi240111supp2_prod_1733431204.76024.pdf — p. 15 footnotes b/c and joi240111supp2_prod_1733431204.76024.pdf — p. 22 eMethods.</t>
        </is>
      </c>
      <c r="D6" s="21" t="inlineStr">
        <is>
          <t>retain</t>
        </is>
      </c>
      <c r="E6" s="21" t="inlineStr">
        <is>
          <t>statistical_results</t>
        </is>
      </c>
      <c r="F6" s="21" t="inlineStr">
        <is>
          <t>primary_done</t>
        </is>
      </c>
      <c r="G6" s="20">
        <f>IFERROR(IF(LEN(TRIM(CLEAN(SUBSTITUTE(Setup!$B$2,CHAR(160)," "))))=0,"CHECK REVIEWER ID",IF(OR(A6="",COUNTIF($A$2:$A$8,A6)&lt;&gt;1,LEFT(A6,LEN("2024::jama.2024.19585::"))&lt;&gt;"2024::jama.2024.19585::"),"CHECK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eTable 10 (supp 2 p13-14), mouth sores among SSPedi&gt;=3: symptom screening 0/0 (empty), yet finite ORs are printed: 2.6 (0.04-170.4), 5.00 (0.07-366.4) twice. These equal Haldane 0.5-corrected crude ORs ((0.5x6.5)/(0.5x2.5)=2.6; (0.5x7.5)/(0.5x1.5)=5.0), a method not described; a comparison with an empty group is not estimable.</t>
        </is>
      </c>
    </row>
    <row r="7" ht="92" customHeight="1" s="25">
      <c r="A7" s="24" t="inlineStr">
        <is>
          <t>2024::jama.2024.19585::C006</t>
        </is>
      </c>
      <c r="B7" s="24" t="inlineStr">
        <is>
          <t>Sadness interval excludes one while the displayed P is at the strict threshold</t>
        </is>
      </c>
      <c r="C7" s="24" t="inlineStr">
        <is>
          <t>REPORT joi240111supp2_prod_1733431204.76024.pdf — DOC-003 p. 13 eTable 10 any intervention, sadness, all participants; REPORT jama_dupuis_2024_oi_240111_1733431204.38761.pdf — DOC-001 p. 4 P&lt;.05 rule, jama_dupuis_2024_oi_240111_1733431204.38761.pdf — p. 5 matched counts/P and significance narrative; REPORT joi240111supp2_prod_1733431204.76024.pdf — DOC-003 p. 15 footnote b, joi240111supp2_prod_1733431204.76024.pdf — p. 22 eMethods.</t>
        </is>
      </c>
      <c r="D7" s="21" t="inlineStr">
        <is>
          <t>exclude</t>
        </is>
      </c>
      <c r="E7" s="21" t="inlineStr">
        <is>
          <t>statistical_results</t>
        </is>
      </c>
      <c r="F7" s="21" t="inlineStr">
        <is>
          <t>primary_done</t>
        </is>
      </c>
      <c r="G7" s="24">
        <f>IFERROR(IF(LEN(TRIM(CLEAN(SUBSTITUTE(Setup!$B$2,CHAR(160)," "))))=0,"CHECK REVIEWER ID",IF(OR(A7="",COUNTIF($A$2:$A$8,A7)&lt;&gt;1,LEFT(A7,LEN("2024::jama.2024.19585::"))&lt;&gt;"2024::jama.2024.19585::"),"CHECK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inlineStr">
        <is>
          <t>eTable 10 sadness, any intervention, all participants: OR 0.51 (0.26-0.99), P=.05, called significant (main p5) under the P&lt;.05 rule. The CI implies P about .048, which rounds to .05 and is below .05. Consistent once rounding is considered.</t>
        </is>
      </c>
    </row>
    <row r="8" ht="92" customHeight="1" s="25">
      <c r="A8" s="20" t="inlineStr">
        <is>
          <t>2024::jama.2024.19585::C007</t>
        </is>
      </c>
      <c r="B8" s="20" t="inlineStr">
        <is>
          <t>Neuropathy and hunger symptom-specific intervals include one with significant P values</t>
        </is>
      </c>
      <c r="C8" s="20" t="inlineStr">
        <is>
          <t>REPORT joi240111supp2_prod_1733431204.76024.pdf — DOC-003 p. 14 symptom-specific intervention, neuropathy, SSPedi≥1; REPORT joi240111supp2_prod_1733431204.76024.pdf — p. 14 symptom-specific intervention, hunger, SSPedi≥1; REPORT joi240111supp2_prod_1733431204.76024.pdf — p. 15 footnotes b/c and joi240111supp2_prod_1733431204.76024.pdf — p. 22 eMethods; REPORT jama_dupuis_2024_oi_240111_1733431204.38761.pdf — DOC-001 p. 4 threshold/methods, jama_dupuis_2024_oi_240111_1733431204.38761.pdf — p. 5 matched counts and jama_dupuis_2024_oi_240111_1733431204.38761.pdf — p. 6 significance statements.</t>
        </is>
      </c>
      <c r="D8" s="21" t="inlineStr">
        <is>
          <t>retain</t>
        </is>
      </c>
      <c r="E8" s="21" t="inlineStr">
        <is>
          <t>statistical_results</t>
        </is>
      </c>
      <c r="F8" s="21" t="inlineStr">
        <is>
          <t>primary_done</t>
        </is>
      </c>
      <c r="G8" s="20">
        <f>IFERROR(IF(LEN(TRIM(CLEAN(SUBSTITUTE(Setup!$B$2,CHAR(160)," "))))=0,"CHECK REVIEWER ID",IF(OR(A8="",COUNTIF($A$2:$A$8,A8)&lt;&gt;1,LEFT(A8,LEN("2024::jama.2024.19585::"))&lt;&gt;"2024::jama.2024.19585::"),"CHECK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possible</t>
        </is>
      </c>
      <c r="K8" s="21">
        <f>IF(AND(OR(D8="retain",D8=""),OR(E8="report_internal_inconsistency",E8="plan_material")),"","not_applicable")</f>
        <v/>
      </c>
      <c r="L8" s="22">
        <f>IF(AND(OR(D8="retain",D8=""),E8="protocol_report"),"","not_applicable")</f>
        <v/>
      </c>
      <c r="M8" s="20" t="n"/>
      <c r="N8" s="23" t="n"/>
      <c r="O8" s="23" t="n"/>
      <c r="P8" s="23" t="n"/>
      <c r="Q8" s="23" t="n"/>
      <c r="R8" s="22" t="inlineStr">
        <is>
          <t>eTable 10 symptom-specific intervention, SSPedi&gt;=1: neuropathy 6/57 vs 0/70, OR 17.8 (0.98-323.1), P=.007; hunger 6/111 vs 0/130, OR 16.08 (0.9-288.74), P=.009; main p6 calls both significant. Recomputed: the ORs/CIs are Haldane-corrected Wald values and the P values are Fisher exact (.0070, .0089), not the logistic models the footnote states. CI and P come from different, undisclosed methods.</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2024::jama.2024.2302::C001</t>
        </is>
      </c>
      <c r="B2" s="20" t="inlineStr">
        <is>
          <t>Abstract operative-repair population count</t>
        </is>
      </c>
      <c r="C2" s="20" t="inlineStr">
        <is>
          <t>REPORT jama_blakely_2024_oi_240020_1710443209.74411.pdf — main PDF p. 1, Abstract Results; jama_blakely_2024_oi_240020_1710443209.74411.pdf — p. 3, Figure 1 repair/no-repair branches; jama_blakely_2024_oi_240020_1710443209.74411.pdf — p. 4, Patient Characteristics and Surgery Characteristics; jama_blakely_2024_oi_240020_1710443209.74411.pdf — p. 5, Surgery Characteristics continuation.</t>
        </is>
      </c>
      <c r="D2" s="21" t="inlineStr">
        <is>
          <t>retain</t>
        </is>
      </c>
      <c r="E2" s="21" t="inlineStr">
        <is>
          <t>statistical_results</t>
        </is>
      </c>
      <c r="F2" s="21" t="inlineStr">
        <is>
          <t>primary_done</t>
        </is>
      </c>
      <c r="G2" s="20">
        <f>IFERROR(IF(LEN(TRIM(CLEAN(SUBSTITUTE(Setup!$B$2,CHAR(160)," "))))=0,"CHECK REVIEWER ID",IF(OR(A2="",COUNTIF($A$2:$A$7,A2)&lt;&gt;1,LEFT(A2,LEN("2024::jama.2024.2302::"))&lt;&gt;"2024::jama.2024.2302::"),"CHECK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Abstract (main p1): 'Among the 338 randomized infants ..., 320 underwent operative repair'. Figure 1 (p3) and text (p4-5) give 152 early (147+5) and 129 late (90+39) repairs = 281; 320 is the number remaining after withdrawals (163+157), the population described in Table 1.</t>
        </is>
      </c>
    </row>
    <row r="3" ht="92" customHeight="1" s="25">
      <c r="A3" s="24" t="inlineStr">
        <is>
          <t>2024::jama.2024.2302::C002</t>
        </is>
      </c>
      <c r="B3" s="24" t="inlineStr">
        <is>
          <t>Planned and reported primary and hospital-day analysis specifications</t>
        </is>
      </c>
      <c r="C3" s="24" t="inlineStr">
        <is>
          <t>PLAN joi240020supp1_prod_1710443209.74911.pdf — protocol PDF p. 13, lines 471–488, primary/hospital analysis paragraphs; PLAN joi240020supp2_prod_1710443209.75411.pdf — SAP p. 7, lines 263–266, joi240020supp2_prod_1710443209.75411.pdf — p. 8, lines 267–271; REPORT jama_blakely_2024_oi_240020_1710443209.74411.pdf — main p. 4, Statistical Analysis, jama_blakely_2024_oi_240020_1710443209.74411.pdf — p. 6, Table 2; REPORT joi240020supp3_prod_1710443209.75411.pdf — results supplement p. 5, eTable 2 and model footnote.</t>
        </is>
      </c>
      <c r="D3" s="21" t="inlineStr">
        <is>
          <t>retain</t>
        </is>
      </c>
      <c r="E3" s="21" t="inlineStr">
        <is>
          <t>protocol_report</t>
        </is>
      </c>
      <c r="F3" s="21" t="inlineStr">
        <is>
          <t>primary_done</t>
        </is>
      </c>
      <c r="G3" s="24">
        <f>IFERROR(IF(LEN(TRIM(CLEAN(SUBSTITUTE(Setup!$B$2,CHAR(160)," "))))=0,"CHECK REVIEWER ID",IF(OR(A3="",COUNTIF($A$2:$A$7,A3)&lt;&gt;1,LEFT(A3,LEN("2024::jama.2024.2302::"))&lt;&gt;"2024::jama.2024.2302::"),"CHECK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v7 p13: primary outcome by binomial GLMM with log link; hospital days by a lognormal model. SAP (Oct 2022) p7-8: logistic model for binary outcomes and negative binomial for counts, same model for frequentist and Bayesian analyses. Report p4: logistic mixed model (Bayesian), but frequentist primary by GEE logistic due to nonconvergence (disclosed), and negative binomial mixed model for hospital days.</t>
        </is>
      </c>
    </row>
    <row r="4" ht="92" customHeight="1" s="25">
      <c r="A4" s="20" t="inlineStr">
        <is>
          <t>2024::jama.2024.2302::C003</t>
        </is>
      </c>
      <c r="B4" s="20" t="inlineStr">
        <is>
          <t>Bayesian intervention and subgroup main-effect prior specifications</t>
        </is>
      </c>
      <c r="C4" s="20" t="inlineStr">
        <is>
          <t>PLAN joi240020supp1_prod_1710443209.74911.pdf — protocol p. 13, lines 486–498; PLAN joi240020supp2_prod_1710443209.75411.pdf — SAP p. 8, lines 283–290, joi240020supp2_prod_1710443209.75411.pdf — p. 9, lines 327–332; REPORT jama_blakely_2024_oi_240020_1710443209.74411.pdf — main p. 4, priors/modifier paragraphs; affected REPORT results jama_blakely_2024_oi_240020_1710443209.74411.pdf — main p. 6, Table 2/Figure 2, jama_blakely_2024_oi_240020_1710443209.74411.pdf — p. 8, Figure 3.</t>
        </is>
      </c>
      <c r="D4" s="21" t="inlineStr">
        <is>
          <t>retain</t>
        </is>
      </c>
      <c r="E4" s="21" t="inlineStr">
        <is>
          <t>protocol_report</t>
        </is>
      </c>
      <c r="F4" s="21" t="inlineStr">
        <is>
          <t>primary_done</t>
        </is>
      </c>
      <c r="G4" s="20">
        <f>IFERROR(IF(LEN(TRIM(CLEAN(SUBSTITUTE(Setup!$B$2,CHAR(160)," "))))=0,"CHECK REVIEWER ID",IF(OR(A4="",COUNTIF($A$2:$A$7,A4)&lt;&gt;1,LEFT(A4,LEN("2024::jama.2024.2302::"))&lt;&gt;"2024::jama.2024.2302::"),"CHECK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p8: prior for categorical outcomes OR 1.0 with 95% CrI 0.2-4 (Normal(0, 0.7) on log OR); count outcomes RR 95% CrI 0.33-3.3; interaction terms Normal(0, 0.6); subgroup main effects as primary. Protocol p13: RR 1.0 (0.33-3.0) and main effects N(0,1000). Report p4: OR/RR 1.0 (95% CrI 0.33-3.0) for the intervention effect and 0.33-3.0 for interactions, vague priors for other terms.</t>
        </is>
      </c>
    </row>
    <row r="5" ht="92" customHeight="1" s="25">
      <c r="A5" s="24" t="inlineStr">
        <is>
          <t>2024::jama.2024.2302::C004</t>
        </is>
      </c>
      <c r="B5" s="24" t="inlineStr">
        <is>
          <t>Formal interim analysis information milestone</t>
        </is>
      </c>
      <c r="C5" s="24" t="inlineStr">
        <is>
          <t>PLAN joi240020supp1_prod_1710443209.74911.pdf — protocol p. 14, lines 519–530, joi240020supp1_prod_1710443209.74911.pdf — p. 25, version 7 history, lines 979–982; PLAN joi240020supp2_prod_1710443209.75411.pdf — SAP p. 4, lines 119–127; REPORT jama_blakely_2024_oi_240020_1710443209.74411.pdf — main p. 4, formal interim paragraph, jama_blakely_2024_oi_240020_1710443209.74411.pdf — p. 8, early-stopping limitation.</t>
        </is>
      </c>
      <c r="D5" s="21" t="inlineStr">
        <is>
          <t>retain</t>
        </is>
      </c>
      <c r="E5" s="21" t="inlineStr">
        <is>
          <t>protocol_report</t>
        </is>
      </c>
      <c r="F5" s="21" t="inlineStr">
        <is>
          <t>primary_done</t>
        </is>
      </c>
      <c r="G5" s="24">
        <f>IFERROR(IF(LEN(TRIM(CLEAN(SUBSTITUTE(Setup!$B$2,CHAR(160)," "))))=0,"CHECK REVIEWER ID",IF(OR(A5="",COUNTIF($A$2:$A$7,A5)&lt;&gt;1,LEFT(A5,LEN("2024::jama.2024.2302::"))&lt;&gt;"2024::jama.2024.2302::"),"CHECK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v7 (p14, p25) and SAP p4: one formal interim analysis (efficacy threshold 95%) when 10-month data were available for about 200 infants, planned for December 2019. Report p4: formal interim analysis completed with data for 309 infants in February 2021, which crossed the 95% threshold and stopped enrollment.</t>
        </is>
      </c>
    </row>
    <row r="6" ht="92" customHeight="1" s="25">
      <c r="A6" s="20" t="inlineStr">
        <is>
          <t>2024::jama.2024.2302::C005</t>
        </is>
      </c>
      <c r="B6" s="20" t="inlineStr">
        <is>
          <t>Planned primary and key-secondary analyses without supplied reported counterparts</t>
        </is>
      </c>
      <c r="C6" s="20" t="inlineStr">
        <is>
          <t>PLAN joi240020supp2_prod_1710443209.75411.pdf — SAP p. 4, lines 133–149, modeled death, joi240020supp2_prod_1710443209.75411.pdf — p. 5, lines 163–166, PP population, joi240020supp2_prod_1710443209.75411.pdf — p. 8, lines 269–276, ≥3%/≥5% benefit, joi240020supp2_prod_1710443209.75411.pdf — p. 9, lines 315–347, PP/modifiers/continuous GA; PLAN joi240020supp1_prod_1710443209.74911.pdf — protocol p. 13, lines 490–500, modifiers; alternative publication scope joi240020supp2_prod_1710443209.75411.pdf — SAP p. 2, lines 28–37. REPORT counterparts/search: jama_blakely_2024_oi_240020_1710443209.74411.pdf — main p. 4, methods and developmental deferral, jama_blakely_2024_oi_240020_1710443209.74411.pdf — p. 6, primary/hospital results, jama_blakely_2024_oi_240020_1710443209.74411.pdf — p. 7, Table 3 and heterogeneity, jama_blakely_2024_oi_240020_1710443209.74411.pdf — p. 8, Figure 3; joi240020supp3_prod_1710443209.75411.pdf — results supplement p. 1, contents, joi240020supp3_prod_1710443209.75411.pdf — p. 5, eTable 2. Complete absence search covers main physical pp. 1–10 and results-supplement pp. 1–8, including all other flow/baseline/center/reference/acknowledgment pages.</t>
        </is>
      </c>
      <c r="D6" s="21" t="inlineStr">
        <is>
          <t>retain</t>
        </is>
      </c>
      <c r="E6" s="21" t="inlineStr">
        <is>
          <t>protocol_report</t>
        </is>
      </c>
      <c r="F6" s="21" t="inlineStr">
        <is>
          <t>primary_done</t>
        </is>
      </c>
      <c r="G6" s="20">
        <f>IFERROR(IF(LEN(TRIM(CLEAN(SUBSTITUTE(Setup!$B$2,CHAR(160)," "))))=0,"CHECK REVIEWER ID",IF(OR(A6="",COUNTIF($A$2:$A$7,A6)&lt;&gt;1,LEFT(A6,LEN("2024::jama.2024.2302::"))&lt;&gt;"2024::jama.2024.2302::"),"CHECK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SAP (p4-5, p8-9) plans: per-protocol analysis of the primary outcome, probabilities of at least 3% and 5% risk reduction, Bayesian/frequentist analysis of death as an important secondary outcome, modifiers maternal education, prenatal care, difficult-to-reduce hernia (and sex, race/ethnicity), and continuous GA modeling. None is reported in the main article or supplement 3; the report shows GA, BPD and open/laparoscopic subgroups only.</t>
        </is>
      </c>
    </row>
    <row r="7" ht="92" customHeight="1" s="25">
      <c r="A7" s="24" t="inlineStr">
        <is>
          <t>2024::jama.2024.2302::C006</t>
        </is>
      </c>
      <c r="B7" s="24" t="inlineStr">
        <is>
          <t>Protocol hospital-day median assumptions</t>
        </is>
      </c>
      <c r="C7" s="24" t="inlineStr">
        <is>
          <t>PLAN joi240020supp1_prod_1710443209.74911.pdf — protocol p. 3, lines 105–109, specific aim, joi240020supp1_prod_1710443209.74911.pdf — p. 12, lines 460–462, power assumptions; corroborating PLAN joi240020supp2_prod_1710443209.75411.pdf — SAP p. 3, lines 73–80, clarification; related power outputs joi240020supp1_prod_1710443209.74911.pdf — protocol p. 13, Table 4, joi240020supp2_prod_1710443209.75411.pdf — SAP p. 4, lines 114–115.</t>
        </is>
      </c>
      <c r="D7" s="21" t="inlineStr">
        <is>
          <t>retain</t>
        </is>
      </c>
      <c r="E7" s="21" t="inlineStr">
        <is>
          <t>plan_material</t>
        </is>
      </c>
      <c r="F7" s="21" t="inlineStr">
        <is>
          <t>primary_done</t>
        </is>
      </c>
      <c r="G7" s="24">
        <f>IFERROR(IF(LEN(TRIM(CLEAN(SUBSTITUTE(Setup!$B$2,CHAR(160)," "))))=0,"CHECK REVIEWER ID",IF(OR(A7="",COUNTIF($A$2:$A$7,A7)&lt;&gt;1,LEFT(A7,LEN("2024::jama.2024.2302::"))&lt;&gt;"2024::jama.2024.2302::"),"CHECK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Protocol p3 specific aim states expected median hospital days 18 (early) vs 15 (late); protocol p12 power section uses median 8 vs 5 (means 18 vs 13). The SAP (p3, lines 76-79) explicitly identifies the p3 values as incorrect and confirms 8 vs 5.</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2024::jama.2024.23898::C001</t>
        </is>
      </c>
      <c r="B2" s="20" t="inlineStr">
        <is>
          <t>Secondary quality-of-life significance summary</t>
        </is>
      </c>
      <c r="C2" s="20" t="inlineStr">
        <is>
          <t>REPORT jama_paterson_2024_oi_240139_1741633738.12862.pdf — PDF p. 1; jama_paterson_2024_oi_240139_1741633738.12862.pdf — PDF p. 5; jama_paterson_2024_oi_240139_1741633738.12862.pdf — PDF p. 6; jama_paterson_2024_oi_240139_1741633738.12862.pdf — PDF p. 7; jama_paterson_2024_oi_240139_1741633738.12862.pdf — PDF p. 8; corroborating PLAN joi240139supp2_prod_1741633738.17362.pdf — PDF p. 14, secondary multiplicity convention</t>
        </is>
      </c>
      <c r="D2" s="21" t="inlineStr">
        <is>
          <t>retain</t>
        </is>
      </c>
      <c r="E2" s="21" t="inlineStr">
        <is>
          <t>statistical_results</t>
        </is>
      </c>
      <c r="F2" s="21" t="inlineStr">
        <is>
          <t>primary_done</t>
        </is>
      </c>
      <c r="G2" s="20">
        <f>IFERROR(IF(LEN(TRIM(CLEAN(SUBSTITUTE(Setup!$B$2,CHAR(160)," "))))=0,"CHECK REVIEWER ID",IF(OR(A2="",COUNTIF($A$2:$A$14,A2)&lt;&gt;1,LEFT(A2,LEN("2024::jama.2024.23898::"))&lt;&gt;"2024::jama.2024.23898::"),"CHECK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Abstract (p1) and Results (p5) state no significant difference in any of the 11 secondary end points, but Table 2 (p6) gives EQ-5D-5L postoperative day 5 difference -0.057 (95% CI -0.111 to -0.003), P=.04, favoring placebo. The SAP (p14) specifies no multiplicity adjustment and time-point effects from the time-by-treatment model.</t>
        </is>
      </c>
    </row>
    <row r="3" ht="92" customHeight="1" s="25">
      <c r="A3" s="24" t="inlineStr">
        <is>
          <t>2024::jama.2024.23898::C002</t>
        </is>
      </c>
      <c r="B3" s="24" t="inlineStr">
        <is>
          <t>Safety analysis population and exposure requirement</t>
        </is>
      </c>
      <c r="C3" s="24" t="inlineStr">
        <is>
          <t>PLAN joi240139supp2_prod_1741633738.17362.pdf — PDF p. 13, adverse-event population; REPORT jama_paterson_2024_oi_240139_1741633738.12862.pdf — PDF p. 3, Figure 1 receipt/safety boxes and footnote b; jama_paterson_2024_oi_240139_1741633738.12862.pdf — PDF p. 8, Table 3 AE/SAE rows, headings and footnote e</t>
        </is>
      </c>
      <c r="D3" s="21" t="inlineStr">
        <is>
          <t>retain</t>
        </is>
      </c>
      <c r="E3" s="21" t="inlineStr">
        <is>
          <t>protocol_report</t>
        </is>
      </c>
      <c r="F3" s="21" t="inlineStr">
        <is>
          <t>primary_done</t>
        </is>
      </c>
      <c r="G3" s="24">
        <f>IFERROR(IF(LEN(TRIM(CLEAN(SUBSTITUTE(Setup!$B$2,CHAR(160)," "))))=0,"CHECK REVIEWER ID",IF(OR(A3="",COUNTIF($A$2:$A$14,A3)&lt;&gt;1,LEFT(A3,LEN("2024::jama.2024.23898::"))&lt;&gt;"2024::jama.2024.23898::"),"CHECK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p13: safety data presented for participants randomized who received the IMP. Figure 1 (main p3) labels 279 lidocaine (including 12 who did not receive treatment) and 279 placebo (including 13 non-recipients plus 1 excluded participant who received drug) as the safety analysis; Table 3 (p8) headers are 279/278.</t>
        </is>
      </c>
    </row>
    <row r="4" ht="92" customHeight="1" s="25">
      <c r="A4" s="20" t="inlineStr">
        <is>
          <t>2024::jama.2024.23898::C003</t>
        </is>
      </c>
      <c r="B4" s="20" t="inlineStr">
        <is>
          <t>Postoperative opioid accumulation window</t>
        </is>
      </c>
      <c r="C4" s="20" t="inlineStr">
        <is>
          <t>PLAN joi240139supp1_prod_1741633738.16362.pdf — PDF p. 17; joi240139supp1_prod_1741633738.16362.pdf — PDF p. 33; joi240139supp1_prod_1741633738.16362.pdf — PDF p. 35; joi240139supp2_prod_1741633738.17362.pdf — PDF p. 11, collection schedule; REPORT jama_paterson_2024_oi_240139_1741633738.12862.pdf — PDF p. 4; jama_paterson_2024_oi_240139_1741633738.12862.pdf — PDF p. 5; jama_paterson_2024_oi_240139_1741633738.12862.pdf — PDF p. 6</t>
        </is>
      </c>
      <c r="D4" s="21" t="inlineStr">
        <is>
          <t>retain</t>
        </is>
      </c>
      <c r="E4" s="21" t="inlineStr">
        <is>
          <t>protocol_report</t>
        </is>
      </c>
      <c r="F4" s="21" t="inlineStr">
        <is>
          <t>primary_done</t>
        </is>
      </c>
      <c r="G4" s="20">
        <f>IFERROR(IF(LEN(TRIM(CLEAN(SUBSTITUTE(Setup!$B$2,CHAR(160)," "))))=0,"CHECK REVIEWER ID",IF(OR(A4="",COUNTIF($A$2:$A$14,A4)&lt;&gt;1,LEFT(A4,LEN("2024::jama.2024.23898::"))&lt;&gt;"2024::jama.2024.23898::"),"CHECK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(supp 1 endpoint definitions and concomitant-medication section) and SAP data schedule (p10-11): total postoperative opioid consumption cumulative to 72 hours after start of operation. Report (p4-6, Table 2): postoperative opioid consumption up to 24 hours.</t>
        </is>
      </c>
    </row>
    <row r="5" ht="92" customHeight="1" s="25">
      <c r="A5" s="24" t="inlineStr">
        <is>
          <t>2024::jama.2024.23898::C004</t>
        </is>
      </c>
      <c r="B5" s="24" t="inlineStr">
        <is>
          <t>Total hospital stay outcome hierarchy</t>
        </is>
      </c>
      <c r="C5" s="24" t="inlineStr">
        <is>
          <t>Conflicting REPORT jama_paterson_2024_oi_240139_1741633738.12862.pdf — PDF p. 4; jama_paterson_2024_oi_240139_1741633738.12862.pdf — PDF p. 7; jama_paterson_2024_oi_240139_1741633738.12862.pdf — PDF p. 8; corroborating PLAN joi240139supp1_prod_1741633738.16362.pdf — PDF p. 16; joi240139supp1_prod_1741633738.16362.pdf — PDF p. 18; joi240139supp2_prod_1741633738.17362.pdf — PDF p. 10, tertiary outcomes</t>
        </is>
      </c>
      <c r="D5" s="21" t="inlineStr">
        <is>
          <t>retain</t>
        </is>
      </c>
      <c r="E5" s="21" t="inlineStr">
        <is>
          <t>report_internal_inconsistency</t>
        </is>
      </c>
      <c r="F5" s="21" t="inlineStr">
        <is>
          <t>primary_done</t>
        </is>
      </c>
      <c r="G5" s="24">
        <f>IFERROR(IF(LEN(TRIM(CLEAN(SUBSTITUTE(Setup!$B$2,CHAR(160)," "))))=0,"CHECK REVIEWER ID",IF(OR(A5="",COUNTIF($A$2:$A$14,A5)&lt;&gt;1,LEFT(A5,LEN("2024::jama.2024.23898::"))&lt;&gt;"2024::jama.2024.23898::"),"CHECK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minor_presentation</t>
        </is>
      </c>
      <c r="L5" s="22">
        <f>IF(AND(OR(D5="retain",D5=""),E5="protocol_report"),"","not_applicable")</f>
        <v/>
      </c>
      <c r="M5" s="24" t="n"/>
      <c r="N5" s="23" t="n"/>
      <c r="O5" s="23" t="n"/>
      <c r="P5" s="23" t="n"/>
      <c r="Q5" s="23" t="n"/>
      <c r="R5" s="22" t="inlineStr">
        <is>
          <t>Methods (main p4) list total length of hospital stay among 5 tertiary objectives and Table 3 is titled Tertiary/Safety Outcomes, but the Discussion (p7) says the trial showed no benefit on 'any of the 11 secondary end points including ... total length of hospital stay'. Protocol and SAP also classify it as tertiary.</t>
        </is>
      </c>
    </row>
    <row r="6" ht="92" customHeight="1" s="25">
      <c r="A6" s="20" t="inlineStr">
        <is>
          <t>2024::jama.2024.23898::C005</t>
        </is>
      </c>
      <c r="B6" s="20" t="inlineStr">
        <is>
          <t>Unplanned readmission observation window</t>
        </is>
      </c>
      <c r="C6" s="20" t="inlineStr">
        <is>
          <t>PLAN joi240139supp1_prod_1741633738.16362.pdf — PDF p. 16; joi240139supp1_prod_1741633738.16362.pdf — PDF p. 18; joi240139supp2_prod_1741633738.17362.pdf — PDF p. 10; joi240139supp2_prod_1741633738.17362.pdf — PDF p. 27; REPORT jama_paterson_2024_oi_240139_1741633738.12862.pdf — PDF p. 4, outcomes and follow-up; jama_paterson_2024_oi_240139_1741633738.12862.pdf — PDF p. 8, Table 3 readmission row and footnote c</t>
        </is>
      </c>
      <c r="D6" s="21" t="inlineStr">
        <is>
          <t>retain</t>
        </is>
      </c>
      <c r="E6" s="21" t="inlineStr">
        <is>
          <t>protocol_report</t>
        </is>
      </c>
      <c r="F6" s="21" t="inlineStr">
        <is>
          <t>primary_done</t>
        </is>
      </c>
      <c r="G6" s="20">
        <f>IFERROR(IF(LEN(TRIM(CLEAN(SUBSTITUTE(Setup!$B$2,CHAR(160)," "))))=0,"CHECK REVIEWER ID",IF(OR(A6="",COUNTIF($A$2:$A$14,A6)&lt;&gt;1,LEFT(A6,LEN("2024::jama.2024.23898::"))&lt;&gt;"2024::jama.2024.23898::"),"CHECK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and SAP (p10, p27 Table 13.23): unplanned readmissions within 30 days of the date of operation. Report Table 3 (p8): unplanned readmission after discharge and within 90 days of operation.</t>
        </is>
      </c>
    </row>
    <row r="7" ht="92" customHeight="1" s="25">
      <c r="A7" s="24" t="inlineStr">
        <is>
          <t>2024::jama.2024.23898::C006</t>
        </is>
      </c>
      <c r="B7" s="24" t="inlineStr">
        <is>
          <t>Primary logit and log-link specifications</t>
        </is>
      </c>
      <c r="C7" s="24" t="inlineStr">
        <is>
          <t>PLAN joi240139supp1_prod_1741633738.16362.pdf — PDF p. 40, §10.2; physical page, printed footer Page 41 of 61; joi240139supp2_prod_1741633738.17362.pdf — PDF p. 3; joi240139supp2_prod_1741633738.17362.pdf — PDF p. 14; joi240139supp2_prod_1741633738.17362.pdf — PDF p. 34; REPORT jama_paterson_2024_oi_240139_1741633738.12862.pdf — PDF p. 5; jama_paterson_2024_oi_240139_1741633738.12862.pdf — PDF p. 6; protocol cover/version context joi240139supp1_prod_1741633738.16362.pdf — PDF p. 1</t>
        </is>
      </c>
      <c r="D7" s="21" t="inlineStr">
        <is>
          <t>retain</t>
        </is>
      </c>
      <c r="E7" s="21" t="inlineStr">
        <is>
          <t>protocol_report</t>
        </is>
      </c>
      <c r="F7" s="21" t="inlineStr">
        <is>
          <t>primary_done</t>
        </is>
      </c>
      <c r="G7" s="24">
        <f>IFERROR(IF(LEN(TRIM(CLEAN(SUBSTITUTE(Setup!$B$2,CHAR(160)," "))))=0,"CHECK REVIEWER ID",IF(OR(A7="",COUNTIF($A$2:$A$14,A7)&lt;&gt;1,LEFT(A7,LEN("2024::jama.2024.23898::"))&lt;&gt;"2024::jama.2024.23898::"),"CHECK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section 10.2 (supp 1 PDF p40): primary outcome analyzed with a GLM with logit link. SAP v2 (p14, Table 13.8, Stata code p34): log link (Poisson, robust). Report (p5-6): log-link GLM, relative risk 0.97 (0.88-1.07).</t>
        </is>
      </c>
    </row>
    <row r="8" ht="92" customHeight="1" s="25">
      <c r="A8" s="20" t="inlineStr">
        <is>
          <t>2024::jama.2024.23898::C007</t>
        </is>
      </c>
      <c r="B8" s="20" t="inlineStr">
        <is>
          <t>Planned unadjusted primary and key-secondary analyses</t>
        </is>
      </c>
      <c r="C8" s="20" t="inlineStr">
        <is>
          <t>PLAN joi240139supp2_prod_1741633738.17362.pdf — PDF p. 20, Tables 13.8–13.9; joi240139supp2_prod_1741633738.17362.pdf — PDF p. 21, Table 13.10; joi240139supp2_prod_1741633738.17362.pdf — PDF p. 26, Tables 13.21–13.22; reported-output/key-secondary identification jama_paterson_2024_oi_240139_1741633738.12862.pdf — PDF p. 1; jama_paterson_2024_oi_240139_1741633738.12862.pdf — PDF p. 5; jama_paterson_2024_oi_240139_1741633738.12862.pdf — PDF p. 6; jama_paterson_2024_oi_240139_1741633738.12862.pdf — PDF p. 7; jama_paterson_2024_oi_240139_1741633738.12862.pdf — PDF p. 8; joi240139supp3_prod_1741633738.18862.pdf — PDF p. 2, subgroup outputs; complete absence-search REPORT union: jama_paterson_2024_oi_240139_1741633738.12862.pdf — PDF p. 1; jama_paterson_2024_oi_240139_1741633738.12862.pdf — PDF p. 2; jama_paterson_2024_oi_240139_1741633738.12862.pdf — PDF p. 3; jama_paterson_2024_oi_240139_1741633738.12862.pdf — PDF p. 4; jama_paterson_2024_oi_240139_1741633738.12862.pdf — PDF p. 5; jama_paterson_2024_oi_240139_1741633738.12862.pdf — PDF p. 6; jama_paterson_2024_oi_240139_1741633738.12862.pdf — PDF p. 7; jama_paterson_2024_oi_240139_1741633738.12862.pdf — PDF p. 8; jama_paterson_2024_oi_240139_1741633738.12862.pdf — PDF p. 9; jama_paterson_2024_oi_240139_1741633738.12862.pdf — PDF p. 10; joi240139supp3_prod_1741633738.18862.pdf — PDF p. 1; joi240139supp3_prod_1741633738.18862.pdf — PDF p. 2; joi240139supp4_prod_1741633738.20861.pdf — PDF p. 1</t>
        </is>
      </c>
      <c r="D8" s="21" t="inlineStr">
        <is>
          <t>retain</t>
        </is>
      </c>
      <c r="E8" s="21" t="inlineStr">
        <is>
          <t>protocol_report</t>
        </is>
      </c>
      <c r="F8" s="21" t="inlineStr">
        <is>
          <t>primary_done</t>
        </is>
      </c>
      <c r="G8" s="20">
        <f>IFERROR(IF(LEN(TRIM(CLEAN(SUBSTITUTE(Setup!$B$2,CHAR(160)," "))))=0,"CHECK REVIEWER ID",IF(OR(A8="",COUNTIF($A$2:$A$14,A8)&lt;&gt;1,LEFT(A8,LEN("2024::jama.2024.23898::"))&lt;&gt;"2024::jama.2024.23898::"),"CHECK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inlineStr">
        <is>
          <t>SAP shell Tables 13.8-13.10 and 13.21-13.22 (p20-21, p26) plan unadjusted and adjusted estimates for the primary outcome (ITT and per-protocol), GI-2/GI-3 times, prolonged ileus and discharge readiness; only adjusted estimates are reported (Table 2). L left blank: a real omission but of low importance in a randomized trial.</t>
        </is>
      </c>
    </row>
    <row r="9" ht="92" customHeight="1" s="25">
      <c r="A9" s="24" t="inlineStr">
        <is>
          <t>2024::jama.2024.23898::C008</t>
        </is>
      </c>
      <c r="B9" s="24" t="inlineStr">
        <is>
          <t>Planned Edinburgh primary sensitivity analysis</t>
        </is>
      </c>
      <c r="C9" s="24" t="inlineStr">
        <is>
          <t>PLAN joi240139supp2_prod_1741633738.17362.pdf — PDF p.15, §11.6 primary sensitivity analysis. REPORT jama_paterson_2024_oi_240139_1741633738.12862.pdf — PDF p.5, analysis methods and results, jama_paterson_2024_oi_240139_1741633738.12862.pdf — PDF p.6, Table 2 primary estimates, jama_paterson_2024_oi_240139_1741633738.12862.pdf — PDF p.7, robustness discussion, jama_paterson_2024_oi_240139_1741633738.12862.pdf — PDF p.9, limitations, and joi240139supp3_prod_1741633738.18862.pdf — PDF p.2, subgroup eFigure. The absence check also covered every remaining page of the main article, both pages of the subgroup supplement and joi240139supp4_prod_1741633738.20861.pdf — PDF p.1, data-sharing statement, comprising all 13 supplied REPORT pages.</t>
        </is>
      </c>
      <c r="D9" s="21" t="inlineStr">
        <is>
          <t>retain</t>
        </is>
      </c>
      <c r="E9" s="21" t="inlineStr">
        <is>
          <t>protocol_report</t>
        </is>
      </c>
      <c r="F9" s="21" t="inlineStr">
        <is>
          <t>primary_done</t>
        </is>
      </c>
      <c r="G9" s="24">
        <f>IFERROR(IF(LEN(TRIM(CLEAN(SUBSTITUTE(Setup!$B$2,CHAR(160)," "))))=0,"CHECK REVIEWER ID",IF(OR(A9="",COUNTIF($A$2:$A$14,A9)&lt;&gt;1,LEFT(A9,LEN("2024::jama.2024.23898::"))&lt;&gt;"2024::jama.2024.23898::"),"CHECK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SAP section 11.6 (p15): sensitivity analysis comparing Edinburgh (sponsor, largest recruiter) with the other centres. Not reported in the main article or supplements 3-4.</t>
        </is>
      </c>
    </row>
    <row r="10" ht="92" customHeight="1" s="25">
      <c r="A10" s="20" t="inlineStr">
        <is>
          <t>2024::jama.2024.23898::C009</t>
        </is>
      </c>
      <c r="B10" s="20" t="inlineStr">
        <is>
          <t>Discharge and readiness model specifications</t>
        </is>
      </c>
      <c r="C10" s="20" t="inlineStr">
        <is>
          <t>PLAN joi240139supp2_prod_1741633738.17362.pdf — PDF p.14, §11.4 secondary analyses, joi240139supp2_prod_1741633738.17362.pdf — PDF p.26, Tables 13.21–13.22 and model footnotes, and joi240139supp2_prod_1741633738.17362.pdf — PDF p.36, discharge/readiness sample commands. REPORT jama_paterson_2024_oi_240139_1741633738.12862.pdf — PDF p.5, time-to-event methods and jama_paterson_2024_oi_240139_1741633738.12862.pdf — PDF p.7, Table 2 medical-discharge/patient-readiness rows and footnotes c,d.</t>
        </is>
      </c>
      <c r="D10" s="21" t="inlineStr">
        <is>
          <t>retain</t>
        </is>
      </c>
      <c r="E10" s="21" t="inlineStr">
        <is>
          <t>protocol_report</t>
        </is>
      </c>
      <c r="F10" s="21" t="inlineStr">
        <is>
          <t>primary_done</t>
        </is>
      </c>
      <c r="G10" s="20">
        <f>IFERROR(IF(LEN(TRIM(CLEAN(SUBSTITUTE(Setup!$B$2,CHAR(160)," "))))=0,"CHECK REVIEWER ID",IF(OR(A10="",COUNTIF($A$2:$A$14,A10)&lt;&gt;1,LEFT(A10,LEN("2024::jama.2024.23898::"))&lt;&gt;"2024::jama.2024.23898::"),"CHECK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indeterminate</t>
        </is>
      </c>
      <c r="M10" s="20" t="n"/>
      <c r="N10" s="23" t="n"/>
      <c r="O10" s="23" t="n"/>
      <c r="P10" s="23" t="n"/>
      <c r="Q10" s="23" t="n"/>
      <c r="R10" s="22" t="inlineStr">
        <is>
          <t>SAP shell Tables 13.21-13.22 (p26) and Stata code (p36) specify a generalized linear model (meglm, continuous time) for time to medical discharge criteria and to patient-reported readiness; the report (p5, p7 Table 2) uses Cox regression (HR 0.99 for both). The SAP's general text (p14, 11.4) says time-to-event outcomes use Cox regression.</t>
        </is>
      </c>
    </row>
    <row r="11" ht="92" customHeight="1" s="25">
      <c r="A11" s="24" t="inlineStr">
        <is>
          <t>2024::jama.2024.23898::C010</t>
        </is>
      </c>
      <c r="B11" s="24" t="inlineStr">
        <is>
          <t>Planned key-secondary result components</t>
        </is>
      </c>
      <c r="C11" s="24" t="inlineStr">
        <is>
          <t>The five component groups and their affected locations are listed separately below. Key-secondary status is established by REPORT jama_paterson_2024_oi_240139_1741633738.12862.pdf — PDF p.1, abstract outcome list and jama_paterson_2024_oi_240139_1741633738.12862.pdf — PDF p.4, outcome list; jama_paterson_2024_oi_240139_1741633738.12862.pdf — PDF p.5, results summary supplies no missing component output. The absence comparison covered the complete main article, the two-page subgroup supplement and joi240139supp4_prod_1741633738.20861.pdf — PDF p.1, all 13 REPORT pages.</t>
        </is>
      </c>
      <c r="D11" s="21" t="inlineStr">
        <is>
          <t>retain</t>
        </is>
      </c>
      <c r="E11" s="21" t="inlineStr">
        <is>
          <t>protocol_report</t>
        </is>
      </c>
      <c r="F11" s="21" t="inlineStr">
        <is>
          <t>primary_done</t>
        </is>
      </c>
      <c r="G11" s="24">
        <f>IFERROR(IF(LEN(TRIM(CLEAN(SUBSTITUTE(Setup!$B$2,CHAR(160)," "))))=0,"CHECK REVIEWER ID",IF(OR(A11="",COUNTIF($A$2:$A$14,A11)&lt;&gt;1,LEFT(A11,LEN("2024::jama.2024.23898::"))&lt;&gt;"2024::jama.2024.23898::"),"CHECK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inlineStr">
        <is>
          <t>SAP shell tables plan outputs not found in the report: GI-2 status by 96 h (Table 13.7), total vomiting episodes and rescue antiemetic dose to 72 h, EQ-5D VAS at postoperative time points, and day-1 weight (ERAS table). Report gives other components of these outcome families. L left blank: descriptive components of low importance.</t>
        </is>
      </c>
    </row>
    <row r="12" ht="92" customHeight="1" s="25">
      <c r="A12" s="20" t="inlineStr">
        <is>
          <t>2024::jama.2024.23898::C011</t>
        </is>
      </c>
      <c r="B12" s="20" t="inlineStr">
        <is>
          <t>GI-2 and GI-3 survival time origin</t>
        </is>
      </c>
      <c r="C12" s="20" t="inlineStr">
        <is>
          <t>PLAN joi240139supp1_prod_1741633738.16362.pdf — PDF p.16, GI-2/GI-3 endpoint definitions; joi240139supp2_prod_1741633738.17362.pdf — PDF p.9, endpoint prose, joi240139supp2_prod_1741633738.17362.pdf — PDF p.33, binary composite definitions, and joi240139supp2_prod_1741633738.17362.pdf — PDF p.34, continuous survival Time definitions. Corroborating REPORT jama_paterson_2024_oi_240139_1741633738.12862.pdf — PDF p.6, GI-2/GI-3 time-to-event results and jama_paterson_2024_oi_240139_1741633738.12862.pdf — PDF p.8, Figure 2 time axis.</t>
        </is>
      </c>
      <c r="D12" s="21" t="inlineStr">
        <is>
          <t>retain</t>
        </is>
      </c>
      <c r="E12" s="21" t="inlineStr">
        <is>
          <t>plan_material</t>
        </is>
      </c>
      <c r="F12" s="21" t="inlineStr">
        <is>
          <t>primary_done</t>
        </is>
      </c>
      <c r="G12" s="20">
        <f>IFERROR(IF(LEN(TRIM(CLEAN(SUBSTITUTE(Setup!$B$2,CHAR(160)," "))))=0,"CHECK REVIEWER ID",IF(OR(A12="",COUNTIF($A$2:$A$14,A12)&lt;&gt;1,LEFT(A12,LEN("2024::jama.2024.23898::"))&lt;&gt;"2024::jama.2024.23898::"),"CHECK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minor_presentation</t>
        </is>
      </c>
      <c r="L12" s="22">
        <f>IF(AND(OR(D12="retain",D12=""),E12="protocol_report"),"","not_applicable")</f>
        <v/>
      </c>
      <c r="M12" s="20" t="n"/>
      <c r="N12" s="23" t="n"/>
      <c r="O12" s="23" t="n"/>
      <c r="P12" s="23" t="n"/>
      <c r="Q12" s="23" t="n"/>
      <c r="R12" s="22" t="inlineStr">
        <is>
          <t>Protocol endpoint definitions (supp 1 p16) and SAP prose (p9, p33) time GI-2/GI-3 recovery from surgery/start of operation; the SAP variable definitions for the Cox models (p34) use the start of general anaesthesia as time origin.</t>
        </is>
      </c>
    </row>
    <row r="13" ht="92" customHeight="1" s="25">
      <c r="A13" s="24" t="inlineStr">
        <is>
          <t>2024::jama.2024.23898::C012</t>
        </is>
      </c>
      <c r="B13" s="24" t="inlineStr">
        <is>
          <t>ERAS subgroup age adjustment specification</t>
        </is>
      </c>
      <c r="C13" s="24" t="inlineStr">
        <is>
          <t>PLAN joi240139supp2_prod_1741633738.17362.pdf — PDF p.14, §11.3–11.5 model/subgroup instructions, joi240139supp2_prod_1741633738.17362.pdf — PDF p.15, subgroup specification continued, and joi240139supp2_prod_1741633738.17362.pdf — PDF p.38, ERAS sample command and adjacent age-subgroup command. joi240139supp2_prod_1741633738.17362.pdf — SAP PDF p.34, primary-model sample command corroborates the age term. REPORT jama_paterson_2024_oi_240139_1741633738.12862.pdf — PDF p.5, subgroup interaction method and joi240139supp3_prod_1741633738.18862.pdf — PDF p.2, ERAS subgroup results provide context and the affected estimates.</t>
        </is>
      </c>
      <c r="D13" s="21" t="inlineStr">
        <is>
          <t>retain</t>
        </is>
      </c>
      <c r="E13" s="21" t="inlineStr">
        <is>
          <t>plan_material</t>
        </is>
      </c>
      <c r="F13" s="21" t="inlineStr">
        <is>
          <t>primary_done</t>
        </is>
      </c>
      <c r="G13" s="24">
        <f>IFERROR(IF(LEN(TRIM(CLEAN(SUBSTITUTE(Setup!$B$2,CHAR(160)," "))))=0,"CHECK REVIEWER ID",IF(OR(A13="",COUNTIF($A$2:$A$14,A13)&lt;&gt;1,LEFT(A13,LEN("2024::jama.2024.23898::"))&lt;&gt;"2024::jama.2024.23898::"),"CHECK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t="inlineStr">
        <is>
          <t>minor_presentation</t>
        </is>
      </c>
      <c r="L13" s="22">
        <f>IF(AND(OR(D13="retain",D13=""),E13="protocol_report"),"","not_applicable")</f>
        <v/>
      </c>
      <c r="M13" s="24" t="n"/>
      <c r="N13" s="23" t="n"/>
      <c r="O13" s="23" t="n"/>
      <c r="P13" s="23" t="n"/>
      <c r="Q13" s="23" t="n"/>
      <c r="R13" s="22" t="inlineStr">
        <is>
          <t>SAP 11.5 (p14-15) says subgroup interactions are added to the primary model (age group, sex, centre), but the ERAS-adherence sample command (p38) omits AgeBand while the other subgroup commands include it.</t>
        </is>
      </c>
    </row>
    <row r="14" ht="92" customHeight="1" s="25">
      <c r="A14" s="20" t="inlineStr">
        <is>
          <t>2024::jama.2024.23898::C013</t>
        </is>
      </c>
      <c r="B14" s="20" t="inlineStr">
        <is>
          <t>Subgroup confidence-level definitions</t>
        </is>
      </c>
      <c r="C14" s="20" t="inlineStr">
        <is>
          <t>REPORT joi240139supp3_prod_1741633738.18862.pdf — PDF p.2, eFigure horizontal-line legend, 12 subgroup rows, overall row and numeric-interval caption. Corroborating REPORT jama_paterson_2024_oi_240139_1741633738.12862.pdf — PDF p.5, confidence/subgroup methods, jama_paterson_2024_oi_240139_1741633738.12862.pdf — PDF p.6, overall primary 95% interval, and PLAN joi240139supp2_prod_1741633738.17362.pdf — PDF p.15, subgroup significance and CI rule.</t>
        </is>
      </c>
      <c r="D14" s="21" t="inlineStr">
        <is>
          <t>retain</t>
        </is>
      </c>
      <c r="E14" s="21" t="inlineStr">
        <is>
          <t>statistical_results</t>
        </is>
      </c>
      <c r="F14" s="21" t="inlineStr">
        <is>
          <t>primary_done</t>
        </is>
      </c>
      <c r="G14" s="20">
        <f>IFERROR(IF(LEN(TRIM(CLEAN(SUBSTITUTE(Setup!$B$2,CHAR(160)," "))))=0,"CHECK REVIEWER ID",IF(OR(A14="",COUNTIF($A$2:$A$14,A14)&lt;&gt;1,LEFT(A14,LEN("2024::jama.2024.23898::"))&lt;&gt;"2024::jama.2024.23898::"),"CHECK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possible</t>
        </is>
      </c>
      <c r="K14" s="21">
        <f>IF(AND(OR(D14="retain",D14=""),OR(E14="report_internal_inconsistency",E14="plan_material")),"","not_applicable")</f>
        <v/>
      </c>
      <c r="L14" s="22">
        <f>IF(AND(OR(D14="retain",D14=""),E14="protocol_report"),"","not_applicable")</f>
        <v/>
      </c>
      <c r="M14" s="20" t="n"/>
      <c r="N14" s="23" t="n"/>
      <c r="O14" s="23" t="n"/>
      <c r="P14" s="23" t="n"/>
      <c r="Q14" s="23" t="n"/>
      <c r="R14" s="22" t="inlineStr">
        <is>
          <t>Subgroup eFigure (supp 3 p2): legend labels the horizontal lines '99% CI', while the caption says the numbers are 95% CIs. The plotted lines coincide with the printed numeric limits (e.g., overall 0.88-1.07; low ERAS 0.49-2.08), and the overall row equals the main 95% CI. SAP p15 specifies 99% CIs for subgroups.</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1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2024::jama.2024.25786::C001</t>
        </is>
      </c>
      <c r="B2" s="20" t="inlineStr">
        <is>
          <t>Randomized counts carry retained or analyzed population labels</t>
        </is>
      </c>
      <c r="C2" s="20" t="inlineStr">
        <is>
          <t>jama_arleth_2024_oi_240147_1738701765.27201.pdf — REPORT main PDF p. 1; jama_arleth_2024_oi_240147_1738701765.27201.pdf — REPORT main PDF p. 2; jama_arleth_2024_oi_240147_1738701765.27201.pdf — REPORT main PDF p. 3; jama_arleth_2024_oi_240147_1738701765.27201.pdf — REPORT main PDF p. 5.</t>
        </is>
      </c>
      <c r="D2" s="21" t="inlineStr">
        <is>
          <t>retain</t>
        </is>
      </c>
      <c r="E2" s="21" t="inlineStr">
        <is>
          <t>statistical_results</t>
        </is>
      </c>
      <c r="F2" s="21" t="inlineStr">
        <is>
          <t>primary_done</t>
        </is>
      </c>
      <c r="G2" s="20">
        <f>IFERROR(IF(LEN(TRIM(CLEAN(SUBSTITUTE(Setup!$B$2,CHAR(160)," "))))=0,"CHECK REVIEWER ID",IF(OR(A2="",COUNTIF($A$2:$A$16,A2)&lt;&gt;1,LEFT(A2,LEN("2024::jama.2024.25786::"))&lt;&gt;"2024::jama.2024.25786::"),"CHECK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Abstract (p1): patients were 'randomly assigned ... restrictive (n = 733) or liberal (n = 724)' and '1979 randomized, 1508 completed the trial'. Figure 1 (p3): 983 restrictive and 994 liberal randomized (plus 2 lost envelopes = 1979); 750/758 remained after post-randomization exclusions; 17 and 34 then withdrew or were lost, leaving 733/724 analyzed. The n's labeled as randomized are analyzed counts, and 1508 did not all complete the trial.</t>
        </is>
      </c>
    </row>
    <row r="3" ht="92" customHeight="1" s="25">
      <c r="A3" s="24" t="inlineStr">
        <is>
          <t>2024::jama.2024.25786::C002</t>
        </is>
      </c>
      <c r="B3" s="24" t="inlineStr">
        <is>
          <t>Accrual maximum and evaluable target use unclear populations</t>
        </is>
      </c>
      <c r="C3" s="24" t="inlineStr">
        <is>
          <t>jama_arleth_2024_oi_240147_1738701765.27201.pdf — REPORT main PDF p. 3; jama_arleth_2024_oi_240147_1738701765.27201.pdf — REPORT main PDF p. 5; joi240147supp1_prod_1738701765.28701.pdf — PLAN plan PDF p. 13; joi240147supp1_prod_1738701765.28701.pdf — PLAN plan PDF p. 26; joi240147supp1_prod_1738701765.28701.pdf — PLAN plan PDF p. 49; joi240147supp1_prod_1738701765.28701.pdf — PLAN plan PDF p. 62; joi240147supp1_prod_1738701765.28701.pdf — PLAN plan PDF p. 84; joi240147supp1_prod_1738701765.28701.pdf — PLAN plan PDF p. 85.</t>
        </is>
      </c>
      <c r="D3" s="21" t="inlineStr">
        <is>
          <t>retain</t>
        </is>
      </c>
      <c r="E3" s="21" t="inlineStr">
        <is>
          <t>protocol_report</t>
        </is>
      </c>
      <c r="F3" s="21" t="inlineStr">
        <is>
          <t>primary_done</t>
        </is>
      </c>
      <c r="G3" s="24">
        <f>IFERROR(IF(LEN(TRIM(CLEAN(SUBSTITUTE(Setup!$B$2,CHAR(160)," "))))=0,"CHECK REVIEWER ID",IF(OR(A3="",COUNTIF($A$2:$A$16,A3)&lt;&gt;1,LEFT(A3,LEN("2024::jama.2024.25786::"))&lt;&gt;"2024::jama.2024.25786::"),"CHECK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indeterminate</t>
        </is>
      </c>
      <c r="M3" s="24" t="n"/>
      <c r="N3" s="23" t="n"/>
      <c r="O3" s="23" t="n"/>
      <c r="P3" s="23" t="n"/>
      <c r="Q3" s="23" t="n"/>
      <c r="R3" s="22" t="inlineStr">
        <is>
          <t>Protocol (supp 1 p13, p26, p49, p62): inclusion continues up to a maximum of 1600 participants and ends at 1420 evaluable participants with 30-day follow-up; SAP (p85) and report (p5): 1420 total including 3.5% dropout. Report: 1979 randomized, 1508 after secondary exclusions, 1457 analyzed.</t>
        </is>
      </c>
    </row>
    <row r="4" ht="92" customHeight="1" s="25">
      <c r="A4" s="20" t="inlineStr">
        <is>
          <t>2024::jama.2024.25786::C003</t>
        </is>
      </c>
      <c r="B4" s="20" t="inlineStr">
        <is>
          <t>Prespecified secondary outcome hierarchy becomes key or exploratory</t>
        </is>
      </c>
      <c r="C4" s="20" t="inlineStr">
        <is>
          <t>jama_arleth_2024_oi_240147_1738701765.27201.pdf — REPORT main PDF p. 5; jama_arleth_2024_oi_240147_1738701765.27201.pdf — REPORT main PDF p. 6; joi240147supp1_prod_1738701765.28701.pdf — PLAN plan PDF p. 13; joi240147supp1_prod_1738701765.28701.pdf — PLAN plan PDF p. 23; joi240147supp1_prod_1738701765.28701.pdf — PLAN plan PDF p. 24; joi240147supp1_prod_1738701765.28701.pdf — PLAN plan PDF p. 49; joi240147supp1_prod_1738701765.28701.pdf — PLAN plan PDF p. 59; joi240147supp1_prod_1738701765.28701.pdf — PLAN plan PDF p. 60; joi240147supp1_prod_1738701765.28701.pdf — PLAN plan PDF p. 80; joi240147supp1_prod_1738701765.28701.pdf — PLAN plan PDF p. 84; joi240147supp1_prod_1738701765.28701.pdf — PLAN plan PDF p. 85; joi240147supp1_prod_1738701765.28701.pdf — PLAN plan PDF p. 86; joi240147supp1_prod_1738701765.28701.pdf — PLAN plan PDF p. 88; joi240147supp1_prod_1738701765.28701.pdf — PLAN plan PDF p. 89; joi240147supp1_prod_1738701765.28701.pdf — PLAN plan PDF p. 92; joi240147supp1_prod_1738701765.28701.pdf — PLAN plan PDF p. 100; joi240147supp1_prod_1738701765.28701.pdf — PLAN plan PDF p. 101; joi240147supp2_prod_1738701765.29201.pdf — REPORT results PDF p. 10; joi240147supp2_prod_1738701765.29201.pdf — REPORT results PDF p. 17; joi240147supp2_prod_1738701765.29201.pdf — REPORT results PDF p. 18; joi240147supp2_prod_1738701765.29201.pdf — REPORT results PDF p. 19.</t>
        </is>
      </c>
      <c r="D4" s="21" t="inlineStr">
        <is>
          <t>retain</t>
        </is>
      </c>
      <c r="E4" s="21" t="inlineStr">
        <is>
          <t>protocol_report</t>
        </is>
      </c>
      <c r="F4" s="21" t="inlineStr">
        <is>
          <t>primary_done</t>
        </is>
      </c>
      <c r="G4" s="20">
        <f>IFERROR(IF(LEN(TRIM(CLEAN(SUBSTITUTE(Setup!$B$2,CHAR(160)," "))))=0,"CHECK REVIEWER ID",IF(OR(A4="",COUNTIF($A$2:$A$16,A4)&lt;&gt;1,LEFT(A4,LEN("2024::jama.2024.25786::"))&lt;&gt;"2024::jama.2024.25786::"),"CHECK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(p13, p23, p49, p59) lists 9 secondary outcomes without hierarchy; the SAP (Jan 2023, p85-89) and report (p5-6) designate death and major respiratory complications as 2 key secondary outcomes and the rest as exploratory with Benjamini-Hochberg control. Report follows the SAP.</t>
        </is>
      </c>
    </row>
    <row r="5" ht="92" customHeight="1" s="25">
      <c r="A5" s="24" t="inlineStr">
        <is>
          <t>2024::jama.2024.25786::C004</t>
        </is>
      </c>
      <c r="B5" s="24" t="inlineStr">
        <is>
          <t>Protocol pneumonia-adjusted primary model is absent from reported model set</t>
        </is>
      </c>
      <c r="C5" s="24" t="inlineStr">
        <is>
          <t>jama_arleth_2024_oi_240147_1738701765.27201.pdf — REPORT main PDF p. 5; joi240147supp1_prod_1738701765.28701.pdf — PLAN plan PDF p. 26; joi240147supp1_prod_1738701765.28701.pdf — PLAN plan PDF p. 62; joi240147supp1_prod_1738701765.28701.pdf — PLAN plan PDF p. 78; joi240147supp1_prod_1738701765.28701.pdf — PLAN plan PDF p. 79; joi240147supp1_prod_1738701765.28701.pdf — PLAN plan PDF p. 80; joi240147supp1_prod_1738701765.28701.pdf — PLAN plan PDF p. 84; joi240147supp1_prod_1738701765.28701.pdf — PLAN plan PDF p. 88; joi240147supp1_prod_1738701765.28701.pdf — PLAN plan PDF p. 89; joi240147supp2_prod_1738701765.29201.pdf — REPORT results PDF p. 11; joi240147supp2_prod_1738701765.29201.pdf — REPORT results PDF p. 12; joi240147supp2_prod_1738701765.29201.pdf — REPORT results PDF p. 17; joi240147supp2_prod_1738701765.29201.pdf — REPORT results PDF p. 22.</t>
        </is>
      </c>
      <c r="D5" s="21" t="inlineStr">
        <is>
          <t>retain</t>
        </is>
      </c>
      <c r="E5" s="21" t="inlineStr">
        <is>
          <t>protocol_report</t>
        </is>
      </c>
      <c r="F5" s="21" t="inlineStr">
        <is>
          <t>primary_done</t>
        </is>
      </c>
      <c r="G5" s="24">
        <f>IFERROR(IF(LEN(TRIM(CLEAN(SUBSTITUTE(Setup!$B$2,CHAR(160)," "))))=0,"CHECK REVIEWER ID",IF(OR(A5="",COUNTIF($A$2:$A$16,A5)&lt;&gt;1,LEFT(A5,LEN("2024::jama.2024.25786::"))&lt;&gt;"2024::jama.2024.25786::"),"CHECK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(p26, p62): primary logistic model adjusted for age, sex, centre, intubation at randomization and known pneumonia on admission. SAP (p88) and report (p5): adjusted for stratification variables (site of inclusion, intubation), with an additional model adding age, sex, ISS and GCS; no model includes pneumonia on admission.</t>
        </is>
      </c>
    </row>
    <row r="6" ht="92" customHeight="1" s="25">
      <c r="A6" s="20" t="inlineStr">
        <is>
          <t>2024::jama.2024.25786::C005</t>
        </is>
      </c>
      <c r="B6" s="20" t="inlineStr">
        <is>
          <t>Planned primary-outcome hypoxemia subgroup is not reported</t>
        </is>
      </c>
      <c r="C6" s="20" t="inlineStr">
        <is>
          <t>jama_arleth_2024_oi_240147_1738701765.27201.pdf — REPORT main PDF p. 5; jama_arleth_2024_oi_240147_1738701765.27201.pdf — REPORT main PDF p. 8; joi240147supp1_prod_1738701765.28701.pdf — PLAN plan PDF p. 26; joi240147supp1_prod_1738701765.28701.pdf — PLAN plan PDF p. 62; joi240147supp1_prod_1738701765.28701.pdf — PLAN plan PDF p. 84; joi240147supp1_prod_1738701765.28701.pdf — PLAN plan PDF p. 89; joi240147supp2_prod_1738701765.29201.pdf — REPORT results PDF p. 17; joi240147supp2_prod_1738701765.29201.pdf — REPORT results PDF p. 18; joi240147supp2_prod_1738701765.29201.pdf — REPORT results PDF p. 19; joi240147supp2_prod_1738701765.29201.pdf — REPORT results PDF p. 20; joi240147supp2_prod_1738701765.29201.pdf — REPORT results PDF p. 21; joi240147supp2_prod_1738701765.29201.pdf — REPORT results PDF p. 22; joi240147supp2_prod_1738701765.29201.pdf — REPORT results PDF p. 23; joi240147supp2_prod_1738701765.29201.pdf — REPORT results PDF p. 24; joi240147supp2_prod_1738701765.29201.pdf — REPORT results PDF p. 25.</t>
        </is>
      </c>
      <c r="D6" s="21" t="inlineStr">
        <is>
          <t>retain</t>
        </is>
      </c>
      <c r="E6" s="21" t="inlineStr">
        <is>
          <t>protocol_report</t>
        </is>
      </c>
      <c r="F6" s="21" t="inlineStr">
        <is>
          <t>primary_done</t>
        </is>
      </c>
      <c r="G6" s="20">
        <f>IFERROR(IF(LEN(TRIM(CLEAN(SUBSTITUTE(Setup!$B$2,CHAR(160)," "))))=0,"CHECK REVIEWER ID",IF(OR(A6="",COUNTIF($A$2:$A$16,A6)&lt;&gt;1,LEFT(A6,LEN("2024::jama.2024.25786::"))&lt;&gt;"2024::jama.2024.25786::"),"CHECK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(p26, p62) and SAP (p89) list a primary-outcome subgroup for episodes of hypoxemia during the intervention (SpO2 &lt;90%); Figure 4 (main p8) and eTable 7 (supp 2 p20-21) report six subgroups without it.</t>
        </is>
      </c>
    </row>
    <row r="7" ht="92" customHeight="1" s="25">
      <c r="A7" s="24" t="inlineStr">
        <is>
          <t>2024::jama.2024.25786::C006</t>
        </is>
      </c>
      <c r="B7" s="24" t="inlineStr">
        <is>
          <t>Intubation subgroup changes from trauma clock to randomization status</t>
        </is>
      </c>
      <c r="C7" s="24" t="inlineStr">
        <is>
          <t>jama_arleth_2024_oi_240147_1738701765.27201.pdf — REPORT main PDF p. 5; jama_arleth_2024_oi_240147_1738701765.27201.pdf — REPORT main PDF p. 8; joi240147supp1_prod_1738701765.28701.pdf — PLAN plan PDF p. 26; joi240147supp1_prod_1738701765.28701.pdf — PLAN plan PDF p. 62; joi240147supp1_prod_1738701765.28701.pdf — PLAN plan PDF p. 84; joi240147supp1_prod_1738701765.28701.pdf — PLAN plan PDF p. 89; joi240147supp2_prod_1738701765.29201.pdf — REPORT results PDF p. 16; joi240147supp2_prod_1738701765.29201.pdf — REPORT results PDF p. 20; joi240147supp2_prod_1738701765.29201.pdf — REPORT results PDF p. 21.</t>
        </is>
      </c>
      <c r="D7" s="21" t="inlineStr">
        <is>
          <t>retain</t>
        </is>
      </c>
      <c r="E7" s="21" t="inlineStr">
        <is>
          <t>protocol_report</t>
        </is>
      </c>
      <c r="F7" s="21" t="inlineStr">
        <is>
          <t>primary_done</t>
        </is>
      </c>
      <c r="G7" s="24">
        <f>IFERROR(IF(LEN(TRIM(CLEAN(SUBSTITUTE(Setup!$B$2,CHAR(160)," "))))=0,"CHECK REVIEWER ID",IF(OR(A7="",COUNTIF($A$2:$A$16,A7)&lt;&gt;1,LEFT(A7,LEN("2024::jama.2024.25786::"))&lt;&gt;"2024::jama.2024.25786::"),"CHECK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(p26, p62) and SAP (p89) define the intubation subgroup as initially intubated within 1 hour of the accident/trauma; Figure 4 and eTable 7 use 'intubated at randomization' (the stratification variable).</t>
        </is>
      </c>
    </row>
    <row r="8" ht="92" customHeight="1" s="25">
      <c r="A8" s="20" t="inlineStr">
        <is>
          <t>2024::jama.2024.25786::C007</t>
        </is>
      </c>
      <c r="B8" s="20" t="inlineStr">
        <is>
          <t>Planned categorical key-secondary tests are replaced by logistic models</t>
        </is>
      </c>
      <c r="C8" s="20" t="inlineStr">
        <is>
          <t>jama_arleth_2024_oi_240147_1738701765.27201.pdf — REPORT main PDF p. 5; jama_arleth_2024_oi_240147_1738701765.27201.pdf — REPORT main PDF p. 6; joi240147supp1_prod_1738701765.28701.pdf — PLAN plan PDF p. 23; joi240147supp1_prod_1738701765.28701.pdf — PLAN plan PDF p. 26; joi240147supp1_prod_1738701765.28701.pdf — PLAN plan PDF p. 59; joi240147supp1_prod_1738701765.28701.pdf — PLAN plan PDF p. 62; joi240147supp1_prod_1738701765.28701.pdf — PLAN plan PDF p. 78; joi240147supp1_prod_1738701765.28701.pdf — PLAN plan PDF p. 79; joi240147supp1_prod_1738701765.28701.pdf — PLAN plan PDF p. 80; joi240147supp1_prod_1738701765.28701.pdf — PLAN plan PDF p. 84; joi240147supp1_prod_1738701765.28701.pdf — PLAN plan PDF p. 88; joi240147supp1_prod_1738701765.28701.pdf — PLAN plan PDF p. 89; joi240147supp2_prod_1738701765.29201.pdf — REPORT results PDF p. 17.</t>
        </is>
      </c>
      <c r="D8" s="21" t="inlineStr">
        <is>
          <t>retain</t>
        </is>
      </c>
      <c r="E8" s="21" t="inlineStr">
        <is>
          <t>protocol_report</t>
        </is>
      </c>
      <c r="F8" s="21" t="inlineStr">
        <is>
          <t>primary_done</t>
        </is>
      </c>
      <c r="G8" s="20">
        <f>IFERROR(IF(LEN(TRIM(CLEAN(SUBSTITUTE(Setup!$B$2,CHAR(160)," "))))=0,"CHECK REVIEWER ID",IF(OR(A8="",COUNTIF($A$2:$A$16,A8)&lt;&gt;1,LEFT(A8,LEN("2024::jama.2024.25786::"))&lt;&gt;"2024::jama.2024.25786::"),"CHECK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(p26, p62): secondary outcomes compared by Fisher exact/chi-square tests for categorical data. SAP (p89) and report (p5-6, Figure 2): key secondary outcomes (death, major respiratory complications) analyzed with logistic regression (GEE, IPW) as ORs.</t>
        </is>
      </c>
    </row>
    <row r="9" ht="92" customHeight="1" s="25">
      <c r="A9" s="24" t="inlineStr">
        <is>
          <t>2024::jama.2024.25786::C008</t>
        </is>
      </c>
      <c r="B9" s="24" t="inlineStr">
        <is>
          <t>SSI risk-difference interval and nominal odds-ratio tests give different null readings</t>
        </is>
      </c>
      <c r="C9" s="24" t="inlineStr">
        <is>
          <t>jama_arleth_2024_oi_240147_1738701765.27201.pdf — REPORT main PDF p. 5; jama_arleth_2024_oi_240147_1738701765.27201.pdf — REPORT main PDF p. 6; joi240147supp1_prod_1738701765.28701.pdf — PLAN plan PDF p. 86; joi240147supp2_prod_1738701765.29201.pdf — REPORT results PDF p. 18.</t>
        </is>
      </c>
      <c r="D9" s="21" t="inlineStr">
        <is>
          <t>exclude</t>
        </is>
      </c>
      <c r="E9" s="21" t="inlineStr">
        <is>
          <t>statistical_results</t>
        </is>
      </c>
      <c r="F9" s="21" t="inlineStr">
        <is>
          <t>primary_done</t>
        </is>
      </c>
      <c r="G9" s="24">
        <f>IFERROR(IF(LEN(TRIM(CLEAN(SUBSTITUTE(Setup!$B$2,CHAR(160)," "))))=0,"CHECK REVIEWER ID",IF(OR(A9="",COUNTIF($A$2:$A$16,A9)&lt;&gt;1,LEFT(A9,LEN("2024::jama.2024.25786::"))&lt;&gt;"2024::jama.2024.25786::"),"CHECK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inlineStr">
        <is>
          <t>Figure 2 (p6) and eTable 5 (supp 2 p18): SSI OR 0.50 (0.25-0.99) and adjusted OR 0.49 (0.26-0.93), P=.03, vs risk difference -3.04 (-6.87 to 0.79). Different measures from different models (stratification-adjusted OR; RD method unstated), and the report correctly states no exploratory outcome was significant after FDR control. Not a contradiction.</t>
        </is>
      </c>
    </row>
    <row r="10" ht="92" customHeight="1" s="25">
      <c r="A10" s="20" t="inlineStr">
        <is>
          <t>2024::jama.2024.25786::C009</t>
        </is>
      </c>
      <c r="B10" s="20" t="inlineStr">
        <is>
          <t>SSI classification criteria differ between SAP and results supplement</t>
        </is>
      </c>
      <c r="C10" s="20" t="inlineStr">
        <is>
          <t>jama_arleth_2024_oi_240147_1738701765.27201.pdf — REPORT main PDF p. 6; joi240147supp1_prod_1738701765.28701.pdf — PLAN plan PDF p. 84; joi240147supp1_prod_1738701765.28701.pdf — PLAN plan PDF p. 101; joi240147supp2_prod_1738701765.29201.pdf — REPORT results PDF p. 9; joi240147supp2_prod_1738701765.29201.pdf — REPORT results PDF p. 18.</t>
        </is>
      </c>
      <c r="D10" s="21" t="inlineStr">
        <is>
          <t>retain</t>
        </is>
      </c>
      <c r="E10" s="21" t="inlineStr">
        <is>
          <t>protocol_report</t>
        </is>
      </c>
      <c r="F10" s="21" t="inlineStr">
        <is>
          <t>primary_done</t>
        </is>
      </c>
      <c r="G10" s="20">
        <f>IFERROR(IF(LEN(TRIM(CLEAN(SUBSTITUTE(Setup!$B$2,CHAR(160)," "))))=0,"CHECK REVIEWER ID",IF(OR(A10="",COUNTIF($A$2:$A$16,A10)&lt;&gt;1,LEFT(A10,LEN("2024::jama.2024.25786::"))&lt;&gt;"2024::jama.2024.25786::"),"CHECK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SAP Table (supp 1 p101): SSI = purulent drainage; positive microbiology from the site AND signs of infection; or surgeon diagnosis. Results supplement eMethods (supp 2 p9): purulent drainage; positive microbiology (no signs required); deliberately opened by a surgeon AND signs; or surgeon diagnosis.</t>
        </is>
      </c>
    </row>
    <row r="11" ht="92" customHeight="1" s="25">
      <c r="A11" s="24" t="inlineStr">
        <is>
          <t>2024::jama.2024.25786::C010</t>
        </is>
      </c>
      <c r="B11" s="24" t="inlineStr">
        <is>
          <t>ICU subgroup membership does not map to reported ICU admission counts</t>
        </is>
      </c>
      <c r="C11" s="24" t="inlineStr">
        <is>
          <t>jama_arleth_2024_oi_240147_1738701765.27201.pdf — REPORT main PDF p. 4; jama_arleth_2024_oi_240147_1738701765.27201.pdf — REPORT main PDF p. 5; jama_arleth_2024_oi_240147_1738701765.27201.pdf — REPORT main PDF p. 8; joi240147supp2_prod_1738701765.29201.pdf — REPORT results PDF p. 9; joi240147supp2_prod_1738701765.29201.pdf — REPORT results PDF p. 10; joi240147supp2_prod_1738701765.29201.pdf — REPORT results PDF p. 18; joi240147supp2_prod_1738701765.29201.pdf — REPORT results PDF p. 20; joi240147supp1_prod_1738701765.28701.pdf — PLAN plan PDF p. 89.</t>
        </is>
      </c>
      <c r="D11" s="21" t="inlineStr">
        <is>
          <t>retain</t>
        </is>
      </c>
      <c r="E11" s="21" t="inlineStr">
        <is>
          <t>report_internal_inconsistency</t>
        </is>
      </c>
      <c r="F11" s="21" t="inlineStr">
        <is>
          <t>primary_done</t>
        </is>
      </c>
      <c r="G11" s="24">
        <f>IFERROR(IF(LEN(TRIM(CLEAN(SUBSTITUTE(Setup!$B$2,CHAR(160)," "))))=0,"CHECK REVIEWER ID",IF(OR(A11="",COUNTIF($A$2:$A$16,A11)&lt;&gt;1,LEFT(A11,LEN("2024::jama.2024.25786::"))&lt;&gt;"2024::jama.2024.25786::"),"CHECK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t="inlineStr">
        <is>
          <t>minor_presentation</t>
        </is>
      </c>
      <c r="L11" s="22">
        <f>IF(AND(OR(D11="retain",D11=""),E11="protocol_report"),"","not_applicable")</f>
        <v/>
      </c>
      <c r="M11" s="24" t="n"/>
      <c r="N11" s="23" t="n"/>
      <c r="O11" s="23" t="n"/>
      <c r="P11" s="23" t="n"/>
      <c r="Q11" s="23" t="n"/>
      <c r="R11" s="22" t="inlineStr">
        <is>
          <t>E changed: the issue is which population 'ICU admission' denotes, not a numerical error. Subgroup 'ICU admission' Yes = 271/729 and 238/719 (Figure 4, eTable 7), while the exploratory outcome 'ICU admission' = 374/738 and 359/736 (eTable 5). The subgroup counts fit the baseline Table 'destination after trauma resuscitation room: ICU' (276/741, 242/739), so the subgroup appears to mean direct ICU admission; neither the report nor the SAP says so.</t>
        </is>
      </c>
    </row>
    <row r="12" ht="92" customHeight="1" s="25">
      <c r="A12" s="20" t="inlineStr">
        <is>
          <t>2024::jama.2024.25786::C011</t>
        </is>
      </c>
      <c r="B12" s="20" t="inlineStr">
        <is>
          <t>Liberal AIS below 3 percentage does not reconcile across displays and its count pair</t>
        </is>
      </c>
      <c r="C12" s="20" t="inlineStr">
        <is>
          <t>jama_arleth_2024_oi_240147_1738701765.27201.pdf — REPORT main PDF p. 8; joi240147supp2_prod_1738701765.29201.pdf — REPORT results PDF p. 20; joi240147supp2_prod_1738701765.29201.pdf — REPORT results PDF p. 21.</t>
        </is>
      </c>
      <c r="D12" s="21" t="inlineStr">
        <is>
          <t>retain</t>
        </is>
      </c>
      <c r="E12" s="21" t="inlineStr">
        <is>
          <t>statistical_results</t>
        </is>
      </c>
      <c r="F12" s="21" t="inlineStr">
        <is>
          <t>primary_done</t>
        </is>
      </c>
      <c r="G12" s="20">
        <f>IFERROR(IF(LEN(TRIM(CLEAN(SUBSTITUTE(Setup!$B$2,CHAR(160)," "))))=0,"CHECK REVIEWER ID",IF(OR(A12="",COUNTIF($A$2:$A$16,A12)&lt;&gt;1,LEFT(A12,LEN("2024::jama.2024.25786::"))&lt;&gt;"2024::jama.2024.25786::"),"CHECK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substantive</t>
        </is>
      </c>
      <c r="J12" s="22" t="inlineStr">
        <is>
          <t>direct</t>
        </is>
      </c>
      <c r="K12" s="21">
        <f>IF(AND(OR(D12="retain",D12=""),OR(E12="report_internal_inconsistency",E12="plan_material")),"","not_applicable")</f>
        <v/>
      </c>
      <c r="L12" s="22">
        <f>IF(AND(OR(D12="retain",D12=""),E12="protocol_report"),"","not_applicable")</f>
        <v/>
      </c>
      <c r="M12" s="20" t="n"/>
      <c r="N12" s="23" t="n"/>
      <c r="O12" s="23" t="n"/>
      <c r="P12" s="23" t="n"/>
      <c r="Q12" s="23" t="n"/>
      <c r="R12" s="22" t="inlineStr">
        <is>
          <t>Liberal group, AIS &lt;3 subgroup: Figure 4 (main p8) prints 48/473 (10.1%), eTable 7 (supp 2 p20) 48/473 (9.2%). 48/473 = 10.1%, but 473 + 202 (AIS &gt;=3) = 675, not 724; 48/522 = 9.2% and 522 + 202 = 724. The denominator 473 is probably wrong in both displays (restrictive 500 + 233 = 733 reconciles).</t>
        </is>
      </c>
    </row>
    <row r="13" ht="92" customHeight="1" s="25">
      <c r="A13" s="24" t="inlineStr">
        <is>
          <t>2024::jama.2024.25786::C012</t>
        </is>
      </c>
      <c r="B13" s="24" t="inlineStr">
        <is>
          <t>Bern receiving-center percentages do not reconcile with printed pairs</t>
        </is>
      </c>
      <c r="C13" s="24" t="inlineStr">
        <is>
          <t>joi240147supp2_prod_1738701765.29201.pdf — REPORT results PDF p. 14.</t>
        </is>
      </c>
      <c r="D13" s="21" t="inlineStr">
        <is>
          <t>retain</t>
        </is>
      </c>
      <c r="E13" s="21" t="inlineStr">
        <is>
          <t>statistical_results</t>
        </is>
      </c>
      <c r="F13" s="21" t="inlineStr">
        <is>
          <t>primary_done</t>
        </is>
      </c>
      <c r="G13" s="24">
        <f>IFERROR(IF(LEN(TRIM(CLEAN(SUBSTITUTE(Setup!$B$2,CHAR(160)," "))))=0,"CHECK REVIEWER ID",IF(OR(A13="",COUNTIF($A$2:$A$16,A13)&lt;&gt;1,LEFT(A13,LEN("2024::jama.2024.25786::"))&lt;&gt;"2024::jama.2024.25786::"),"CHECK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1 (supp 2 p14), receiving center Bern: 50/750 (7.2) and 47/758 (6.7); 50/750 = 6.7% and 47/758 = 6.2%. Other receiving-center percentages are also slightly off (335/750 = 44.7 printed 44.4; 348/758 = 45.9 printed 45.7), though the counts sum to 750 and 758.</t>
        </is>
      </c>
    </row>
    <row r="14" ht="92" customHeight="1" s="25">
      <c r="A14" s="20" t="inlineStr">
        <is>
          <t>2024::jama.2024.25786::C013</t>
        </is>
      </c>
      <c r="B14" s="20" t="inlineStr">
        <is>
          <t>Liberal walk-in percentage differs from its printed count pair</t>
        </is>
      </c>
      <c r="C14" s="20" t="inlineStr">
        <is>
          <t>joi240147supp2_prod_1738701765.29201.pdf — REPORT results PDF p. 15.</t>
        </is>
      </c>
      <c r="D14" s="21" t="inlineStr">
        <is>
          <t>retain</t>
        </is>
      </c>
      <c r="E14" s="21" t="inlineStr">
        <is>
          <t>statistical_results</t>
        </is>
      </c>
      <c r="F14" s="21" t="inlineStr">
        <is>
          <t>primary_done</t>
        </is>
      </c>
      <c r="G14" s="20">
        <f>IFERROR(IF(LEN(TRIM(CLEAN(SUBSTITUTE(Setup!$B$2,CHAR(160)," "))))=0,"CHECK REVIEWER ID",IF(OR(A14="",COUNTIF($A$2:$A$16,A14)&lt;&gt;1,LEFT(A14,LEN("2024::jama.2024.25786::"))&lt;&gt;"2024::jama.2024.25786::"),"CHECK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2 (supp 2 p15), transport walk-in, liberal: 4/743 (5.3); 4/743 = 0.54%. Typographic error (decimal place); the category totals (585+141+9+3+4+1 = 743) confirm the count.</t>
        </is>
      </c>
    </row>
    <row r="15" ht="92" customHeight="1" s="25">
      <c r="A15" s="24" t="inlineStr">
        <is>
          <t>2024::jama.2024.25786::C014</t>
        </is>
      </c>
      <c r="B15" s="24" t="inlineStr">
        <is>
          <t>Liberal vascular-surgery percentage is positive beside a zero numerator</t>
        </is>
      </c>
      <c r="C15" s="24" t="inlineStr">
        <is>
          <t>joi240147supp2_prod_1738701765.29201.pdf — REPORT results PDF p. 15.</t>
        </is>
      </c>
      <c r="D15" s="21" t="inlineStr">
        <is>
          <t>retain</t>
        </is>
      </c>
      <c r="E15" s="21" t="inlineStr">
        <is>
          <t>statistical_results</t>
        </is>
      </c>
      <c r="F15" s="21" t="inlineStr">
        <is>
          <t>primary_done</t>
        </is>
      </c>
      <c r="G15" s="24">
        <f>IFERROR(IF(LEN(TRIM(CLEAN(SUBSTITUTE(Setup!$B$2,CHAR(160)," "))))=0,"CHECK REVIEWER ID",IF(OR(A15="",COUNTIF($A$2:$A$16,A15)&lt;&gt;1,LEFT(A15,LEN("2024::jama.2024.25786::"))&lt;&gt;"2024::jama.2024.25786::"),"CHECK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eTable 2 (supp 2 p15), surgery in the trauma resuscitation room, vascular surgery, liberal: 0/747 (1.1). A zero numerator cannot give 1.1%; either the count or the percentage is wrong. Also in the same table, restrictive firearm injury has denominator 724 (8/724) where all other mechanism rows use 742.</t>
        </is>
      </c>
    </row>
    <row r="16" ht="92" customHeight="1" s="25">
      <c r="A16" s="20" t="inlineStr">
        <is>
          <t>2024::jama.2024.25786::C015</t>
        </is>
      </c>
      <c r="B16" s="20" t="inlineStr">
        <is>
          <t>Exclusion percentages and printed denominators describe different quantities</t>
        </is>
      </c>
      <c r="C16" s="20" t="inlineStr">
        <is>
          <t>joi240147supp2_prod_1738701765.29201.pdf — REPORT results PDF p. 24.</t>
        </is>
      </c>
      <c r="D16" s="21" t="inlineStr">
        <is>
          <t>retain</t>
        </is>
      </c>
      <c r="E16" s="21" t="inlineStr">
        <is>
          <t>statistical_results</t>
        </is>
      </c>
      <c r="F16" s="21" t="inlineStr">
        <is>
          <t>primary_done</t>
        </is>
      </c>
      <c r="G16" s="20">
        <f>IFERROR(IF(LEN(TRIM(CLEAN(SUBSTITUTE(Setup!$B$2,CHAR(160)," "))))=0,"CHECK REVIEWER ID",IF(OR(A16="",COUNTIF($A$2:$A$16,A16)&lt;&gt;1,LEFT(A16,LEN("2024::jama.2024.25786::"))&lt;&gt;"2024::jama.2024.25786::"),"CHECK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minor_presentation</t>
        </is>
      </c>
      <c r="J16" s="22" t="inlineStr">
        <is>
          <t>unlikely</t>
        </is>
      </c>
      <c r="K16" s="21">
        <f>IF(AND(OR(D16="retain",D16=""),OR(E16="report_internal_inconsistency",E16="plan_material")),"","not_applicable")</f>
        <v/>
      </c>
      <c r="L16" s="22">
        <f>IF(AND(OR(D16="retain",D16=""),E16="protocol_report"),"","not_applicable")</f>
        <v/>
      </c>
      <c r="M16" s="20" t="n"/>
      <c r="N16" s="23" t="n"/>
      <c r="O16" s="23" t="n"/>
      <c r="P16" s="23" t="n"/>
      <c r="Q16" s="23" t="n"/>
      <c r="R16" s="22" t="inlineStr">
        <is>
          <t>eTable 10 (supp 2 p24) prints 55/750 (45), 67/758 (55), 174/750 (51), 165/758 (49); the percentages are shares of excluded patients (55/122, 67/122, 174/339, 165/339), not of 750/758, and post-randomization exclusions are not part of the 750/758. Also 55 + 67 = 122 vs N = 130 stated (Figure 1: 59 and 71); the difference equals the 4 + 4 'omitted according to Swiss law', which the footnote does not mention.</t>
        </is>
      </c>
    </row>
  </sheetData>
  <autoFilter ref="A1:R16"/>
  <conditionalFormatting sqref="H2:H16">
    <cfRule type="expression" priority="8" dxfId="70">
      <formula>NOT(AND(OR($D2="retain",$D2=""),$E2="statistical_results"))</formula>
    </cfRule>
  </conditionalFormatting>
  <conditionalFormatting sqref="I2:I16">
    <cfRule type="expression" priority="9" dxfId="70">
      <formula>NOT(AND(OR($D2="retain",$D2=""),$E2="statistical_results"))</formula>
    </cfRule>
  </conditionalFormatting>
  <conditionalFormatting sqref="J2:J16">
    <cfRule type="expression" priority="10" dxfId="70">
      <formula>NOT(AND(OR($D2="retain",$D2=""),$E2="statistical_results"))</formula>
    </cfRule>
  </conditionalFormatting>
  <conditionalFormatting sqref="K2:K16">
    <cfRule type="expression" priority="11" dxfId="70">
      <formula>NOT(AND(OR($D2="retain",$D2=""),OR($E2="report_internal_inconsistency",$E2="plan_material")))</formula>
    </cfRule>
  </conditionalFormatting>
  <conditionalFormatting sqref="L2:L16">
    <cfRule type="expression" priority="12" dxfId="70">
      <formula>NOT(AND(OR($D2="retain",$D2=""),$E2="protocol_report"))</formula>
    </cfRule>
  </conditionalFormatting>
  <conditionalFormatting sqref="G2:G16">
    <cfRule type="expression" priority="13" dxfId="71">
      <formula>G2&lt;&gt;"PRIMARY READY"</formula>
    </cfRule>
  </conditionalFormatting>
  <dataValidations count="8">
    <dataValidation sqref="D2:D16" showDropDown="0" showInputMessage="0" showErrorMessage="1" allowBlank="1" errorTitle="Use a listed option" error="Choose an option; G also checks pasted entries." type="list" errorStyle="stop">
      <formula1>"retain,exclude,discuss"</formula1>
    </dataValidation>
    <dataValidation sqref="E2:E1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6" showDropDown="0" showInputMessage="0" showErrorMessage="1" allowBlank="1" errorTitle="Use a listed option" error="Choose an option; G also checks pasted entries." type="list" errorStyle="stop">
      <formula1>"no,primary_done"</formula1>
    </dataValidation>
    <dataValidation sqref="H2:H1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6" showDropDown="0" showInputMessage="0" showErrorMessage="1" allowBlank="1" errorTitle="Use a listed option" error="Choose an option; G also checks pasted entries." type="list" errorStyle="stop">
      <formula1>"direct,possible,unlikely,unknown,not_applicable"</formula1>
    </dataValidation>
    <dataValidation sqref="K2:K1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1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2024::jama.2024.4183::C001</t>
        </is>
      </c>
      <c r="B2" s="20" t="inlineStr">
        <is>
          <t>Planned and reported primary continuation populations</t>
        </is>
      </c>
      <c r="C2" s="20" t="inlineStr">
        <is>
          <t>joi240036supp1_prod_1716416466.00349.pdf — p.7, Participants; joi240036supp1_prod_1716416466.00349.pdf — p.24, final pharmacotherapy paragraph; joi240036supp1_prod_1716416466.00349.pdf — p.25, first paragraph; joi240036supp1_prod_1716416466.00349.pdf — p.28, general strategy and coding/model; joi240036supp1_prod_1716416466.00349.pdf — p.29, Aims 2–3; joi240036supp1_prod_1716416466.00349.pdf — p.30, continuing Aim 3 contrasts; jama_cinciripini_2024_oi_240036_1716416465.98349.pdf — main p.1, both Results paragraphs; jama_cinciripini_2024_oi_240036_1716416465.98349.pdf — Main p.4, Results/flow prose; jama_cinciripini_2024_oi_240036_1716416465.98349.pdf — Main p.6, Figure 2 and footnote c; jama_cinciripini_2024_oi_240036_1716416465.98349.pdf — Main p.8, first limitation; joi240036supp2_prod_1716416466.01349.pdf — supplement p.6, phase-II weighting/coding</t>
        </is>
      </c>
      <c r="D2" s="21" t="inlineStr">
        <is>
          <t>retain</t>
        </is>
      </c>
      <c r="E2" s="21" t="inlineStr">
        <is>
          <t>protocol_report</t>
        </is>
      </c>
      <c r="F2" s="21" t="inlineStr">
        <is>
          <t>primary_done</t>
        </is>
      </c>
      <c r="G2" s="20">
        <f>IFERROR(IF(LEN(TRIM(CLEAN(SUBSTITUTE(Setup!$B$2,CHAR(160)," "))))=0,"CHECK REVIEWER ID",IF(OR(A2="",COUNTIF($A$2:$A$15,A2)&lt;&gt;1,LEFT(A2,LEN("2024::jama.2024.4183::"))&lt;&gt;"2024::jama.2024.4183::"),"CHECK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(supp 1 p7, p24-25, p28-30): phase 2 contrasts among week-6 nonabstainers re-randomized to continue, switch or increase. Report (p1, p4, Figure 2 p6): 40 CNRT and 35 varenicline nonabstainers who did not attend re-randomization were assigned to continuation and analyzed in it (CNRT 50+40=90; VAR 42+35=77). Disclosed in the report (p4) with a rationale; no plan provision supplied.</t>
        </is>
      </c>
    </row>
    <row r="3" ht="92" customHeight="1" s="25">
      <c r="A3" s="24" t="inlineStr">
        <is>
          <t>2024::jama.2024.4183::C002</t>
        </is>
      </c>
      <c r="B3" s="24" t="inlineStr">
        <is>
          <t>Weight mapping for 75 assigned continuation participants</t>
        </is>
      </c>
      <c r="C3" s="24" t="inlineStr">
        <is>
          <t>jama_cinciripini_2024_oi_240036_1716416465.98349.pdf — main p.1, assigned counts; jama_cinciripini_2024_oi_240036_1716416465.98349.pdf — p.4, statistical methods and participant flow; jama_cinciripini_2024_oi_240036_1716416465.98349.pdf — p.6, Figure 2/footnote c; jama_cinciripini_2024_oi_240036_1716416465.98349.pdf — main p.7, Figure 3; joi240036supp2_prod_1716416466.01349.pdf — supplement p.5, opening eAppendix 3; joi240036supp2_prod_1716416466.01349.pdf — P.6, first two paragraphs and coding; joi240036supp2_prod_1716416466.01349.pdf — Supplement p.19, eTable 3 headings</t>
        </is>
      </c>
      <c r="D3" s="21" t="inlineStr">
        <is>
          <t>retain</t>
        </is>
      </c>
      <c r="E3" s="21" t="inlineStr">
        <is>
          <t>statistical_results</t>
        </is>
      </c>
      <c r="F3" s="21" t="inlineStr">
        <is>
          <t>primary_done</t>
        </is>
      </c>
      <c r="G3" s="24">
        <f>IFERROR(IF(LEN(TRIM(CLEAN(SUBSTITUTE(Setup!$B$2,CHAR(160)," "))))=0,"CHECK REVIEWER ID",IF(OR(A3="",COUNTIF($A$2:$A$15,A3)&lt;&gt;1,LEFT(A3,LEN("2024::jama.2024.4183::"))&lt;&gt;"2024::jama.2024.4183::"),"CHECK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probable_issue</t>
        </is>
      </c>
      <c r="I3" s="21" t="inlineStr">
        <is>
          <t>indeterminate</t>
        </is>
      </c>
      <c r="J3" s="22" t="inlineStr">
        <is>
          <t>possible</t>
        </is>
      </c>
      <c r="K3" s="21">
        <f>IF(AND(OR(D3="retain",D3=""),OR(E3="report_internal_inconsistency",E3="plan_material")),"","not_applicable")</f>
        <v/>
      </c>
      <c r="L3" s="22">
        <f>IF(AND(OR(D3="retain",D3=""),E3="protocol_report"),"","not_applicable")</f>
        <v/>
      </c>
      <c r="M3" s="24" t="n"/>
      <c r="N3" s="23" t="n"/>
      <c r="O3" s="23" t="n"/>
      <c r="P3" s="23" t="n"/>
      <c r="Q3" s="23" t="n"/>
      <c r="R3" s="22" t="inlineStr">
        <is>
          <t>Supp 2 p5-6 defines inverse probability weights only for phase 1 abstainers (1/(0.5x1)=2) and re-randomized nonabstainers (1/(0.5x0.33)=6.06); the primary analysis also includes 75 nonabstainers assigned (not randomized) to continuation (main p4, Figure 2). Their weight and probability basis are not stated.</t>
        </is>
      </c>
    </row>
    <row r="4" ht="92" customHeight="1" s="25">
      <c r="A4" s="20" t="inlineStr">
        <is>
          <t>2024::jama.2024.4183::C003</t>
        </is>
      </c>
      <c r="B4" s="20" t="inlineStr">
        <is>
          <t>Mixed denominators in abstract allocation percentages</t>
        </is>
      </c>
      <c r="C4" s="20" t="inlineStr">
        <is>
          <t>jama_cinciripini_2024_oi_240036_1716416465.98349.pdf — main p.1, CNRT and VAR Results paragraphs; jama_cinciripini_2024_oi_240036_1716416465.98349.pdf — main p.6, Figure 2 branches</t>
        </is>
      </c>
      <c r="D4" s="21" t="inlineStr">
        <is>
          <t>retain</t>
        </is>
      </c>
      <c r="E4" s="21" t="inlineStr">
        <is>
          <t>statistical_results</t>
        </is>
      </c>
      <c r="F4" s="21" t="inlineStr">
        <is>
          <t>primary_done</t>
        </is>
      </c>
      <c r="G4" s="20">
        <f>IFERROR(IF(LEN(TRIM(CLEAN(SUBSTITUTE(Setup!$B$2,CHAR(160)," "))))=0,"CHECK REVIEWER ID",IF(OR(A4="",COUNTIF($A$2:$A$15,A4)&lt;&gt;1,LEFT(A4,LEN("2024::jama.2024.4183::"))&lt;&gt;"2024::jama.2024.4183::"),"CHECK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Abstract (p1): CNRT 90 (47%) continued, 50 (33%) increased, 51 (34%) switched; 90/191=47% but 50/151=33% and 51/151=34% (sum 114%). Varenicline: 39 (32%) and 41 (34%) of 122, but 77 (49%) of 157. Mixed denominators within the same sentence.</t>
        </is>
      </c>
    </row>
    <row r="5" ht="92" customHeight="1" s="25">
      <c r="A5" s="24" t="inlineStr">
        <is>
          <t>2024::jama.2024.4183::C004</t>
        </is>
      </c>
      <c r="B5" s="24" t="inlineStr">
        <is>
          <t>Primary CNRT lower credible limit differs across locations</t>
        </is>
      </c>
      <c r="C5" s="24" t="inlineStr">
        <is>
          <t>jama_cinciripini_2024_oi_240036_1716416465.98349.pdf — main p.1, CNRT Results; jama_cinciripini_2024_oi_240036_1716416465.98349.pdf — main p.5, Smoking Cessation End of Phase 2, CNRT paragraph; joi240036supp2_prod_1716416466.01349.pdf — supplement p.21, eTable 4</t>
        </is>
      </c>
      <c r="D5" s="21" t="inlineStr">
        <is>
          <t>retain</t>
        </is>
      </c>
      <c r="E5" s="21" t="inlineStr">
        <is>
          <t>statistical_results</t>
        </is>
      </c>
      <c r="F5" s="21" t="inlineStr">
        <is>
          <t>primary_done</t>
        </is>
      </c>
      <c r="G5" s="24">
        <f>IFERROR(IF(LEN(TRIM(CLEAN(SUBSTITUTE(Setup!$B$2,CHAR(160)," "))))=0,"CHECK REVIEWER ID",IF(OR(A5="",COUNTIF($A$2:$A$15,A5)&lt;&gt;1,LEFT(A5,LEN("2024::jama.2024.4183::"))&lt;&gt;"2024::jama.2024.4183::"),"CHECK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possible</t>
        </is>
      </c>
      <c r="K5" s="21">
        <f>IF(AND(OR(D5="retain",D5=""),OR(E5="report_internal_inconsistency",E5="plan_material")),"","not_applicable")</f>
        <v/>
      </c>
      <c r="L5" s="22">
        <f>IF(AND(OR(D5="retain",D5=""),E5="protocol_report"),"","not_applicable")</f>
        <v/>
      </c>
      <c r="M5" s="24" t="n"/>
      <c r="N5" s="23" t="n"/>
      <c r="O5" s="23" t="n"/>
      <c r="P5" s="23" t="n"/>
      <c r="Q5" s="23" t="n"/>
      <c r="R5" s="22" t="inlineStr">
        <is>
          <t>CNRT nonabstainers, switch to varenicline (or increase) vs continuation: abstract (p1) RD 6% (95% CrI 6% to 11%); Results (p5) 6% (2%-11%); eTable 4 (supp 2 p21) 6% (2%-10%) for switch and 6% (2%-11%) for increase. The abstract lower limit is wrong.</t>
        </is>
      </c>
    </row>
    <row r="6" ht="92" customHeight="1" s="25">
      <c r="A6" s="20" t="inlineStr">
        <is>
          <t>2024::jama.2024.4183::C005</t>
        </is>
      </c>
      <c r="B6" s="20" t="inlineStr">
        <is>
          <t>Primary varenicline-to-CNRT direction, sign, and attribution</t>
        </is>
      </c>
      <c r="C6" s="20" t="inlineStr">
        <is>
          <t>jama_cinciripini_2024_oi_240036_1716416465.98349.pdf — main p.1, VAR Results; jama_cinciripini_2024_oi_240036_1716416465.98349.pdf — main p.5, VAR nonabstainer paragraph; jama_cinciripini_2024_oi_240036_1716416465.98349.pdf — main p.7, Figure 3 VAR nonabstainer rows; joi240036supp2_prod_1716416466.01349.pdf — supplement p.21, eTable 4 VAR switch-CNRT versus VAR-stay row; jama_cinciripini_2024_oi_240036_1716416465.98349.pdf — Main p.8, Discussion</t>
        </is>
      </c>
      <c r="D6" s="21" t="inlineStr">
        <is>
          <t>retain</t>
        </is>
      </c>
      <c r="E6" s="21" t="inlineStr">
        <is>
          <t>statistical_results</t>
        </is>
      </c>
      <c r="F6" s="21" t="inlineStr">
        <is>
          <t>primary_done</t>
        </is>
      </c>
      <c r="G6" s="20">
        <f>IFERROR(IF(LEN(TRIM(CLEAN(SUBSTITUTE(Setup!$B$2,CHAR(160)," "))))=0,"CHECK REVIEWER ID",IF(OR(A6="",COUNTIF($A$2:$A$15,A6)&lt;&gt;1,LEFT(A6,LEN("2024::jama.2024.4183::"))&lt;&gt;"2024::jama.2024.4183::"),"CHECK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t="inlineStr">
        <is>
          <t>possible</t>
        </is>
      </c>
      <c r="K6" s="21">
        <f>IF(AND(OR(D6="retain",D6=""),OR(E6="report_internal_inconsistency",E6="plan_material")),"","not_applicable")</f>
        <v/>
      </c>
      <c r="L6" s="22">
        <f>IF(AND(OR(D6="retain",D6=""),E6="protocol_report"),"","not_applicable")</f>
        <v/>
      </c>
      <c r="M6" s="20" t="n"/>
      <c r="N6" s="23" t="n"/>
      <c r="O6" s="23" t="n"/>
      <c r="P6" s="23" t="n"/>
      <c r="Q6" s="23" t="n"/>
      <c r="R6" s="22" t="inlineStr">
        <is>
          <t>Varenicline nonabstainers: switch to CNRT 0/41 (0%) vs continue 2/77 (3%). Results (p5) give RD -3% (-4% to -1%) with '&gt;99% probability that continuing was worse than switching' (direction reversed); eTable 4 prints +3% (1% to 4%) for switch vs stay; the abstract attributes the &gt;99% statement to 'switching to a higher dosage'. Discussion (p8) correctly describes a decrement with switching.</t>
        </is>
      </c>
    </row>
    <row r="7" ht="92" customHeight="1" s="25">
      <c r="A7" s="24" t="inlineStr">
        <is>
          <t>2024::jama.2024.4183::C006</t>
        </is>
      </c>
      <c r="B7" s="24" t="inlineStr">
        <is>
          <t>Reported prespecified posterior criterion differs from plan</t>
        </is>
      </c>
      <c r="C7" s="24" t="inlineStr">
        <is>
          <t>joi240036supp1_prod_1716416466.00349.pdf — p.31, paragraph preceding Data Simulation Model; joi240036supp1_prod_1716416466.00349.pdf — Plan p.33, power prose; joi240036supp1_prod_1716416466.00349.pdf — p.34, Table 3; jama_cinciripini_2024_oi_240036_1716416465.98349.pdf — main p.4, Sample Size Determination and Statistical Analysis Plan; joi240036supp2_prod_1716416466.01349.pdf — supplement p.9, first paragraph; joi240036supp2_prod_1716416466.01349.pdf — supplement p.18, eTable 2</t>
        </is>
      </c>
      <c r="D7" s="21" t="inlineStr">
        <is>
          <t>retain</t>
        </is>
      </c>
      <c r="E7" s="21" t="inlineStr">
        <is>
          <t>protocol_report</t>
        </is>
      </c>
      <c r="F7" s="21" t="inlineStr">
        <is>
          <t>primary_done</t>
        </is>
      </c>
      <c r="G7" s="24">
        <f>IFERROR(IF(LEN(TRIM(CLEAN(SUBSTITUTE(Setup!$B$2,CHAR(160)," "))))=0,"CHECK REVIEWER ID",IF(OR(A7="",COUNTIF($A$2:$A$15,A7)&lt;&gt;1,LEFT(A7,LEN("2024::jama.2024.4183::"))&lt;&gt;"2024::jama.2024.4183::"),"CHECK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(supp 1 p31, p33-34): a posterior probability &gt;0.90 that the effect exists constitutes sufficient evidence, and power is described for detecting 0.90. Report (p4; supp 2 p9) states that a posterior probability &gt;0.80 was prespecified as sufficient for confirmation.</t>
        </is>
      </c>
    </row>
    <row r="8" ht="92" customHeight="1" s="25">
      <c r="A8" s="20" t="inlineStr">
        <is>
          <t>2024::jama.2024.4183::C007</t>
        </is>
      </c>
      <c r="B8" s="20" t="inlineStr">
        <is>
          <t>Planned primary-model robustness analyses absent from reports</t>
        </is>
      </c>
      <c r="C8" s="20" t="inlineStr">
        <is>
          <t>joi240036supp1_prod_1716416466.00349.pdf — p.28, general analytic strategy and prior paragraphs; jama_cinciripini_2024_oi_240036_1716416465.98349.pdf — p.4, methods/intent-to-treat; jama_cinciripini_2024_oi_240036_1716416465.98349.pdf — p.7, secondary outcomes; jama_cinciripini_2024_oi_240036_1716416465.98349.pdf — p.8, post hoc analyses/limitations; joi240036supp2_prod_1716416466.01349.pdf — pp.1–3, complete contents; joi240036supp2_prod_1716416466.01349.pdf — p.5; joi240036supp2_prod_1716416466.01349.pdf — p.6; joi240036supp2_prod_1716416466.01349.pdf — p.7; joi240036supp2_prod_1716416466.01349.pdf — p.8; joi240036supp2_prod_1716416466.01349.pdf — p.9; joi240036supp2_prod_1716416466.01349.pdf — p.10; joi240036supp2_prod_1716416466.01349.pdf — p.11; joi240036supp2_prod_1716416466.01349.pdf — p.12; joi240036supp2_prod_1716416466.01349.pdf — p.13</t>
        </is>
      </c>
      <c r="D8" s="21" t="inlineStr">
        <is>
          <t>retain</t>
        </is>
      </c>
      <c r="E8" s="21" t="inlineStr">
        <is>
          <t>protocol_report</t>
        </is>
      </c>
      <c r="F8" s="21" t="inlineStr">
        <is>
          <t>primary_done</t>
        </is>
      </c>
      <c r="G8" s="20">
        <f>IFERROR(IF(LEN(TRIM(CLEAN(SUBSTITUTE(Setup!$B$2,CHAR(160)," "))))=0,"CHECK REVIEWER ID",IF(OR(A8="",COUNTIF($A$2:$A$15,A8)&lt;&gt;1,LEFT(A8,LEN("2024::jama.2024.4183::"))&lt;&gt;"2024::jama.2024.4183::"),"CHECK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p28 and p30: analyses with and without potential confounders, joint modeling of outcomes and missingness, pattern-mixture models for non-ignorable missingness, and sensitivity analyses with optimistic/pessimistic/skeptical priors. None is reported in the main article or supplement 2; only a post hoc dynamic treatment regime analysis is added.</t>
        </is>
      </c>
    </row>
    <row r="9" ht="92" customHeight="1" s="25">
      <c r="A9" s="24" t="inlineStr">
        <is>
          <t>2024::jama.2024.4183::C008</t>
        </is>
      </c>
      <c r="B9" s="24" t="inlineStr">
        <is>
          <t>EOT plus 30-day varenicline continuation denominator</t>
        </is>
      </c>
      <c r="C9" s="24" t="inlineStr">
        <is>
          <t>jama_cinciripini_2024_oi_240036_1716416465.98349.pdf — main p.7, Secondary Outcomes of Abstinence; joi240036supp2_prod_1716416466.01349.pdf — supplement p.10, opening continuation of summarized analysis; joi240036supp2_prod_1716416466.01349.pdf — supplement p.15, eFigure 2 final VAR nonabstainer-to-VAR row; jama_cinciripini_2024_oi_240036_1716416465.98349.pdf — main p.6, VAR continuation branch</t>
        </is>
      </c>
      <c r="D9" s="21" t="inlineStr">
        <is>
          <t>retain</t>
        </is>
      </c>
      <c r="E9" s="21" t="inlineStr">
        <is>
          <t>statistical_results</t>
        </is>
      </c>
      <c r="F9" s="21" t="inlineStr">
        <is>
          <t>primary_done</t>
        </is>
      </c>
      <c r="G9" s="24">
        <f>IFERROR(IF(LEN(TRIM(CLEAN(SUBSTITUTE(Setup!$B$2,CHAR(160)," "))))=0,"CHECK REVIEWER ID",IF(OR(A9="",COUNTIF($A$2:$A$15,A9)&lt;&gt;1,LEFT(A9,LEN("2024::jama.2024.4183::"))&lt;&gt;"2024::jama.2024.4183::"),"CHECK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EOT+30 continuous abstinence, varenicline nonabstainers who continued: main p7 and supp 2 p10 give n = 42; eFigure 2 (supp 2 p15) gives 0/77, the continuation group used in all analyses (42 re-randomized + 35 assigned).</t>
        </is>
      </c>
    </row>
    <row r="10" ht="92" customHeight="1" s="25">
      <c r="A10" s="20" t="inlineStr">
        <is>
          <t>2024::jama.2024.4183::C009</t>
        </is>
      </c>
      <c r="B10" s="20" t="inlineStr">
        <is>
          <t>Six-month CNRT summary probabilities and risk difference</t>
        </is>
      </c>
      <c r="C10" s="20" t="inlineStr">
        <is>
          <t>jama_cinciripini_2024_oi_240036_1716416465.98349.pdf — main p.7, six-month Secondary Outcomes sentence; joi240036supp2_prod_1716416466.01349.pdf — supplement p.10, six-month summarized analysis; jama_cinciripini_2024_oi_240036_1716416465.98349.pdf — Main p.1, final Results sentence; joi240036supp2_prod_1716416466.01349.pdf — supplement p.11, six-month CNRT detailed paragraph; joi240036supp2_prod_1716416466.01349.pdf — Supplement p.16, eFigure 3 matched CNRT rows; joi240036supp2_prod_1716416466.01349.pdf — Supplement p.33, eTable 9 six-month CNRT+ contrast</t>
        </is>
      </c>
      <c r="D10" s="21" t="inlineStr">
        <is>
          <t>retain</t>
        </is>
      </c>
      <c r="E10" s="21" t="inlineStr">
        <is>
          <t>statistical_results</t>
        </is>
      </c>
      <c r="F10" s="21" t="inlineStr">
        <is>
          <t>primary_done</t>
        </is>
      </c>
      <c r="G10" s="20">
        <f>IFERROR(IF(LEN(TRIM(CLEAN(SUBSTITUTE(Setup!$B$2,CHAR(160)," "))))=0,"CHECK REVIEWER ID",IF(OR(A10="",COUNTIF($A$2:$A$15,A10)&lt;&gt;1,LEFT(A10,LEN("2024::jama.2024.4183::"))&lt;&gt;"2024::jama.2024.4183::"),"CHECK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Main p7 (and supp 2 p10): at 6 months 'only the CNRT patch increase (3%) and varenicline dosage increase (2%) provided benefit over continuation (0%)'. eFigure 3 (supp 2 p16) and supp p11: CNRT+ 6% (3/50) vs CNRT continuation 3% (3/90); RD 3% (eTable 9). The CNRT figures conflate an RD with an arm rate and misstate continuation as 0%.</t>
        </is>
      </c>
    </row>
    <row r="11" ht="92" customHeight="1" s="25">
      <c r="A11" s="24" t="inlineStr">
        <is>
          <t>2024::jama.2024.4183::C010</t>
        </is>
      </c>
      <c r="B11" s="24" t="inlineStr">
        <is>
          <t>Week-6 design intervals and generating beta distributions</t>
        </is>
      </c>
      <c r="C11" s="24" t="inlineStr">
        <is>
          <t>joi240036supp1_prod_1716416466.00349.pdf — p.31, Data Simulation Model; joi240036supp1_prod_1716416466.00349.pdf — p.32, Figure 2; joi240036supp2_prod_1716416466.01349.pdf — supplement p.5, eFigure 1 description; joi240036supp2_prod_1716416466.01349.pdf — supplement p.14, eFigure 1</t>
        </is>
      </c>
      <c r="D11" s="21" t="inlineStr">
        <is>
          <t>retain</t>
        </is>
      </c>
      <c r="E11" s="21" t="inlineStr">
        <is>
          <t>plan_material</t>
        </is>
      </c>
      <c r="F11" s="21" t="inlineStr">
        <is>
          <t>primary_done</t>
        </is>
      </c>
      <c r="G11" s="24">
        <f>IFERROR(IF(LEN(TRIM(CLEAN(SUBSTITUTE(Setup!$B$2,CHAR(160)," "))))=0,"CHECK REVIEWER ID",IF(OR(A11="",COUNTIF($A$2:$A$15,A11)&lt;&gt;1,LEFT(A11,LEN("2024::jama.2024.4183::"))&lt;&gt;"2024::jama.2024.4183::"),"CHECK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t="inlineStr">
        <is>
          <t>indeterminate</t>
        </is>
      </c>
      <c r="L11" s="22">
        <f>IF(AND(OR(D11="retain",D11=""),E11="protocol_report"),"","not_applicable")</f>
        <v/>
      </c>
      <c r="M11" s="24" t="n"/>
      <c r="N11" s="23" t="n"/>
      <c r="O11" s="23" t="n"/>
      <c r="P11" s="23" t="n"/>
      <c r="Q11" s="23" t="n"/>
      <c r="R11" s="22" t="inlineStr">
        <is>
          <t>Protocol Figure 2 (supp 1 p32), repeated in eFigure 1 (supp 2 p14): week-6 response '0.48, 0.38-0.58 ~Beta(193,210)' and '0.50, 0.40-0.60 ~Beta(785,869)'. These betas give 95% intervals 0.43-0.53 and 0.45-0.50 (mean 0.475 for the second), whereas the 8 week-12 boxes reproduce their stated intervals.</t>
        </is>
      </c>
    </row>
    <row r="12" ht="92" customHeight="1" s="25">
      <c r="A12" s="20" t="inlineStr">
        <is>
          <t>2024::jama.2024.4183::C011</t>
        </is>
      </c>
      <c r="B12" s="20" t="inlineStr">
        <is>
          <t>Revised normal prior variance and printed odds interval</t>
        </is>
      </c>
      <c r="C12" s="20" t="inlineStr">
        <is>
          <t>joi240036supp2_prod_1716416466.01349.pdf — supplement p.7, initial coefficient-prior paragraph; joi240036supp2_prod_1716416466.01349.pdf — p.8, first prior paragraph; joi240036supp2_prod_1716416466.01349.pdf — p.8 model-fitting paragraph</t>
        </is>
      </c>
      <c r="D12" s="21" t="inlineStr">
        <is>
          <t>retain</t>
        </is>
      </c>
      <c r="E12" s="21" t="inlineStr">
        <is>
          <t>statistical_results</t>
        </is>
      </c>
      <c r="F12" s="21" t="inlineStr">
        <is>
          <t>primary_done</t>
        </is>
      </c>
      <c r="G12" s="20">
        <f>IFERROR(IF(LEN(TRIM(CLEAN(SUBSTITUTE(Setup!$B$2,CHAR(160)," "))))=0,"CHECK REVIEWER ID",IF(OR(A12="",COUNTIF($A$2:$A$15,A12)&lt;&gt;1,LEFT(A12,LEN("2024::jama.2024.4183::"))&lt;&gt;"2024::jama.2024.4183::"),"CHECK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Supp 2 p8: revised intercept prior 'Normal(mean = 0, variance = 10)', with odds 95% interval 3.07e-9 to 325,215,956. That interval corresponds to SD = 10 (variance 100); variance 10 (SD 3.16) gives 0.0020 to 492. The main text (p4) also writes the coefficient prior as N(mu=0, sigma=1000), i.e., SD notation.</t>
        </is>
      </c>
    </row>
    <row r="13" ht="92" customHeight="1" s="25">
      <c r="A13" s="24" t="inlineStr">
        <is>
          <t>2024::jama.2024.4183::C012</t>
        </is>
      </c>
      <c r="B13" s="24" t="inlineStr">
        <is>
          <t>Repeated EOT plus 30-day decimal-scale discrepancies</t>
        </is>
      </c>
      <c r="C13" s="24" t="inlineStr">
        <is>
          <t>joi240036supp2_prod_1716416466.01349.pdf — Supplement p.10, CNRT nonabstainer switch probability; joi240036supp2_prod_1716416466.01349.pdf — P.15, eFigure 2 CNRT nonabstainer→VAR; joi240036supp2_prod_1716416466.01349.pdf — P.10, same CNRT probability sentence, increase; joi240036supp2_prod_1716416466.01349.pdf — P.15, eFigure 2 CNRT nonabstainer→CNRT+; joi240036supp2_prod_1716416466.01349.pdf — P.10, CNRT switch-minus-continuation ARD; joi240036supp2_prod_1716416466.01349.pdf — P.33, eTable 9 EOT+30 CNRT VAR-switch column; joi240036supp2_prod_1716416466.01349.pdf — P.10, final VAR nonabstainer probability sentence, increase; joi240036supp2_prod_1716416466.01349.pdf — P.15, eFigure 2 VAR nonabstainer→VAR+; joi240036supp2_prod_1716416466.01349.pdf — P.11, first paragraph, VAR increase-minus-continuation ARD; joi240036supp2_prod_1716416466.01349.pdf — P.33, eTable 9 EOT+30 VAR+ column; joi240036supp2_prod_1716416466.01349.pdf — P.11, second paragraph, VAR increase-minus-switch ARD; joi240036supp2_prod_1716416466.01349.pdf — P.34, eTable 10 EOT+30 VAR column; joi240036supp2_prod_1716416466.01349.pdf — P.11, phase-1 abstainers paragraph, CNRT versus VAR ARD; joi240036supp2_prod_1716416466.01349.pdf — P.35, eTable 11 EOT+30 row</t>
        </is>
      </c>
      <c r="D13" s="21" t="inlineStr">
        <is>
          <t>retain</t>
        </is>
      </c>
      <c r="E13" s="21" t="inlineStr">
        <is>
          <t>statistical_results</t>
        </is>
      </c>
      <c r="F13" s="21" t="inlineStr">
        <is>
          <t>primary_done</t>
        </is>
      </c>
      <c r="G13" s="24">
        <f>IFERROR(IF(LEN(TRIM(CLEAN(SUBSTITUTE(Setup!$B$2,CHAR(160)," "))))=0,"CHECK REVIEWER ID",IF(OR(A13="",COUNTIF($A$2:$A$15,A13)&lt;&gt;1,LEFT(A13,LEN("2024::jama.2024.4183::"))&lt;&gt;"2024::jama.2024.4183::"),"CHECK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Supp 2 p10-11 narrative: CNRT switch '1.0% (7.0%-1.3%)', CNRT+ '8.0% (5.0%-1.1%)', switch ARD '6.0% (3.0%-1.0%)', varenicline+ '8.0% (5.0%-1.1%)', responder ARD '1.1% (-1.0%-22%)'. eFigure 2 and eTables 9 and 11 give 10% (7-13%), 8% (5-11%), 6% (3-10%), 8% (5-11%), 11% (-1 to 22%).</t>
        </is>
      </c>
    </row>
    <row r="14" ht="92" customHeight="1" s="25">
      <c r="A14" s="20" t="inlineStr">
        <is>
          <t>2024::jama.2024.4183::C013</t>
        </is>
      </c>
      <c r="B14" s="20" t="inlineStr">
        <is>
          <t>Six-month responder credible limits differ across locations</t>
        </is>
      </c>
      <c r="C14" s="20" t="inlineStr">
        <is>
          <t>joi240036supp2_prod_1716416466.01349.pdf — supplement p.12, Continuous Abstinence at 6 months for Abstainers; joi240036supp2_prod_1716416466.01349.pdf — supplement p.35, eTable 11 six-month Continuous Abstinence row; joi240036supp2_prod_1716416466.01349.pdf — P.16, eFigure 3 responder rows</t>
        </is>
      </c>
      <c r="D14" s="21" t="inlineStr">
        <is>
          <t>retain</t>
        </is>
      </c>
      <c r="E14" s="21" t="inlineStr">
        <is>
          <t>statistical_results</t>
        </is>
      </c>
      <c r="F14" s="21" t="inlineStr">
        <is>
          <t>primary_done</t>
        </is>
      </c>
      <c r="G14" s="20">
        <f>IFERROR(IF(LEN(TRIM(CLEAN(SUBSTITUTE(Setup!$B$2,CHAR(160)," "))))=0,"CHECK REVIEWER ID",IF(OR(A14="",COUNTIF($A$2:$A$15,A14)&lt;&gt;1,LEFT(A14,LEN("2024::jama.2024.4183::"))&lt;&gt;"2024::jama.2024.4183::"),"CHECK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Six-month continuous abstinence, phase 1 abstainers (CNRT 39% vs varenicline 40%): supp 2 p12 gives ARD 1.0% (-1.3% to 1.1%), probability 55%; eTable 11 (p35) gives 1% (-11% to 12%), 56%. The narrative interval is wrong (scale error), and the sign is ambiguous (CNRT minus varenicline would be about -1%).</t>
        </is>
      </c>
    </row>
    <row r="15" ht="92" customHeight="1" s="25">
      <c r="A15" s="24" t="inlineStr">
        <is>
          <t>2024::jama.2024.4183::C014</t>
        </is>
      </c>
      <c r="B15" s="24" t="inlineStr">
        <is>
          <t>Augmented-CNRT dose attached to the primary-design input</t>
        </is>
      </c>
      <c r="C15" s="24" t="inlineStr">
        <is>
          <t>joi240036supp2_prod_1716416466.01349.pdf — supplement p.14, eFigure 1 caption and CNRT+ week-12 cell; joi240036supp2_prod_1716416466.01349.pdf — supplement p.17, eTable 1 caption; joi240036supp2_prod_1716416466.01349.pdf — Supplement p.18, eTable 2 caption; joi240036supp2_prod_1716416466.01349.pdf — P.15, eFigure 2 caption; joi240036supp2_prod_1716416466.01349.pdf — p.16, eFigure 3 caption; jama_cinciripini_2024_oi_240036_1716416465.98349.pdf — main p.4, first medication paragraph; jama_cinciripini_2024_oi_240036_1716416465.98349.pdf — main p.7, Figure 3 caption; jama_cinciripini_2024_oi_240036_1716416465.98349.pdf — Main p.8, second limitation; joi240036supp1_prod_1716416466.00349.pdf — p.25, medication paragraph</t>
        </is>
      </c>
      <c r="D15" s="21" t="inlineStr">
        <is>
          <t>retain</t>
        </is>
      </c>
      <c r="E15" s="21" t="inlineStr">
        <is>
          <t>report_internal_inconsistency</t>
        </is>
      </c>
      <c r="F15" s="21" t="inlineStr">
        <is>
          <t>primary_done</t>
        </is>
      </c>
      <c r="G15" s="24">
        <f>IFERROR(IF(LEN(TRIM(CLEAN(SUBSTITUTE(Setup!$B$2,CHAR(160)," "))))=0,"CHECK REVIEWER ID",IF(OR(A15="",COUNTIF($A$2:$A$15,A15)&lt;&gt;1,LEFT(A15,LEN("2024::jama.2024.4183::"))&lt;&gt;"2024::jama.2024.4183::"),"CHECK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t="inlineStr">
        <is>
          <t>minor_presentation</t>
        </is>
      </c>
      <c r="L15" s="22">
        <f>IF(AND(OR(D15="retain",D15=""),E15="protocol_report"),"","not_applicable")</f>
        <v/>
      </c>
      <c r="M15" s="24" t="n"/>
      <c r="N15" s="23" t="n"/>
      <c r="O15" s="23" t="n"/>
      <c r="P15" s="23" t="n"/>
      <c r="Q15" s="23" t="n"/>
      <c r="R15" s="22" t="inlineStr">
        <is>
          <t>eFigure 1 caption (supp 2 p14) describes CNRT+ as two 21-mg patches plus a 4-mg lozenge; eTables 1-2 captions, eFigures 2-3 captions (p15-18), the main text (p4, Figure 3 caption) and the protocol (p25) give two 21-mg patches (42 mg) plus 2-mg lozenges.</t>
        </is>
      </c>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2024::jama.2024.6063::C001</t>
        </is>
      </c>
      <c r="B2" s="20" t="inlineStr">
        <is>
          <t>Primary signed contrast differs between report locations</t>
        </is>
      </c>
      <c r="C2" s="20" t="inlineStr">
        <is>
          <t>DOC-001 jama_laslett_2024_oi_240048_1727199125.7595.pdf — p1 abstract, jama_laslett_2024_oi_240048_1727199125.7595.pdf — p2 Key Points, jama_laslett_2024_oi_240048_1727199125.7595.pdf — p6 Table 2, jama_laslett_2024_oi_240048_1727199125.7595.pdf — p7 primary text; DOC-004 joi240048supp3_prod_1727199125.83025.pdf — p2 original row, joi240048supp3_prod_1727199125.83025.pdf — p5 VAS24.</t>
        </is>
      </c>
      <c r="D2" s="21" t="inlineStr">
        <is>
          <t>retain</t>
        </is>
      </c>
      <c r="E2" s="21" t="inlineStr">
        <is>
          <t>statistical_results</t>
        </is>
      </c>
      <c r="F2" s="21" t="inlineStr">
        <is>
          <t>primary_done</t>
        </is>
      </c>
      <c r="G2" s="20">
        <f>IFERROR(IF(LEN(TRIM(CLEAN(SUBSTITUTE(Setup!$B$2,CHAR(160)," "))))=0,"CHECK REVIEWER ID",IF(OR(A2="",COUNTIF($A$2:$A$14,A2)&lt;&gt;1,LEFT(A2,LEN("2024::jama.2024.6063::"))&lt;&gt;"2024::jama.2024.6063::"),"CHECK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Primary between-group difference in VAS change: abstract (p1), Results (p7), Table 2 (p6) and eTable 1 (supp 3 p2) give -0.3 (-0.27), consistent with placebo minus krill (-20.2 - (-19.9)); Key Points (p2) gives +0.30 with the same CI (-6.9 to 6.4). The direction convention is not defined anywhere.</t>
        </is>
      </c>
    </row>
    <row r="3" ht="92" customHeight="1" s="25">
      <c r="A3" s="24" t="inlineStr">
        <is>
          <t>2024::jama.2024.6063::C002</t>
        </is>
      </c>
      <c r="B3" s="24" t="inlineStr">
        <is>
          <t>Placebo composition percentages differ by a decimal place</t>
        </is>
      </c>
      <c r="C3" s="24" t="inlineStr">
        <is>
          <t>DOC-001 jama_laslett_2024_oi_240048_1727199125.7595.pdf — p2 intervention last line, jama_laslett_2024_oi_240048_1727199125.7595.pdf — p3 continuation, jama_laslett_2024_oi_240048_1727199125.7595.pdf — p9 Discussion.</t>
        </is>
      </c>
      <c r="D3" s="21" t="inlineStr">
        <is>
          <t>retain</t>
        </is>
      </c>
      <c r="E3" s="21" t="inlineStr">
        <is>
          <t>statistical_results</t>
        </is>
      </c>
      <c r="F3" s="21" t="inlineStr">
        <is>
          <t>primary_done</t>
        </is>
      </c>
      <c r="G3" s="24">
        <f>IFERROR(IF(LEN(TRIM(CLEAN(SUBSTITUTE(Setup!$B$2,CHAR(160)," "))))=0,"CHECK REVIEWER ID",IF(OR(A3="",COUNTIF($A$2:$A$14,A3)&lt;&gt;1,LEFT(A3,LEN("2024::jama.2024.6063::"))&lt;&gt;"2024::jama.2024.6063::"),"CHECK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Placebo composition: Methods (p2-3) 'less than 5 mg/g (0.5%)' of other omega-3; Discussion (p9) 'less than 5 mg/g (0.05%)'. 5 mg/g = 0.5%; the Discussion value is off by a factor of 10.</t>
        </is>
      </c>
    </row>
    <row r="4" ht="92" customHeight="1" s="25">
      <c r="A4" s="20" t="inlineStr">
        <is>
          <t>2024::jama.2024.6063::C003</t>
        </is>
      </c>
      <c r="B4" s="20" t="inlineStr">
        <is>
          <t>Primary VAS recall periods differ between plan and report</t>
        </is>
      </c>
      <c r="C4" s="20" t="inlineStr">
        <is>
          <t>DOC-001 jama_laslett_2024_oi_240048_1727199125.7595.pdf — p3 primary outcome, jama_laslett_2024_oi_240048_1727199125.7595.pdf — p5 Table 1 footnote b; DOC-002 joi240048supp1_prod_1727199125.7845.pdf — p6 primary definition, joi240048supp1_prod_1727199125.7845.pdf — p8 primary question.</t>
        </is>
      </c>
      <c r="D4" s="21" t="inlineStr">
        <is>
          <t>retain</t>
        </is>
      </c>
      <c r="E4" s="21" t="inlineStr">
        <is>
          <t>protocol_report</t>
        </is>
      </c>
      <c r="F4" s="21" t="inlineStr">
        <is>
          <t>primary_done</t>
        </is>
      </c>
      <c r="G4" s="20">
        <f>IFERROR(IF(LEN(TRIM(CLEAN(SUBSTITUTE(Setup!$B$2,CHAR(160)," "))))=0,"CHECK REVIEWER ID",IF(OR(A4="",COUNTIF($A$2:$A$14,A4)&lt;&gt;1,LEFT(A4,LEN("2024::jama.2024.6063::"))&lt;&gt;"2024::jama.2024.6063::"),"CHECK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(supp 1 p8): primary VAS item 'how would you rate your pain today?'. Report (p3, Table 1 footnote b): knee pain VAS over the past 7 days.</t>
        </is>
      </c>
    </row>
    <row r="5" ht="92" customHeight="1" s="25">
      <c r="A5" s="24" t="inlineStr">
        <is>
          <t>2024::jama.2024.6063::C004</t>
        </is>
      </c>
      <c r="B5" s="24" t="inlineStr">
        <is>
          <t>ICOAP item count does not identify the scoring denominator</t>
        </is>
      </c>
      <c r="C5" s="24" t="inlineStr">
        <is>
          <t>DOC-001 jama_laslett_2024_oi_240048_1727199125.7595.pdf — p4 post hoc scoring, jama_laslett_2024_oi_240048_1727199125.7595.pdf — p5 Table 1 footnote g, jama_laslett_2024_oi_240048_1727199125.7595.pdf — p6 ICOAP rows/descriptions.</t>
        </is>
      </c>
      <c r="D5" s="21" t="inlineStr">
        <is>
          <t>retain</t>
        </is>
      </c>
      <c r="E5" s="21" t="inlineStr">
        <is>
          <t>statistical_results</t>
        </is>
      </c>
      <c r="F5" s="21" t="inlineStr">
        <is>
          <t>primary_done</t>
        </is>
      </c>
      <c r="G5" s="24">
        <f>IFERROR(IF(LEN(TRIM(CLEAN(SUBSTITUTE(Setup!$B$2,CHAR(160)," "))))=0,"CHECK REVIEWER ID",IF(OR(A5="",COUNTIF($A$2:$A$14,A5)&lt;&gt;1,LEFT(A5,LEN("2024::jama.2024.6063::"))&lt;&gt;"2024::jama.2024.6063::"),"CHECK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Methods (p4): ICOAP item scores 0-4 (never to very often); constant 0-20, intermittent 0-24, total 0-44. Table 1 footnote g (p5): 5 constant and 8 intermittent questions with responses 'not at all' to 'extremely'. 8 x 4 = 32, not 24 (ICOAP has 6 intermittent items), and total would be 52.</t>
        </is>
      </c>
    </row>
    <row r="6" ht="92" customHeight="1" s="25">
      <c r="A6" s="20" t="inlineStr">
        <is>
          <t>2024::jama.2024.6063::C005</t>
        </is>
      </c>
      <c r="B6" s="20" t="inlineStr">
        <is>
          <t>Adopted power specifications differ between plan and report</t>
        </is>
      </c>
      <c r="C6" s="20" t="inlineStr">
        <is>
          <t>DOC-001 jama_laslett_2024_oi_240048_1727199125.7595.pdf — p4 power; DOC-002 joi240048supp1_prod_1727199125.7845.pdf — p2 effusion hypothesis, joi240048supp1_prod_1727199125.7845.pdf — p12 adopted power.</t>
        </is>
      </c>
      <c r="D6" s="21" t="inlineStr">
        <is>
          <t>retain</t>
        </is>
      </c>
      <c r="E6" s="21" t="inlineStr">
        <is>
          <t>protocol_report</t>
        </is>
      </c>
      <c r="F6" s="21" t="inlineStr">
        <is>
          <t>primary_done</t>
        </is>
      </c>
      <c r="G6" s="20">
        <f>IFERROR(IF(LEN(TRIM(CLEAN(SUBSTITUTE(Setup!$B$2,CHAR(160)," "))))=0,"CHECK REVIEWER ID",IF(OR(A6="",COUNTIF($A$2:$A$14,A6)&lt;&gt;1,LEFT(A6,LEN("2024::jama.2024.6063::"))&lt;&gt;"2024::jama.2024.6063::"),"CHECK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(supp 1 p12): 10-mm VAS difference with SD 25.5 (12-week placebo change -15.5 +/- 25.5), 90% power, 234 needed, 260 with 10% loss; effusion: 96% power for a 20% difference in effusion area (mean 2.24 cm2, SD of change 1.35). Report (p4): SD 23.8 and a 4.5-mL change in effusion-synovitis volume, 130 per group, 90% power.</t>
        </is>
      </c>
    </row>
    <row r="7" ht="92" customHeight="1" s="25">
      <c r="A7" s="24" t="inlineStr">
        <is>
          <t>2024::jama.2024.6063::C006</t>
        </is>
      </c>
      <c r="B7" s="24" t="inlineStr">
        <is>
          <t>Reported primary model differs from the supplied planned model</t>
        </is>
      </c>
      <c r="C7" s="24" t="inlineStr">
        <is>
          <t>DOC-001 jama_laslett_2024_oi_240048_1727199125.7595.pdf — p4 statistical methods, jama_laslett_2024_oi_240048_1727199125.7595.pdf — p7 continuation; DOC-002 joi240048supp1_prod_1727199125.7845.pdf — p12 Statistics; DOC-003 joi240048supp2_prod_1727199125.8245.pdf — p1 lines 5–7.</t>
        </is>
      </c>
      <c r="D7" s="21" t="inlineStr">
        <is>
          <t>retain</t>
        </is>
      </c>
      <c r="E7" s="21" t="inlineStr">
        <is>
          <t>protocol_report</t>
        </is>
      </c>
      <c r="F7" s="21" t="inlineStr">
        <is>
          <t>primary_done</t>
        </is>
      </c>
      <c r="G7" s="24">
        <f>IFERROR(IF(LEN(TRIM(CLEAN(SUBSTITUTE(Setup!$B$2,CHAR(160)," "))))=0,"CHECK REVIEWER ID",IF(OR(A7="",COUNTIF($A$2:$A$14,A7)&lt;&gt;1,LEFT(A7,LEN("2024::jama.2024.6063::"))&lt;&gt;"2024::jama.2024.6063::"),"CHECK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(supp 1 p12) and SAP excerpt (supp 2 lines 5-7): linear regression of change scores, univariate and multivariable if groups unbalanced. Report (p4, p7): linear mixed model with treatment, month and treatment x month, random intercepts for participant and site, random slope for month, adjusting for imbalanced baseline values.</t>
        </is>
      </c>
    </row>
    <row r="8" ht="92" customHeight="1" s="25">
      <c r="A8" s="20" t="inlineStr">
        <is>
          <t>2024::jama.2024.6063::C007</t>
        </is>
      </c>
      <c r="B8" s="20" t="inlineStr">
        <is>
          <t>Planned per-protocol primary efficacy analysis is not reported</t>
        </is>
      </c>
      <c r="C8" s="20" t="inlineStr">
        <is>
          <t>DOC-002 joi240048supp1_prod_1727199125.7845.pdf — p12 Statistics; DOC-003 joi240048supp2_prod_1727199125.8245.pdf — p1 lines 8–9; DOC-001 jama_laslett_2024_oi_240048_1727199125.7595.pdf — p4 methods, jama_laslett_2024_oi_240048_1727199125.7595.pdf — p6 efficacy table, jama_laslett_2024_oi_240048_1727199125.7595.pdf — p7 methods/results; DOC-004 joi240048supp3_prod_1727199125.83025.pdf — p2 sensitivity table, joi240048supp3_prod_1727199125.83025.pdf — p3 adherence.</t>
        </is>
      </c>
      <c r="D8" s="21" t="inlineStr">
        <is>
          <t>retain</t>
        </is>
      </c>
      <c r="E8" s="21" t="inlineStr">
        <is>
          <t>protocol_report</t>
        </is>
      </c>
      <c r="F8" s="21" t="inlineStr">
        <is>
          <t>primary_done</t>
        </is>
      </c>
      <c r="G8" s="20">
        <f>IFERROR(IF(LEN(TRIM(CLEAN(SUBSTITUTE(Setup!$B$2,CHAR(160)," "))))=0,"CHECK REVIEWER ID",IF(OR(A8="",COUNTIF($A$2:$A$14,A8)&lt;&gt;1,LEFT(A8,LEN("2024::jama.2024.6063::"))&lt;&gt;"2024::jama.2024.6063::"),"CHECK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and SAP (supp 1 p12; supp 2 lines 8-9): per-protocol analyses in participants consuming &gt;=80% of capsules. Not reported; supp 3 eTable 1 gives age-adjusted and multiple-imputation sensitivity analyses, and adherence is described (95% took &gt;=80%).</t>
        </is>
      </c>
    </row>
    <row r="9" ht="92" customHeight="1" s="25">
      <c r="A9" s="24" t="inlineStr">
        <is>
          <t>2024::jama.2024.6063::C008</t>
        </is>
      </c>
      <c r="B9" s="24" t="inlineStr">
        <is>
          <t>Repeated modeled arm-change and point-contrast discrepancies</t>
        </is>
      </c>
      <c r="C9" s="24" t="inlineStr">
        <is>
          <t>DOC-001 jama_laslett_2024_oi_240048_1727199125.7595.pdf — p6 ICOAP total/intermittent; DOC-004 joi240048supp3_prod_1727199125.83025.pdf — p5 weight-bearing/function week4, joi240048supp3_prod_1727199125.83025.pdf — p6 hsCRP12/24 and glucose12. Producing model corroboration: DOC-001 jama_laslett_2024_oi_240048_1727199125.7595.pdf — p4, jama_laslett_2024_oi_240048_1727199125.7595.pdf — p7.</t>
        </is>
      </c>
      <c r="D9" s="21" t="inlineStr">
        <is>
          <t>retain</t>
        </is>
      </c>
      <c r="E9" s="21" t="inlineStr">
        <is>
          <t>statistical_results</t>
        </is>
      </c>
      <c r="F9" s="21" t="inlineStr">
        <is>
          <t>primary_done</t>
        </is>
      </c>
      <c r="G9" s="24">
        <f>IFERROR(IF(LEN(TRIM(CLEAN(SUBSTITUTE(Setup!$B$2,CHAR(160)," "))))=0,"CHECK REVIEWER ID",IF(OR(A9="",COUNTIF($A$2:$A$14,A9)&lt;&gt;1,LEFT(A9,LEN("2024::jama.2024.6063::"))&lt;&gt;"2024::jama.2024.6063::"),"CHECK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possible</t>
        </is>
      </c>
      <c r="K9" s="21">
        <f>IF(AND(OR(D9="retain",D9=""),OR(E9="report_internal_inconsistency",E9="plan_material")),"","not_applicable")</f>
        <v/>
      </c>
      <c r="L9" s="22">
        <f>IF(AND(OR(D9="retain",D9=""),E9="protocol_report"),"","not_applicable")</f>
        <v/>
      </c>
      <c r="M9" s="24" t="n"/>
      <c r="N9" s="23" t="n"/>
      <c r="O9" s="23" t="n"/>
      <c r="P9" s="23" t="n"/>
      <c r="Q9" s="23" t="n"/>
      <c r="R9" s="22" t="inlineStr">
        <is>
          <t>Under the placebo-minus-krill convention that reproduces other rows (e.g., VAS -20.2-(-19.9)=-0.3; ICOAP intermittent 1.5; function week 4 -19): ICOAP total (Table 2) -8.2-(-9.9)=1.7 vs printed 2.05; WOMAC weight-bearing week 4 (supp 3 p5) -103-(-84)=-19 vs printed 3 (the arm changes duplicate the function row); hsCRP week 12 (p6) 0.24-(-0.53)=0.77 vs printed 0.07.</t>
        </is>
      </c>
    </row>
    <row r="10" ht="92" customHeight="1" s="25">
      <c r="A10" s="20" t="inlineStr">
        <is>
          <t>2024::jama.2024.6063::C009</t>
        </is>
      </c>
      <c r="B10" s="20" t="inlineStr">
        <is>
          <t>Selected adverse-event counts change treatment attribution</t>
        </is>
      </c>
      <c r="C10" s="20" t="inlineStr">
        <is>
          <t>DOC-001 jama_laslett_2024_oi_240048_1727199125.7595.pdf — p8 Table 3; DOC-004 joi240048supp3_prod_1727199125.83025.pdf — p10 cough and treatment headers, joi240048supp3_prod_1727199125.83025.pdf — p11 gastrointestinal rows.</t>
        </is>
      </c>
      <c r="D10" s="21" t="inlineStr">
        <is>
          <t>retain</t>
        </is>
      </c>
      <c r="E10" s="21" t="inlineStr">
        <is>
          <t>statistical_results</t>
        </is>
      </c>
      <c r="F10" s="21" t="inlineStr">
        <is>
          <t>primary_done</t>
        </is>
      </c>
      <c r="G10" s="20">
        <f>IFERROR(IF(LEN(TRIM(CLEAN(SUBSTITUTE(Setup!$B$2,CHAR(160)," "))))=0,"CHECK REVIEWER ID",IF(OR(A10="",COUNTIF($A$2:$A$14,A10)&lt;&gt;1,LEFT(A10,LEN("2024::jama.2024.6063::"))&lt;&gt;"2024::jama.2024.6063::"),"CHECK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t="inlineStr">
        <is>
          <t>direct</t>
        </is>
      </c>
      <c r="K10" s="21">
        <f>IF(AND(OR(D10="retain",D10=""),OR(E10="report_internal_inconsistency",E10="plan_material")),"","not_applicable")</f>
        <v/>
      </c>
      <c r="L10" s="22">
        <f>IF(AND(OR(D10="retain",D10=""),E10="protocol_report"),"","not_applicable")</f>
        <v/>
      </c>
      <c r="M10" s="20" t="n"/>
      <c r="N10" s="23" t="n"/>
      <c r="O10" s="23" t="n"/>
      <c r="P10" s="23" t="n"/>
      <c r="Q10" s="23" t="n"/>
      <c r="R10" s="22" t="inlineStr">
        <is>
          <t>Table 3 (p8) vs eTable 7 (supp 3 p10-11): cough krill 2/placebo 0 vs 0/2; nasopharyngitis 2/1 vs 1/2; GERD 1/3 vs 3/1; abdominal discomfort 0/3 vs 3/0; diarrhea 2/1 vs 1/2; pain in extremity 1/6 vs 1/5 (abstract 1/5). eTable 7 subrows sum to the class totals (respiratory 9/16; GI 13/6), so Table 3 subrows are attributed to the wrong arm.</t>
        </is>
      </c>
    </row>
    <row r="11" ht="92" customHeight="1" s="25">
      <c r="A11" s="24" t="inlineStr">
        <is>
          <t>2024::jama.2024.6063::C010</t>
        </is>
      </c>
      <c r="B11" s="24" t="inlineStr">
        <is>
          <t>Serious-event relatedness classifications do not reconcile</t>
        </is>
      </c>
      <c r="C11" s="24" t="inlineStr">
        <is>
          <t>DOC-001 jama_laslett_2024_oi_240048_1727199125.7595.pdf — p8 Table 3, footnote b, narrative; DOC-004 joi240048supp3_prod_1727199125.83025.pdf — p14 eTable 8 relatedness entries.</t>
        </is>
      </c>
      <c r="D11" s="21" t="inlineStr">
        <is>
          <t>retain</t>
        </is>
      </c>
      <c r="E11" s="21" t="inlineStr">
        <is>
          <t>statistical_results</t>
        </is>
      </c>
      <c r="F11" s="21" t="inlineStr">
        <is>
          <t>primary_done</t>
        </is>
      </c>
      <c r="G11" s="24">
        <f>IFERROR(IF(LEN(TRIM(CLEAN(SUBSTITUTE(Setup!$B$2,CHAR(160)," "))))=0,"CHECK REVIEWER ID",IF(OR(A11="",COUNTIF($A$2:$A$14,A11)&lt;&gt;1,LEFT(A11,LEN("2024::jama.2024.6063::"))&lt;&gt;"2024::jama.2024.6063::"),"CHECK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direct</t>
        </is>
      </c>
      <c r="K11" s="21">
        <f>IF(AND(OR(D11="retain",D11=""),OR(E11="report_internal_inconsistency",E11="plan_material")),"","not_applicable")</f>
        <v/>
      </c>
      <c r="L11" s="22">
        <f>IF(AND(OR(D11="retain",D11=""),E11="protocol_report"),"","not_applicable")</f>
        <v/>
      </c>
      <c r="M11" s="24" t="n"/>
      <c r="N11" s="23" t="n"/>
      <c r="O11" s="23" t="n"/>
      <c r="P11" s="23" t="n"/>
      <c r="Q11" s="23" t="n"/>
      <c r="R11" s="22" t="inlineStr">
        <is>
          <t>Table 3 (p8): 'any treatment-related serious adverse event' 0 and 0; footnote b and text: no SAEs related to treatment / all unrelated. eTable 8 (supp 3 p14) rates relationship as possible for most SAEs and probable for one krill oil SAE (transfusion-dependent anaemia), unlikely for two.</t>
        </is>
      </c>
    </row>
    <row r="12" ht="92" customHeight="1" s="25">
      <c r="A12" s="20" t="inlineStr">
        <is>
          <t>2024::jama.2024.6063::C011</t>
        </is>
      </c>
      <c r="B12" s="20" t="inlineStr">
        <is>
          <t>Planned effusion power does not reproduce from supplied inputs</t>
        </is>
      </c>
      <c r="C12" s="20" t="inlineStr">
        <is>
          <t>DOC-002 joi240048supp1_prod_1727199125.7845.pdf — p2 effusion hypothesis, joi240048supp1_prod_1727199125.7845.pdf — p12 Power/Statistics; DOC-003 joi240048supp2_prod_1727199125.8245.pdf — p1 model and significance corroboration.</t>
        </is>
      </c>
      <c r="D12" s="21" t="inlineStr">
        <is>
          <t>retain</t>
        </is>
      </c>
      <c r="E12" s="21" t="inlineStr">
        <is>
          <t>plan_material</t>
        </is>
      </c>
      <c r="F12" s="21" t="inlineStr">
        <is>
          <t>primary_done</t>
        </is>
      </c>
      <c r="G12" s="20">
        <f>IFERROR(IF(LEN(TRIM(CLEAN(SUBSTITUTE(Setup!$B$2,CHAR(160)," "))))=0,"CHECK REVIEWER ID",IF(OR(A12="",COUNTIF($A$2:$A$14,A12)&lt;&gt;1,LEFT(A12,LEN("2024::jama.2024.6063::"))&lt;&gt;"2024::jama.2024.6063::"),"CHECK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indeterminate</t>
        </is>
      </c>
      <c r="L12" s="22">
        <f>IF(AND(OR(D12="retain",D12=""),E12="protocol_report"),"","not_applicable")</f>
        <v/>
      </c>
      <c r="M12" s="20" t="n"/>
      <c r="N12" s="23" t="n"/>
      <c r="O12" s="23" t="n"/>
      <c r="P12" s="23" t="n"/>
      <c r="Q12" s="23" t="n"/>
      <c r="R12" s="22" t="inlineStr">
        <is>
          <t>Protocol (supp 1 p12): 260 participants give 96% power to detect a 20% difference in effusion size (mean 2.24 cm2, SD of change 1.35). A two-sample t calculation gives about 72% (117 per group) or 76% (130 per group). The primary power statement also does not reproduce (SD 25.5 requires 276 for 90% power, not 234).</t>
        </is>
      </c>
    </row>
    <row r="13" ht="92" customHeight="1" s="25">
      <c r="A13" s="24" t="inlineStr">
        <is>
          <t>2024::jama.2024.6063::C012</t>
        </is>
      </c>
      <c r="B13" s="24" t="inlineStr">
        <is>
          <t>Repeated contrast-interval widths differ from a reproducing display rule</t>
        </is>
      </c>
      <c r="C13" s="24" t="inlineStr">
        <is>
          <t>DOC-004 joi240048supp3_prod_1727199125.83025.pdf — p6 glucose12/24, TG12, HDL12, LDL12, hsCRP12 and adjustment footnote, joi240048supp3_prod_1727199125.83025.pdf — p5 WOMAC total4/8/12/16/20/24; DOC-001 jama_laslett_2024_oi_240048_1727199125.7595.pdf — p6 WOMAC total24 and glucose24 corroboration, jama_laslett_2024_oi_240048_1727199125.7595.pdf — p4 model methods, jama_laslett_2024_oi_240048_1727199125.7595.pdf — p7 model continuation.</t>
        </is>
      </c>
      <c r="D13" s="21" t="inlineStr">
        <is>
          <t>retain</t>
        </is>
      </c>
      <c r="E13" s="21" t="inlineStr">
        <is>
          <t>statistical_results</t>
        </is>
      </c>
      <c r="F13" s="21" t="inlineStr">
        <is>
          <t>primary_done</t>
        </is>
      </c>
      <c r="G13" s="24">
        <f>IFERROR(IF(LEN(TRIM(CLEAN(SUBSTITUTE(Setup!$B$2,CHAR(160)," "))))=0,"CHECK REVIEWER ID",IF(OR(A13="",COUNTIF($A$2:$A$14,A13)&lt;&gt;1,LEFT(A13,LEN("2024::jama.2024.6063::"))&lt;&gt;"2024::jama.2024.6063::"),"CHECK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4 (supp 3 p6): fasting glucose week-12 contrast 0.07 (-1.19 to 1.33) has exactly the interval of the hsCRP week-12 row; with arm CIs about 0.3 wide, a 2.5-wide contrast interval cannot be right. The WOMAC total week-24 interval being narrower than a root-sum-of-squares of arm intervals is not by itself an error, since arm changes share model coefficients.</t>
        </is>
      </c>
    </row>
    <row r="14" ht="92" customHeight="1" s="25">
      <c r="A14" s="20" t="inlineStr">
        <is>
          <t>2024::jama.2024.6063::C013</t>
        </is>
      </c>
      <c r="B14" s="20" t="inlineStr">
        <is>
          <t>WORMS smaller-one-unit percentages differ from their counts</t>
        </is>
      </c>
      <c r="C14" s="20" t="inlineStr">
        <is>
          <t>DOC-004 joi240048supp3_prod_1727199125.83025.pdf — p8 eTable 5 smaller-one-unit and totals.</t>
        </is>
      </c>
      <c r="D14" s="21" t="inlineStr">
        <is>
          <t>retain</t>
        </is>
      </c>
      <c r="E14" s="21" t="inlineStr">
        <is>
          <t>statistical_results</t>
        </is>
      </c>
      <c r="F14" s="21" t="inlineStr">
        <is>
          <t>primary_done</t>
        </is>
      </c>
      <c r="G14" s="20">
        <f>IFERROR(IF(LEN(TRIM(CLEAN(SUBSTITUTE(Setup!$B$2,CHAR(160)," "))))=0,"CHECK REVIEWER ID",IF(OR(A14="",COUNTIF($A$2:$A$14,A14)&lt;&gt;1,LEFT(A14,LEN("2024::jama.2024.6063::"))&lt;&gt;"2024::jama.2024.6063::"),"CHECK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5 (supp 3 p8), WORMS effusion change: percentages are identical in both arms and match pooled proportions (e.g., smaller by 1 unit 26/216 = 12.0%; no change 155/216 = 72%), not arm-specific ones (10/107 = 9.3%; 16/109 = 14.7%; 80/107 = 74.8%; 75/109 = 68.8%).</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Statistical_or_numerical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5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2026-10-14T05:18:52Z</dcterms:modified>
</cp:coreProperties>
</file>