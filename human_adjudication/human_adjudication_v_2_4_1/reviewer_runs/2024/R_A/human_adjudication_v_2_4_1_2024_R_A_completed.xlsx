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etup" sheetId="1" state="visible" r:id="rId1"/>
    <sheet name="Checks" sheetId="2" state="visible" r:id="rId2"/>
    <sheet name="Papers" sheetId="3" state="visible" r:id="rId3"/>
    <sheet name="C_jama.2024.0318" sheetId="4" state="visible" r:id="rId4"/>
    <sheet name="C_jama.2024.0572" sheetId="5" state="visible" r:id="rId5"/>
    <sheet name="C_jama.2024.11057" sheetId="6" state="visible" r:id="rId6"/>
    <sheet name="C_jama.2024.12829" sheetId="7" state="visible" r:id="rId7"/>
    <sheet name="C_jama.2024.19585" sheetId="8" state="visible" r:id="rId8"/>
    <sheet name="C_jama.2024.2302" sheetId="9" state="visible" r:id="rId9"/>
    <sheet name="C_jama.2024.23898" sheetId="10" state="visible" r:id="rId10"/>
    <sheet name="C_jama.2024.25786" sheetId="11" state="visible" r:id="rId11"/>
    <sheet name="C_jama.2024.4183" sheetId="12" state="visible" r:id="rId12"/>
    <sheet name="C_jama.2024.6063" sheetId="13" state="visible" r:id="rId13"/>
    <sheet name="Codebook" sheetId="14" state="visible" r:id="rId14"/>
  </sheets>
  <definedNames>
    <definedName name="_xlnm._FilterDatabase" localSheetId="3" hidden="1">'C_jama.2024.0318'!$A$1:$R$15</definedName>
    <definedName name="_xlnm._FilterDatabase" localSheetId="4" hidden="1">'C_jama.2024.0572'!$A$1:$R$20</definedName>
    <definedName name="_xlnm._FilterDatabase" localSheetId="5" hidden="1">'C_jama.2024.11057'!$A$1:$R$6</definedName>
    <definedName name="_xlnm._FilterDatabase" localSheetId="6" hidden="1">'C_jama.2024.12829'!$A$1:$R$8</definedName>
    <definedName name="_xlnm._FilterDatabase" localSheetId="7" hidden="1">'C_jama.2024.19585'!$A$1:$R$8</definedName>
    <definedName name="_xlnm._FilterDatabase" localSheetId="8" hidden="1">'C_jama.2024.2302'!$A$1:$R$7</definedName>
    <definedName name="_xlnm._FilterDatabase" localSheetId="9" hidden="1">'C_jama.2024.23898'!$A$1:$R$14</definedName>
    <definedName name="_xlnm._FilterDatabase" localSheetId="10" hidden="1">'C_jama.2024.25786'!$A$1:$R$16</definedName>
    <definedName name="_xlnm._FilterDatabase" localSheetId="11" hidden="1">'C_jama.2024.4183'!$A$1:$R$15</definedName>
    <definedName name="_xlnm._FilterDatabase" localSheetId="12" hidden="1">'C_jama.2024.6063'!$A$1:$R$14</definedName>
  </definedNames>
  <calcPr calcId="124519" calcMode="auto" fullCalcOnLoad="1" forceFullCalc="1"/>
</workbook>
</file>

<file path=xl/styles.xml><?xml version="1.0" encoding="utf-8"?>
<styleSheet xmlns="http://schemas.openxmlformats.org/spreadsheetml/2006/main">
  <numFmts count="0"/>
  <fonts count="5">
    <font>
      <name val="Carlito"/>
      <sz val="11"/>
    </font>
    <font>
      <name val="Calibri"/>
      <color rgb="FF173F57"/>
      <sz val="11"/>
    </font>
    <font>
      <name val="Calibri"/>
      <b val="1"/>
      <color rgb="FFFFFFFF"/>
      <sz val="11"/>
    </font>
    <font>
      <name val="Calibri"/>
      <color rgb="00173F57"/>
      <sz val="11"/>
    </font>
    <font>
      <name val="Calibri"/>
      <b val="1"/>
      <color rgb="00FFFFFF"/>
      <sz val="11"/>
    </font>
  </fonts>
  <fills count="10">
    <fill>
      <patternFill/>
    </fill>
    <fill>
      <patternFill patternType="gray125"/>
    </fill>
    <fill>
      <patternFill patternType="solid">
        <fgColor rgb="FF173F57"/>
      </patternFill>
    </fill>
    <fill>
      <patternFill patternType="solid">
        <fgColor rgb="FFF4F8FA"/>
      </patternFill>
    </fill>
    <fill>
      <patternFill patternType="solid">
        <fgColor rgb="FFFFF2CC"/>
      </patternFill>
    </fill>
    <fill>
      <patternFill patternType="solid">
        <fgColor rgb="FFEAF3FC"/>
      </patternFill>
    </fill>
    <fill>
      <patternFill patternType="solid">
        <fgColor rgb="00173F57"/>
      </patternFill>
    </fill>
    <fill>
      <patternFill patternType="solid">
        <fgColor rgb="00F4F8FA"/>
      </patternFill>
    </fill>
    <fill>
      <patternFill patternType="solid">
        <fgColor rgb="00FFF2CC"/>
      </patternFill>
    </fill>
    <fill>
      <patternFill patternType="solid">
        <fgColor rgb="00EAF3FC"/>
      </patternFill>
    </fill>
  </fills>
  <borders count="1">
    <border/>
  </borders>
  <cellStyleXfs count="1">
    <xf numFmtId="0" fontId="0" fillId="0" borderId="0" applyProtection="1">
      <protection locked="0" hidden="0"/>
    </xf>
  </cellStyleXfs>
  <cellXfs count="26">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2"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5" borderId="0" applyAlignment="1" applyProtection="1" pivotButton="0" quotePrefix="0" xfId="0">
      <alignment vertical="center" wrapText="1"/>
      <protection locked="0" hidden="0"/>
    </xf>
    <xf numFmtId="0" fontId="0" fillId="0" borderId="0" applyProtection="1" pivotButton="0" quotePrefix="0" xfId="0">
      <protection locked="0" hidden="0"/>
    </xf>
    <xf numFmtId="0" fontId="4" fillId="6" borderId="0" applyAlignment="1" applyProtection="1" pivotButton="0" quotePrefix="0" xfId="0">
      <alignment vertical="center" wrapText="1"/>
      <protection locked="0" hidden="0"/>
    </xf>
    <xf numFmtId="0" fontId="3" fillId="7" borderId="0" applyAlignment="1" applyProtection="1" pivotButton="0" quotePrefix="0" xfId="0">
      <alignment vertical="center" wrapText="1"/>
      <protection locked="0" hidden="0"/>
    </xf>
    <xf numFmtId="0" fontId="3" fillId="0" borderId="0" applyAlignment="1" applyProtection="1" pivotButton="0" quotePrefix="0" xfId="0">
      <alignment vertical="center" wrapText="1"/>
      <protection locked="0" hidden="0"/>
    </xf>
    <xf numFmtId="0" fontId="3" fillId="8"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8" borderId="0" applyAlignment="1" applyProtection="1" pivotButton="0" quotePrefix="0" xfId="0">
      <alignment vertical="center" wrapText="1"/>
      <protection locked="0" hidden="0"/>
    </xf>
    <xf numFmtId="0" fontId="1" fillId="9"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1" fillId="0" borderId="0" applyAlignment="1" applyProtection="1" pivotButton="0" quotePrefix="0" xfId="0">
      <alignment vertical="center" wrapText="1"/>
      <protection locked="0" hidden="0"/>
    </xf>
    <xf numFmtId="0" fontId="0" fillId="0" borderId="0" pivotButton="0" quotePrefix="0" xfId="0"/>
  </cellXfs>
  <cellStyles count="1">
    <cellStyle name="Normal" xfId="0"/>
  </cellStyles>
  <dxfs count="72">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00687783"/>
      </font>
      <fill>
        <patternFill patternType="solid">
          <fgColor rgb="00EDF2F5"/>
        </patternFill>
      </fill>
    </dxf>
    <dxf>
      <font>
        <color rgb="009C0006"/>
      </font>
      <fill>
        <patternFill patternType="solid">
          <fgColor rgb="00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5"/>
  <sheetViews>
    <sheetView showGridLines="0" tabSelected="1"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14" min="1" max="1"/>
    <col width="65" customWidth="1" style="14" min="2" max="2"/>
  </cols>
  <sheetData>
    <row r="1" ht="42" customFormat="1" customHeight="1" s="14">
      <c r="A1" s="15" t="inlineStr">
        <is>
          <t>Field</t>
        </is>
      </c>
      <c r="B1" s="15" t="inlineStr">
        <is>
          <t>Value</t>
        </is>
      </c>
    </row>
    <row r="2" ht="42" customFormat="1" customHeight="1" s="14">
      <c r="A2" s="16" t="inlineStr">
        <is>
          <t>reviewerId</t>
        </is>
      </c>
      <c r="B2" s="18" t="inlineStr">
        <is>
          <t>R_A</t>
        </is>
      </c>
    </row>
    <row r="3" ht="42" customFormat="1" customHeight="1" s="14">
      <c r="A3" s="17" t="inlineStr">
        <is>
          <t>reviewerName (optional)</t>
        </is>
      </c>
      <c r="B3" s="18" t="n"/>
    </row>
    <row r="4" ht="42" customFormat="1" customHeight="1" s="14">
      <c r="A4" s="16" t="inlineStr">
        <is>
          <t>reviewerRole</t>
        </is>
      </c>
      <c r="B4" s="16" t="inlineStr">
        <is>
          <t>R_A</t>
        </is>
      </c>
    </row>
    <row r="5" ht="42" customFormat="1" customHeight="1" s="14">
      <c r="A5" s="17" t="inlineStr">
        <is>
          <t>year</t>
        </is>
      </c>
      <c r="B5" s="17" t="n">
        <v>2024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style="14" min="1" max="1"/>
    <col width="100" customWidth="1" style="14" min="2" max="2"/>
  </cols>
  <sheetData>
    <row r="1" ht="42" customFormat="1" customHeight="1" s="14">
      <c r="A1" s="15" t="inlineStr">
        <is>
          <t>Check</t>
        </is>
      </c>
      <c r="B1" s="15" t="inlineStr">
        <is>
          <t>Result</t>
        </is>
      </c>
    </row>
    <row r="2" ht="55" customFormat="1" customHeight="1" s="14">
      <c r="A2" s="16" t="inlineStr">
        <is>
          <t>Reviewer role</t>
        </is>
      </c>
      <c r="B2" s="16">
        <f>Setup!B4</f>
        <v/>
      </c>
    </row>
    <row r="3" ht="55" customFormat="1" customHeight="1" s="14">
      <c r="A3" s="17" t="inlineStr">
        <is>
          <t>Candidates</t>
        </is>
      </c>
      <c r="B3" s="17" t="n">
        <v>113</v>
      </c>
    </row>
    <row r="4" ht="55" customFormat="1" customHeight="1" s="14">
      <c r="A4" s="16" t="inlineStr">
        <is>
          <t>Primary ready rows</t>
        </is>
      </c>
      <c r="B4" s="16">
        <f>COUNTIF('C_jama.2024.0318'!$G$2:$G$15,"PRIMARY READY")+COUNTIF('C_jama.2024.0572'!$G$2:$G$20,"PRIMARY READY")+COUNTIF('C_jama.2024.11057'!$G$2:$G$6,"PRIMARY READY")+COUNTIF('C_jama.2024.12829'!$G$2:$G$8,"PRIMARY READY")+COUNTIF('C_jama.2024.19585'!$G$2:$G$8,"PRIMARY READY")+COUNTIF('C_jama.2024.2302'!$G$2:$G$7,"PRIMARY READY")+COUNTIF('C_jama.2024.23898'!$G$2:$G$14,"PRIMARY READY")+COUNTIF('C_jama.2024.25786'!$G$2:$G$16,"PRIMARY READY")+COUNTIF('C_jama.2024.4183'!$G$2:$G$15,"PRIMARY READY")+COUNTIF('C_jama.2024.6063'!$G$2:$G$14,"PRIMARY READY")</f>
        <v/>
      </c>
    </row>
    <row r="5" ht="55" customFormat="1" customHeight="1" s="14">
      <c r="A5" s="17" t="inlineStr">
        <is>
          <t>Discuss / unresolved rows</t>
        </is>
      </c>
      <c r="B5" s="17">
        <f>COUNTIF('C_jama.2024.0318'!$D$2:$D$15,"discuss")+COUNTIF('C_jama.2024.0572'!$D$2:$D$20,"discuss")+COUNTIF('C_jama.2024.11057'!$D$2:$D$6,"discuss")+COUNTIF('C_jama.2024.12829'!$D$2:$D$8,"discuss")+COUNTIF('C_jama.2024.19585'!$D$2:$D$8,"discuss")+COUNTIF('C_jama.2024.2302'!$D$2:$D$7,"discuss")+COUNTIF('C_jama.2024.23898'!$D$2:$D$14,"discuss")+COUNTIF('C_jama.2024.25786'!$D$2:$D$16,"discuss")+COUNTIF('C_jama.2024.4183'!$D$2:$D$15,"discuss")+COUNTIF('C_jama.2024.6063'!$D$2:$D$14,"discuss")</f>
        <v/>
      </c>
    </row>
    <row r="6" ht="55" customFormat="1" customHeight="1" s="14">
      <c r="A6" s="16" t="inlineStr">
        <is>
          <t>Unfinished rows</t>
        </is>
      </c>
      <c r="B6" s="16">
        <f>B3-B4</f>
        <v/>
      </c>
    </row>
    <row r="7" ht="55" customFormat="1" customHeight="1" s="14">
      <c r="A7" s="17" t="inlineStr">
        <is>
          <t>Workflow status</t>
        </is>
      </c>
      <c r="B7" s="17">
        <f>IF(B4=B3,"PRIMARY READY","ACTION NEEDED")</f>
        <v/>
      </c>
    </row>
    <row r="8" ht="55" customFormat="1" customHeight="1" s="14">
      <c r="A8" s="16" t="inlineStr">
        <is>
          <t>Meaning</t>
        </is>
      </c>
      <c r="B8" s="16" t="inlineStr">
        <is>
          <t>PRIMARY READY means independent entry is complete. Discuss remains unresolved and is not counted as absence of error.</t>
        </is>
      </c>
    </row>
    <row r="9" ht="55" customFormat="1" customHeight="1" s="14">
      <c r="A9" s="17" t="inlineStr">
        <is>
          <t>Next action</t>
        </is>
      </c>
      <c r="B9" s="17" t="inlineStr">
        <is>
          <t>Inspect G on the C_ sheets. Save and deliver this file after review.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style="14" min="1" max="1"/>
    <col width="38" customWidth="1" style="14" min="2" max="2"/>
    <col width="18" customWidth="1" style="14" min="3" max="3"/>
  </cols>
  <sheetData>
    <row r="1" ht="42" customFormat="1" customHeight="1" s="14">
      <c r="A1" s="15" t="inlineStr">
        <is>
          <t>Paper</t>
        </is>
      </c>
      <c r="B1" s="15" t="inlineStr">
        <is>
          <t>Review worksheet</t>
        </is>
      </c>
      <c r="C1" s="15" t="inlineStr">
        <is>
          <t>Candidates</t>
        </is>
      </c>
    </row>
    <row r="2" ht="36" customHeight="1" s="25">
      <c r="A2" s="16" t="inlineStr">
        <is>
          <t>jama.2024.0318</t>
        </is>
      </c>
      <c r="B2" s="16" t="inlineStr">
        <is>
          <t>C_jama.2024.0318</t>
        </is>
      </c>
      <c r="C2" s="16" t="n">
        <v>14</v>
      </c>
    </row>
    <row r="3" ht="36" customHeight="1" s="25">
      <c r="A3" s="17" t="inlineStr">
        <is>
          <t>jama.2024.0572</t>
        </is>
      </c>
      <c r="B3" s="17" t="inlineStr">
        <is>
          <t>C_jama.2024.0572</t>
        </is>
      </c>
      <c r="C3" s="17" t="n">
        <v>19</v>
      </c>
    </row>
    <row r="4" ht="36" customHeight="1" s="25">
      <c r="A4" s="16" t="inlineStr">
        <is>
          <t>jama.2024.11057</t>
        </is>
      </c>
      <c r="B4" s="16" t="inlineStr">
        <is>
          <t>C_jama.2024.11057</t>
        </is>
      </c>
      <c r="C4" s="16" t="n">
        <v>5</v>
      </c>
    </row>
    <row r="5" ht="36" customHeight="1" s="25">
      <c r="A5" s="17" t="inlineStr">
        <is>
          <t>jama.2024.12829</t>
        </is>
      </c>
      <c r="B5" s="17" t="inlineStr">
        <is>
          <t>C_jama.2024.12829</t>
        </is>
      </c>
      <c r="C5" s="17" t="n">
        <v>7</v>
      </c>
    </row>
    <row r="6" ht="36" customHeight="1" s="25">
      <c r="A6" s="16" t="inlineStr">
        <is>
          <t>jama.2024.19585</t>
        </is>
      </c>
      <c r="B6" s="16" t="inlineStr">
        <is>
          <t>C_jama.2024.19585</t>
        </is>
      </c>
      <c r="C6" s="16" t="n">
        <v>7</v>
      </c>
    </row>
    <row r="7" ht="36" customHeight="1" s="25">
      <c r="A7" s="17" t="inlineStr">
        <is>
          <t>jama.2024.2302</t>
        </is>
      </c>
      <c r="B7" s="17" t="inlineStr">
        <is>
          <t>C_jama.2024.2302</t>
        </is>
      </c>
      <c r="C7" s="17" t="n">
        <v>6</v>
      </c>
    </row>
    <row r="8" ht="36" customHeight="1" s="25">
      <c r="A8" s="16" t="inlineStr">
        <is>
          <t>jama.2024.23898</t>
        </is>
      </c>
      <c r="B8" s="16" t="inlineStr">
        <is>
          <t>C_jama.2024.23898</t>
        </is>
      </c>
      <c r="C8" s="16" t="n">
        <v>13</v>
      </c>
    </row>
    <row r="9" ht="36" customHeight="1" s="25">
      <c r="A9" s="17" t="inlineStr">
        <is>
          <t>jama.2024.25786</t>
        </is>
      </c>
      <c r="B9" s="17" t="inlineStr">
        <is>
          <t>C_jama.2024.25786</t>
        </is>
      </c>
      <c r="C9" s="17" t="n">
        <v>15</v>
      </c>
    </row>
    <row r="10" ht="36" customHeight="1" s="25">
      <c r="A10" s="16" t="inlineStr">
        <is>
          <t>jama.2024.4183</t>
        </is>
      </c>
      <c r="B10" s="16" t="inlineStr">
        <is>
          <t>C_jama.2024.4183</t>
        </is>
      </c>
      <c r="C10" s="16" t="n">
        <v>14</v>
      </c>
    </row>
    <row r="11" ht="36" customHeight="1" s="25">
      <c r="A11" s="17" t="inlineStr">
        <is>
          <t>jama.2024.6063</t>
        </is>
      </c>
      <c r="B11" s="17" t="inlineStr">
        <is>
          <t>C_jama.2024.6063</t>
        </is>
      </c>
      <c r="C11" s="17" t="n">
        <v>13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5"/>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2024::jama.2024.0318::C001</t>
        </is>
      </c>
      <c r="B2" s="20" t="inlineStr">
        <is>
          <t>Positive HbA1c point and signed interval</t>
        </is>
      </c>
      <c r="C2" s="20" t="inlineStr">
        <is>
          <t>every affected occurrence: jama_courcoulas_2024_oi_240004_1721756962.76052.pdf — main p1 abstract, jama_courcoulas_2024_oi_240004_1721756962.76052.pdf — main p3 Results paragraph, and jama_courcoulas_2024_oi_240004_1721756962.76052.pdf — main p6 Table 2 HbA1c row and footnote b; all REPORT by published result content.</t>
        </is>
      </c>
      <c r="D2" s="21" t="inlineStr">
        <is>
          <t>retain</t>
        </is>
      </c>
      <c r="E2" s="21" t="inlineStr">
        <is>
          <t>statistical_results</t>
        </is>
      </c>
      <c r="F2" s="21" t="inlineStr">
        <is>
          <t>primary_done</t>
        </is>
      </c>
      <c r="G2" s="20">
        <f>IFERROR(IF(LEN(TRIM(CLEAN(SUBSTITUTE(Setup!$B$2,CHAR(160)," "))))=0,"CHECK REVIEWER ID",IF(OR(A2="",COUNTIF($A$2:$A$15,A2)&lt;&gt;1,LEFT(A2,LEN("2024::jama.2024.0318::"))&lt;&gt;"2024::jama.2024.0318::"),"CHECK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minor_presentation</t>
        </is>
      </c>
      <c r="J2" s="22" t="inlineStr">
        <is>
          <t>unlikely</t>
        </is>
      </c>
      <c r="K2" s="21">
        <f>IF(AND(OR(D2="retain",D2=""),OR(E2="report_internal_inconsistency",E2="plan_material")),"","not_applicable")</f>
        <v/>
      </c>
      <c r="L2" s="22">
        <f>IF(AND(OR(D2="retain",D2=""),E2="protocol_report"),"","not_applicable")</f>
        <v/>
      </c>
      <c r="M2" s="20" t="n"/>
      <c r="N2" s="23" t="n"/>
      <c r="O2" s="23" t="n"/>
      <c r="P2" s="23" t="n"/>
      <c r="Q2" s="23" t="n"/>
      <c r="R2" s="22" t="inlineStr">
        <is>
          <t>Main p1 abstract and p3 Results give HbA1c changes as unsigned 0.2% and 1.6% with signed CIs (-0.5 to 0.2; -1.8 to -1.3); +1.6 lies outside its CI. Table 2 p6 (rendered) prints -0.2 and -1.6 with the same CIs, so the intended signed values are recoverable. Sign presentation error, not a numerical error.</t>
        </is>
      </c>
    </row>
    <row r="3" ht="92" customHeight="1" s="25">
      <c r="A3" s="24" t="inlineStr">
        <is>
          <t>2024::jama.2024.0318::C002</t>
        </is>
      </c>
      <c r="B3" s="24" t="inlineStr">
        <is>
          <t>Year-12 HbA1c P value</t>
        </is>
      </c>
      <c r="C3" s="24" t="inlineStr">
        <is>
          <t>jama_courcoulas_2024_oi_240004_1721756962.76052.pdf — main p1 abstract, jama_courcoulas_2024_oi_240004_1721756962.76052.pdf — main p3 year-12 result, joi240004supp2_prod_1721756962.82552.pdf — supplement p15 eTable 2 HbA1c row, and joi240004supp2_prod_1721756962.82552.pdf — supplement p4 ITT model/visit contrasts; all REPORT. Contextual correction notice: jama_courcoulas_2024_oi_240004_1721756962.76052.pdf — main p9 registry-link correction.</t>
        </is>
      </c>
      <c r="D3" s="21" t="inlineStr">
        <is>
          <t>retain</t>
        </is>
      </c>
      <c r="E3" s="21" t="inlineStr">
        <is>
          <t>statistical_results</t>
        </is>
      </c>
      <c r="F3" s="21" t="inlineStr">
        <is>
          <t>primary_done</t>
        </is>
      </c>
      <c r="G3" s="24">
        <f>IFERROR(IF(LEN(TRIM(CLEAN(SUBSTITUTE(Setup!$B$2,CHAR(160)," "))))=0,"CHECK REVIEWER ID",IF(OR(A3="",COUNTIF($A$2:$A$15,A3)&lt;&gt;1,LEFT(A3,LEN("2024::jama.2024.0318::"))&lt;&gt;"2024::jama.2024.0318::"),"CHECK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t="inlineStr">
        <is>
          <t>confirmed_issue</t>
        </is>
      </c>
      <c r="I3" s="21" t="inlineStr">
        <is>
          <t>minor_presentation</t>
        </is>
      </c>
      <c r="J3" s="22" t="inlineStr">
        <is>
          <t>unlikely</t>
        </is>
      </c>
      <c r="K3" s="21">
        <f>IF(AND(OR(D3="retain",D3=""),OR(E3="report_internal_inconsistency",E3="plan_material")),"","not_applicable")</f>
        <v/>
      </c>
      <c r="L3" s="22">
        <f>IF(AND(OR(D3="retain",D3=""),E3="protocol_report"),"","not_applicable")</f>
        <v/>
      </c>
      <c r="M3" s="24" t="n"/>
      <c r="N3" s="23" t="n"/>
      <c r="O3" s="23" t="n"/>
      <c r="P3" s="23" t="n"/>
      <c r="Q3" s="23" t="n"/>
      <c r="R3" s="22" t="inlineStr">
        <is>
          <t>Year-12 HbA1c difference -1.1 (95% CI -1.7 to -0.5) has P=.002 in main p1/p3 but P&lt;.001 in eTable 2 (supp2 p15). CI-implied P (Wald) = 0.00033; over all rounding-consistent limits with estimate at the midpoint, max P = 0.0009, so .002 is incompatible with the printed CI. Both significant; interpretation unchanged.</t>
        </is>
      </c>
    </row>
    <row r="4" ht="92" customHeight="1" s="25">
      <c r="A4" s="20" t="inlineStr">
        <is>
          <t>2024::jama.2024.0318::C003</t>
        </is>
      </c>
      <c r="B4" s="20" t="inlineStr">
        <is>
          <t>Pooled mortality percentage</t>
        </is>
      </c>
      <c r="C4" s="20" t="inlineStr">
        <is>
          <t>jama_courcoulas_2024_oi_240004_1721756962.76052.pdf — main p1 abstract cohort and deaths, jama_courcoulas_2024_oi_240004_1721756962.76052.pdf — p3 enrolled cohort, jama_courcoulas_2024_oi_240004_1721756962.76052.pdf — p4 Table 1 headers, jama_courcoulas_2024_oi_240004_1721756962.76052.pdf — p7 death paragraph, and jama_courcoulas_2024_oi_240004_1721756962.76052.pdf — p8 Table 3 headers/Death row/footnote; all REPORT.</t>
        </is>
      </c>
      <c r="D4" s="21" t="inlineStr">
        <is>
          <t>retain</t>
        </is>
      </c>
      <c r="E4" s="21" t="inlineStr">
        <is>
          <t>statistical_results</t>
        </is>
      </c>
      <c r="F4" s="21" t="inlineStr">
        <is>
          <t>primary_done</t>
        </is>
      </c>
      <c r="G4" s="20">
        <f>IFERROR(IF(LEN(TRIM(CLEAN(SUBSTITUTE(Setup!$B$2,CHAR(160)," "))))=0,"CHECK REVIEWER ID",IF(OR(A4="",COUNTIF($A$2:$A$15,A4)&lt;&gt;1,LEFT(A4,LEN("2024::jama.2024.0318::"))&lt;&gt;"2024::jama.2024.0318::"),"CHECK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t="inlineStr">
        <is>
          <t>confirmed_issue</t>
        </is>
      </c>
      <c r="I4" s="21" t="inlineStr">
        <is>
          <t>substantive</t>
        </is>
      </c>
      <c r="J4" s="22" t="inlineStr">
        <is>
          <t>possible</t>
        </is>
      </c>
      <c r="K4" s="21">
        <f>IF(AND(OR(D4="retain",D4=""),OR(E4="report_internal_inconsistency",E4="plan_material")),"","not_applicable")</f>
        <v/>
      </c>
      <c r="L4" s="22">
        <f>IF(AND(OR(D4="retain",D4=""),E4="protocol_report"),"","not_applicable")</f>
        <v/>
      </c>
      <c r="M4" s="20" t="n"/>
      <c r="N4" s="23" t="n"/>
      <c r="O4" s="23" t="n"/>
      <c r="P4" s="23" t="n"/>
      <c r="Q4" s="23" t="n"/>
      <c r="R4" s="22" t="inlineStr">
        <is>
          <t>Abstract p1: '4 deaths (2.2%), 2 in each group' among 262 enrolled. 4/262 = 1.53%; Table 3 p8 gives 2/96 (2.1%) and 2/166 (1.2%), both correct. No denominator in the paper yields 2.2% for 4 deaths. The abstract percentage overstates pooled mortality.</t>
        </is>
      </c>
    </row>
    <row r="5" ht="92" customHeight="1" s="25">
      <c r="A5" s="24" t="inlineStr">
        <is>
          <t>2024::jama.2024.0318::C004</t>
        </is>
      </c>
      <c r="B5" s="24" t="inlineStr">
        <is>
          <t>Primary HbA1c response scale</t>
        </is>
      </c>
      <c r="C5" s="24" t="inlineStr">
        <is>
          <t>PLAN joi240004supp1_prod_1721756962.80052.pdf — p17 primary endpoint, joi240004supp1_prod_1721756962.80052.pdf — p26 A1 response, joi240004supp1_prod_1721756962.80052.pdf — p27 hypothesis/power assumptions, joi240004supp1_prod_1721756962.80052.pdf — p29 Table A1/Figure A1; REPORT jama_courcoulas_2024_oi_240004_1721756962.76052.pdf — main p2 outcome/statistical methods, jama_courcoulas_2024_oi_240004_1721756962.76052.pdf — main p6 Table 2/footnotes, joi240004supp2_prod_1721756962.82552.pdf — supplement p4 primary model, joi240004supp2_prod_1721756962.82552.pdf — p15 eTable 2/footnote b, joi240004supp2_prod_1721756962.82552.pdf — p16 continued footnote c.</t>
        </is>
      </c>
      <c r="D5" s="21" t="inlineStr">
        <is>
          <t>retain</t>
        </is>
      </c>
      <c r="E5" s="21" t="inlineStr">
        <is>
          <t>protocol_report</t>
        </is>
      </c>
      <c r="F5" s="21" t="inlineStr">
        <is>
          <t>primary_done</t>
        </is>
      </c>
      <c r="G5" s="24">
        <f>IFERROR(IF(LEN(TRIM(CLEAN(SUBSTITUTE(Setup!$B$2,CHAR(160)," "))))=0,"CHECK REVIEWER ID",IF(OR(A5="",COUNTIF($A$2:$A$15,A5)&lt;&gt;1,LEFT(A5,LEN("2024::jama.2024.0318::"))&lt;&gt;"2024::jama.2024.0318::"),"CHECK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t="inlineStr">
        <is>
          <t>Plan (supp1 p17, p26-27, p29 Table A1, Fig A1) defines the primary outcome as relative percent change in HbA1c (power: -15% vs -7% to +2%). Report Table 2 footnote b and eTable 2 present net (absolute) change for HbA1c (-1.4 points), while main p2 still says 'percent change'. The reported primary scale differs from the planned one.</t>
        </is>
      </c>
    </row>
    <row r="6" ht="92" customHeight="1" s="25">
      <c r="A6" s="20" t="inlineStr">
        <is>
          <t>2024::jama.2024.0318::C005</t>
        </is>
      </c>
      <c r="B6" s="20" t="inlineStr">
        <is>
          <t>Remission medication-free window</t>
        </is>
      </c>
      <c r="C6" s="20" t="inlineStr">
        <is>
          <t>PLAN joi240004supp1_prod_1721756962.80052.pdf — p18 remission item 2, joi240004supp1_prod_1721756962.80052.pdf — p29 Table A1 remission row; REPORT jama_courcoulas_2024_oi_240004_1721756962.76052.pdf — main p2 remission definition, jama_courcoulas_2024_oi_240004_1721756962.76052.pdf — p1 abstract remission rates, jama_courcoulas_2024_oi_240004_1721756962.76052.pdf — p7 Figure 3/caption. The associated reported OR is found in jama_courcoulas_2024_oi_240004_1721756962.76052.pdf — main p6 Table 2.</t>
        </is>
      </c>
      <c r="D6" s="21" t="inlineStr">
        <is>
          <t>retain</t>
        </is>
      </c>
      <c r="E6" s="21" t="inlineStr">
        <is>
          <t>protocol_report</t>
        </is>
      </c>
      <c r="F6" s="21" t="inlineStr">
        <is>
          <t>primary_done</t>
        </is>
      </c>
      <c r="G6" s="20">
        <f>IFERROR(IF(LEN(TRIM(CLEAN(SUBSTITUTE(Setup!$B$2,CHAR(160)," "))))=0,"CHECK REVIEWER ID",IF(OR(A6="",COUNTIF($A$2:$A$15,A6)&lt;&gt;1,LEFT(A6,LEN("2024::jama.2024.0318::"))&lt;&gt;"2024::jama.2024.0318::"),"CHECK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indeterminate</t>
        </is>
      </c>
      <c r="M6" s="20" t="n"/>
      <c r="N6" s="23" t="n"/>
      <c r="O6" s="23" t="n"/>
      <c r="P6" s="23" t="n"/>
      <c r="Q6" s="23" t="n"/>
      <c r="R6" s="22" t="inlineStr">
        <is>
          <t>Plan supp1 p18 and p29 Table A1 define remission as HbA1c &lt;6.5% without diabetes medications, no duration; main p2 adds 'for at least 3 months, assessed annually'. Difference exists, but the plan defers operational definitions to a Manual of Operations (p18) that was not supplied, so whether the 3-month window is new cannot be settled.</t>
        </is>
      </c>
    </row>
    <row r="7" ht="92" customHeight="1" s="25">
      <c r="A7" s="24" t="inlineStr">
        <is>
          <t>2024::jama.2024.0318::C006</t>
        </is>
      </c>
      <c r="B7" s="24" t="inlineStr">
        <is>
          <t>Cardiovascular outcome status</t>
        </is>
      </c>
      <c r="C7" s="24" t="inlineStr">
        <is>
          <t>PLAN joi240004supp1_prod_1721756962.80052.pdf — p18 secondary list/section 4.4, joi240004supp1_prod_1721756962.80052.pdf — p29 Table A1 Aim 2 efficacy entries, joi240004supp1_prod_1721756962.80052.pdf — p30 Table A1 continuation/safety entry; REPORT jama_courcoulas_2024_oi_240004_1721756962.76052.pdf — main p2 other secondary outcomes, jama_courcoulas_2024_oi_240004_1721756962.76052.pdf — p1 abstract cardiovascular finding, jama_courcoulas_2024_oi_240004_1721756962.76052.pdf — p8 Table 3 cardiovascular rows.</t>
        </is>
      </c>
      <c r="D7" s="21" t="inlineStr">
        <is>
          <t>retain</t>
        </is>
      </c>
      <c r="E7" s="21" t="inlineStr">
        <is>
          <t>protocol_report</t>
        </is>
      </c>
      <c r="F7" s="21" t="inlineStr">
        <is>
          <t>primary_done</t>
        </is>
      </c>
      <c r="G7" s="24">
        <f>IFERROR(IF(LEN(TRIM(CLEAN(SUBSTITUTE(Setup!$B$2,CHAR(160)," "))))=0,"CHECK REVIEWER ID",IF(OR(A7="",COUNTIF($A$2:$A$15,A7)&lt;&gt;1,LEFT(A7,LEN("2024::jama.2024.0318::"))&lt;&gt;"2024::jama.2024.0318::"),"CHECK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t="inlineStr">
        <is>
          <t>minor_presentation</t>
        </is>
      </c>
      <c r="M7" s="24" t="n"/>
      <c r="N7" s="23" t="n"/>
      <c r="O7" s="23" t="n"/>
      <c r="P7" s="23" t="n"/>
      <c r="Q7" s="23" t="n"/>
      <c r="R7" s="22" t="inlineStr">
        <is>
          <t>Plan Table A1 (supp1 p30) lists 'major adverse cardiovascular events' under Aim 2 Safety; main p2 lists MACE among secondary outcomes. However, plan section 4.3 (p18) already lists 'microvascular or macrovascular events' as secondary and p18 says some study outcomes are also secondary, so the status change is mainly a labeling difference.</t>
        </is>
      </c>
    </row>
    <row r="8" ht="92" customHeight="1" s="25">
      <c r="A8" s="20" t="inlineStr">
        <is>
          <t>2024::jama.2024.0318::C007</t>
        </is>
      </c>
      <c r="B8" s="20" t="inlineStr">
        <is>
          <t>Primary baseline adjustment</t>
        </is>
      </c>
      <c r="C8" s="20" t="inlineStr">
        <is>
          <t>PLAN joi240004supp1_prod_1721756962.80052.pdf — p26 A1 and Z definition, joi240004supp1_prod_1721756962.80052.pdf — p34 further baseline sensitivities; REPORT jama_courcoulas_2024_oi_240004_1721756962.76052.pdf — main p2 fixed-effect list, jama_courcoulas_2024_oi_240004_1721756962.76052.pdf — p3 fixed-effect continuation, joi240004supp2_prod_1721756962.82552.pdf — supplement p4 primary model.</t>
        </is>
      </c>
      <c r="D8" s="21" t="inlineStr">
        <is>
          <t>retain</t>
        </is>
      </c>
      <c r="E8" s="21" t="inlineStr">
        <is>
          <t>protocol_report</t>
        </is>
      </c>
      <c r="F8" s="21" t="inlineStr">
        <is>
          <t>primary_done</t>
        </is>
      </c>
      <c r="G8" s="20">
        <f>IFERROR(IF(LEN(TRIM(CLEAN(SUBSTITUTE(Setup!$B$2,CHAR(160)," "))))=0,"CHECK REVIEWER ID",IF(OR(A8="",COUNTIF($A$2:$A$15,A8)&lt;&gt;1,LEFT(A8,LEN("2024::jama.2024.0318::"))&lt;&gt;"2024::jama.2024.0318::"),"CHECK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t="inlineStr">
        <is>
          <t>substantive_difference</t>
        </is>
      </c>
      <c r="M8" s="20" t="n"/>
      <c r="N8" s="23" t="n"/>
      <c r="O8" s="23" t="n"/>
      <c r="P8" s="23" t="n"/>
      <c r="Q8" s="23" t="n"/>
      <c r="R8" s="22" t="inlineStr">
        <is>
          <t>Plan model A1 (supp1 p26) has group, visit, group x visit and site (Z = site indicators) as fixed effects; baseline HbA1c appears only among further sensitivity covariates (p34). Report primary model (main p2-3; supp2 p4) adds baseline HbA1c as a fixed effect. Covariate set of the primary model changed; not disclosed as a change.</t>
        </is>
      </c>
    </row>
    <row r="9" ht="92" customHeight="1" s="25">
      <c r="A9" s="24" t="inlineStr">
        <is>
          <t>2024::jama.2024.0318::C008</t>
        </is>
      </c>
      <c r="B9" s="24" t="inlineStr">
        <is>
          <t>Planned primary sensitivity package not reported</t>
        </is>
      </c>
      <c r="C9" s="24" t="inlineStr">
        <is>
          <t>PLAN joi240004supp1_prod_1721756962.80052.pdf — p30 MICE/Rubin/pattern-mixture/crossover sensitivity, joi240004supp1_prod_1721756962.80052.pdf — p31 treatment×censoring weight and postcrossover discard, joi240004supp1_prod_1721756962.80052.pdf — p34 expanded baseline sensitivities; REPORT jama_courcoulas_2024_oi_240004_1721756962.76052.pdf — main p3 methods/sensitivity estimate, jama_courcoulas_2024_oi_240004_1721756962.76052.pdf — p9 limitations, joi240004supp2_prod_1721756962.82552.pdf — supplement p4 model, joi240004supp2_prod_1721756962.82552.pdf — p5 IPW formula/assignment/missingness, joi240004supp2_prod_1721756962.82552.pdf — p6 continuation, joi240004supp2_prod_1721756962.82552.pdf — p9 eFigure 2.</t>
        </is>
      </c>
      <c r="D9" s="21" t="inlineStr">
        <is>
          <t>retain</t>
        </is>
      </c>
      <c r="E9" s="21" t="inlineStr">
        <is>
          <t>protocol_report</t>
        </is>
      </c>
      <c r="F9" s="21" t="inlineStr">
        <is>
          <t>primary_done</t>
        </is>
      </c>
      <c r="G9" s="24">
        <f>IFERROR(IF(LEN(TRIM(CLEAN(SUBSTITUTE(Setup!$B$2,CHAR(160)," "))))=0,"CHECK REVIEWER ID",IF(OR(A9="",COUNTIF($A$2:$A$15,A9)&lt;&gt;1,LEFT(A9,LEN("2024::jama.2024.0318::"))&lt;&gt;"2024::jama.2024.0318::"),"CHECK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t="inlineStr">
        <is>
          <t>substantive_difference</t>
        </is>
      </c>
      <c r="M9" s="24" t="n"/>
      <c r="N9" s="23" t="n"/>
      <c r="O9" s="23" t="n"/>
      <c r="P9" s="23" t="n"/>
      <c r="Q9" s="23" t="n"/>
      <c r="R9" s="22" t="inlineStr">
        <is>
          <t>Plan supp1 p30-31, p34 promises MICE with Rubin's rules, pattern-mixture models, a censoring weight combined with IPTW, a per-protocol analysis discarding post-crossover outcomes, and baseline-covariate sensitivity analyses. Searched main and supp2 in full: only the treatment-IPW per-protocol analysis (main p3, supp2 p5, eFigure 2) is reported; no MICE, pattern-mixture or discard analysis.</t>
        </is>
      </c>
    </row>
    <row r="10" ht="92" customHeight="1" s="25">
      <c r="A10" s="20" t="inlineStr">
        <is>
          <t>2024::jama.2024.0318::C009</t>
        </is>
      </c>
      <c r="B10" s="20" t="inlineStr">
        <is>
          <t>Planned binary A2 and reported GEE</t>
        </is>
      </c>
      <c r="C10" s="20" t="inlineStr">
        <is>
          <t>PLAN joi240004supp1_prod_1721756962.80052.pdf — p27 A2/secondary-model text; REPORT jama_courcoulas_2024_oi_240004_1721756962.76052.pdf — main p3 binary/GEE paragraph, jama_courcoulas_2024_oi_240004_1721756962.76052.pdf — p6 Table 2 binary rows, joi240004supp2_prod_1721756962.82552.pdf — supplement p4 binary GEE, joi240004supp2_prod_1721756962.82552.pdf — p5 continuation, joi240004supp2_prod_1721756962.82552.pdf — p15 eTable 2 binary rows.</t>
        </is>
      </c>
      <c r="D10" s="21" t="inlineStr">
        <is>
          <t>retain</t>
        </is>
      </c>
      <c r="E10" s="21" t="inlineStr">
        <is>
          <t>protocol_report</t>
        </is>
      </c>
      <c r="F10" s="21" t="inlineStr">
        <is>
          <t>primary_done</t>
        </is>
      </c>
      <c r="G10" s="20">
        <f>IFERROR(IF(LEN(TRIM(CLEAN(SUBSTITUTE(Setup!$B$2,CHAR(160)," "))))=0,"CHECK REVIEWER ID",IF(OR(A10="",COUNTIF($A$2:$A$15,A10)&lt;&gt;1,LEFT(A10,LEN("2024::jama.2024.0318::"))&lt;&gt;"2024::jama.2024.0318::"),"CHECK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f>IF(AND(OR(D10="retain",D10=""),E10="statistical_results"),"","not_applicable")</f>
        <v/>
      </c>
      <c r="I10" s="21">
        <f>IF(AND(OR(D10="retain",D10=""),E10="statistical_results"),"","not_applicable")</f>
        <v/>
      </c>
      <c r="J10" s="22">
        <f>IF(AND(OR(D10="retain",D10=""),E10="statistical_results"),"","not_applicable")</f>
        <v/>
      </c>
      <c r="K10" s="21">
        <f>IF(AND(OR(D10="retain",D10=""),OR(E10="report_internal_inconsistency",E10="plan_material")),"","not_applicable")</f>
        <v/>
      </c>
      <c r="L10" s="22" t="inlineStr">
        <is>
          <t>substantive_difference</t>
        </is>
      </c>
      <c r="M10" s="20" t="n"/>
      <c r="N10" s="23" t="n"/>
      <c r="O10" s="23" t="n"/>
      <c r="P10" s="23" t="n"/>
      <c r="Q10" s="23" t="n"/>
      <c r="R10" s="22" t="inlineStr">
        <is>
          <t>Plan supp1 p27 specifies mixed-effects logistic models (A2, patient random intercept; conditional log OR) for glycemic control and remission; report (main p3; supp2 p4) uses GEE with sandwich SEs adjusting for site and baseline HbA1c. Model family and estimand (conditional vs marginal OR) differ; baseline HbA1c covariate also added.</t>
        </is>
      </c>
    </row>
    <row r="11" ht="92" customHeight="1" s="25">
      <c r="A11" s="24" t="inlineStr">
        <is>
          <t>2024::jama.2024.0318::C010</t>
        </is>
      </c>
      <c r="B11" s="24" t="inlineStr">
        <is>
          <t>Medical medication OR interval pattern</t>
        </is>
      </c>
      <c r="C11" s="24" t="inlineStr">
        <is>
          <t>REPORT jama_courcoulas_2024_oi_240004_1721756962.76052.pdf — main p6 Table 2 use-of-medications medical change column and all binary comparator cells/footnotes, and corroborating REPORT joi240004supp2_prod_1721756962.82552.pdf — supplement p4 GEE/sandwich method. Every lower/upper limit and displayed decimal precision was visually checked.</t>
        </is>
      </c>
      <c r="D11" s="21" t="inlineStr">
        <is>
          <t>retain</t>
        </is>
      </c>
      <c r="E11" s="21" t="inlineStr">
        <is>
          <t>statistical_results</t>
        </is>
      </c>
      <c r="F11" s="21" t="inlineStr">
        <is>
          <t>primary_done</t>
        </is>
      </c>
      <c r="G11" s="24">
        <f>IFERROR(IF(LEN(TRIM(CLEAN(SUBSTITUTE(Setup!$B$2,CHAR(160)," "))))=0,"CHECK REVIEWER ID",IF(OR(A11="",COUNTIF($A$2:$A$15,A11)&lt;&gt;1,LEFT(A11,LEN("2024::jama.2024.0318::"))&lt;&gt;"2024::jama.2024.0318::"),"CHECK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t="inlineStr">
        <is>
          <t>confirmed_issue</t>
        </is>
      </c>
      <c r="I11" s="21" t="inlineStr">
        <is>
          <t>minor_presentation</t>
        </is>
      </c>
      <c r="J11" s="22" t="inlineStr">
        <is>
          <t>unlikely</t>
        </is>
      </c>
      <c r="K11" s="21">
        <f>IF(AND(OR(D11="retain",D11=""),OR(E11="report_internal_inconsistency",E11="plan_material")),"","not_applicable")</f>
        <v/>
      </c>
      <c r="L11" s="22">
        <f>IF(AND(OR(D11="retain",D11=""),E11="protocol_report"),"","not_applicable")</f>
        <v/>
      </c>
      <c r="M11" s="24" t="n"/>
      <c r="N11" s="23" t="n"/>
      <c r="O11" s="23" t="n"/>
      <c r="P11" s="23" t="n"/>
      <c r="Q11" s="23" t="n"/>
      <c r="R11" s="22" t="inlineStr">
        <is>
          <t>Table 2 p6 (rendered) medical 'use of medications' OR 0.10 (0.01 to 3.27): geometric midpoint sqrt(0.01*3.27)=0.18; with 0.01 in [0.005,0.015] the midpoint range is 0.128-0.222, excluding 0.10. All 17 other binary OR cells reproduce (ratio 0.98-1.06; 0.03 (0.01-0.11) fits within rounding). Lower limit implied by 0.10 and 3.27 is 0.003, so the lower bound is likely misprinted.</t>
        </is>
      </c>
    </row>
    <row r="12" ht="92" customHeight="1" s="25">
      <c r="A12" s="20" t="inlineStr">
        <is>
          <t>2024::jama.2024.0318::C011</t>
        </is>
      </c>
      <c r="B12" s="20" t="inlineStr">
        <is>
          <t>Vascular and safety test mapping</t>
        </is>
      </c>
      <c r="C12" s="20" t="inlineStr">
        <is>
          <t>PLAN joi240004supp1_prod_1721756962.80052.pdf — p34 Aim 2 vascular/safety paragraph, joi240004supp1_prod_1721756962.80052.pdf — p35 power/secondary continuation, joi240004supp1_prod_1721756962.80052.pdf — p26 separate baseline-comparison CMH paragraph; REPORT jama_courcoulas_2024_oi_240004_1721756962.76052.pdf — main p1 abstract cardiovascular statement, jama_courcoulas_2024_oi_240004_1721756962.76052.pdf — p7 event/procedure narrative, joi240004supp2_prod_1721756962.82552.pdf — supplement p6 event-test methods, joi240004supp2_prod_1721756962.82552.pdf — p17 nutritional categorical comparisons, joi240004supp2_prod_1721756962.82552.pdf — p19 eTable 5 example P cells, joi240004supp2_prod_1721756962.82552.pdf — p20 eTable 5 footnote b, joi240004supp2_prod_1721756962.82552.pdf — p21 eTable 6/footnote b.</t>
        </is>
      </c>
      <c r="D12" s="21" t="inlineStr">
        <is>
          <t>retain</t>
        </is>
      </c>
      <c r="E12" s="21" t="inlineStr">
        <is>
          <t>protocol_report</t>
        </is>
      </c>
      <c r="F12" s="21" t="inlineStr">
        <is>
          <t>primary_done</t>
        </is>
      </c>
      <c r="G12" s="20">
        <f>IFERROR(IF(LEN(TRIM(CLEAN(SUBSTITUTE(Setup!$B$2,CHAR(160)," "))))=0,"CHECK REVIEWER ID",IF(OR(A12="",COUNTIF($A$2:$A$15,A12)&lt;&gt;1,LEFT(A12,LEN("2024::jama.2024.0318::"))&lt;&gt;"2024::jama.2024.0318::"),"CHECK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f>IF(AND(OR(D12="retain",D12=""),OR(E12="report_internal_inconsistency",E12="plan_material")),"","not_applicable")</f>
        <v/>
      </c>
      <c r="L12" s="22" t="inlineStr">
        <is>
          <t>substantive_difference</t>
        </is>
      </c>
      <c r="M12" s="20" t="n"/>
      <c r="N12" s="23" t="n"/>
      <c r="O12" s="23" t="n"/>
      <c r="P12" s="23" t="n"/>
      <c r="Q12" s="23" t="n"/>
      <c r="R12" s="22" t="inlineStr">
        <is>
          <t>Plan supp1 p34 specifies Cochran-Mantel-Haenszel tests for micro/macrovascular events and safety outcomes; report supp2 p6 and eTable 5/6 footnotes use chi-squared or Fisher's exact tests. Stratified versus unstratified test; the plan does not name the strata. Low-stakes method change for descriptive safety comparisons.</t>
        </is>
      </c>
    </row>
    <row r="13" ht="92" customHeight="1" s="25">
      <c r="A13" s="24" t="inlineStr">
        <is>
          <t>2024::jama.2024.0318::C012</t>
        </is>
      </c>
      <c r="B13" s="24" t="inlineStr">
        <is>
          <t>Fixed site and power variance specification</t>
        </is>
      </c>
      <c r="C13" s="24" t="inlineStr">
        <is>
          <t>PLAN joi240004supp1_prod_1721756962.80052.pdf — p26 A1/b_i/Z definition, joi240004supp1_prod_1721756962.80052.pdf — p28 primary power variance-component paragraph, joi240004supp1_prod_1721756962.80052.pdf — p31 heterogeneity/distribution paragraph; corroborating REPORT jama_courcoulas_2024_oi_240004_1721756962.76052.pdf — main p2 primary model, jama_courcoulas_2024_oi_240004_1721756962.76052.pdf — p3 fixed-effect continuation, joi240004supp2_prod_1721756962.82552.pdf — supplement p4 fixed-site model. PLAN joi240004supp1_prod_1721756962.80052.pdf — p27 identifiability clause was also reread.</t>
        </is>
      </c>
      <c r="D13" s="21" t="inlineStr">
        <is>
          <t>retain</t>
        </is>
      </c>
      <c r="E13" s="21" t="inlineStr">
        <is>
          <t>plan_material</t>
        </is>
      </c>
      <c r="F13" s="21" t="inlineStr">
        <is>
          <t>primary_done</t>
        </is>
      </c>
      <c r="G13" s="24">
        <f>IFERROR(IF(LEN(TRIM(CLEAN(SUBSTITUTE(Setup!$B$2,CHAR(160)," "))))=0,"CHECK REVIEWER ID",IF(OR(A13="",COUNTIF($A$2:$A$15,A13)&lt;&gt;1,LEFT(A13,LEN("2024::jama.2024.0318::"))&lt;&gt;"2024::jama.2024.0318::"),"CHECK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f>IF(AND(OR(D13="retain",D13=""),E13="statistical_results"),"","not_applicable")</f>
        <v/>
      </c>
      <c r="I13" s="21">
        <f>IF(AND(OR(D13="retain",D13=""),E13="statistical_results"),"","not_applicable")</f>
        <v/>
      </c>
      <c r="J13" s="22">
        <f>IF(AND(OR(D13="retain",D13=""),E13="statistical_results"),"","not_applicable")</f>
        <v/>
      </c>
      <c r="K13" s="21" t="inlineStr">
        <is>
          <t>substantive_inconsistency</t>
        </is>
      </c>
      <c r="L13" s="22">
        <f>IF(AND(OR(D13="retain",D13=""),E13="protocol_report"),"","not_applicable")</f>
        <v/>
      </c>
      <c r="M13" s="24" t="n"/>
      <c r="N13" s="23" t="n"/>
      <c r="O13" s="23" t="n"/>
      <c r="P13" s="23" t="n"/>
      <c r="Q13" s="23" t="n"/>
      <c r="R13" s="22" t="inlineStr">
        <is>
          <t>Within the plan (supp1): model A1 (p26) treats site as a fixed effect b_i (with Z also site indicators), but the power section (p28) uses a fitted variance component sigma_b=0.06 for site, and p31 says site-specific effects 'follow some distribution' and the CI describes heterogeneity, i.e., a random-site model. Fixed versus random site is internally inconsistent in the plan.</t>
        </is>
      </c>
    </row>
    <row r="14" ht="92" customHeight="1" s="25">
      <c r="A14" s="20" t="inlineStr">
        <is>
          <t>2024::jama.2024.0318::C013</t>
        </is>
      </c>
      <c r="B14" s="20" t="inlineStr">
        <is>
          <t>Appendix randomization-dropout accounting</t>
        </is>
      </c>
      <c r="C14" s="20" t="inlineStr">
        <is>
          <t>PLAN joi240004supp1_prod_1721756962.80052.pdf — p55 Appendix 2 table title, # Randomized and Number underwent intervention† rows, joi240004supp1_prod_1721756962.80052.pdf — p56 table continuation and dagger definition/dropout statement, and corroborating PLAN joi240004supp1_prod_1721756962.80052.pdf — p27 randomized/initiated population paragraph.</t>
        </is>
      </c>
      <c r="D14" s="21" t="inlineStr">
        <is>
          <t>retain</t>
        </is>
      </c>
      <c r="E14" s="21" t="inlineStr">
        <is>
          <t>plan_material</t>
        </is>
      </c>
      <c r="F14" s="21" t="inlineStr">
        <is>
          <t>primary_done</t>
        </is>
      </c>
      <c r="G14" s="20">
        <f>IFERROR(IF(LEN(TRIM(CLEAN(SUBSTITUTE(Setup!$B$2,CHAR(160)," "))))=0,"CHECK REVIEWER ID",IF(OR(A14="",COUNTIF($A$2:$A$15,A14)&lt;&gt;1,LEFT(A14,LEN("2024::jama.2024.0318::"))&lt;&gt;"2024::jama.2024.0318::"),"CHECK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f>IF(AND(OR(D14="retain",D14=""),E14="statistical_results"),"","not_applicable")</f>
        <v/>
      </c>
      <c r="I14" s="21">
        <f>IF(AND(OR(D14="retain",D14=""),E14="statistical_results"),"","not_applicable")</f>
        <v/>
      </c>
      <c r="J14" s="22">
        <f>IF(AND(OR(D14="retain",D14=""),E14="statistical_results"),"","not_applicable")</f>
        <v/>
      </c>
      <c r="K14" s="21" t="inlineStr">
        <is>
          <t>minor_presentation</t>
        </is>
      </c>
      <c r="L14" s="22">
        <f>IF(AND(OR(D14="retain",D14=""),E14="protocol_report"),"","not_applicable")</f>
        <v/>
      </c>
      <c r="M14" s="20" t="n"/>
      <c r="N14" s="23" t="n"/>
      <c r="O14" s="23" t="n"/>
      <c r="P14" s="23" t="n"/>
      <c r="Q14" s="23" t="n"/>
      <c r="R14" s="22" t="inlineStr">
        <is>
          <t>Plan Appendix 2 (supp1 p55-56): randomized 155+69+43+45+43 = 355, underwent intervention 154+61+38+40+32 = 325, so 30 did not start; the dagger footnote says 38 dropped at randomization. Died (3), lost (20) and eligible (302) reconcile with p27. The 38 conflicts with the table. Note: the report (main p3, Fig 1) states 39 withdrew before intervention and 316 eligible, closer to the footnote.</t>
        </is>
      </c>
    </row>
    <row r="15" ht="92" customHeight="1" s="25">
      <c r="A15" s="24" t="inlineStr">
        <is>
          <t>2024::jama.2024.0318::C014</t>
        </is>
      </c>
      <c r="B15" s="24" t="inlineStr">
        <is>
          <t>Other race count and percentage</t>
        </is>
      </c>
      <c r="C15" s="24" t="inlineStr">
        <is>
          <t>REPORT joi240004supp2_prod_1721756962.82552.pdf — supplement p14 eTable 1 7-year column, race rows and footnotes a/b.</t>
        </is>
      </c>
      <c r="D15" s="21" t="inlineStr">
        <is>
          <t>retain</t>
        </is>
      </c>
      <c r="E15" s="21" t="inlineStr">
        <is>
          <t>statistical_results</t>
        </is>
      </c>
      <c r="F15" s="21" t="inlineStr">
        <is>
          <t>primary_done</t>
        </is>
      </c>
      <c r="G15" s="24">
        <f>IFERROR(IF(LEN(TRIM(CLEAN(SUBSTITUTE(Setup!$B$2,CHAR(160)," "))))=0,"CHECK REVIEWER ID",IF(OR(A15="",COUNTIF($A$2:$A$15,A15)&lt;&gt;1,LEFT(A15,LEN("2024::jama.2024.0318::"))&lt;&gt;"2024::jama.2024.0318::"),"CHECK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t="inlineStr">
        <is>
          <t>confirmed_issue</t>
        </is>
      </c>
      <c r="I15" s="21" t="inlineStr">
        <is>
          <t>minor_presentation</t>
        </is>
      </c>
      <c r="J15" s="22" t="inlineStr">
        <is>
          <t>unlikely</t>
        </is>
      </c>
      <c r="K15" s="21">
        <f>IF(AND(OR(D15="retain",D15=""),OR(E15="report_internal_inconsistency",E15="plan_material")),"","not_applicable")</f>
        <v/>
      </c>
      <c r="L15" s="22">
        <f>IF(AND(OR(D15="retain",D15=""),E15="protocol_report"),"","not_applicable")</f>
        <v/>
      </c>
      <c r="M15" s="24" t="n"/>
      <c r="N15" s="23" t="n"/>
      <c r="O15" s="23" t="n"/>
      <c r="P15" s="23" t="n"/>
      <c r="Q15" s="23" t="n"/>
      <c r="R15" s="22" t="inlineStr">
        <is>
          <t>eTable 1 (supp2 p14) 7-year column: Other race 4 (1.9) with N=262; 4/262 = 1.5%. Black 81 (30.9) and White 176 (67.2) reproduce, but 81+176+4 = 261. Main Table 1 gives White 59+118 = 177 (67.6%), so eTable 1 White (176) also disagrees with Table 1.</t>
        </is>
      </c>
    </row>
  </sheetData>
  <autoFilter ref="A1:R15"/>
  <conditionalFormatting sqref="H2:H15">
    <cfRule type="expression" priority="8" dxfId="70">
      <formula>NOT(AND(OR($D2="retain",$D2=""),$E2="statistical_results"))</formula>
    </cfRule>
  </conditionalFormatting>
  <conditionalFormatting sqref="I2:I15">
    <cfRule type="expression" priority="9" dxfId="70">
      <formula>NOT(AND(OR($D2="retain",$D2=""),$E2="statistical_results"))</formula>
    </cfRule>
  </conditionalFormatting>
  <conditionalFormatting sqref="J2:J15">
    <cfRule type="expression" priority="10" dxfId="70">
      <formula>NOT(AND(OR($D2="retain",$D2=""),$E2="statistical_results"))</formula>
    </cfRule>
  </conditionalFormatting>
  <conditionalFormatting sqref="K2:K15">
    <cfRule type="expression" priority="11" dxfId="70">
      <formula>NOT(AND(OR($D2="retain",$D2=""),OR($E2="report_internal_inconsistency",$E2="plan_material")))</formula>
    </cfRule>
  </conditionalFormatting>
  <conditionalFormatting sqref="L2:L15">
    <cfRule type="expression" priority="12" dxfId="70">
      <formula>NOT(AND(OR($D2="retain",$D2=""),$E2="protocol_report"))</formula>
    </cfRule>
  </conditionalFormatting>
  <conditionalFormatting sqref="G2:G15">
    <cfRule type="expression" priority="13" dxfId="71">
      <formula>G2&lt;&gt;"PRIMARY READY"</formula>
    </cfRule>
  </conditionalFormatting>
  <dataValidations count="8">
    <dataValidation sqref="D2:D15" showDropDown="0" showInputMessage="0" showErrorMessage="1" allowBlank="1" errorTitle="Use a listed option" error="Choose an option; G also checks pasted entries." type="list" errorStyle="stop">
      <formula1>"retain,exclude,discuss"</formula1>
    </dataValidation>
    <dataValidation sqref="E2:E15"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5" showDropDown="0" showInputMessage="0" showErrorMessage="1" allowBlank="1" errorTitle="Use a listed option" error="Choose an option; G also checks pasted entries." type="list" errorStyle="stop">
      <formula1>"no,primary_done"</formula1>
    </dataValidation>
    <dataValidation sqref="H2:H15"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5"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5" showDropDown="0" showInputMessage="0" showErrorMessage="1" allowBlank="1" errorTitle="Use a listed option" error="Choose an option; G also checks pasted entries." type="list" errorStyle="stop">
      <formula1>"direct,possible,unlikely,unknown,not_applicable"</formula1>
    </dataValidation>
    <dataValidation sqref="K2:K15"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5"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R20"/>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2024::jama.2024.0572::C001</t>
        </is>
      </c>
      <c r="B2" s="20" t="inlineStr">
        <is>
          <t>Follow-up MRI analysis-population count</t>
        </is>
      </c>
      <c r="C2" s="20" t="inlineStr">
        <is>
          <t>jama_sarraj_2024_oi_240006_1708623114.96234.pdf — Main p.4, Results imaging paragraph; jama_sarraj_2024_oi_240006_1708623114.96234.pdf — Main p.9, infarct-growth paragraph; jama_sarraj_2024_oi_240006_1708623114.96234.pdf — Main p.11 discussion; joi240006supp5_prod_1708623115.01733.pdf — Results p.51 eTable11; jama_sarraj_2024_oi_240006_1708623114.96234.pdf — Main p.6 baseline-MRI context</t>
        </is>
      </c>
      <c r="D2" s="21" t="inlineStr">
        <is>
          <t>retain</t>
        </is>
      </c>
      <c r="E2" s="21" t="inlineStr">
        <is>
          <t>statistical_results</t>
        </is>
      </c>
      <c r="F2" s="21" t="inlineStr">
        <is>
          <t>primary_done</t>
        </is>
      </c>
      <c r="G2" s="20">
        <f>IFERROR(IF(LEN(TRIM(CLEAN(SUBSTITUTE(Setup!$B$2,CHAR(160)," "))))=0,"CHECK REVIEWER ID",IF(OR(A2="",COUNTIF($A$2:$A$20,A2)&lt;&gt;1,LEFT(A2,LEN("2024::jama.2024.0572::"))&lt;&gt;"2024::jama.2024.0572::"),"CHECK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substantive</t>
        </is>
      </c>
      <c r="J2" s="22" t="inlineStr">
        <is>
          <t>possible</t>
        </is>
      </c>
      <c r="K2" s="21">
        <f>IF(AND(OR(D2="retain",D2=""),OR(E2="report_internal_inconsistency",E2="plan_material")),"","not_applicable")</f>
        <v/>
      </c>
      <c r="L2" s="22">
        <f>IF(AND(OR(D2="retain",D2=""),E2="protocol_report"),"","not_applicable")</f>
        <v/>
      </c>
      <c r="M2" s="20" t="n"/>
      <c r="N2" s="23" t="n"/>
      <c r="O2" s="23" t="n"/>
      <c r="P2" s="23" t="n"/>
      <c r="Q2" s="23" t="n"/>
      <c r="R2" s="22" t="inlineStr">
        <is>
          <t>Main p4: follow-up imaging was MRI in 8/336 (2%) and CT in 328/336 (98%); main p9 and eTable 11 (supp5 p51): MR diffusion follow-up in 204 (61%) = 101+24+79; discussion p11 'two-thirds'. 8 matches baseline MR DWI (Table 1: 3+5), so p4 appears to describe baseline modality as follow-up. Reader cannot tell which follow-up modality mix applies to infarct volumes.</t>
        </is>
      </c>
    </row>
    <row r="3" ht="92" customHeight="1" s="25">
      <c r="A3" s="24" t="inlineStr">
        <is>
          <t>2024::jama.2024.0572::C002</t>
        </is>
      </c>
      <c r="B3" s="24" t="inlineStr">
        <is>
          <t>Primary treatment-group specification</t>
        </is>
      </c>
      <c r="C3" s="24" t="inlineStr">
        <is>
          <t>joi240006supp4_prod_1708623115.00733.pdf — Analysis SAP p.3, §5.1; joi240006supp4_prod_1708623115.00733.pdf — Its p.4, §5.2.1; jama_sarraj_2024_oi_240006_1708623114.96234.pdf — Main p.4, Statistical Analysis; jama_sarraj_2024_oi_240006_1708623114.96234.pdf — Main p.6 Figure1; joi240006supp5_prod_1708623115.01733.pdf — results p.8 flow diagram; joi240006supp5_prod_1708623115.01733.pdf — Results p.38 eTable2</t>
        </is>
      </c>
      <c r="D3" s="21" t="inlineStr">
        <is>
          <t>retain</t>
        </is>
      </c>
      <c r="E3" s="21" t="inlineStr">
        <is>
          <t>protocol_report</t>
        </is>
      </c>
      <c r="F3" s="21" t="inlineStr">
        <is>
          <t>primary_done</t>
        </is>
      </c>
      <c r="G3" s="24">
        <f>IFERROR(IF(LEN(TRIM(CLEAN(SUBSTITUTE(Setup!$B$2,CHAR(160)," "))))=0,"CHECK REVIEWER ID",IF(OR(A3="",COUNTIF($A$2:$A$20,A3)&lt;&gt;1,LEFT(A3,LEN("2024::jama.2024.0572::"))&lt;&gt;"2024::jama.2024.0572::"),"CHECK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Analysis SAP (supp4 p3, 5.1): 'All analyses will be performed under an as-treated approach.' Report (main p4 Statistical Analysis; Table 1 168/168 vs Table 2 170/166) analyzes treatment comparisons across imaging strata by randomized group (ITT) and within-arm associations as treated. Analysis population for the main treatment-effect comparisons differs from plan; not described as a change. Practical impact limited (2 MM-to-EVT crossovers).</t>
        </is>
      </c>
    </row>
    <row r="4" ht="92" customHeight="1" s="25">
      <c r="A4" s="20" t="inlineStr">
        <is>
          <t>2024::jama.2024.0572::C003</t>
        </is>
      </c>
      <c r="B4" s="20" t="inlineStr">
        <is>
          <t>Composite-core analysis hierarchy and prespecification</t>
        </is>
      </c>
      <c r="C4" s="20" t="inlineStr">
        <is>
          <t>joi240006supp4_prod_1708623115.00733.pdf — Analysis SAP p.3 imaging-definition bullets; joi240006supp4_prod_1708623115.00733.pdf — SAP p.7 appendix item1; jama_sarraj_2024_oi_240006_1708623114.96234.pdf — Main p.4 methods; jama_sarraj_2024_oi_240006_1708623114.96234.pdf — Main p.6; jama_sarraj_2024_oi_240006_1708623114.96234.pdf — main p.8 Figure3; joi240006supp5_prod_1708623115.01733.pdf — results p.16 eFigure10; jama_sarraj_2024_oi_240006_1708623114.96234.pdf — Main p.1 abstract; jama_sarraj_2024_oi_240006_1708623114.96234.pdf — Main p.11 limitations</t>
        </is>
      </c>
      <c r="D4" s="21" t="inlineStr">
        <is>
          <t>retain</t>
        </is>
      </c>
      <c r="E4" s="21" t="inlineStr">
        <is>
          <t>protocol_report</t>
        </is>
      </c>
      <c r="F4" s="21" t="inlineStr">
        <is>
          <t>primary_done</t>
        </is>
      </c>
      <c r="G4" s="20">
        <f>IFERROR(IF(LEN(TRIM(CLEAN(SUBSTITUTE(Setup!$B$2,CHAR(160)," "))))=0,"CHECK REVIEWER ID",IF(OR(A4="",COUNTIF($A$2:$A$20,A4)&lt;&gt;1,LEFT(A4,LEN("2024::jama.2024.0572::"))&lt;&gt;"2024::jama.2024.0572::"),"CHECK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Analysis SAP (supp4 p3, imaging definitions) makes the composite core (larger of CTP/MRI and CT hypodensity) the primary volume and CTP/MRI core a sensitivity analysis; SAP appendix p7 calls composite core 'pre-specified'. Report (main p4, p6; supp5 eFig 10-16) makes CTP/MRI core primary and labels composite-core analyses 'post hoc'; limitations (p10) say the composite concept was preplanned. Primary/sensitivity roles reversed and prespecification mislabeled.</t>
        </is>
      </c>
    </row>
    <row r="5" ht="92" customHeight="1" s="25">
      <c r="A5" s="24" t="inlineStr">
        <is>
          <t>2024::jama.2024.0572::C004</t>
        </is>
      </c>
      <c r="B5" s="24" t="inlineStr">
        <is>
          <t>Finite all-zero subgroup risk estimates</t>
        </is>
      </c>
      <c r="C5" s="24" t="inlineStr">
        <is>
          <t>jama_sarraj_2024_oi_240006_1708623114.96234.pdf — Main p.4; joi240006supp5_prod_1708623115.01733.pdf — results p.13 eFigure7 ASPECTS0–2; joi240006supp5_prod_1708623115.01733.pdf — p.14 eFigure8 ASPECTS0–2; joi240006supp4_prod_1708623115.00733.pdf — Analysis SAP p.4; joi240006supp4_prod_1708623115.00733.pdf — p.5</t>
        </is>
      </c>
      <c r="D5" s="21" t="inlineStr">
        <is>
          <t>retain</t>
        </is>
      </c>
      <c r="E5" s="21" t="inlineStr">
        <is>
          <t>statistical_results</t>
        </is>
      </c>
      <c r="F5" s="21" t="inlineStr">
        <is>
          <t>primary_done</t>
        </is>
      </c>
      <c r="G5" s="24">
        <f>IFERROR(IF(LEN(TRIM(CLEAN(SUBSTITUTE(Setup!$B$2,CHAR(160)," "))))=0,"CHECK REVIEWER ID",IF(OR(A5="",COUNTIF($A$2:$A$20,A5)&lt;&gt;1,LEFT(A5,LEN("2024::jama.2024.0572::"))&lt;&gt;"2024::jama.2024.0572::"),"CHECK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substantive</t>
        </is>
      </c>
      <c r="J5" s="22" t="inlineStr">
        <is>
          <t>possible</t>
        </is>
      </c>
      <c r="K5" s="21">
        <f>IF(AND(OR(D5="retain",D5=""),OR(E5="report_internal_inconsistency",E5="plan_material")),"","not_applicable")</f>
        <v/>
      </c>
      <c r="L5" s="22">
        <f>IF(AND(OR(D5="retain",D5=""),E5="protocol_report"),"","not_applicable")</f>
        <v/>
      </c>
      <c r="M5" s="24" t="n"/>
      <c r="N5" s="23" t="n"/>
      <c r="O5" s="23" t="n"/>
      <c r="P5" s="23" t="n"/>
      <c r="Q5" s="23" t="n"/>
      <c r="R5" s="22" t="inlineStr">
        <is>
          <t>eFigures 7 and 8 (supp5 p13-14, rendered): ASPECTS 0-2 (n=19) has 0 events in both arms yet prints RR 1.00 (0.37-2.72) for mRS 0-2 and 0-3. With zero events in both arms the modified Poisson RR is not estimable; 0.37-2.72 equals exp(-1) to exp(1), a placeholder. The same figures mark other zero-cell rows '*' (not estimable).</t>
        </is>
      </c>
    </row>
    <row r="6" ht="92" customHeight="1" s="25">
      <c r="A6" s="20" t="inlineStr">
        <is>
          <t>2024::jama.2024.0572::C005</t>
        </is>
      </c>
      <c r="B6" s="20" t="inlineStr">
        <is>
          <t>Printed null-boundary intervals and significant associations</t>
        </is>
      </c>
      <c r="C6" s="20" t="inlineStr">
        <is>
          <t>jama_sarraj_2024_oi_240006_1708623114.96234.pdf — Main p.6 ASPECTS paragraph; jama_sarraj_2024_oi_240006_1708623114.96234.pdf — main p.7 Table2; jama_sarraj_2024_oi_240006_1708623114.96234.pdf — Main p.10 age/time paragraph; jama_sarraj_2024_oi_240006_1708623114.96234.pdf — Main p.4; jama_sarraj_2024_oi_240006_1708623114.96234.pdf — p.1 abstract</t>
        </is>
      </c>
      <c r="D6" s="21" t="inlineStr">
        <is>
          <t>exclude</t>
        </is>
      </c>
      <c r="E6" s="21" t="inlineStr">
        <is>
          <t>statistical_results</t>
        </is>
      </c>
      <c r="F6" s="21" t="inlineStr">
        <is>
          <t>primary_done</t>
        </is>
      </c>
      <c r="G6" s="20">
        <f>IFERROR(IF(LEN(TRIM(CLEAN(SUBSTITUTE(Setup!$B$2,CHAR(160)," "))))=0,"CHECK REVIEWER ID",IF(OR(A6="",COUNTIF($A$2:$A$20,A6)&lt;&gt;1,LEFT(A6,LEN("2024::jama.2024.0572::"))&lt;&gt;"2024::jama.2024.0572::"),"CHECK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inlineStr">
        <is>
          <t>Main p6 (ASPECTS aGenOR 0.91, 0.82-1.00) and p10 (aRR 0.97, 0.93-1.00 per 10 min) call associations significant with upper limits printed as 1.00. Unrounded upper limits in [0.995, 1.0) are compatible with P &lt; .05; log-symmetric reconstruction gives implied upper limits range 0.993-1.027 and 0.996-1.028 within rounding (central 1.010 and 1.012). Not demonstrable beyond rounding.</t>
        </is>
      </c>
    </row>
    <row r="7" ht="92" customHeight="1" s="25">
      <c r="A7" s="24" t="inlineStr">
        <is>
          <t>2024::jama.2024.0572::C006</t>
        </is>
      </c>
      <c r="B7" s="24" t="inlineStr">
        <is>
          <t>Large-core primary mRS distribution and functional thresholds</t>
        </is>
      </c>
      <c r="C7" s="24" t="inlineStr">
        <is>
          <t>jama_sarraj_2024_oi_240006_1708623114.96234.pdf — main p.7 Figure2B; joi240006supp5_prod_1708623115.01733.pdf — results p.13 eFigure7 ≥100mL; joi240006supp5_prod_1708623115.01733.pdf — p.14 eFigure8 ≥100mL; jama_sarraj_2024_oi_240006_1708623114.96234.pdf — Main p.3 outcomes; jama_sarraj_2024_oi_240006_1708623114.96234.pdf — Main p.10 discussion</t>
        </is>
      </c>
      <c r="D7" s="21" t="inlineStr">
        <is>
          <t>retain</t>
        </is>
      </c>
      <c r="E7" s="21" t="inlineStr">
        <is>
          <t>statistical_results</t>
        </is>
      </c>
      <c r="F7" s="21" t="inlineStr">
        <is>
          <t>primary_done</t>
        </is>
      </c>
      <c r="G7" s="24">
        <f>IFERROR(IF(LEN(TRIM(CLEAN(SUBSTITUTE(Setup!$B$2,CHAR(160)," "))))=0,"CHECK REVIEWER ID",IF(OR(A7="",COUNTIF($A$2:$A$20,A7)&lt;&gt;1,LEFT(A7,LEN("2024::jama.2024.0572::"))&lt;&gt;"2024::jama.2024.0572::"),"CHECK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t="inlineStr">
        <is>
          <t>confirmed_issue</t>
        </is>
      </c>
      <c r="I7" s="21" t="inlineStr">
        <is>
          <t>substantive</t>
        </is>
      </c>
      <c r="J7" s="22" t="inlineStr">
        <is>
          <t>direct</t>
        </is>
      </c>
      <c r="K7" s="21">
        <f>IF(AND(OR(D7="retain",D7=""),OR(E7="report_internal_inconsistency",E7="plan_material")),"","not_applicable")</f>
        <v/>
      </c>
      <c r="L7" s="22">
        <f>IF(AND(OR(D7="retain",D7=""),E7="protocol_report"),"","not_applicable")</f>
        <v/>
      </c>
      <c r="M7" s="24" t="n"/>
      <c r="N7" s="23" t="n"/>
      <c r="O7" s="23" t="n"/>
      <c r="P7" s="23" t="n"/>
      <c r="Q7" s="23" t="n"/>
      <c r="R7" s="22" t="inlineStr">
        <is>
          <t>Figure 2B (main p7, rendered): CTP/MRI core &gt;=100 mL, EVT segments 2/6/10/20/10/53% and MM 2/4/16/16/61% show no mRS 4 segment, and mRS 0-2 sums (18%, 6%) contradict eFig 7 (4/51 = 7.8%, 1/49 = 2.0%) and eFig 8 mRS 0-3 (9/51 = 17.6%, 3/49 = 6.1%). Shifting the colors one category reconciles all values and the discussion (~20% ambulation, ~80% mRS &gt;=4). Category labels in panel B are misassigned.</t>
        </is>
      </c>
    </row>
    <row r="8" ht="92" customHeight="1" s="25">
      <c r="A8" s="20" t="inlineStr">
        <is>
          <t>2024::jama.2024.0572::C007</t>
        </is>
      </c>
      <c r="B8" s="20" t="inlineStr">
        <is>
          <t>EVT continuous mismatch prediction direction</t>
        </is>
      </c>
      <c r="C8" s="20" t="inlineStr">
        <is>
          <t>jama_sarraj_2024_oi_240006_1708623114.96234.pdf — Main p.8 final mismatch paragraph; jama_sarraj_2024_oi_240006_1708623114.96234.pdf — p.9; joi240006supp5_prod_1708623115.01733.pdf — results p.23 eFigure17A/B</t>
        </is>
      </c>
      <c r="D8" s="21" t="inlineStr">
        <is>
          <t>retain</t>
        </is>
      </c>
      <c r="E8" s="21" t="inlineStr">
        <is>
          <t>statistical_results</t>
        </is>
      </c>
      <c r="F8" s="21" t="inlineStr">
        <is>
          <t>primary_done</t>
        </is>
      </c>
      <c r="G8" s="20">
        <f>IFERROR(IF(LEN(TRIM(CLEAN(SUBSTITUTE(Setup!$B$2,CHAR(160)," "))))=0,"CHECK REVIEWER ID",IF(OR(A8="",COUNTIF($A$2:$A$20,A8)&lt;&gt;1,LEFT(A8,LEN("2024::jama.2024.0572::"))&lt;&gt;"2024::jama.2024.0572::"),"CHECK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t="inlineStr">
        <is>
          <t>confirmed_issue</t>
        </is>
      </c>
      <c r="I8" s="21" t="inlineStr">
        <is>
          <t>substantive</t>
        </is>
      </c>
      <c r="J8" s="22" t="inlineStr">
        <is>
          <t>possible</t>
        </is>
      </c>
      <c r="K8" s="21">
        <f>IF(AND(OR(D8="retain",D8=""),OR(E8="report_internal_inconsistency",E8="plan_material")),"","not_applicable")</f>
        <v/>
      </c>
      <c r="L8" s="22">
        <f>IF(AND(OR(D8="retain",D8=""),E8="protocol_report"),"","not_applicable")</f>
        <v/>
      </c>
      <c r="M8" s="20" t="n"/>
      <c r="N8" s="23" t="n"/>
      <c r="O8" s="23" t="n"/>
      <c r="P8" s="23" t="n"/>
      <c r="Q8" s="23" t="n"/>
      <c r="R8" s="22" t="inlineStr">
        <is>
          <t>Main p8 says that as mismatch volume increased the marginal probability of mRS 0-2 and 0-3 increased with EVT but decreased with MM (eFigure 17). eFigure 17A-B (supp5 p23, rendered): both EVT (cyan) and MM (red) curves decline with increasing mismatch volume; panel C (mRS 5-6) rises in both arms. The narrative contradicts its cited figure.</t>
        </is>
      </c>
    </row>
    <row r="9" ht="92" customHeight="1" s="25">
      <c r="A9" s="24" t="inlineStr">
        <is>
          <t>2024::jama.2024.0572::C008</t>
        </is>
      </c>
      <c r="B9" s="24" t="inlineStr">
        <is>
          <t>Core covariate identity in age/time surfaces</t>
        </is>
      </c>
      <c r="C9" s="24" t="inlineStr">
        <is>
          <t>jama_sarraj_2024_oi_240006_1708623114.96234.pdf — main p.10; jama_sarraj_2024_oi_240006_1708623114.96234.pdf — Main p.3 imaging definitions; joi240006supp5_prod_1708623115.01733.pdf — Results p.24 eFigure18 title; joi240006supp5_prod_1708623115.01733.pdf — Results p.25 eFigure19 title and explanation</t>
        </is>
      </c>
      <c r="D9" s="21" t="inlineStr">
        <is>
          <t>retain</t>
        </is>
      </c>
      <c r="E9" s="21" t="inlineStr">
        <is>
          <t>report_internal_inconsistency</t>
        </is>
      </c>
      <c r="F9" s="21" t="inlineStr">
        <is>
          <t>primary_done</t>
        </is>
      </c>
      <c r="G9" s="24">
        <f>IFERROR(IF(LEN(TRIM(CLEAN(SUBSTITUTE(Setup!$B$2,CHAR(160)," "))))=0,"CHECK REVIEWER ID",IF(OR(A9="",COUNTIF($A$2:$A$20,A9)&lt;&gt;1,LEFT(A9,LEN("2024::jama.2024.0572::"))&lt;&gt;"2024::jama.2024.0572::"),"CHECK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t="inlineStr">
        <is>
          <t>substantive_inconsistency</t>
        </is>
      </c>
      <c r="L9" s="22">
        <f>IF(AND(OR(D9="retain",D9=""),E9="protocol_report"),"","not_applicable")</f>
        <v/>
      </c>
      <c r="M9" s="24" t="n"/>
      <c r="N9" s="23" t="n"/>
      <c r="O9" s="23" t="n"/>
      <c r="P9" s="23" t="n"/>
      <c r="Q9" s="23" t="n"/>
      <c r="R9" s="22" t="inlineStr">
        <is>
          <t>E changed from statistical_results: this is a conflict over which core-volume variable the age/time prediction surfaces use, not a numerical error. Main p10 and eFigure 18 title (supp5 p24, rendered) say CTP/MRI core set at 70/100/150 mL; eFigure 18 explanation and eFigure 19 (p25) title say composite core. The two measures differ substantially (medians 73 vs 101 mL), so the 150-mL prognostic statement cannot be applied without knowing which.</t>
        </is>
      </c>
    </row>
    <row r="10" ht="92" customHeight="1" s="25">
      <c r="A10" s="20" t="inlineStr">
        <is>
          <t>2024::jama.2024.0572::C009</t>
        </is>
      </c>
      <c r="B10" s="20" t="inlineStr">
        <is>
          <t>Planned versus reported prognostic time predictor</t>
        </is>
      </c>
      <c r="C10" s="20" t="inlineStr">
        <is>
          <t>joi240006supp4_prod_1708623115.00733.pdf — Analysis SAP p.5 §5.2.3; jama_sarraj_2024_oi_240006_1708623114.96234.pdf — Main p.10 age/time results; joi240006supp5_prod_1708623115.01733.pdf — results p.24 eFigure18; joi240006supp5_prod_1708623115.01733.pdf — Results p.25 eFigure19</t>
        </is>
      </c>
      <c r="D10" s="21" t="inlineStr">
        <is>
          <t>retain</t>
        </is>
      </c>
      <c r="E10" s="21" t="inlineStr">
        <is>
          <t>protocol_report</t>
        </is>
      </c>
      <c r="F10" s="21" t="inlineStr">
        <is>
          <t>primary_done</t>
        </is>
      </c>
      <c r="G10" s="20">
        <f>IFERROR(IF(LEN(TRIM(CLEAN(SUBSTITUTE(Setup!$B$2,CHAR(160)," "))))=0,"CHECK REVIEWER ID",IF(OR(A10="",COUNTIF($A$2:$A$20,A10)&lt;&gt;1,LEFT(A10,LEN("2024::jama.2024.0572::"))&lt;&gt;"2024::jama.2024.0572::"),"CHECK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f>IF(AND(OR(D10="retain",D10=""),E10="statistical_results"),"","not_applicable")</f>
        <v/>
      </c>
      <c r="I10" s="21">
        <f>IF(AND(OR(D10="retain",D10=""),E10="statistical_results"),"","not_applicable")</f>
        <v/>
      </c>
      <c r="J10" s="22">
        <f>IF(AND(OR(D10="retain",D10=""),E10="statistical_results"),"","not_applicable")</f>
        <v/>
      </c>
      <c r="K10" s="21">
        <f>IF(AND(OR(D10="retain",D10=""),OR(E10="report_internal_inconsistency",E10="plan_material")),"","not_applicable")</f>
        <v/>
      </c>
      <c r="L10" s="22" t="inlineStr">
        <is>
          <t>substantive_difference</t>
        </is>
      </c>
      <c r="M10" s="20" t="n"/>
      <c r="N10" s="23" t="n"/>
      <c r="O10" s="23" t="n"/>
      <c r="P10" s="23" t="n"/>
      <c r="Q10" s="23" t="n"/>
      <c r="R10" s="22" t="inlineStr">
        <is>
          <t>Analysis SAP 5.2(3) (supp4 p5) plans predicted probabilities of independent ambulation by age and time from last known well to randomization in EVT patients. Report (main p10; eFig 18-19) uses time from CT perfusion acquisition to reperfusion/end of procedure and LKW to reperfusion/end of procedure. The planned surface is not reported; the time predictor differs.</t>
        </is>
      </c>
    </row>
    <row r="11" ht="92" customHeight="1" s="25">
      <c r="A11" s="24" t="inlineStr">
        <is>
          <t>2024::jama.2024.0572::C010</t>
        </is>
      </c>
      <c r="B11" s="24" t="inlineStr">
        <is>
          <t>Planned outcome hierarchy</t>
        </is>
      </c>
      <c r="C11" s="24" t="inlineStr">
        <is>
          <t>joi240006supp2_prod_1708623114.99233.pdf — Protocol p.8 synopsis; joi240006supp2_prod_1708623114.99233.pdf — p.37 primary-outcome section; joi240006supp2_prod_1708623114.99233.pdf — Protocol p.50 secondary analysis; joi240006supp3_prod_1708623114.99733.pdf — trial SAP p.13; joi240006supp3_prod_1708623114.99733.pdf — SAP p.14; joi240006supp3_prod_1708623114.99733.pdf — SAP p.17</t>
        </is>
      </c>
      <c r="D11" s="21" t="inlineStr">
        <is>
          <t>retain</t>
        </is>
      </c>
      <c r="E11" s="21" t="inlineStr">
        <is>
          <t>plan_material</t>
        </is>
      </c>
      <c r="F11" s="21" t="inlineStr">
        <is>
          <t>primary_done</t>
        </is>
      </c>
      <c r="G11" s="24">
        <f>IFERROR(IF(LEN(TRIM(CLEAN(SUBSTITUTE(Setup!$B$2,CHAR(160)," "))))=0,"CHECK REVIEWER ID",IF(OR(A11="",COUNTIF($A$2:$A$20,A11)&lt;&gt;1,LEFT(A11,LEN("2024::jama.2024.0572::"))&lt;&gt;"2024::jama.2024.0572::"),"CHECK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f>IF(AND(OR(D11="retain",D11=""),E11="statistical_results"),"","not_applicable")</f>
        <v/>
      </c>
      <c r="I11" s="21">
        <f>IF(AND(OR(D11="retain",D11=""),E11="statistical_results"),"","not_applicable")</f>
        <v/>
      </c>
      <c r="J11" s="22">
        <f>IF(AND(OR(D11="retain",D11=""),E11="statistical_results"),"","not_applicable")</f>
        <v/>
      </c>
      <c r="K11" s="21" t="inlineStr">
        <is>
          <t>substantive_inconsistency</t>
        </is>
      </c>
      <c r="L11" s="22">
        <f>IF(AND(OR(D11="retain",D11=""),E11="protocol_report"),"","not_applicable")</f>
        <v/>
      </c>
      <c r="M11" s="24" t="n"/>
      <c r="N11" s="23" t="n"/>
      <c r="O11" s="23" t="n"/>
      <c r="P11" s="23" t="n"/>
      <c r="Q11" s="23" t="n"/>
      <c r="R11" s="22" t="inlineStr">
        <is>
          <t>Protocol (supp2, 4 Aug 2021) p8 and p37 call 90-day mRS 0-2 the second primary outcome; p50 calls it the secondary endpoint and lists infarct volume, lesion growth and hospital stay as secondary. Trial SAP (supp3, 20 Nov 2022; OCR p13-14) makes mRS 0-2 secondary and infarct volume, growth and length of stay tertiary. Within-protocol conflict on primary vs secondary status, plus a protocol-SAP change.</t>
        </is>
      </c>
    </row>
    <row r="12" ht="92" customHeight="1" s="25">
      <c r="A12" s="20" t="inlineStr">
        <is>
          <t>2024::jama.2024.0572::C011</t>
        </is>
      </c>
      <c r="B12" s="20" t="inlineStr">
        <is>
          <t>Historical SELECT intervals at the null and significant P values</t>
        </is>
      </c>
      <c r="C12" s="20" t="inlineStr">
        <is>
          <t>PLAN joi240006supp2_prod_1708623114.99233.pdf — protocol — PDF p.13, historical SELECT functional-independence and ordinal-shift results.</t>
        </is>
      </c>
      <c r="D12" s="21" t="inlineStr">
        <is>
          <t>exclude</t>
        </is>
      </c>
      <c r="E12" s="21" t="inlineStr">
        <is>
          <t>plan_material</t>
        </is>
      </c>
      <c r="F12" s="21" t="inlineStr">
        <is>
          <t>primary_done</t>
        </is>
      </c>
      <c r="G12" s="20">
        <f>IFERROR(IF(LEN(TRIM(CLEAN(SUBSTITUTE(Setup!$B$2,CHAR(160)," "))))=0,"CHECK REVIEWER ID",IF(OR(A12="",COUNTIF($A$2:$A$20,A12)&lt;&gt;1,LEFT(A12,LEN("2024::jama.2024.0572::"))&lt;&gt;"2024::jama.2024.0572::"),"CHECK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f>IF(AND(OR(D12="retain",D12=""),OR(E12="report_internal_inconsistency",E12="plan_material")),"","not_applicable")</f>
        <v/>
      </c>
      <c r="L12" s="22">
        <f>IF(AND(OR(D12="retain",D12=""),E12="protocol_report"),"","not_applicable")</f>
        <v/>
      </c>
      <c r="M12" s="20" t="n"/>
      <c r="N12" s="23" t="n"/>
      <c r="O12" s="23" t="n"/>
      <c r="P12" s="23" t="n"/>
      <c r="Q12" s="23" t="n"/>
      <c r="R12" s="22" t="inlineStr">
        <is>
          <t>Protocol p13 background quotes earlier SELECT cohort results (aOR 2.92, 95% CI 1.00-7.91, P=.041; aOR 2.01, 1.00-4.03, P=.049). These are historical results in the protocol's background, not a design element of this trial or this analysis; lower limits of 1.00 are also compatible with P&lt;.05 after rounding.</t>
        </is>
      </c>
    </row>
    <row r="13" ht="92" customHeight="1" s="25">
      <c r="A13" s="24" t="inlineStr">
        <is>
          <t>2024::jama.2024.0572::C012</t>
        </is>
      </c>
      <c r="B13" s="24" t="inlineStr">
        <is>
          <t>Historical safety significance statement includes P = .072</t>
        </is>
      </c>
      <c r="C13" s="24" t="inlineStr">
        <is>
          <t>PLAN joi240006supp2_prod_1708623114.99233.pdf — protocol — PDF p.16, historical safety paragraph.</t>
        </is>
      </c>
      <c r="D13" s="21" t="inlineStr">
        <is>
          <t>exclude</t>
        </is>
      </c>
      <c r="E13" s="21" t="inlineStr">
        <is>
          <t>plan_material</t>
        </is>
      </c>
      <c r="F13" s="21" t="inlineStr">
        <is>
          <t>primary_done</t>
        </is>
      </c>
      <c r="G13" s="24">
        <f>IFERROR(IF(LEN(TRIM(CLEAN(SUBSTITUTE(Setup!$B$2,CHAR(160)," "))))=0,"CHECK REVIEWER ID",IF(OR(A13="",COUNTIF($A$2:$A$20,A13)&lt;&gt;1,LEFT(A13,LEN("2024::jama.2024.0572::"))&lt;&gt;"2024::jama.2024.0572::"),"CHECK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f>IF(AND(OR(D13="retain",D13=""),E13="statistical_results"),"","not_applicable")</f>
        <v/>
      </c>
      <c r="I13" s="21">
        <f>IF(AND(OR(D13="retain",D13=""),E13="statistical_results"),"","not_applicable")</f>
        <v/>
      </c>
      <c r="J13" s="22">
        <f>IF(AND(OR(D13="retain",D13=""),E13="statistical_results"),"","not_applicable")</f>
        <v/>
      </c>
      <c r="K13" s="21">
        <f>IF(AND(OR(D13="retain",D13=""),OR(E13="report_internal_inconsistency",E13="plan_material")),"","not_applicable")</f>
        <v/>
      </c>
      <c r="L13" s="22">
        <f>IF(AND(OR(D13="retain",D13=""),E13="protocol_report"),"","not_applicable")</f>
        <v/>
      </c>
      <c r="M13" s="24" t="n"/>
      <c r="N13" s="23" t="n"/>
      <c r="O13" s="23" t="n"/>
      <c r="P13" s="23" t="n"/>
      <c r="Q13" s="23" t="n"/>
      <c r="R13" s="22" t="inlineStr">
        <is>
          <t>Protocol p16 background summarizes earlier SELECT safety results and says sICH (8/173 vs 3/18, P=.072), neurological worsening and mortality 'significantly increased'. Wording imprecision in a background summary of a prior study; not a design element of this trial or analysis.</t>
        </is>
      </c>
    </row>
    <row r="14" ht="92" customHeight="1" s="25">
      <c r="A14" s="20" t="inlineStr">
        <is>
          <t>2024::jama.2024.0572::C013</t>
        </is>
      </c>
      <c r="B14" s="20" t="inlineStr">
        <is>
          <t>Planned efficacy probability has the opposite treatment-score orientation</t>
        </is>
      </c>
      <c r="C14" s="20" t="inlineStr">
        <is>
          <t>PLAN joi240006supp2_prod_1708623114.99233.pdf — protocol — PDF p.37, lower-score benefit, joi240006supp2_prod_1708623114.99233.pdf — p.80, statistic and efficacy rule, joi240006supp2_prod_1708623114.99233.pdf — p.81, alternative and variable labels; PLAN joi240006supp3_prod_1708623114.99733.pdf — trial SAP — PDF p.39, repeated statistic, joi240006supp3_prod_1708623114.99733.pdf — p.40, alternative and bounds. REPORT jama_sarraj_2024_oi_240006_1708623114.96234.pdf — main article — PDF p.3, mRS direction corroborates only.</t>
        </is>
      </c>
      <c r="D14" s="21" t="inlineStr">
        <is>
          <t>exclude</t>
        </is>
      </c>
      <c r="E14" s="21" t="inlineStr">
        <is>
          <t>plan_material</t>
        </is>
      </c>
      <c r="F14" s="21" t="inlineStr">
        <is>
          <t>primary_done</t>
        </is>
      </c>
      <c r="G14" s="20">
        <f>IFERROR(IF(LEN(TRIM(CLEAN(SUBSTITUTE(Setup!$B$2,CHAR(160)," "))))=0,"CHECK REVIEWER ID",IF(OR(A14="",COUNTIF($A$2:$A$20,A14)&lt;&gt;1,LEFT(A14,LEN("2024::jama.2024.0572::"))&lt;&gt;"2024::jama.2024.0572::"),"CHECK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f>IF(AND(OR(D14="retain",D14=""),E14="statistical_results"),"","not_applicable")</f>
        <v/>
      </c>
      <c r="I14" s="21">
        <f>IF(AND(OR(D14="retain",D14=""),E14="statistical_results"),"","not_applicable")</f>
        <v/>
      </c>
      <c r="J14" s="22">
        <f>IF(AND(OR(D14="retain",D14=""),E14="statistical_results"),"","not_applicable")</f>
        <v/>
      </c>
      <c r="K14" s="21">
        <f>IF(AND(OR(D14="retain",D14=""),OR(E14="report_internal_inconsistency",E14="plan_material")),"","not_applicable")</f>
        <v/>
      </c>
      <c r="L14" s="22">
        <f>IF(AND(OR(D14="retain",D14=""),E14="protocol_report"),"","not_applicable")</f>
        <v/>
      </c>
      <c r="M14" s="20" t="n"/>
      <c r="N14" s="23" t="n"/>
      <c r="O14" s="23" t="n"/>
      <c r="P14" s="23" t="n"/>
      <c r="Q14" s="23" t="n"/>
      <c r="R14" s="22" t="inlineStr">
        <is>
          <t>Protocol p80-81 and trial SAP p39-40 (OCR) state H_A: P(Y&lt;=X) = 1/2 + theta with Y = MM and X = EVT Rankin score, theta = 0.0791, while lower mRS is better; the orientation appears borrowed from Lai et al. (higher score better). Real notational orientation slip, but it concerns the parent trial's adaptive efficacy test, which this exploratory analysis does not use.</t>
        </is>
      </c>
    </row>
    <row r="15" ht="92" customHeight="1" s="25">
      <c r="A15" s="24" t="inlineStr">
        <is>
          <t>2024::jama.2024.0572::C014</t>
        </is>
      </c>
      <c r="B15" s="24" t="inlineStr">
        <is>
          <t>Retained interim schedule does not identify the 300-outcome rejection rule</t>
        </is>
      </c>
      <c r="C15" s="24" t="inlineStr">
        <is>
          <t>PLAN joi240006supp3_prod_1708623114.99733.pdf — trial SAP — PDF p.9, §7.2 planned looks, joi240006supp3_prod_1708623114.99733.pdf — p.11, planned sample counts, joi240006supp3_prod_1708623114.99733.pdf — p.12, §7.5 300-outcome review and unchanged-design statements, joi240006supp3_prod_1708623114.99733.pdf — p.40, calibrated settings.</t>
        </is>
      </c>
      <c r="D15" s="21" t="inlineStr">
        <is>
          <t>retain</t>
        </is>
      </c>
      <c r="E15" s="21" t="inlineStr">
        <is>
          <t>plan_material</t>
        </is>
      </c>
      <c r="F15" s="21" t="inlineStr">
        <is>
          <t>primary_done</t>
        </is>
      </c>
      <c r="G15" s="24">
        <f>IFERROR(IF(LEN(TRIM(CLEAN(SUBSTITUTE(Setup!$B$2,CHAR(160)," "))))=0,"CHECK REVIEWER ID",IF(OR(A15="",COUNTIF($A$2:$A$20,A15)&lt;&gt;1,LEFT(A15,LEN("2024::jama.2024.0572::"))&lt;&gt;"2024::jama.2024.0572::"),"CHECK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f>IF(AND(OR(D15="retain",D15=""),E15="statistical_results"),"","not_applicable")</f>
        <v/>
      </c>
      <c r="I15" s="21">
        <f>IF(AND(OR(D15="retain",D15=""),E15="statistical_results"),"","not_applicable")</f>
        <v/>
      </c>
      <c r="J15" s="22">
        <f>IF(AND(OR(D15="retain",D15=""),E15="statistical_results"),"","not_applicable")</f>
        <v/>
      </c>
      <c r="K15" s="21" t="inlineStr">
        <is>
          <t>indeterminate</t>
        </is>
      </c>
      <c r="L15" s="22">
        <f>IF(AND(OR(D15="retain",D15=""),E15="protocol_report"),"","not_applicable")</f>
        <v/>
      </c>
      <c r="M15" s="24" t="n"/>
      <c r="N15" s="23" t="n"/>
      <c r="O15" s="23" t="n"/>
      <c r="P15" s="23" t="n"/>
      <c r="Q15" s="23" t="n"/>
      <c r="R15" s="22" t="inlineStr">
        <is>
          <t>Trial SAP (OCR p9, p11-12, p40) schedules efficacy looks at 200 and 380 patients with b = 2.604, but 7.5 reports a DSMB review at 300 patients after which the null was rejected because 'the boundary for efficacy has been crossed', while saying no interim analysis was added. Which boundary/information fraction applied at 300 is not specified. The report (main p4) repeats that the 'prespecified efficacy boundary was crossed'.</t>
        </is>
      </c>
    </row>
    <row r="16" ht="92" customHeight="1" s="25">
      <c r="A16" s="20" t="inlineStr">
        <is>
          <t>2024::jama.2024.0572::C015</t>
        </is>
      </c>
      <c r="B16" s="20" t="inlineStr">
        <is>
          <t>PLAN sICH window and death component differ</t>
        </is>
      </c>
      <c r="C16" s="20" t="inlineStr">
        <is>
          <t>PLAN joi240006supp4_prod_1708623115.00733.pdf — analysis-specific SAP — PDF p.5, §5.2.5; PLAN joi240006supp3_prod_1708623114.99733.pdf — trial SAP — PDF p.13, secondary endpoints, joi240006supp3_prod_1708623114.99733.pdf — p.18, §10.2.3.4.1, joi240006supp3_prod_1708623114.99733.pdf — p.31, template footnote. REPORT jama_sarraj_2024_oi_240006_1708623114.96234.pdf — main article — PDF p.3, endpoint name and joi240006supp5_prod_1708623115.01733.pdf — results supplement — PDF p.38, eTable2 counts establish relevance and corroborate only.</t>
        </is>
      </c>
      <c r="D16" s="21" t="inlineStr">
        <is>
          <t>retain</t>
        </is>
      </c>
      <c r="E16" s="21" t="inlineStr">
        <is>
          <t>plan_material</t>
        </is>
      </c>
      <c r="F16" s="21" t="inlineStr">
        <is>
          <t>primary_done</t>
        </is>
      </c>
      <c r="G16" s="20">
        <f>IFERROR(IF(LEN(TRIM(CLEAN(SUBSTITUTE(Setup!$B$2,CHAR(160)," "))))=0,"CHECK REVIEWER ID",IF(OR(A16="",COUNTIF($A$2:$A$20,A16)&lt;&gt;1,LEFT(A16,LEN("2024::jama.2024.0572::"))&lt;&gt;"2024::jama.2024.0572::"),"CHECK KEY",IF(OR(AND(NOT(AND(D16="retain",E16="statistical_results")),H16&lt;&gt;"",NOT(EXACT(H16,"not_applicable"))),AND(NOT(AND(D16="retain",E16="statistical_results")),I16&lt;&gt;"",NOT(EXACT(I16,"not_applicable"))),AND(NOT(AND(D16="retain",E16="statistical_results")),J16&lt;&gt;"",NOT(EXACT(J16,"not_applicable"))),AND(NOT(AND(D16="retain",OR(E16="report_internal_inconsistency",E16="plan_material"))),K16&lt;&gt;"",NOT(EXACT(K16,"not_applicable"))),AND(NOT(AND(D16="retain",E16="protocol_report")),L16&lt;&gt;"",NOT(EXACT(L16,"not_applicable")))),"CLEAR INACTIVE VALUES",IF(OR(NOT(OR(EXACT(D16,"retain"),EXACT(D16,"exclude"),EXACT(D16,"discuss"))),NOT(OR(EXACT(E16,"statistical_results"),EXACT(E16,"report_internal_inconsistency"),EXACT(E16,"plan_material"),EXACT(E16,"protocol_report"))),AND(AND(D16="retain",E16="statistical_results"),NOT(OR(EXACT(H16,"confirmed_issue"),EXACT(H16,"probable_issue"),EXACT(H16,"not_issue"),EXACT(H16,"indeterminate")))),AND(AND(D16="retain",E16="statistical_results"),NOT(OR(EXACT(I16,"substantive"),EXACT(I16,"minor_presentation"),EXACT(I16,"indeterminate")))),AND(AND(D16="retain",E16="statistical_results"),J16&lt;&gt;"",NOT(OR(EXACT(J16,"direct"),EXACT(J16,"possible"),EXACT(J16,"unlikely"),EXACT(J16,"unknown")))),AND(AND(D16="retain",OR(E16="report_internal_inconsistency",E16="plan_material")),NOT(OR(EXACT(K16,"substantive_inconsistency"),EXACT(K16,"minor_presentation"),EXACT(K16,"non_inconsistency"),EXACT(K16,"indeterminate")))),AND(AND(D16="retain",E16="protocol_report"),L16&lt;&gt;"",NOT(OR(EXACT(L16,"substantive_difference"),EXACT(L16,"minor_presentation"),EXACT(L16,"version_timing"),EXACT(L16,"non_inconsistency"),EXACT(L16,"indeterminate"))))),"CHECK FIELDS",IF(AND(F16&lt;&gt;"",NOT(OR(EXACT(F16,"no"),EXACT(F16,"primary_done")))),"CHECK COMPLETE",IF(EXACT(F16,"primary_done"),"PRIMARY READY","PRIMARY DRAFT")))))),"CHECK INPUT / KEY")</f>
        <v/>
      </c>
      <c r="H16" s="21">
        <f>IF(AND(OR(D16="retain",D16=""),E16="statistical_results"),"","not_applicable")</f>
        <v/>
      </c>
      <c r="I16" s="21">
        <f>IF(AND(OR(D16="retain",D16=""),E16="statistical_results"),"","not_applicable")</f>
        <v/>
      </c>
      <c r="J16" s="22">
        <f>IF(AND(OR(D16="retain",D16=""),E16="statistical_results"),"","not_applicable")</f>
        <v/>
      </c>
      <c r="K16" s="21" t="inlineStr">
        <is>
          <t>substantive_inconsistency</t>
        </is>
      </c>
      <c r="L16" s="22">
        <f>IF(AND(OR(D16="retain",D16=""),E16="protocol_report"),"","not_applicable")</f>
        <v/>
      </c>
      <c r="M16" s="20" t="n"/>
      <c r="N16" s="23" t="n"/>
      <c r="O16" s="23" t="n"/>
      <c r="P16" s="23" t="n"/>
      <c r="Q16" s="23" t="n"/>
      <c r="R16" s="22" t="inlineStr">
        <is>
          <t>Analysis SAP (supp4 p5) defines sICH as PH2/remote PH with &gt;=4-point NIHSS increase at a 4-hour window; trial SAP (OCR p13, p18, p31) defines SITS-MOST sICH as &gt;=4-point NIHSS increase or death within 24 hours. Window and death component differ; the report (main p3) cites SITS-MOST and eTable 2 gives 0/168 vs 2/168 without stating which definition applied.</t>
        </is>
      </c>
    </row>
    <row r="17" ht="92" customHeight="1" s="25">
      <c r="A17" s="24" t="inlineStr">
        <is>
          <t>2024::jama.2024.0572::C016</t>
        </is>
      </c>
      <c r="B17" s="24" t="inlineStr">
        <is>
          <t>Planned mismatch-volume primary strata have no supplied counterpart</t>
        </is>
      </c>
      <c r="C17" s="24" t="inlineStr">
        <is>
          <t>PLAN joi240006supp4_prod_1708623115.00733.pdf — analysis-specific SAP — PDF p.6, §5.3.3, joi240006supp4_prod_1708623115.00733.pdf — p.4, §5.2.1 primary endpoint. Identified REPORT comparisons: jama_sarraj_2024_oi_240006_1708623114.96234.pdf — main article — PDF p.6, Figure1, jama_sarraj_2024_oi_240006_1708623114.96234.pdf — p.8, mismatch results, joi240006supp5_prod_1708623115.01733.pdf — results supplement — PDF p.23, eFigure17, joi240006supp5_prod_1708623115.01733.pdf — p.43, eTable7. Complete counterpart scope: jama_sarraj_2024_oi_240006_1708623114.96234.pdf — main article, PDF pp.1–14; entry p.1, joi240006supp5_prod_1708623115.01733.pdf — results supplement, PDF pp.1–53; entry p.1, joi240006supp1_prod_1708623114.97236.pdf — contributors, PDF pp.1–30; entry p.1, and joi240006supp6_prod_1708623115.02733.pdf — data sharing, PDF p.1.</t>
        </is>
      </c>
      <c r="D17" s="21" t="inlineStr">
        <is>
          <t>retain</t>
        </is>
      </c>
      <c r="E17" s="21" t="inlineStr">
        <is>
          <t>protocol_report</t>
        </is>
      </c>
      <c r="F17" s="21" t="inlineStr">
        <is>
          <t>primary_done</t>
        </is>
      </c>
      <c r="G17" s="24">
        <f>IFERROR(IF(LEN(TRIM(CLEAN(SUBSTITUTE(Setup!$B$2,CHAR(160)," "))))=0,"CHECK REVIEWER ID",IF(OR(A17="",COUNTIF($A$2:$A$20,A17)&lt;&gt;1,LEFT(A17,LEN("2024::jama.2024.0572::"))&lt;&gt;"2024::jama.2024.0572::"),"CHECK KEY",IF(OR(AND(NOT(AND(D17="retain",E17="statistical_results")),H17&lt;&gt;"",NOT(EXACT(H17,"not_applicable"))),AND(NOT(AND(D17="retain",E17="statistical_results")),I17&lt;&gt;"",NOT(EXACT(I17,"not_applicable"))),AND(NOT(AND(D17="retain",E17="statistical_results")),J17&lt;&gt;"",NOT(EXACT(J17,"not_applicable"))),AND(NOT(AND(D17="retain",OR(E17="report_internal_inconsistency",E17="plan_material"))),K17&lt;&gt;"",NOT(EXACT(K17,"not_applicable"))),AND(NOT(AND(D17="retain",E17="protocol_report")),L17&lt;&gt;"",NOT(EXACT(L17,"not_applicable")))),"CLEAR INACTIVE VALUES",IF(OR(NOT(OR(EXACT(D17,"retain"),EXACT(D17,"exclude"),EXACT(D17,"discuss"))),NOT(OR(EXACT(E17,"statistical_results"),EXACT(E17,"report_internal_inconsistency"),EXACT(E17,"plan_material"),EXACT(E17,"protocol_report"))),AND(AND(D17="retain",E17="statistical_results"),NOT(OR(EXACT(H17,"confirmed_issue"),EXACT(H17,"probable_issue"),EXACT(H17,"not_issue"),EXACT(H17,"indeterminate")))),AND(AND(D17="retain",E17="statistical_results"),NOT(OR(EXACT(I17,"substantive"),EXACT(I17,"minor_presentation"),EXACT(I17,"indeterminate")))),AND(AND(D17="retain",E17="statistical_results"),J17&lt;&gt;"",NOT(OR(EXACT(J17,"direct"),EXACT(J17,"possible"),EXACT(J17,"unlikely"),EXACT(J17,"unknown")))),AND(AND(D17="retain",OR(E17="report_internal_inconsistency",E17="plan_material")),NOT(OR(EXACT(K17,"substantive_inconsistency"),EXACT(K17,"minor_presentation"),EXACT(K17,"non_inconsistency"),EXACT(K17,"indeterminate")))),AND(AND(D17="retain",E17="protocol_report"),L17&lt;&gt;"",NOT(OR(EXACT(L17,"substantive_difference"),EXACT(L17,"minor_presentation"),EXACT(L17,"version_timing"),EXACT(L17,"non_inconsistency"),EXACT(L17,"indeterminate"))))),"CHECK FIELDS",IF(AND(F17&lt;&gt;"",NOT(OR(EXACT(F17,"no"),EXACT(F17,"primary_done")))),"CHECK COMPLETE",IF(EXACT(F17,"primary_done"),"PRIMARY READY","PRIMARY DRAFT")))))),"CHECK INPUT / KEY")</f>
        <v/>
      </c>
      <c r="H17" s="21">
        <f>IF(AND(OR(D17="retain",D17=""),E17="statistical_results"),"","not_applicable")</f>
        <v/>
      </c>
      <c r="I17" s="21">
        <f>IF(AND(OR(D17="retain",D17=""),E17="statistical_results"),"","not_applicable")</f>
        <v/>
      </c>
      <c r="J17" s="22">
        <f>IF(AND(OR(D17="retain",D17=""),E17="statistical_results"),"","not_applicable")</f>
        <v/>
      </c>
      <c r="K17" s="21">
        <f>IF(AND(OR(D17="retain",D17=""),OR(E17="report_internal_inconsistency",E17="plan_material")),"","not_applicable")</f>
        <v/>
      </c>
      <c r="L17" s="22" t="inlineStr">
        <is>
          <t>substantive_difference</t>
        </is>
      </c>
      <c r="M17" s="24" t="n"/>
      <c r="N17" s="23" t="n"/>
      <c r="O17" s="23" t="n"/>
      <c r="P17" s="23" t="n"/>
      <c r="Q17" s="23" t="n"/>
      <c r="R17" s="22" t="inlineStr">
        <is>
          <t>Analysis SAP 5.3.3 (supp4 p6) plans stratification by mismatch volume thresholds of 50 and 100 mL with the 5.2 outcome analyses. Searched main and supp5 (eFig 7-13, 20; eTables 7-10): only the 1.2/10 and 1.8/15 ratio-volume profiles and continuous mismatch volume (eFig 17) are reported. The planned 50/100-mL strata are not reported.</t>
        </is>
      </c>
    </row>
    <row r="18" ht="92" customHeight="1" s="25">
      <c r="A18" s="20" t="inlineStr">
        <is>
          <t>2024::jama.2024.0572::C017</t>
        </is>
      </c>
      <c r="B18" s="20" t="inlineStr">
        <is>
          <t>Adverse-outcome forest favors labels reverse its printed contrast</t>
        </is>
      </c>
      <c r="C18" s="20" t="inlineStr">
        <is>
          <t>REPORT joi240006supp5_prod_1708623115.01733.pdf — results supplement — PDF p.19, eFigure13 title, contrast, axis labels and all 16 rows; REPORT joi240006supp5_prod_1708623115.01733.pdf — results supplement — PDF p.15, eFigure9 direction convention and jama_sarraj_2024_oi_240006_1708623114.96234.pdf — main article — PDF p.3, mRS 5–6 definition corroborate only.</t>
        </is>
      </c>
      <c r="D18" s="21" t="inlineStr">
        <is>
          <t>retain</t>
        </is>
      </c>
      <c r="E18" s="21" t="inlineStr">
        <is>
          <t>statistical_results</t>
        </is>
      </c>
      <c r="F18" s="21" t="inlineStr">
        <is>
          <t>primary_done</t>
        </is>
      </c>
      <c r="G18" s="20">
        <f>IFERROR(IF(LEN(TRIM(CLEAN(SUBSTITUTE(Setup!$B$2,CHAR(160)," "))))=0,"CHECK REVIEWER ID",IF(OR(A18="",COUNTIF($A$2:$A$20,A18)&lt;&gt;1,LEFT(A18,LEN("2024::jama.2024.0572::"))&lt;&gt;"2024::jama.2024.0572::"),"CHECK KEY",IF(OR(AND(NOT(AND(D18="retain",E18="statistical_results")),H18&lt;&gt;"",NOT(EXACT(H18,"not_applicable"))),AND(NOT(AND(D18="retain",E18="statistical_results")),I18&lt;&gt;"",NOT(EXACT(I18,"not_applicable"))),AND(NOT(AND(D18="retain",E18="statistical_results")),J18&lt;&gt;"",NOT(EXACT(J18,"not_applicable"))),AND(NOT(AND(D18="retain",OR(E18="report_internal_inconsistency",E18="plan_material"))),K18&lt;&gt;"",NOT(EXACT(K18,"not_applicable"))),AND(NOT(AND(D18="retain",E18="protocol_report")),L18&lt;&gt;"",NOT(EXACT(L18,"not_applicable")))),"CLEAR INACTIVE VALUES",IF(OR(NOT(OR(EXACT(D18,"retain"),EXACT(D18,"exclude"),EXACT(D18,"discuss"))),NOT(OR(EXACT(E18,"statistical_results"),EXACT(E18,"report_internal_inconsistency"),EXACT(E18,"plan_material"),EXACT(E18,"protocol_report"))),AND(AND(D18="retain",E18="statistical_results"),NOT(OR(EXACT(H18,"confirmed_issue"),EXACT(H18,"probable_issue"),EXACT(H18,"not_issue"),EXACT(H18,"indeterminate")))),AND(AND(D18="retain",E18="statistical_results"),NOT(OR(EXACT(I18,"substantive"),EXACT(I18,"minor_presentation"),EXACT(I18,"indeterminate")))),AND(AND(D18="retain",E18="statistical_results"),J18&lt;&gt;"",NOT(OR(EXACT(J18,"direct"),EXACT(J18,"possible"),EXACT(J18,"unlikely"),EXACT(J18,"unknown")))),AND(AND(D18="retain",OR(E18="report_internal_inconsistency",E18="plan_material")),NOT(OR(EXACT(K18,"substantive_inconsistency"),EXACT(K18,"minor_presentation"),EXACT(K18,"non_inconsistency"),EXACT(K18,"indeterminate")))),AND(AND(D18="retain",E18="protocol_report"),L18&lt;&gt;"",NOT(OR(EXACT(L18,"substantive_difference"),EXACT(L18,"minor_presentation"),EXACT(L18,"version_timing"),EXACT(L18,"non_inconsistency"),EXACT(L18,"indeterminate"))))),"CHECK FIELDS",IF(AND(F18&lt;&gt;"",NOT(OR(EXACT(F18,"no"),EXACT(F18,"primary_done")))),"CHECK COMPLETE",IF(EXACT(F18,"primary_done"),"PRIMARY READY","PRIMARY DRAFT")))))),"CHECK INPUT / KEY")</f>
        <v/>
      </c>
      <c r="H18" s="21" t="inlineStr">
        <is>
          <t>confirmed_issue</t>
        </is>
      </c>
      <c r="I18" s="21" t="inlineStr">
        <is>
          <t>minor_presentation</t>
        </is>
      </c>
      <c r="J18" s="22" t="inlineStr">
        <is>
          <t>unlikely</t>
        </is>
      </c>
      <c r="K18" s="21">
        <f>IF(AND(OR(D18="retain",D18=""),OR(E18="report_internal_inconsistency",E18="plan_material")),"","not_applicable")</f>
        <v/>
      </c>
      <c r="L18" s="22">
        <f>IF(AND(OR(D18="retain",D18=""),E18="protocol_report"),"","not_applicable")</f>
        <v/>
      </c>
      <c r="M18" s="20" t="n"/>
      <c r="N18" s="23" t="n"/>
      <c r="O18" s="23" t="n"/>
      <c r="P18" s="23" t="n"/>
      <c r="Q18" s="23" t="n"/>
      <c r="R18" s="22" t="inlineStr">
        <is>
          <t>eFigure 13 (supp5 p19, rendered): outcome is mRS 5-6 (adverse), RR = EVT vs MM, all 16 RRs &lt; 1 (0.55-0.87), yet the axis labels the side below 1 'Favours Medical Management'. For an adverse outcome RR &lt; 1 favors thrombectomy. Labels reversed; counts and RRs are clear.</t>
        </is>
      </c>
    </row>
    <row r="19" ht="92" customHeight="1" s="25">
      <c r="A19" s="24" t="inlineStr">
        <is>
          <t>2024::jama.2024.0572::C018</t>
        </is>
      </c>
      <c r="B19" s="24" t="inlineStr">
        <is>
          <t>Discordant-profile counts exceed disjoint totals and change arm attribution</t>
        </is>
      </c>
      <c r="C19" s="24" t="inlineStr">
        <is>
          <t>REPORT joi240006supp5_prod_1708623115.01733.pdf — results supplement — PDF p.45, eTable8 independence, joi240006supp5_prod_1708623115.01733.pdf — p.46, eTable8 ambulation/adverse outcomes, joi240006supp5_prod_1708623115.01733.pdf — p.47, eTable9 favorable outcomes, joi240006supp5_prod_1708623115.01733.pdf — p.48, eTable9 adverse outcomes, joi240006supp5_prod_1708623115.01733.pdf — p.49, eTable10 favorable outcomes, joi240006supp5_prod_1708623115.01733.pdf — p.50, eTable10 adverse outcomes, joi240006supp5_prod_1708623115.01733.pdf — p.31, eFigure20x profile heading, and joi240006supp5_prod_1708623115.01733.pdf — p.32, eFigure20x distribution.</t>
        </is>
      </c>
      <c r="D19" s="21" t="inlineStr">
        <is>
          <t>retain</t>
        </is>
      </c>
      <c r="E19" s="21" t="inlineStr">
        <is>
          <t>statistical_results</t>
        </is>
      </c>
      <c r="F19" s="21" t="inlineStr">
        <is>
          <t>primary_done</t>
        </is>
      </c>
      <c r="G19" s="24">
        <f>IFERROR(IF(LEN(TRIM(CLEAN(SUBSTITUTE(Setup!$B$2,CHAR(160)," "))))=0,"CHECK REVIEWER ID",IF(OR(A19="",COUNTIF($A$2:$A$20,A19)&lt;&gt;1,LEFT(A19,LEN("2024::jama.2024.0572::"))&lt;&gt;"2024::jama.2024.0572::"),"CHECK KEY",IF(OR(AND(NOT(AND(D19="retain",E19="statistical_results")),H19&lt;&gt;"",NOT(EXACT(H19,"not_applicable"))),AND(NOT(AND(D19="retain",E19="statistical_results")),I19&lt;&gt;"",NOT(EXACT(I19,"not_applicable"))),AND(NOT(AND(D19="retain",E19="statistical_results")),J19&lt;&gt;"",NOT(EXACT(J19,"not_applicable"))),AND(NOT(AND(D19="retain",OR(E19="report_internal_inconsistency",E19="plan_material"))),K19&lt;&gt;"",NOT(EXACT(K19,"not_applicable"))),AND(NOT(AND(D19="retain",E19="protocol_report")),L19&lt;&gt;"",NOT(EXACT(L19,"not_applicable")))),"CLEAR INACTIVE VALUES",IF(OR(NOT(OR(EXACT(D19,"retain"),EXACT(D19,"exclude"),EXACT(D19,"discuss"))),NOT(OR(EXACT(E19,"statistical_results"),EXACT(E19,"report_internal_inconsistency"),EXACT(E19,"plan_material"),EXACT(E19,"protocol_report"))),AND(AND(D19="retain",E19="statistical_results"),NOT(OR(EXACT(H19,"confirmed_issue"),EXACT(H19,"probable_issue"),EXACT(H19,"not_issue"),EXACT(H19,"indeterminate")))),AND(AND(D19="retain",E19="statistical_results"),NOT(OR(EXACT(I19,"substantive"),EXACT(I19,"minor_presentation"),EXACT(I19,"indeterminate")))),AND(AND(D19="retain",E19="statistical_results"),J19&lt;&gt;"",NOT(OR(EXACT(J19,"direct"),EXACT(J19,"possible"),EXACT(J19,"unlikely"),EXACT(J19,"unknown")))),AND(AND(D19="retain",OR(E19="report_internal_inconsistency",E19="plan_material")),NOT(OR(EXACT(K19,"substantive_inconsistency"),EXACT(K19,"minor_presentation"),EXACT(K19,"non_inconsistency"),EXACT(K19,"indeterminate")))),AND(AND(D19="retain",E19="protocol_report"),L19&lt;&gt;"",NOT(OR(EXACT(L19,"substantive_difference"),EXACT(L19,"minor_presentation"),EXACT(L19,"version_timing"),EXACT(L19,"non_inconsistency"),EXACT(L19,"indeterminate"))))),"CHECK FIELDS",IF(AND(F19&lt;&gt;"",NOT(OR(EXACT(F19,"no"),EXACT(F19,"primary_done")))),"CHECK COMPLETE",IF(EXACT(F19,"primary_done"),"PRIMARY READY","PRIMARY DRAFT")))))),"CHECK INPUT / KEY")</f>
        <v/>
      </c>
      <c r="H19" s="21" t="inlineStr">
        <is>
          <t>confirmed_issue</t>
        </is>
      </c>
      <c r="I19" s="21" t="inlineStr">
        <is>
          <t>substantive</t>
        </is>
      </c>
      <c r="J19" s="22" t="inlineStr">
        <is>
          <t>direct</t>
        </is>
      </c>
      <c r="K19" s="21">
        <f>IF(AND(OR(D19="retain",D19=""),OR(E19="report_internal_inconsistency",E19="plan_material")),"","not_applicable")</f>
        <v/>
      </c>
      <c r="L19" s="22">
        <f>IF(AND(OR(D19="retain",D19=""),E19="protocol_report"),"","not_applicable")</f>
        <v/>
      </c>
      <c r="M19" s="24" t="n"/>
      <c r="N19" s="23" t="n"/>
      <c r="O19" s="23" t="n"/>
      <c r="P19" s="23" t="n"/>
      <c r="Q19" s="23" t="n"/>
      <c r="R19" s="22" t="inlineStr">
        <is>
          <t>Discordant profile 2 (ASPECTS 6-10, core &gt;=70 mL): eTable 9 (supp5 p47-48) gives MM mRS 0-3 3/11 and mRS 5-6 10/11 (sum 13 &gt; 11) with MM median 6 (6-6); eTable 10 gives MM 4/12 and 11/12 (15 &gt; 12), and 2/12 + 11/12 = 13 &gt; 12. eTable 8 instead gives EVT 1/12 and 3/12 favorable and MM 0/11, i.e., favorable counts sit in the opposite arm in eTable 9.</t>
        </is>
      </c>
    </row>
    <row r="20" ht="92" customHeight="1" s="25">
      <c r="A20" s="20" t="inlineStr">
        <is>
          <t>2024::jama.2024.0572::C019</t>
        </is>
      </c>
      <c r="B20" s="20" t="inlineStr">
        <is>
          <t>Final overall efficacy failure has competing rescue and terminal branches</t>
        </is>
      </c>
      <c r="C20" s="20" t="inlineStr">
        <is>
          <t>Principal PLAN comparison: joi240006supp2_prod_1708623114.99233.pdf — protocol — PDF p.48, final scenario 1 items 2/2.1/2.2 versus joi240006supp3_prod_1708623114.99733.pdf — trial SAP — PDF p.10, final paragraph and conclusions. PLAN context: joi240006supp2_prod_1708623114.99233.pdf — protocol p.1, August 4, 2021 date, joi240006supp2_prod_1708623114.99233.pdf — p.45, primary analysis/selection, joi240006supp2_prod_1708623114.99233.pdf — p.46, schedule/bounds, joi240006supp2_prod_1708623114.99233.pdf — p.47, enrollment scenarios, joi240006supp2_prod_1708623114.99233.pdf — p.49, simulation context, joi240006supp2_prod_1708623114.99233.pdf — p.81, final appendix rule; joi240006supp3_prod_1708623114.99733.pdf — trial SAP p.2, November 20, 2022 v1.0.0 approval, joi240006supp3_prod_1708623114.99733.pdf — p.9, retained final-selection language, joi240006supp3_prod_1708623114.99733.pdf — p.12, early-stop chronology, joi240006supp3_prod_1708623114.99733.pdf — p.40, final appendix threshold.</t>
        </is>
      </c>
      <c r="D20" s="21" t="inlineStr">
        <is>
          <t>exclude</t>
        </is>
      </c>
      <c r="E20" s="21" t="inlineStr">
        <is>
          <t>plan_material</t>
        </is>
      </c>
      <c r="F20" s="21" t="inlineStr">
        <is>
          <t>primary_done</t>
        </is>
      </c>
      <c r="G20" s="20">
        <f>IFERROR(IF(LEN(TRIM(CLEAN(SUBSTITUTE(Setup!$B$2,CHAR(160)," "))))=0,"CHECK REVIEWER ID",IF(OR(A20="",COUNTIF($A$2:$A$20,A20)&lt;&gt;1,LEFT(A20,LEN("2024::jama.2024.0572::"))&lt;&gt;"2024::jama.2024.0572::"),"CHECK KEY",IF(OR(AND(NOT(AND(D20="retain",E20="statistical_results")),H20&lt;&gt;"",NOT(EXACT(H20,"not_applicable"))),AND(NOT(AND(D20="retain",E20="statistical_results")),I20&lt;&gt;"",NOT(EXACT(I20,"not_applicable"))),AND(NOT(AND(D20="retain",E20="statistical_results")),J20&lt;&gt;"",NOT(EXACT(J20,"not_applicable"))),AND(NOT(AND(D20="retain",OR(E20="report_internal_inconsistency",E20="plan_material"))),K20&lt;&gt;"",NOT(EXACT(K20,"not_applicable"))),AND(NOT(AND(D20="retain",E20="protocol_report")),L20&lt;&gt;"",NOT(EXACT(L20,"not_applicable")))),"CLEAR INACTIVE VALUES",IF(OR(NOT(OR(EXACT(D20,"retain"),EXACT(D20,"exclude"),EXACT(D20,"discuss"))),NOT(OR(EXACT(E20,"statistical_results"),EXACT(E20,"report_internal_inconsistency"),EXACT(E20,"plan_material"),EXACT(E20,"protocol_report"))),AND(AND(D20="retain",E20="statistical_results"),NOT(OR(EXACT(H20,"confirmed_issue"),EXACT(H20,"probable_issue"),EXACT(H20,"not_issue"),EXACT(H20,"indeterminate")))),AND(AND(D20="retain",E20="statistical_results"),NOT(OR(EXACT(I20,"substantive"),EXACT(I20,"minor_presentation"),EXACT(I20,"indeterminate")))),AND(AND(D20="retain",E20="statistical_results"),J20&lt;&gt;"",NOT(OR(EXACT(J20,"direct"),EXACT(J20,"possible"),EXACT(J20,"unlikely"),EXACT(J20,"unknown")))),AND(AND(D20="retain",OR(E20="report_internal_inconsistency",E20="plan_material")),NOT(OR(EXACT(K20,"substantive_inconsistency"),EXACT(K20,"minor_presentation"),EXACT(K20,"non_inconsistency"),EXACT(K20,"indeterminate")))),AND(AND(D20="retain",E20="protocol_report"),L20&lt;&gt;"",NOT(OR(EXACT(L20,"substantive_difference"),EXACT(L20,"minor_presentation"),EXACT(L20,"version_timing"),EXACT(L20,"non_inconsistency"),EXACT(L20,"indeterminate"))))),"CHECK FIELDS",IF(AND(F20&lt;&gt;"",NOT(OR(EXACT(F20,"no"),EXACT(F20,"primary_done")))),"CHECK COMPLETE",IF(EXACT(F20,"primary_done"),"PRIMARY READY","PRIMARY DRAFT")))))),"CHECK INPUT / KEY")</f>
        <v/>
      </c>
      <c r="H20" s="21">
        <f>IF(AND(OR(D20="retain",D20=""),E20="statistical_results"),"","not_applicable")</f>
        <v/>
      </c>
      <c r="I20" s="21">
        <f>IF(AND(OR(D20="retain",D20=""),E20="statistical_results"),"","not_applicable")</f>
        <v/>
      </c>
      <c r="J20" s="22">
        <f>IF(AND(OR(D20="retain",D20=""),E20="statistical_results"),"","not_applicable")</f>
        <v/>
      </c>
      <c r="K20" s="21">
        <f>IF(AND(OR(D20="retain",D20=""),OR(E20="report_internal_inconsistency",E20="plan_material")),"","not_applicable")</f>
        <v/>
      </c>
      <c r="L20" s="22">
        <f>IF(AND(OR(D20="retain",D20=""),E20="protocol_report"),"","not_applicable")</f>
        <v/>
      </c>
      <c r="M20" s="20" t="n"/>
      <c r="N20" s="23" t="n"/>
      <c r="O20" s="23" t="n"/>
      <c r="P20" s="23" t="n"/>
      <c r="Q20" s="23" t="n"/>
      <c r="R20" s="22" t="inlineStr">
        <is>
          <t>Protocol (Aug 2021) p48 permits subgroup selection and testing after failure of the final overall efficacy test; trial SAP v1.0.0 (Nov 2022; OCR p10) declares no superiority on final failure without that branch. A real version difference, but it concerns a final-analysis branch of the parent trial that was never executed (trial stopped at 300) and on which this exploratory analysis does not rely.</t>
        </is>
      </c>
    </row>
  </sheetData>
  <autoFilter ref="A1:R20"/>
  <conditionalFormatting sqref="H2:H20">
    <cfRule type="expression" priority="8" dxfId="70">
      <formula>NOT(AND(OR($D2="retain",$D2=""),$E2="statistical_results"))</formula>
    </cfRule>
  </conditionalFormatting>
  <conditionalFormatting sqref="I2:I20">
    <cfRule type="expression" priority="9" dxfId="70">
      <formula>NOT(AND(OR($D2="retain",$D2=""),$E2="statistical_results"))</formula>
    </cfRule>
  </conditionalFormatting>
  <conditionalFormatting sqref="J2:J20">
    <cfRule type="expression" priority="10" dxfId="70">
      <formula>NOT(AND(OR($D2="retain",$D2=""),$E2="statistical_results"))</formula>
    </cfRule>
  </conditionalFormatting>
  <conditionalFormatting sqref="K2:K20">
    <cfRule type="expression" priority="11" dxfId="70">
      <formula>NOT(AND(OR($D2="retain",$D2=""),OR($E2="report_internal_inconsistency",$E2="plan_material")))</formula>
    </cfRule>
  </conditionalFormatting>
  <conditionalFormatting sqref="L2:L20">
    <cfRule type="expression" priority="12" dxfId="70">
      <formula>NOT(AND(OR($D2="retain",$D2=""),$E2="protocol_report"))</formula>
    </cfRule>
  </conditionalFormatting>
  <conditionalFormatting sqref="G2:G20">
    <cfRule type="expression" priority="13" dxfId="71">
      <formula>G2&lt;&gt;"PRIMARY READY"</formula>
    </cfRule>
  </conditionalFormatting>
  <dataValidations count="8">
    <dataValidation sqref="D2:D20" showDropDown="0" showInputMessage="0" showErrorMessage="1" allowBlank="1" errorTitle="Use a listed option" error="Choose an option; G also checks pasted entries." type="list" errorStyle="stop">
      <formula1>"retain,exclude,discuss"</formula1>
    </dataValidation>
    <dataValidation sqref="E2:E20"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20" showDropDown="0" showInputMessage="0" showErrorMessage="1" allowBlank="1" errorTitle="Use a listed option" error="Choose an option; G also checks pasted entries." type="list" errorStyle="stop">
      <formula1>"no,primary_done"</formula1>
    </dataValidation>
    <dataValidation sqref="H2:H20"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20" showDropDown="0" showInputMessage="0" showErrorMessage="1" allowBlank="1" errorTitle="Use a listed option" error="Choose an option; G also checks pasted entries." type="list" errorStyle="stop">
      <formula1>"substantive,minor_presentation,indeterminate,not_applicable"</formula1>
    </dataValidation>
    <dataValidation sqref="J2:J20" showDropDown="0" showInputMessage="0" showErrorMessage="1" allowBlank="1" errorTitle="Use a listed option" error="Choose an option; G also checks pasted entries." type="list" errorStyle="stop">
      <formula1>"direct,possible,unlikely,unknown,not_applicable"</formula1>
    </dataValidation>
    <dataValidation sqref="K2:K20"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20"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R6"/>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2024::jama.2024.11057::C001</t>
        </is>
      </c>
      <c r="B2" s="20" t="inlineStr">
        <is>
          <t>Primary estimate attribution to planned baseline adjustment</t>
        </is>
      </c>
      <c r="C2" s="20" t="inlineStr">
        <is>
          <t>PLAN joi240078supp1_prod_1739900423.22574.pdf — p. 5, Primary Analysis; REPORT jama_graham_2024_oi_240078_1739900423.19074.pdf — p. 1, abstract, jama_graham_2024_oi_240078_1739900423.19074.pdf — p. 4, Statistical Methods, jama_graham_2024_oi_240078_1739900423.19074.pdf — p. 5, Vaping Cessation, and jama_graham_2024_oi_240078_1739900423.19074.pdf — p. 6, Table 2; REPORT joi240078supp2_prod_1739900423.24574.pdf — p. 14, eTable 5, Missing=Vaping; Amendment context: PLAN joi240078supp1_prod_1739900423.22574.pdf — p. 15</t>
        </is>
      </c>
      <c r="D2" s="21" t="inlineStr">
        <is>
          <t>retain</t>
        </is>
      </c>
      <c r="E2" s="21" t="inlineStr">
        <is>
          <t>protocol_report</t>
        </is>
      </c>
      <c r="F2" s="21" t="inlineStr">
        <is>
          <t>primary_done</t>
        </is>
      </c>
      <c r="G2" s="20">
        <f>IFERROR(IF(LEN(TRIM(CLEAN(SUBSTITUTE(Setup!$B$2,CHAR(160)," "))))=0,"CHECK REVIEWER ID",IF(OR(A2="",COUNTIF($A$2:$A$6,A2)&lt;&gt;1,LEFT(A2,LEN("2024::jama.2024.11057::"))&lt;&gt;"2024::jama.2024.11057::"),"CHECK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t="inlineStr">
        <is>
          <t>Protocol (supp1 p5, Primary Analysis): 'All estimates will be adjusted for baseline confounders.' Report (main p4) uses ordinary logistic regression with no covariates named; printed primary RR 1.35 and OR 1.57 equal the crude values (287/759)/(208/744) = 1.353 and (287*536)/(472*208) = 1.567. The primary estimate is unadjusted; not described as a change (amendment list p15 is silent).</t>
        </is>
      </c>
    </row>
    <row r="3" ht="92" customHeight="1" s="25">
      <c r="A3" s="24" t="inlineStr">
        <is>
          <t>2024::jama.2024.11057::C002</t>
        </is>
      </c>
      <c r="B3" s="24" t="inlineStr">
        <is>
          <t>Retention test population and waitlist exclusion</t>
        </is>
      </c>
      <c r="C3" s="24" t="inlineStr">
        <is>
          <t>REPORT jama_graham_2024_oi_240078_1739900423.19074.pdf — p. 2, waitlist discussion, jama_graham_2024_oi_240078_1739900423.19074.pdf — p. 4, first Results retention paragraph, and jama_graham_2024_oi_240078_1739900423.19074.pdf — p. 6, corroborating participant-flow figure.</t>
        </is>
      </c>
      <c r="D3" s="21" t="inlineStr">
        <is>
          <t>retain</t>
        </is>
      </c>
      <c r="E3" s="21" t="inlineStr">
        <is>
          <t>statistical_results</t>
        </is>
      </c>
      <c r="F3" s="21" t="inlineStr">
        <is>
          <t>primary_done</t>
        </is>
      </c>
      <c r="G3" s="24">
        <f>IFERROR(IF(LEN(TRIM(CLEAN(SUBSTITUTE(Setup!$B$2,CHAR(160)," "))))=0,"CHECK REVIEWER ID",IF(OR(A3="",COUNTIF($A$2:$A$6,A3)&lt;&gt;1,LEFT(A3,LEN("2024::jama.2024.11057::"))&lt;&gt;"2024::jama.2024.11057::"),"CHECK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t="inlineStr">
        <is>
          <t>confirmed_issue</t>
        </is>
      </c>
      <c r="I3" s="21" t="inlineStr">
        <is>
          <t>minor_presentation</t>
        </is>
      </c>
      <c r="J3" s="22" t="inlineStr">
        <is>
          <t>unlikely</t>
        </is>
      </c>
      <c r="K3" s="21">
        <f>IF(AND(OR(D3="retain",D3=""),OR(E3="report_internal_inconsistency",E3="plan_material")),"","not_applicable")</f>
        <v/>
      </c>
      <c r="L3" s="22">
        <f>IF(AND(OR(D3="retain",D3=""),E3="protocol_report"),"","not_applicable")</f>
        <v/>
      </c>
      <c r="M3" s="24" t="n"/>
      <c r="N3" s="23" t="n"/>
      <c r="O3" s="23" t="n"/>
      <c r="P3" s="23" t="n"/>
      <c r="Q3" s="23" t="n"/>
      <c r="R3" s="22" t="inlineStr">
        <is>
          <t>Main p2 says the waitlist group was not included in tests of statistical significance, but the retention P values on p4 (P=.02 at 1 month, P=.11 at 7 months) reproduce only as 3-group tests including waitlist (chi-square P = .017 and .115). Two-group tests (intervention vs assessment-only) give P = .007 and .064. Conclusions about retention are unchanged.</t>
        </is>
      </c>
    </row>
    <row r="4" ht="92" customHeight="1" s="25">
      <c r="A4" s="20" t="inlineStr">
        <is>
          <t>2024::jama.2024.11057::C003</t>
        </is>
      </c>
      <c r="B4" s="20" t="inlineStr">
        <is>
          <t>Prequit intervention duration across supplied documents</t>
        </is>
      </c>
      <c r="C4" s="20" t="inlineStr">
        <is>
          <t>REPORT jama_graham_2024_oi_240078_1739900423.19074.pdf — p. 3, intervention description; PLAN joi240078supp1_prod_1739900423.22574.pdf — p. 2, program description and joi240078supp1_prod_1739900423.22574.pdf — p. 4, trial intervention assignment; REPORT joi240078supp2_prod_1739900423.24574.pdf — p. 2, eAppendix A; Amendment context: PLAN joi240078supp1_prod_1739900423.22574.pdf — p. 15</t>
        </is>
      </c>
      <c r="D4" s="21" t="inlineStr">
        <is>
          <t>retain</t>
        </is>
      </c>
      <c r="E4" s="21" t="inlineStr">
        <is>
          <t>report_internal_inconsistency</t>
        </is>
      </c>
      <c r="F4" s="21" t="inlineStr">
        <is>
          <t>primary_done</t>
        </is>
      </c>
      <c r="G4" s="20">
        <f>IFERROR(IF(LEN(TRIM(CLEAN(SUBSTITUTE(Setup!$B$2,CHAR(160)," "))))=0,"CHECK REVIEWER ID",IF(OR(A4="",COUNTIF($A$2:$A$6,A4)&lt;&gt;1,LEFT(A4,LEN("2024::jama.2024.11057::"))&lt;&gt;"2024::jama.2024.11057::"),"CHECK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t="inlineStr">
        <is>
          <t>substantive_inconsistency</t>
        </is>
      </c>
      <c r="L4" s="22">
        <f>IF(AND(OR(D4="retain",D4=""),E4="protocol_report"),"","not_applicable")</f>
        <v/>
      </c>
      <c r="M4" s="20" t="n"/>
      <c r="N4" s="23" t="n"/>
      <c r="O4" s="23" t="n"/>
      <c r="P4" s="23" t="n"/>
      <c r="Q4" s="23" t="n"/>
      <c r="R4" s="22" t="inlineStr">
        <is>
          <t>E changed from protocol_report: main p3 says quit-date users receive messages '6 weeks before and 8 weeks after' the quit date, while the results supplement eAppendix A (supp2 p2) says '1 week preceding their quit date and 8 weeks afterward'; the protocol (supp1 p2) also says one week and only corroborates the supplement. The conflict is within the report; the prequit intervention duration cannot be determined.</t>
        </is>
      </c>
    </row>
    <row r="5" ht="92" customHeight="1" s="25">
      <c r="A5" s="24" t="inlineStr">
        <is>
          <t>2024::jama.2024.11057::C004</t>
        </is>
      </c>
      <c r="B5" s="24" t="inlineStr">
        <is>
          <t>Planned moderator selection and reported testing family</t>
        </is>
      </c>
      <c r="C5" s="24" t="inlineStr">
        <is>
          <t>PLAN joi240078supp1_prod_1739900423.22574.pdf — p. 5, Primary Analysis and joi240078supp1_prod_1739900423.22574.pdf — p. 6, opening continuation; REPORT jama_graham_2024_oi_240078_1739900423.19074.pdf — p. 4, Statistical Methods and jama_graham_2024_oi_240078_1739900423.19074.pdf — p. 5, Moderator Results; REPORT joi240078supp2_prod_1739900423.24574.pdf — p. 6, eAppendix D and joi240078supp2_prod_1739900423.24574.pdf — p. 15, eTable 6; Amendment context: PLAN joi240078supp1_prod_1739900423.22574.pdf — p. 15</t>
        </is>
      </c>
      <c r="D5" s="21" t="inlineStr">
        <is>
          <t>retain</t>
        </is>
      </c>
      <c r="E5" s="21" t="inlineStr">
        <is>
          <t>protocol_report</t>
        </is>
      </c>
      <c r="F5" s="21" t="inlineStr">
        <is>
          <t>primary_done</t>
        </is>
      </c>
      <c r="G5" s="24">
        <f>IFERROR(IF(LEN(TRIM(CLEAN(SUBSTITUTE(Setup!$B$2,CHAR(160)," "))))=0,"CHECK REVIEWER ID",IF(OR(A5="",COUNTIF($A$2:$A$6,A5)&lt;&gt;1,LEFT(A5,LEN("2024::jama.2024.11057::"))&lt;&gt;"2024::jama.2024.11057::"),"CHECK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t="inlineStr">
        <is>
          <t>Protocol (supp1 p5-6) plans to identify selected potential moderators and test treatment x moderator interactions only for those associated with the primary outcome; no multiplicity rule stated. Report (main p4-5; supp2 eAppendix D p6, eTable 6 p15) tests all 25 Table 1 characteristics one at a time with Holm adjustment. The 'no moderators' conclusion depends on the Holm step: nominal P = .010, .024, .026, .033 for four moderators.</t>
        </is>
      </c>
    </row>
    <row r="6" ht="92" customHeight="1" s="25">
      <c r="A6" s="20" t="inlineStr">
        <is>
          <t>2024::jama.2024.11057::C005</t>
        </is>
      </c>
      <c r="B6" s="20" t="inlineStr">
        <is>
          <t>Weighted odds-ratio upper confidence limit in eTable 5</t>
        </is>
      </c>
      <c r="C6" s="20" t="inlineStr">
        <is>
          <t>REPORT joi240078supp2_prod_1739900423.24574.pdf — p. 14, eTable 5, 30-day IPRW OR cell and all five comparator OR cells; method context in REPORT joi240078supp2_prod_1739900423.24574.pdf — the same PDF — p. 5, eAppendix C.</t>
        </is>
      </c>
      <c r="D6" s="21" t="inlineStr">
        <is>
          <t>retain</t>
        </is>
      </c>
      <c r="E6" s="21" t="inlineStr">
        <is>
          <t>statistical_results</t>
        </is>
      </c>
      <c r="F6" s="21" t="inlineStr">
        <is>
          <t>primary_done</t>
        </is>
      </c>
      <c r="G6" s="20">
        <f>IFERROR(IF(LEN(TRIM(CLEAN(SUBSTITUTE(Setup!$B$2,CHAR(160)," "))))=0,"CHECK REVIEWER ID",IF(OR(A6="",COUNTIF($A$2:$A$6,A6)&lt;&gt;1,LEFT(A6,LEN("2024::jama.2024.11057::"))&lt;&gt;"2024::jama.2024.11057::"),"CHECK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t="inlineStr">
        <is>
          <t>confirmed_issue</t>
        </is>
      </c>
      <c r="I6" s="21" t="inlineStr">
        <is>
          <t>minor_presentation</t>
        </is>
      </c>
      <c r="J6" s="22" t="inlineStr">
        <is>
          <t>unlikely</t>
        </is>
      </c>
      <c r="K6" s="21">
        <f>IF(AND(OR(D6="retain",D6=""),OR(E6="report_internal_inconsistency",E6="plan_material")),"","not_applicable")</f>
        <v/>
      </c>
      <c r="L6" s="22">
        <f>IF(AND(OR(D6="retain",D6=""),E6="protocol_report"),"","not_applicable")</f>
        <v/>
      </c>
      <c r="M6" s="20" t="n"/>
      <c r="N6" s="23" t="n"/>
      <c r="O6" s="23" t="n"/>
      <c r="P6" s="23" t="n"/>
      <c r="Q6" s="23" t="n"/>
      <c r="R6" s="22" t="inlineStr">
        <is>
          <t>eTable 5 (supp2 p14) IPRW 30-day OR 1.92 (1.50, 2.24): geometric midpoint of the CI = sqrt(1.50*2.24) = 1.83; the upper limit implied by 1.92 and 1.50 is 1.92^2/1.50 = 2.46. All five other OR rows reproduce (midpoints 1.98, 1.57, 2.65, 2.61, 2.33). The upper limit 2.24 is misprinted; sensitivity analysis only.</t>
        </is>
      </c>
    </row>
  </sheetData>
  <autoFilter ref="A1:R6"/>
  <conditionalFormatting sqref="H2:H6">
    <cfRule type="expression" priority="8" dxfId="70">
      <formula>NOT(AND(OR($D2="retain",$D2=""),$E2="statistical_results"))</formula>
    </cfRule>
  </conditionalFormatting>
  <conditionalFormatting sqref="I2:I6">
    <cfRule type="expression" priority="9" dxfId="70">
      <formula>NOT(AND(OR($D2="retain",$D2=""),$E2="statistical_results"))</formula>
    </cfRule>
  </conditionalFormatting>
  <conditionalFormatting sqref="J2:J6">
    <cfRule type="expression" priority="10" dxfId="70">
      <formula>NOT(AND(OR($D2="retain",$D2=""),$E2="statistical_results"))</formula>
    </cfRule>
  </conditionalFormatting>
  <conditionalFormatting sqref="K2:K6">
    <cfRule type="expression" priority="11" dxfId="70">
      <formula>NOT(AND(OR($D2="retain",$D2=""),OR($E2="report_internal_inconsistency",$E2="plan_material")))</formula>
    </cfRule>
  </conditionalFormatting>
  <conditionalFormatting sqref="L2:L6">
    <cfRule type="expression" priority="12" dxfId="70">
      <formula>NOT(AND(OR($D2="retain",$D2=""),$E2="protocol_report"))</formula>
    </cfRule>
  </conditionalFormatting>
  <conditionalFormatting sqref="G2:G6">
    <cfRule type="expression" priority="13" dxfId="71">
      <formula>G2&lt;&gt;"PRIMARY READY"</formula>
    </cfRule>
  </conditionalFormatting>
  <dataValidations count="8">
    <dataValidation sqref="D2:D6" showDropDown="0" showInputMessage="0" showErrorMessage="1" allowBlank="1" errorTitle="Use a listed option" error="Choose an option; G also checks pasted entries." type="list" errorStyle="stop">
      <formula1>"retain,exclude,discuss"</formula1>
    </dataValidation>
    <dataValidation sqref="E2:E6"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6" showDropDown="0" showInputMessage="0" showErrorMessage="1" allowBlank="1" errorTitle="Use a listed option" error="Choose an option; G also checks pasted entries." type="list" errorStyle="stop">
      <formula1>"no,primary_done"</formula1>
    </dataValidation>
    <dataValidation sqref="H2:H6"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6" showDropDown="0" showInputMessage="0" showErrorMessage="1" allowBlank="1" errorTitle="Use a listed option" error="Choose an option; G also checks pasted entries." type="list" errorStyle="stop">
      <formula1>"substantive,minor_presentation,indeterminate,not_applicable"</formula1>
    </dataValidation>
    <dataValidation sqref="J2:J6" showDropDown="0" showInputMessage="0" showErrorMessage="1" allowBlank="1" errorTitle="Use a listed option" error="Choose an option; G also checks pasted entries." type="list" errorStyle="stop">
      <formula1>"direct,possible,unlikely,unknown,not_applicable"</formula1>
    </dataValidation>
    <dataValidation sqref="K2:K6"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6"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R8"/>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2024::jama.2024.12829::C001</t>
        </is>
      </c>
      <c r="B2" s="20" t="inlineStr">
        <is>
          <t>BMI subgroup partition and prespecification</t>
        </is>
      </c>
      <c r="C2" s="20" t="inlineStr">
        <is>
          <t>REPORT jama_sun_2024_oi_240088_1746815064.14747.pdf — main p4, Statistical Analysis prespecification sentence, jama_sun_2024_oi_240088_1746815064.14747.pdf — p5, subgroup narrative, and jama_sun_2024_oi_240088_1746815064.14747.pdf — p7, Figure 2, both BMI rows and interaction cell; PLAN joi240088supp2_prod_1746815064.36071.pdf — original protocol p41, line 760, joi240088supp2_prod_1746815064.36071.pdf — final protocol p103, line 1779, joi240088supp2_prod_1746815064.36071.pdf — original SAP p140, line 2358, and joi240088supp2_prod_1746815064.36071.pdf — final SAP p160, line 2768. The original-SAP line locator was clarified to 2358 during screening, before stable registration.</t>
        </is>
      </c>
      <c r="D2" s="21" t="inlineStr">
        <is>
          <t>retain</t>
        </is>
      </c>
      <c r="E2" s="21" t="inlineStr">
        <is>
          <t>protocol_report</t>
        </is>
      </c>
      <c r="F2" s="21" t="inlineStr">
        <is>
          <t>primary_done</t>
        </is>
      </c>
      <c r="G2" s="20">
        <f>IFERROR(IF(LEN(TRIM(CLEAN(SUBSTITUTE(Setup!$B$2,CHAR(160)," "))))=0,"CHECK REVIEWER ID",IF(OR(A2="",COUNTIF($A$2:$A$8,A2)&lt;&gt;1,LEFT(A2,LEN("2024::jama.2024.12829::"))&lt;&gt;"2024::jama.2024.12829::"),"CHECK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t="inlineStr">
        <is>
          <t>All supplied protocol and SAP versions (supp2, original protocol p41 line 760, final protocol p103, both SAPs) specify BMI subgroups &lt;25, 25-30 and &gt;=30 kg/m2. Figure 2 (main p7) reports BMI &lt;25 vs &gt;=25 (HR 0.17 vs 0.48, interaction P=.17), and main p4 says 'All subgroup analyses in the forest plot were prespecified.' The BMI partition differs from the plan and is described as prespecified.</t>
        </is>
      </c>
    </row>
    <row r="3" ht="92" customHeight="1" s="25">
      <c r="A3" s="24" t="inlineStr">
        <is>
          <t>2024::jama.2024.12829::C002</t>
        </is>
      </c>
      <c r="B3" s="24" t="inlineStr">
        <is>
          <t>Sensitivity-analysis population headers</t>
        </is>
      </c>
      <c r="C3" s="24" t="inlineStr">
        <is>
          <t>REPORT jama_sun_2024_oi_240088_1746815064.14747.pdf — main p5, Figure 1 final per-protocol boxes; joi240088supp1_prod_1746815064.21247.pdf — results supplement p20, Table S7 both arm headers, both site totals, and both arms' event rows; joi240088supp1_prod_1746815064.21247.pdf — p21, Table S8 title, both headers, primary row, and all three component rows; joi240088supp1_prod_1746815064.21247.pdf — p23, Table S10 per-protocol section.</t>
        </is>
      </c>
      <c r="D3" s="21" t="inlineStr">
        <is>
          <t>retain</t>
        </is>
      </c>
      <c r="E3" s="21" t="inlineStr">
        <is>
          <t>statistical_results</t>
        </is>
      </c>
      <c r="F3" s="21" t="inlineStr">
        <is>
          <t>primary_done</t>
        </is>
      </c>
      <c r="G3" s="24">
        <f>IFERROR(IF(LEN(TRIM(CLEAN(SUBSTITUTE(Setup!$B$2,CHAR(160)," "))))=0,"CHECK REVIEWER ID",IF(OR(A3="",COUNTIF($A$2:$A$8,A3)&lt;&gt;1,LEFT(A3,LEN("2024::jama.2024.12829::"))&lt;&gt;"2024::jama.2024.12829::"),"CHECK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t="inlineStr">
        <is>
          <t>confirmed_issue</t>
        </is>
      </c>
      <c r="I3" s="21" t="inlineStr">
        <is>
          <t>minor_presentation</t>
        </is>
      </c>
      <c r="J3" s="22" t="inlineStr">
        <is>
          <t>possible</t>
        </is>
      </c>
      <c r="K3" s="21">
        <f>IF(AND(OR(D3="retain",D3=""),OR(E3="report_internal_inconsistency",E3="plan_material")),"","not_applicable")</f>
        <v/>
      </c>
      <c r="L3" s="22">
        <f>IF(AND(OR(D3="retain",D3=""),E3="protocol_report"),"","not_applicable")</f>
        <v/>
      </c>
      <c r="M3" s="24" t="n"/>
      <c r="N3" s="23" t="n"/>
      <c r="O3" s="23" t="n"/>
      <c r="P3" s="23" t="n"/>
      <c r="Q3" s="23" t="n"/>
      <c r="R3" s="22" t="inlineStr">
        <is>
          <t>Arm headers appear swapped between Tables S7 and S8 (supp1 p20-21). S7 headers say 233/238 (per-protocol) but its site totals 256+245 = 501 and events 4+7 = 11 and 19+15 = 34 match the primary population (249/252). S8 (per-protocol) headers say 249/252, but 9 (3.9%) = 9/233 and 33 (13.9%) = 33/238 match the per-protocol sizes in Figure 1 and Table S10.</t>
        </is>
      </c>
    </row>
    <row r="4" ht="92" customHeight="1" s="25">
      <c r="A4" s="20" t="inlineStr">
        <is>
          <t>2024::jama.2024.12829::C003</t>
        </is>
      </c>
      <c r="B4" s="20" t="inlineStr">
        <is>
          <t>Center-adjusted primary event count</t>
        </is>
      </c>
      <c r="C4" s="20" t="inlineStr">
        <is>
          <t>REPORT jama_sun_2024_oi_240088_1746815064.14747.pdf — main p7, Figure 2 overall row, jama_sun_2024_oi_240088_1746815064.14747.pdf — p8, Table 2 primary row, arm headers, and first-event footnote, jama_sun_2024_oi_240088_1746815064.14747.pdf — p6, adjusted-result narrative; joi240088supp1_prod_1746815064.21247.pdf — results supplement p19, Table S6 primary row, headers, full endpoint, and adjustment footnotes. joi240088supp1_prod_1746815064.21247.pdf — Supplement p21, Table S8 is an alternative-population locator only.</t>
        </is>
      </c>
      <c r="D4" s="21" t="inlineStr">
        <is>
          <t>retain</t>
        </is>
      </c>
      <c r="E4" s="21" t="inlineStr">
        <is>
          <t>statistical_results</t>
        </is>
      </c>
      <c r="F4" s="21" t="inlineStr">
        <is>
          <t>primary_done</t>
        </is>
      </c>
      <c r="G4" s="20">
        <f>IFERROR(IF(LEN(TRIM(CLEAN(SUBSTITUTE(Setup!$B$2,CHAR(160)," "))))=0,"CHECK REVIEWER ID",IF(OR(A4="",COUNTIF($A$2:$A$8,A4)&lt;&gt;1,LEFT(A4,LEN("2024::jama.2024.12829::"))&lt;&gt;"2024::jama.2024.12829::"),"CHECK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t="inlineStr">
        <is>
          <t>confirmed_issue</t>
        </is>
      </c>
      <c r="I4" s="21" t="inlineStr">
        <is>
          <t>minor_presentation</t>
        </is>
      </c>
      <c r="J4" s="22" t="inlineStr">
        <is>
          <t>unlikely</t>
        </is>
      </c>
      <c r="K4" s="21">
        <f>IF(AND(OR(D4="retain",D4=""),OR(E4="report_internal_inconsistency",E4="plan_material")),"","not_applicable")</f>
        <v/>
      </c>
      <c r="L4" s="22">
        <f>IF(AND(OR(D4="retain",D4=""),E4="protocol_report"),"","not_applicable")</f>
        <v/>
      </c>
      <c r="M4" s="20" t="n"/>
      <c r="N4" s="23" t="n"/>
      <c r="O4" s="23" t="n"/>
      <c r="P4" s="23" t="n"/>
      <c r="Q4" s="23" t="n"/>
      <c r="R4" s="22" t="inlineStr">
        <is>
          <t>Table S6 (center-adjusted, supp1 p19) gives BA 9 (3.9%) with n=249, while the primary displays give 11 (4.4%). 9/249 = 3.6%, so 9 (3.9) is not self-consistent; it equals the per-protocol BA cell of Table S8 (9/233 = 3.86%). AMM 34 (13.5) matches the primary. The BA cell appears copied from the per-protocol table; the adjusted HR 0.32 (0.16-0.62) is close to the primary.</t>
        </is>
      </c>
    </row>
    <row r="5" ht="92" customHeight="1" s="25">
      <c r="A5" s="24" t="inlineStr">
        <is>
          <t>2024::jama.2024.12829::C004</t>
        </is>
      </c>
      <c r="B5" s="24" t="inlineStr">
        <is>
          <t>Outside-territory stroke difference interval</t>
        </is>
      </c>
      <c r="C5" s="24" t="inlineStr">
        <is>
          <t>REPORT jama_sun_2024_oi_240088_1746815064.14747.pdf — main p8, Table 2 one-year outside-territory stroke row, all count/difference/HR/P cells; jama_sun_2024_oi_240088_1746815064.14747.pdf — p4, Statistical Analysis confidence and significance conventions.</t>
        </is>
      </c>
      <c r="D5" s="21" t="inlineStr">
        <is>
          <t>retain</t>
        </is>
      </c>
      <c r="E5" s="21" t="inlineStr">
        <is>
          <t>statistical_results</t>
        </is>
      </c>
      <c r="F5" s="21" t="inlineStr">
        <is>
          <t>primary_done</t>
        </is>
      </c>
      <c r="G5" s="24">
        <f>IFERROR(IF(LEN(TRIM(CLEAN(SUBSTITUTE(Setup!$B$2,CHAR(160)," "))))=0,"CHECK REVIEWER ID",IF(OR(A5="",COUNTIF($A$2:$A$8,A5)&lt;&gt;1,LEFT(A5,LEN("2024::jama.2024.12829::"))&lt;&gt;"2024::jama.2024.12829::"),"CHECK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minor_presentation</t>
        </is>
      </c>
      <c r="J5" s="22" t="inlineStr">
        <is>
          <t>unlikely</t>
        </is>
      </c>
      <c r="K5" s="21">
        <f>IF(AND(OR(D5="retain",D5=""),OR(E5="report_internal_inconsistency",E5="plan_material")),"","not_applicable")</f>
        <v/>
      </c>
      <c r="L5" s="22">
        <f>IF(AND(OR(D5="retain",D5=""),E5="protocol_report"),"","not_applicable")</f>
        <v/>
      </c>
      <c r="M5" s="24" t="n"/>
      <c r="N5" s="23" t="n"/>
      <c r="O5" s="23" t="n"/>
      <c r="P5" s="23" t="n"/>
      <c r="Q5" s="23" t="n"/>
      <c r="R5" s="22" t="inlineStr">
        <is>
          <t>Table 2 (main p8): outside-territory stroke within 1 year, 3/249 vs 4/252, incidence difference -0.4 (95% CI -2.4 to -1.7) with P=.72; the point lies outside the interval and the interval excludes 0. Wald recomputation gives -0.38 (-2.44 to 1.67); the upper limit's sign is misprinted. All other incidence-difference CIs in Table 2 reproduce (e.g., primary -9.07, -14.0 to -4.14).</t>
        </is>
      </c>
    </row>
    <row r="6" ht="92" customHeight="1" s="25">
      <c r="A6" s="20" t="inlineStr">
        <is>
          <t>2024::jama.2024.12829::C005</t>
        </is>
      </c>
      <c r="B6" s="20" t="inlineStr">
        <is>
          <t>Ninety-day mRS count and percentage</t>
        </is>
      </c>
      <c r="C6" s="20" t="inlineStr">
        <is>
          <t>REPORT joi240088supp1_prod_1746815064.21247.pdf — results supplement p13, Figure S4 BA header, all seven category annotations and mRS 2 leader. jama_sun_2024_oi_240088_1746815064.14747.pdf — Main p8, 90-day mRS generalized-OR row and footnote is corroborative only.</t>
        </is>
      </c>
      <c r="D6" s="21" t="inlineStr">
        <is>
          <t>retain</t>
        </is>
      </c>
      <c r="E6" s="21" t="inlineStr">
        <is>
          <t>statistical_results</t>
        </is>
      </c>
      <c r="F6" s="21" t="inlineStr">
        <is>
          <t>primary_done</t>
        </is>
      </c>
      <c r="G6" s="20">
        <f>IFERROR(IF(LEN(TRIM(CLEAN(SUBSTITUTE(Setup!$B$2,CHAR(160)," "))))=0,"CHECK REVIEWER ID",IF(OR(A6="",COUNTIF($A$2:$A$8,A6)&lt;&gt;1,LEFT(A6,LEN("2024::jama.2024.12829::"))&lt;&gt;"2024::jama.2024.12829::"),"CHECK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t="inlineStr">
        <is>
          <t>confirmed_issue</t>
        </is>
      </c>
      <c r="I6" s="21" t="inlineStr">
        <is>
          <t>minor_presentation</t>
        </is>
      </c>
      <c r="J6" s="22" t="inlineStr">
        <is>
          <t>unlikely</t>
        </is>
      </c>
      <c r="K6" s="21">
        <f>IF(AND(OR(D6="retain",D6=""),OR(E6="report_internal_inconsistency",E6="plan_material")),"","not_applicable")</f>
        <v/>
      </c>
      <c r="L6" s="22">
        <f>IF(AND(OR(D6="retain",D6=""),E6="protocol_report"),"","not_applicable")</f>
        <v/>
      </c>
      <c r="M6" s="20" t="n"/>
      <c r="N6" s="23" t="n"/>
      <c r="O6" s="23" t="n"/>
      <c r="P6" s="23" t="n"/>
      <c r="Q6" s="23" t="n"/>
      <c r="R6" s="22" t="inlineStr">
        <is>
          <t>Figure S4 (supp1 p13, rendered): BA group mRS 2 at 90 days labeled '2.0 (N=50)'. Category counts 205+36+50+2+0+0+1 = 294 &gt; 249; with N=5 the total is 249 and 5/249 = 2.0%. Count label misprinted (5 shown as 50).</t>
        </is>
      </c>
    </row>
    <row r="7" ht="92" customHeight="1" s="25">
      <c r="A7" s="24" t="inlineStr">
        <is>
          <t>2024::jama.2024.12829::C006</t>
        </is>
      </c>
      <c r="B7" s="24" t="inlineStr">
        <is>
          <t>Safety-test specification</t>
        </is>
      </c>
      <c r="C7" s="24" t="inlineStr">
        <is>
          <t>PLAN joi240088supp2_prod_1746815064.36071.pdf — original SAP p142, §12.4, lines 2387–2390, joi240088supp2_prod_1746815064.36071.pdf — final SAP p162, lines 2801–2806; REPORT joi240088supp1_prod_1746815064.21247.pdf — results supplement p24, Table S11 overall, nervous-system, and disabling-stroke rows, superscripts c/d and both test footnotes. jama_sun_2024_oi_240088_1746815064.14747.pdf — Main p6, disabling-stroke narrative corroborates the reported result only.</t>
        </is>
      </c>
      <c r="D7" s="21" t="inlineStr">
        <is>
          <t>retain</t>
        </is>
      </c>
      <c r="E7" s="21" t="inlineStr">
        <is>
          <t>statistical_results</t>
        </is>
      </c>
      <c r="F7" s="21" t="inlineStr">
        <is>
          <t>primary_done</t>
        </is>
      </c>
      <c r="G7" s="24">
        <f>IFERROR(IF(LEN(TRIM(CLEAN(SUBSTITUTE(Setup!$B$2,CHAR(160)," "))))=0,"CHECK REVIEWER ID",IF(OR(A7="",COUNTIF($A$2:$A$8,A7)&lt;&gt;1,LEFT(A7,LEN("2024::jama.2024.12829::"))&lt;&gt;"2024::jama.2024.12829::"),"CHECK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t="inlineStr">
        <is>
          <t>probable_issue</t>
        </is>
      </c>
      <c r="I7" s="21" t="inlineStr">
        <is>
          <t>minor_presentation</t>
        </is>
      </c>
      <c r="J7" s="22" t="inlineStr">
        <is>
          <t>unlikely</t>
        </is>
      </c>
      <c r="K7" s="21">
        <f>IF(AND(OR(D7="retain",D7=""),OR(E7="report_internal_inconsistency",E7="plan_material")),"","not_applicable")</f>
        <v/>
      </c>
      <c r="L7" s="22">
        <f>IF(AND(OR(D7="retain",D7=""),E7="protocol_report"),"","not_applicable")</f>
        <v/>
      </c>
      <c r="M7" s="24" t="n"/>
      <c r="N7" s="23" t="n"/>
      <c r="O7" s="23" t="n"/>
      <c r="P7" s="23" t="n"/>
      <c r="Q7" s="23" t="n"/>
      <c r="R7" s="22" t="inlineStr">
        <is>
          <t>E changed from protocol_report: both SAPs specify Fisher's exact test for grouped AEs, and Table S11 (supp1 p24) labels three rows 'Chi-square' (footnote c), but the printed P values (.84, .35, .02) reproduce exactly with Fisher's test (0.841, 0.350, 0.020), not Pearson (0.710, 0.253, 0.013) or Yates (0.865, 0.363, 0.023). The method actually used appears to match the plan; the footnote label is likely wrong.</t>
        </is>
      </c>
    </row>
    <row r="8" ht="92" customHeight="1" s="25">
      <c r="A8" s="20" t="inlineStr">
        <is>
          <t>2024::jama.2024.12829::C007</t>
        </is>
      </c>
      <c r="B8" s="20" t="inlineStr">
        <is>
          <t>Original planned event forecast</t>
        </is>
      </c>
      <c r="C8" s="20" t="inlineStr">
        <is>
          <t>PLAN joi240088supp2_prod_1746815064.36071.pdf — original protocol p11, sample-size synopsis, joi240088supp2_prod_1746815064.36071.pdf — p12, 728→802 expansion and follow-up, joi240088supp2_prod_1746815064.36071.pdf — p18, twelve-month primary hypothesis and 1:1 allocation, joi240088supp2_prod_1746815064.36071.pdf — p40, original statistical section and sample-size opening, joi240088supp2_prod_1746815064.36071.pdf — p41, detailed sample-size continuation. jama_sun_2024_oi_240088_1746815064.14747.pdf — Main p3, original 802 design history is corroborative only. joi240088supp2_prod_1746815064.36071.pdf — PLAN p126, later 802→512 amendment establishes the revised-design boundary.</t>
        </is>
      </c>
      <c r="D8" s="21" t="inlineStr">
        <is>
          <t>exclude</t>
        </is>
      </c>
      <c r="E8" s="21" t="inlineStr">
        <is>
          <t>plan_material</t>
        </is>
      </c>
      <c r="F8" s="21" t="inlineStr">
        <is>
          <t>primary_done</t>
        </is>
      </c>
      <c r="G8" s="20">
        <f>IFERROR(IF(LEN(TRIM(CLEAN(SUBSTITUTE(Setup!$B$2,CHAR(160)," "))))=0,"CHECK REVIEWER ID",IF(OR(A8="",COUNTIF($A$2:$A$8,A8)&lt;&gt;1,LEFT(A8,LEN("2024::jama.2024.12829::"))&lt;&gt;"2024::jama.2024.12829::"),"CHECK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f>IF(AND(OR(D8="retain",D8=""),E8="protocol_report"),"","not_applicable")</f>
        <v/>
      </c>
      <c r="M8" s="20" t="n"/>
      <c r="N8" s="23" t="n"/>
      <c r="O8" s="23" t="n"/>
      <c r="P8" s="23" t="n"/>
      <c r="Q8" s="23" t="n"/>
      <c r="R8" s="22" t="inlineStr">
        <is>
          <t>Original protocol V2.0 (supp2 p11, p41): 686 patients and 91 events. 91 equals the Schoenfeld event count for 90% power (90.3), whereas 686 with 12.2%/6.25% one-year risks yields about 63 events, consistent with the 80% power stated on p41 (67 events required). The original design is internally loose (90% vs 80%), but it was superseded by the final V2.3 design of 512 patients with new assumptions, which the reported analysis uses.</t>
        </is>
      </c>
    </row>
  </sheetData>
  <autoFilter ref="A1:R8"/>
  <conditionalFormatting sqref="H2:H8">
    <cfRule type="expression" priority="8" dxfId="70">
      <formula>NOT(AND(OR($D2="retain",$D2=""),$E2="statistical_results"))</formula>
    </cfRule>
  </conditionalFormatting>
  <conditionalFormatting sqref="I2:I8">
    <cfRule type="expression" priority="9" dxfId="70">
      <formula>NOT(AND(OR($D2="retain",$D2=""),$E2="statistical_results"))</formula>
    </cfRule>
  </conditionalFormatting>
  <conditionalFormatting sqref="J2:J8">
    <cfRule type="expression" priority="10" dxfId="70">
      <formula>NOT(AND(OR($D2="retain",$D2=""),$E2="statistical_results"))</formula>
    </cfRule>
  </conditionalFormatting>
  <conditionalFormatting sqref="K2:K8">
    <cfRule type="expression" priority="11" dxfId="70">
      <formula>NOT(AND(OR($D2="retain",$D2=""),OR($E2="report_internal_inconsistency",$E2="plan_material")))</formula>
    </cfRule>
  </conditionalFormatting>
  <conditionalFormatting sqref="L2:L8">
    <cfRule type="expression" priority="12" dxfId="70">
      <formula>NOT(AND(OR($D2="retain",$D2=""),$E2="protocol_report"))</formula>
    </cfRule>
  </conditionalFormatting>
  <conditionalFormatting sqref="G2:G8">
    <cfRule type="expression" priority="13" dxfId="71">
      <formula>G2&lt;&gt;"PRIMARY READY"</formula>
    </cfRule>
  </conditionalFormatting>
  <dataValidations count="8">
    <dataValidation sqref="D2:D8" showDropDown="0" showInputMessage="0" showErrorMessage="1" allowBlank="1" errorTitle="Use a listed option" error="Choose an option; G also checks pasted entries." type="list" errorStyle="stop">
      <formula1>"retain,exclude,discuss"</formula1>
    </dataValidation>
    <dataValidation sqref="E2:E8"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8" showDropDown="0" showInputMessage="0" showErrorMessage="1" allowBlank="1" errorTitle="Use a listed option" error="Choose an option; G also checks pasted entries." type="list" errorStyle="stop">
      <formula1>"no,primary_done"</formula1>
    </dataValidation>
    <dataValidation sqref="H2:H8"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8" showDropDown="0" showInputMessage="0" showErrorMessage="1" allowBlank="1" errorTitle="Use a listed option" error="Choose an option; G also checks pasted entries." type="list" errorStyle="stop">
      <formula1>"substantive,minor_presentation,indeterminate,not_applicable"</formula1>
    </dataValidation>
    <dataValidation sqref="J2:J8" showDropDown="0" showInputMessage="0" showErrorMessage="1" allowBlank="1" errorTitle="Use a listed option" error="Choose an option; G also checks pasted entries." type="list" errorStyle="stop">
      <formula1>"direct,possible,unlikely,unknown,not_applicable"</formula1>
    </dataValidation>
    <dataValidation sqref="K2:K8"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8"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R8"/>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2024::jama.2024.19585::C001</t>
        </is>
      </c>
      <c r="B2" s="20" t="inlineStr">
        <is>
          <t>ED absolute-effect interval and separately adjusted test give different null-value readings</t>
        </is>
      </c>
      <c r="C2" s="20" t="inlineStr">
        <is>
          <t>REPORT jama_dupuis_2024_oi_240111_1733431204.38761.pdf — DOC-001 p. 9 Table 3 ED row and footnote b; REPORT jama_dupuis_2024_oi_240111_1733431204.38761.pdf — p. 4 significance rule; corroborating REPORT jama_dupuis_2024_oi_240111_1733431204.38761.pdf — p. 1 abstract, jama_dupuis_2024_oi_240111_1733431204.38761.pdf — p. 6 ED narrative, and joi240111supp2_prod_1733431204.76024.pdf — DOC-003 p. 17 eTable 12 Poisson ED result.</t>
        </is>
      </c>
      <c r="D2" s="21" t="inlineStr">
        <is>
          <t>exclude</t>
        </is>
      </c>
      <c r="E2" s="21" t="inlineStr">
        <is>
          <t>statistical_results</t>
        </is>
      </c>
      <c r="F2" s="21" t="inlineStr">
        <is>
          <t>primary_done</t>
        </is>
      </c>
      <c r="G2" s="20">
        <f>IFERROR(IF(LEN(TRIM(CLEAN(SUBSTITUTE(Setup!$B$2,CHAR(160)," "))))=0,"CHECK REVIEWER ID",IF(OR(A2="",COUNTIF($A$2:$A$8,A2)&lt;&gt;1,LEFT(A2,LEN("2024::jama.2024.19585::"))&lt;&gt;"2024::jama.2024.19585::"),"CHECK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inlineStr">
        <is>
          <t>Table 3 (main p9) ED visits: absolute difference 3.38 per 100 patient-weeks (95% CrI -0.57 to 7.94) and RR 1.72 (95% CI 1.03-2.87), P=.04. Footnote b states the two come from different models (RR: Poisson with site random effect plus 2 stratification variables; absolute difference: marginalized model with treatment and site only, Bayesian CrI). Different models and inferential frameworks; no contradiction.</t>
        </is>
      </c>
    </row>
    <row r="3" ht="92" customHeight="1" s="25">
      <c r="A3" s="24" t="inlineStr">
        <is>
          <t>2024::jama.2024.19585::C002</t>
        </is>
      </c>
      <c r="B3" s="24" t="inlineStr">
        <is>
          <t>Triggered primary total-score ordinal sensitivity is absent from the supplied report</t>
        </is>
      </c>
      <c r="C3" s="24" t="inlineStr">
        <is>
          <t>PLAN joi240111supp1_prod_1733431204.57929.pdf — DOC-002 p. 11 final protocol primary analysis, joi240111supp1_prod_1733431204.57929.pdf — p. 36 SAP primary analysis, joi240111supp1_prod_1733431204.57929.pdf — p. 31 amendment history; REPORT jama_dupuis_2024_oi_240111_1733431204.38761.pdf — DOC-001 p. 3 primary methods, jama_dupuis_2024_oi_240111_1733431204.38761.pdf — p. 4 sensitivities, joi240111supp2_prod_1733431204.76024.pdf — DOC-003 p. 18 eFigure 1 item 2, joi240111supp2_prod_1733431204.76024.pdf — p. 19 other sensitivities. Absence check covers DOC-001 pp. 1–11 and DOC-003 pp. 1–23, as mapped and independently searched.</t>
        </is>
      </c>
      <c r="D3" s="21" t="inlineStr">
        <is>
          <t>retain</t>
        </is>
      </c>
      <c r="E3" s="21" t="inlineStr">
        <is>
          <t>protocol_report</t>
        </is>
      </c>
      <c r="F3" s="21" t="inlineStr">
        <is>
          <t>primary_done</t>
        </is>
      </c>
      <c r="G3" s="24">
        <f>IFERROR(IF(LEN(TRIM(CLEAN(SUBSTITUTE(Setup!$B$2,CHAR(160)," "))))=0,"CHECK REVIEWER ID",IF(OR(A3="",COUNTIF($A$2:$A$8,A3)&lt;&gt;1,LEFT(A3,LEN("2024::jama.2024.19585::"))&lt;&gt;"2024::jama.2024.19585::"),"CHECK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Final protocol (supp1 p11) and SAP (p36) require two sensitivity analyses if primary-model residuals deviate substantially from normality: a normalizing transformation and an ordinal regression model. eFigure 1 (supp2 p18) reports residuals 'clearly non-normal, right-skewed' and gives only the square-root analysis (-0.7, -1.1 to -0.3). The triggered ordinal analysis is not reported in the main article or supplement.</t>
        </is>
      </c>
    </row>
    <row r="4" ht="92" customHeight="1" s="25">
      <c r="A4" s="20" t="inlineStr">
        <is>
          <t>2024::jama.2024.19585::C003</t>
        </is>
      </c>
      <c r="B4" s="20" t="inlineStr">
        <is>
          <t>Explicitly planned week-4 symptom and chart-outcome comparisons are not supplied</t>
        </is>
      </c>
      <c r="C4" s="20" t="inlineStr">
        <is>
          <t>PLAN joi240111supp1_prod_1733431204.57929.pdf — DOC-002 p. 11 final protocol secondary items 1–4, joi240111supp1_prod_1733431204.57929.pdf — p. 12 item 5, joi240111supp1_prod_1733431204.57929.pdf — p. 34 PRO definitions, joi240111supp1_prod_1733431204.57929.pdf — p. 35 chart endpoints, joi240111supp1_prod_1733431204.57929.pdf — p. 36 symptom models, joi240111supp1_prod_1733431204.57929.pdf — p. 37 secondary models; REPORT jama_dupuis_2024_oi_240111_1733431204.38761.pdf — DOC-001 p. 1 abstract, jama_dupuis_2024_oi_240111_1733431204.38761.pdf — p. 4 analyses/results, jama_dupuis_2024_oi_240111_1733431204.38761.pdf — p. 7 Table 2; REPORT joi240111supp2_prod_1733431204.76024.pdf — DOC-003 p. 12 eTable 9, joi240111supp2_prod_1733431204.76024.pdf — p. 13 eTable 10, joi240111supp2_prod_1733431204.76024.pdf — p. 14 eTable 10, joi240111supp2_prod_1733431204.76024.pdf — p. 15 eTable 10, joi240111supp2_prod_1733431204.76024.pdf — p. 20 eFigure 2, joi240111supp2_prod_1733431204.76024.pdf — p. 21 eFigure 3. Complete absence search: all supplied REPORT pages.</t>
        </is>
      </c>
      <c r="D4" s="21" t="inlineStr">
        <is>
          <t>retain</t>
        </is>
      </c>
      <c r="E4" s="21" t="inlineStr">
        <is>
          <t>protocol_report</t>
        </is>
      </c>
      <c r="F4" s="21" t="inlineStr">
        <is>
          <t>primary_done</t>
        </is>
      </c>
      <c r="G4" s="20">
        <f>IFERROR(IF(LEN(TRIM(CLEAN(SUBSTITUTE(Setup!$B$2,CHAR(160)," "))))=0,"CHECK REVIEWER ID",IF(OR(A4="",COUNTIF($A$2:$A$8,A4)&lt;&gt;1,LEFT(A4,LEN("2024::jama.2024.19585::"))&lt;&gt;"2024::jama.2024.19585::"),"CHECK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Final protocol/SAP (supp1 p11-12, p36-37) plan comparative analyses of individual SSPedi symptoms at weeks 4 and 8 (proportional-odds models) and of documentation/interventions at weeks 4 and 8. The report gives comparative estimates only at week 8 (Table 2, eTables 8, 10); week 4 appears only descriptively (eTable 9, means and counts, no effect estimates).</t>
        </is>
      </c>
    </row>
    <row r="5" ht="92" customHeight="1" s="25">
      <c r="A5" s="24" t="inlineStr">
        <is>
          <t>2024::jama.2024.19585::C004</t>
        </is>
      </c>
      <c r="B5" s="24" t="inlineStr">
        <is>
          <t>Final planned intervention effects and reported logistic OR analyses differ</t>
        </is>
      </c>
      <c r="C5" s="24" t="inlineStr">
        <is>
          <t>PLAN joi240111supp1_prod_1733431204.57929.pdf — DOC-002 p. 12 final protocol item 5, joi240111supp1_prod_1733431204.57929.pdf — p. 37 final SAP item 5, joi240111supp1_prod_1733431204.57929.pdf — p. 31 version history; REPORT jama_dupuis_2024_oi_240111_1733431204.38761.pdf — DOC-001 p. 1 abstract secondary outcomes/conclusion, jama_dupuis_2024_oi_240111_1733431204.38761.pdf — p. 4 secondary methods, joi240111supp2_prod_1733431204.76024.pdf — DOC-003 p. 13 eTable 10, joi240111supp2_prod_1733431204.76024.pdf — p. 14 eTable 10, joi240111supp2_prod_1733431204.76024.pdf — p. 15 footnote b, joi240111supp2_prod_1733431204.76024.pdf — p. 22 eMethods.</t>
        </is>
      </c>
      <c r="D5" s="21" t="inlineStr">
        <is>
          <t>retain</t>
        </is>
      </c>
      <c r="E5" s="21" t="inlineStr">
        <is>
          <t>protocol_report</t>
        </is>
      </c>
      <c r="F5" s="21" t="inlineStr">
        <is>
          <t>primary_done</t>
        </is>
      </c>
      <c r="G5" s="24">
        <f>IFERROR(IF(LEN(TRIM(CLEAN(SUBSTITUTE(Setup!$B$2,CHAR(160)," "))))=0,"CHECK REVIEWER ID",IF(OR(A5="",COUNTIF($A$2:$A$8,A5)&lt;&gt;1,LEFT(A5,LEN("2024::jama.2024.19585::"))&lt;&gt;"2024::jama.2024.19585::"),"CHECK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t="inlineStr">
        <is>
          <t>Final protocol/SAP item 5 (supp1 p12, p37): intervention outcomes analyzed as simple differences in proportions ignoring clustering, Fisher exact P values and Newcombe CIs. Report (main p4; supp2 eTable 10 footnote b, eMethods p22): mixed or fixed logistic models with ORs. Effect measure and model differ; not described as a change. Note that the sparse-cell rows' P values reproduce with Fisher's test (see C007), so the plan's test may have been used in part.</t>
        </is>
      </c>
    </row>
    <row r="6" ht="92" customHeight="1" s="25">
      <c r="A6" s="20" t="inlineStr">
        <is>
          <t>2024::jama.2024.19585::C005</t>
        </is>
      </c>
      <c r="B6" s="20" t="inlineStr">
        <is>
          <t>Finite severe-mouth-sore ORs accompany an empty intervention cohort</t>
        </is>
      </c>
      <c r="C6" s="20" t="inlineStr">
        <is>
          <t>REPORT joi240111supp2_prod_1733431204.76024.pdf — DOC-003 p. 13 documentation, mouth sores, SSPedi≥3; REPORT joi240111supp2_prod_1733431204.76024.pdf — p. 14 any intervention, mouth sores, SSPedi≥3; REPORT joi240111supp2_prod_1733431204.76024.pdf — p. 14 symptom-specific intervention, mouth sores, SSPedi≥3; REPORT joi240111supp2_prod_1733431204.76024.pdf — p. 15 footnotes b/c and joi240111supp2_prod_1733431204.76024.pdf — p. 22 eMethods.</t>
        </is>
      </c>
      <c r="D6" s="21" t="inlineStr">
        <is>
          <t>retain</t>
        </is>
      </c>
      <c r="E6" s="21" t="inlineStr">
        <is>
          <t>statistical_results</t>
        </is>
      </c>
      <c r="F6" s="21" t="inlineStr">
        <is>
          <t>primary_done</t>
        </is>
      </c>
      <c r="G6" s="20">
        <f>IFERROR(IF(LEN(TRIM(CLEAN(SUBSTITUTE(Setup!$B$2,CHAR(160)," "))))=0,"CHECK REVIEWER ID",IF(OR(A6="",COUNTIF($A$2:$A$8,A6)&lt;&gt;1,LEFT(A6,LEN("2024::jama.2024.19585::"))&lt;&gt;"2024::jama.2024.19585::"),"CHECK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t="inlineStr">
        <is>
          <t>confirmed_issue</t>
        </is>
      </c>
      <c r="I6" s="21" t="inlineStr">
        <is>
          <t>minor_presentation</t>
        </is>
      </c>
      <c r="J6" s="22" t="inlineStr">
        <is>
          <t>unlikely</t>
        </is>
      </c>
      <c r="K6" s="21">
        <f>IF(AND(OR(D6="retain",D6=""),OR(E6="report_internal_inconsistency",E6="plan_material")),"","not_applicable")</f>
        <v/>
      </c>
      <c r="L6" s="22">
        <f>IF(AND(OR(D6="retain",D6=""),E6="protocol_report"),"","not_applicable")</f>
        <v/>
      </c>
      <c r="M6" s="20" t="n"/>
      <c r="N6" s="23" t="n"/>
      <c r="O6" s="23" t="n"/>
      <c r="P6" s="23" t="n"/>
      <c r="Q6" s="23" t="n"/>
      <c r="R6" s="22" t="inlineStr">
        <is>
          <t>eTable 10 (supp2 p13-14), severe mouth sores (SSPedi&gt;=3): intervention 0/0 vs control 2/8 and 1/8, with ORs 2.6 (0.04-170.4) and 5.00 (0.07-366.4), P&gt;.99. An OR cannot be estimated with an empty arm. Values reproduce exactly with a 0.5 continuity correction (Haldane-Woolf), which is not described; footnote b names logistic regression.</t>
        </is>
      </c>
    </row>
    <row r="7" ht="92" customHeight="1" s="25">
      <c r="A7" s="24" t="inlineStr">
        <is>
          <t>2024::jama.2024.19585::C006</t>
        </is>
      </c>
      <c r="B7" s="24" t="inlineStr">
        <is>
          <t>Sadness interval excludes one while the displayed P is at the strict threshold</t>
        </is>
      </c>
      <c r="C7" s="24" t="inlineStr">
        <is>
          <t>REPORT joi240111supp2_prod_1733431204.76024.pdf — DOC-003 p. 13 eTable 10 any intervention, sadness, all participants; REPORT jama_dupuis_2024_oi_240111_1733431204.38761.pdf — DOC-001 p. 4 P&lt;.05 rule, jama_dupuis_2024_oi_240111_1733431204.38761.pdf — p. 5 matched counts/P and significance narrative; REPORT joi240111supp2_prod_1733431204.76024.pdf — DOC-003 p. 15 footnote b, joi240111supp2_prod_1733431204.76024.pdf — p. 22 eMethods.</t>
        </is>
      </c>
      <c r="D7" s="21" t="inlineStr">
        <is>
          <t>exclude</t>
        </is>
      </c>
      <c r="E7" s="21" t="inlineStr">
        <is>
          <t>statistical_results</t>
        </is>
      </c>
      <c r="F7" s="21" t="inlineStr">
        <is>
          <t>primary_done</t>
        </is>
      </c>
      <c r="G7" s="24">
        <f>IFERROR(IF(LEN(TRIM(CLEAN(SUBSTITUTE(Setup!$B$2,CHAR(160)," "))))=0,"CHECK REVIEWER ID",IF(OR(A7="",COUNTIF($A$2:$A$8,A7)&lt;&gt;1,LEFT(A7,LEN("2024::jama.2024.19585::"))&lt;&gt;"2024::jama.2024.19585::"),"CHECK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f>IF(AND(OR(D7="retain",D7=""),E7="protocol_report"),"","not_applicable")</f>
        <v/>
      </c>
      <c r="M7" s="24" t="n"/>
      <c r="N7" s="23" t="n"/>
      <c r="O7" s="23" t="n"/>
      <c r="P7" s="23" t="n"/>
      <c r="Q7" s="23" t="n"/>
      <c r="R7" s="22" t="inlineStr">
        <is>
          <t>Sadness any-intervention, all participants (supp2 p13; main p5): OR 0.51 (0.26-0.99), P=.05, called significant under the P&lt;.05 rule. An unrounded P in [.045, .05) is compatible with an upper limit of 0.99; the displayed P is a rounding boundary, not a demonstrable inconsistency.</t>
        </is>
      </c>
    </row>
    <row r="8" ht="92" customHeight="1" s="25">
      <c r="A8" s="20" t="inlineStr">
        <is>
          <t>2024::jama.2024.19585::C007</t>
        </is>
      </c>
      <c r="B8" s="20" t="inlineStr">
        <is>
          <t>Neuropathy and hunger symptom-specific intervals include one with significant P values</t>
        </is>
      </c>
      <c r="C8" s="20" t="inlineStr">
        <is>
          <t>REPORT joi240111supp2_prod_1733431204.76024.pdf — DOC-003 p. 14 symptom-specific intervention, neuropathy, SSPedi≥1; REPORT joi240111supp2_prod_1733431204.76024.pdf — p. 14 symptom-specific intervention, hunger, SSPedi≥1; REPORT joi240111supp2_prod_1733431204.76024.pdf — p. 15 footnotes b/c and joi240111supp2_prod_1733431204.76024.pdf — p. 22 eMethods; REPORT jama_dupuis_2024_oi_240111_1733431204.38761.pdf — DOC-001 p. 4 threshold/methods, jama_dupuis_2024_oi_240111_1733431204.38761.pdf — p. 5 matched counts and jama_dupuis_2024_oi_240111_1733431204.38761.pdf — p. 6 significance statements.</t>
        </is>
      </c>
      <c r="D8" s="21" t="inlineStr">
        <is>
          <t>retain</t>
        </is>
      </c>
      <c r="E8" s="21" t="inlineStr">
        <is>
          <t>statistical_results</t>
        </is>
      </c>
      <c r="F8" s="21" t="inlineStr">
        <is>
          <t>primary_done</t>
        </is>
      </c>
      <c r="G8" s="20">
        <f>IFERROR(IF(LEN(TRIM(CLEAN(SUBSTITUTE(Setup!$B$2,CHAR(160)," "))))=0,"CHECK REVIEWER ID",IF(OR(A8="",COUNTIF($A$2:$A$8,A8)&lt;&gt;1,LEFT(A8,LEN("2024::jama.2024.19585::"))&lt;&gt;"2024::jama.2024.19585::"),"CHECK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t="inlineStr">
        <is>
          <t>confirmed_issue</t>
        </is>
      </c>
      <c r="I8" s="21" t="inlineStr">
        <is>
          <t>minor_presentation</t>
        </is>
      </c>
      <c r="J8" s="22" t="inlineStr">
        <is>
          <t>unlikely</t>
        </is>
      </c>
      <c r="K8" s="21">
        <f>IF(AND(OR(D8="retain",D8=""),OR(E8="report_internal_inconsistency",E8="plan_material")),"","not_applicable")</f>
        <v/>
      </c>
      <c r="L8" s="22">
        <f>IF(AND(OR(D8="retain",D8=""),E8="protocol_report"),"","not_applicable")</f>
        <v/>
      </c>
      <c r="M8" s="20" t="n"/>
      <c r="N8" s="23" t="n"/>
      <c r="O8" s="23" t="n"/>
      <c r="P8" s="23" t="n"/>
      <c r="Q8" s="23" t="n"/>
      <c r="R8" s="22" t="inlineStr">
        <is>
          <t>eTable 10 (supp2 p14), symptom-specific intervention among those with SSPedi&gt;=1: neuropathy 6/57 vs 0/70, OR 17.8 (0.98-323.1), P=.007; hunger 6/111 vs 0/130, OR 16.08 (0.9-288.74), P=.009. CIs include 1 while P&lt;.05; main p6 calls both significant. The ORs/CIs reproduce exactly with a 0.5-corrected Woolf interval and the P values exactly with Fisher's exact test (.00702, .00886), not with the logistic regression named in footnote b.</t>
        </is>
      </c>
    </row>
  </sheetData>
  <autoFilter ref="A1:R8"/>
  <conditionalFormatting sqref="H2:H8">
    <cfRule type="expression" priority="8" dxfId="70">
      <formula>NOT(AND(OR($D2="retain",$D2=""),$E2="statistical_results"))</formula>
    </cfRule>
  </conditionalFormatting>
  <conditionalFormatting sqref="I2:I8">
    <cfRule type="expression" priority="9" dxfId="70">
      <formula>NOT(AND(OR($D2="retain",$D2=""),$E2="statistical_results"))</formula>
    </cfRule>
  </conditionalFormatting>
  <conditionalFormatting sqref="J2:J8">
    <cfRule type="expression" priority="10" dxfId="70">
      <formula>NOT(AND(OR($D2="retain",$D2=""),$E2="statistical_results"))</formula>
    </cfRule>
  </conditionalFormatting>
  <conditionalFormatting sqref="K2:K8">
    <cfRule type="expression" priority="11" dxfId="70">
      <formula>NOT(AND(OR($D2="retain",$D2=""),OR($E2="report_internal_inconsistency",$E2="plan_material")))</formula>
    </cfRule>
  </conditionalFormatting>
  <conditionalFormatting sqref="L2:L8">
    <cfRule type="expression" priority="12" dxfId="70">
      <formula>NOT(AND(OR($D2="retain",$D2=""),$E2="protocol_report"))</formula>
    </cfRule>
  </conditionalFormatting>
  <conditionalFormatting sqref="G2:G8">
    <cfRule type="expression" priority="13" dxfId="71">
      <formula>G2&lt;&gt;"PRIMARY READY"</formula>
    </cfRule>
  </conditionalFormatting>
  <dataValidations count="8">
    <dataValidation sqref="D2:D8" showDropDown="0" showInputMessage="0" showErrorMessage="1" allowBlank="1" errorTitle="Use a listed option" error="Choose an option; G also checks pasted entries." type="list" errorStyle="stop">
      <formula1>"retain,exclude,discuss"</formula1>
    </dataValidation>
    <dataValidation sqref="E2:E8"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8" showDropDown="0" showInputMessage="0" showErrorMessage="1" allowBlank="1" errorTitle="Use a listed option" error="Choose an option; G also checks pasted entries." type="list" errorStyle="stop">
      <formula1>"no,primary_done"</formula1>
    </dataValidation>
    <dataValidation sqref="H2:H8"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8" showDropDown="0" showInputMessage="0" showErrorMessage="1" allowBlank="1" errorTitle="Use a listed option" error="Choose an option; G also checks pasted entries." type="list" errorStyle="stop">
      <formula1>"substantive,minor_presentation,indeterminate,not_applicable"</formula1>
    </dataValidation>
    <dataValidation sqref="J2:J8" showDropDown="0" showInputMessage="0" showErrorMessage="1" allowBlank="1" errorTitle="Use a listed option" error="Choose an option; G also checks pasted entries." type="list" errorStyle="stop">
      <formula1>"direct,possible,unlikely,unknown,not_applicable"</formula1>
    </dataValidation>
    <dataValidation sqref="K2:K8"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8"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R7"/>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2024::jama.2024.2302::C001</t>
        </is>
      </c>
      <c r="B2" s="20" t="inlineStr">
        <is>
          <t>Abstract operative-repair population count</t>
        </is>
      </c>
      <c r="C2" s="20" t="inlineStr">
        <is>
          <t>REPORT jama_blakely_2024_oi_240020_1710443209.74411.pdf — main PDF p. 1, Abstract Results; jama_blakely_2024_oi_240020_1710443209.74411.pdf — p. 3, Figure 1 repair/no-repair branches; jama_blakely_2024_oi_240020_1710443209.74411.pdf — p. 4, Patient Characteristics and Surgery Characteristics; jama_blakely_2024_oi_240020_1710443209.74411.pdf — p. 5, Surgery Characteristics continuation.</t>
        </is>
      </c>
      <c r="D2" s="21" t="inlineStr">
        <is>
          <t>retain</t>
        </is>
      </c>
      <c r="E2" s="21" t="inlineStr">
        <is>
          <t>statistical_results</t>
        </is>
      </c>
      <c r="F2" s="21" t="inlineStr">
        <is>
          <t>primary_done</t>
        </is>
      </c>
      <c r="G2" s="20">
        <f>IFERROR(IF(LEN(TRIM(CLEAN(SUBSTITUTE(Setup!$B$2,CHAR(160)," "))))=0,"CHECK REVIEWER ID",IF(OR(A2="",COUNTIF($A$2:$A$7,A2)&lt;&gt;1,LEFT(A2,LEN("2024::jama.2024.2302::"))&lt;&gt;"2024::jama.2024.2302::"),"CHECK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substantive</t>
        </is>
      </c>
      <c r="J2" s="22" t="inlineStr">
        <is>
          <t>unlikely</t>
        </is>
      </c>
      <c r="K2" s="21">
        <f>IF(AND(OR(D2="retain",D2=""),OR(E2="report_internal_inconsistency",E2="plan_material")),"","not_applicable")</f>
        <v/>
      </c>
      <c r="L2" s="22">
        <f>IF(AND(OR(D2="retain",D2=""),E2="protocol_report"),"","not_applicable")</f>
        <v/>
      </c>
      <c r="M2" s="20" t="n"/>
      <c r="N2" s="23" t="n"/>
      <c r="O2" s="23" t="n"/>
      <c r="P2" s="23" t="n"/>
      <c r="Q2" s="23" t="n"/>
      <c r="R2" s="22" t="inlineStr">
        <is>
          <t>Abstract (main p1): 'Among the 338 randomized infants ..., 320 underwent operative repair'. 320 = 163 + 157 infants remaining after 9 withdrawals per group (Table 1, p4). Surgery characteristics (p4-5) give 152 early + 129 late = 281 who underwent repair; 11 early and 28 late infants did not. The abstract mislabels the post-withdrawal cohort as the operated population.</t>
        </is>
      </c>
    </row>
    <row r="3" ht="92" customHeight="1" s="25">
      <c r="A3" s="24" t="inlineStr">
        <is>
          <t>2024::jama.2024.2302::C002</t>
        </is>
      </c>
      <c r="B3" s="24" t="inlineStr">
        <is>
          <t>Planned and reported primary and hospital-day analysis specifications</t>
        </is>
      </c>
      <c r="C3" s="24" t="inlineStr">
        <is>
          <t>PLAN joi240020supp1_prod_1710443209.74911.pdf — protocol PDF p. 13, lines 471–488, primary/hospital analysis paragraphs; PLAN joi240020supp2_prod_1710443209.75411.pdf — SAP p. 7, lines 263–266, joi240020supp2_prod_1710443209.75411.pdf — p. 8, lines 267–271; REPORT jama_blakely_2024_oi_240020_1710443209.74411.pdf — main p. 4, Statistical Analysis, jama_blakely_2024_oi_240020_1710443209.74411.pdf — p. 6, Table 2; REPORT joi240020supp3_prod_1710443209.75411.pdf — results supplement p. 5, eTable 2 and model footnote.</t>
        </is>
      </c>
      <c r="D3" s="21" t="inlineStr">
        <is>
          <t>retain</t>
        </is>
      </c>
      <c r="E3" s="21" t="inlineStr">
        <is>
          <t>protocol_report</t>
        </is>
      </c>
      <c r="F3" s="21" t="inlineStr">
        <is>
          <t>primary_done</t>
        </is>
      </c>
      <c r="G3" s="24">
        <f>IFERROR(IF(LEN(TRIM(CLEAN(SUBSTITUTE(Setup!$B$2,CHAR(160)," "))))=0,"CHECK REVIEWER ID",IF(OR(A3="",COUNTIF($A$2:$A$7,A3)&lt;&gt;1,LEFT(A3,LEN("2024::jama.2024.2302::"))&lt;&gt;"2024::jama.2024.2302::"),"CHECK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Protocol (supp1 p13): primary outcome by binomial GLMM with log link; hospital days by lognormal model. SAP (supp2 p7-8): logistic and negative binomial mixed models, same model for frequentist and Bayesian analyses. Report (main p4): Bayesian logistic mixed model, negative binomial for hospital days, but the frequentist primary analysis used GEE (exchangeable by site) because the mixed model did not converge (disclosed).</t>
        </is>
      </c>
    </row>
    <row r="4" ht="92" customHeight="1" s="25">
      <c r="A4" s="20" t="inlineStr">
        <is>
          <t>2024::jama.2024.2302::C003</t>
        </is>
      </c>
      <c r="B4" s="20" t="inlineStr">
        <is>
          <t>Bayesian intervention and subgroup main-effect prior specifications</t>
        </is>
      </c>
      <c r="C4" s="20" t="inlineStr">
        <is>
          <t>PLAN joi240020supp1_prod_1710443209.74911.pdf — protocol p. 13, lines 486–498; PLAN joi240020supp2_prod_1710443209.75411.pdf — SAP p. 8, lines 283–290, joi240020supp2_prod_1710443209.75411.pdf — p. 9, lines 327–332; REPORT jama_blakely_2024_oi_240020_1710443209.74411.pdf — main p. 4, priors/modifier paragraphs; affected REPORT results jama_blakely_2024_oi_240020_1710443209.74411.pdf — main p. 6, Table 2/Figure 2, jama_blakely_2024_oi_240020_1710443209.74411.pdf — p. 8, Figure 3.</t>
        </is>
      </c>
      <c r="D4" s="21" t="inlineStr">
        <is>
          <t>retain</t>
        </is>
      </c>
      <c r="E4" s="21" t="inlineStr">
        <is>
          <t>protocol_report</t>
        </is>
      </c>
      <c r="F4" s="21" t="inlineStr">
        <is>
          <t>primary_done</t>
        </is>
      </c>
      <c r="G4" s="20">
        <f>IFERROR(IF(LEN(TRIM(CLEAN(SUBSTITUTE(Setup!$B$2,CHAR(160)," "))))=0,"CHECK REVIEWER ID",IF(OR(A4="",COUNTIF($A$2:$A$7,A4)&lt;&gt;1,LEFT(A4,LEN("2024::jama.2024.2302::"))&lt;&gt;"2024::jama.2024.2302::"),"CHECK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SAP (supp2 p8-9): intervention prior for categorical outcomes OR 1.0 with 95% CrI 0.2-4 (Normal(0, SD 0.7) on log OR; exp(+/-1.96*0.7) = 0.25-3.94); count outcomes RR 0.33-3.3; interaction terms Normal(0, SD 0.6) (0.31-3.24). Report (main p4): OR/RR prior 0.33-3.0 for both and 0.33-3.0 for interactions. Protocol (supp1 p13): 0.33-3.0 overall; subgroup main effects N(0,1000). Priors stated in the report match the protocol, not the later SAP.</t>
        </is>
      </c>
    </row>
    <row r="5" ht="92" customHeight="1" s="25">
      <c r="A5" s="24" t="inlineStr">
        <is>
          <t>2024::jama.2024.2302::C004</t>
        </is>
      </c>
      <c r="B5" s="24" t="inlineStr">
        <is>
          <t>Formal interim analysis information milestone</t>
        </is>
      </c>
      <c r="C5" s="24" t="inlineStr">
        <is>
          <t>PLAN joi240020supp1_prod_1710443209.74911.pdf — protocol p. 14, lines 519–530, joi240020supp1_prod_1710443209.74911.pdf — p. 25, version 7 history, lines 979–982; PLAN joi240020supp2_prod_1710443209.75411.pdf — SAP p. 4, lines 119–127; REPORT jama_blakely_2024_oi_240020_1710443209.74411.pdf — main p. 4, formal interim paragraph, jama_blakely_2024_oi_240020_1710443209.74411.pdf — p. 8, early-stopping limitation.</t>
        </is>
      </c>
      <c r="D5" s="21" t="inlineStr">
        <is>
          <t>retain</t>
        </is>
      </c>
      <c r="E5" s="21" t="inlineStr">
        <is>
          <t>protocol_report</t>
        </is>
      </c>
      <c r="F5" s="21" t="inlineStr">
        <is>
          <t>primary_done</t>
        </is>
      </c>
      <c r="G5" s="24">
        <f>IFERROR(IF(LEN(TRIM(CLEAN(SUBSTITUTE(Setup!$B$2,CHAR(160)," "))))=0,"CHECK REVIEWER ID",IF(OR(A5="",COUNTIF($A$2:$A$7,A5)&lt;&gt;1,LEFT(A5,LEN("2024::jama.2024.2302::"))&lt;&gt;"2024::jama.2024.2302::"),"CHECK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t="inlineStr">
        <is>
          <t>Protocol v7 (supp1 p14, p25) and SAP (supp2 p4): one formal interim analysis when 10-month data were available for about 200 infants (planned December 2019). Report (main p4): the formal interim analysis was completed with data for 309 infants in February 2021, and enrollment stopped after the 97% probability exceeded the 95% threshold. The information fraction of the stopping analysis differs from the plan.</t>
        </is>
      </c>
    </row>
    <row r="6" ht="92" customHeight="1" s="25">
      <c r="A6" s="20" t="inlineStr">
        <is>
          <t>2024::jama.2024.2302::C005</t>
        </is>
      </c>
      <c r="B6" s="20" t="inlineStr">
        <is>
          <t>Planned primary and key-secondary analyses without supplied reported counterparts</t>
        </is>
      </c>
      <c r="C6" s="20" t="inlineStr">
        <is>
          <t>PLAN joi240020supp2_prod_1710443209.75411.pdf — SAP p. 4, lines 133–149, modeled death, joi240020supp2_prod_1710443209.75411.pdf — p. 5, lines 163–166, PP population, joi240020supp2_prod_1710443209.75411.pdf — p. 8, lines 269–276, ≥3%/≥5% benefit, joi240020supp2_prod_1710443209.75411.pdf — p. 9, lines 315–347, PP/modifiers/continuous GA; PLAN joi240020supp1_prod_1710443209.74911.pdf — protocol p. 13, lines 490–500, modifiers; alternative publication scope joi240020supp2_prod_1710443209.75411.pdf — SAP p. 2, lines 28–37. REPORT counterparts/search: jama_blakely_2024_oi_240020_1710443209.74411.pdf — main p. 4, methods and developmental deferral, jama_blakely_2024_oi_240020_1710443209.74411.pdf — p. 6, primary/hospital results, jama_blakely_2024_oi_240020_1710443209.74411.pdf — p. 7, Table 3 and heterogeneity, jama_blakely_2024_oi_240020_1710443209.74411.pdf — p. 8, Figure 3; joi240020supp3_prod_1710443209.75411.pdf — results supplement p. 1, contents, joi240020supp3_prod_1710443209.75411.pdf — p. 5, eTable 2. Complete absence search covers main physical pp. 1–10 and results-supplement pp. 1–8, including all other flow/baseline/center/reference/acknowledgment pages.</t>
        </is>
      </c>
      <c r="D6" s="21" t="inlineStr">
        <is>
          <t>retain</t>
        </is>
      </c>
      <c r="E6" s="21" t="inlineStr">
        <is>
          <t>protocol_report</t>
        </is>
      </c>
      <c r="F6" s="21" t="inlineStr">
        <is>
          <t>primary_done</t>
        </is>
      </c>
      <c r="G6" s="20">
        <f>IFERROR(IF(LEN(TRIM(CLEAN(SUBSTITUTE(Setup!$B$2,CHAR(160)," "))))=0,"CHECK REVIEWER ID",IF(OR(A6="",COUNTIF($A$2:$A$7,A6)&lt;&gt;1,LEFT(A6,LEN("2024::jama.2024.2302::"))&lt;&gt;"2024::jama.2024.2302::"),"CHECK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t="inlineStr">
        <is>
          <t>SAP (supp2 p4-5, p8-9) plans a per-protocol primary analysis, probabilities of &gt;=3% and &gt;=5% SAE reduction, effect modifiers maternal education, prenatal care, IH difficult to reduce, sex, race/ethnicity and distance, continuous GA analysis, and modeled analyses of death and BSIDIII. Searched main and supp3: none reported; report gives only GA, BPD and approach subgroups, any-benefit probability and descriptive deaths. BSIDIII is disclosed as ongoing (main p4).</t>
        </is>
      </c>
    </row>
    <row r="7" ht="92" customHeight="1" s="25">
      <c r="A7" s="24" t="inlineStr">
        <is>
          <t>2024::jama.2024.2302::C006</t>
        </is>
      </c>
      <c r="B7" s="24" t="inlineStr">
        <is>
          <t>Protocol hospital-day median assumptions</t>
        </is>
      </c>
      <c r="C7" s="24" t="inlineStr">
        <is>
          <t>PLAN joi240020supp1_prod_1710443209.74911.pdf — protocol p. 3, lines 105–109, specific aim, joi240020supp1_prod_1710443209.74911.pdf — p. 12, lines 460–462, power assumptions; corroborating PLAN joi240020supp2_prod_1710443209.75411.pdf — SAP p. 3, lines 73–80, clarification; related power outputs joi240020supp1_prod_1710443209.74911.pdf — protocol p. 13, Table 4, joi240020supp2_prod_1710443209.75411.pdf — SAP p. 4, lines 114–115.</t>
        </is>
      </c>
      <c r="D7" s="21" t="inlineStr">
        <is>
          <t>retain</t>
        </is>
      </c>
      <c r="E7" s="21" t="inlineStr">
        <is>
          <t>plan_material</t>
        </is>
      </c>
      <c r="F7" s="21" t="inlineStr">
        <is>
          <t>primary_done</t>
        </is>
      </c>
      <c r="G7" s="24">
        <f>IFERROR(IF(LEN(TRIM(CLEAN(SUBSTITUTE(Setup!$B$2,CHAR(160)," "))))=0,"CHECK REVIEWER ID",IF(OR(A7="",COUNTIF($A$2:$A$7,A7)&lt;&gt;1,LEFT(A7,LEN("2024::jama.2024.2302::"))&lt;&gt;"2024::jama.2024.2302::"),"CHECK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t="inlineStr">
        <is>
          <t>minor_presentation</t>
        </is>
      </c>
      <c r="L7" s="22">
        <f>IF(AND(OR(D7="retain",D7=""),E7="protocol_report"),"","not_applicable")</f>
        <v/>
      </c>
      <c r="M7" s="24" t="n"/>
      <c r="N7" s="23" t="n"/>
      <c r="O7" s="23" t="n"/>
      <c r="P7" s="23" t="n"/>
      <c r="Q7" s="23" t="n"/>
      <c r="R7" s="22" t="inlineStr">
        <is>
          <t>Protocol p3 hypothesizes median hospital days 18 (early) vs 15 (late); protocol p12 power section assumes medians 8 vs 5 (means 18 vs 13). The SAP (supp2 p3) explicitly states the p3 values are incorrect and the p12 values are correct. Real plan-internal inconsistency, resolved by the SAP.</t>
        </is>
      </c>
    </row>
  </sheetData>
  <autoFilter ref="A1:R7"/>
  <conditionalFormatting sqref="H2:H7">
    <cfRule type="expression" priority="8" dxfId="70">
      <formula>NOT(AND(OR($D2="retain",$D2=""),$E2="statistical_results"))</formula>
    </cfRule>
  </conditionalFormatting>
  <conditionalFormatting sqref="I2:I7">
    <cfRule type="expression" priority="9" dxfId="70">
      <formula>NOT(AND(OR($D2="retain",$D2=""),$E2="statistical_results"))</formula>
    </cfRule>
  </conditionalFormatting>
  <conditionalFormatting sqref="J2:J7">
    <cfRule type="expression" priority="10" dxfId="70">
      <formula>NOT(AND(OR($D2="retain",$D2=""),$E2="statistical_results"))</formula>
    </cfRule>
  </conditionalFormatting>
  <conditionalFormatting sqref="K2:K7">
    <cfRule type="expression" priority="11" dxfId="70">
      <formula>NOT(AND(OR($D2="retain",$D2=""),OR($E2="report_internal_inconsistency",$E2="plan_material")))</formula>
    </cfRule>
  </conditionalFormatting>
  <conditionalFormatting sqref="L2:L7">
    <cfRule type="expression" priority="12" dxfId="70">
      <formula>NOT(AND(OR($D2="retain",$D2=""),$E2="protocol_report"))</formula>
    </cfRule>
  </conditionalFormatting>
  <conditionalFormatting sqref="G2:G7">
    <cfRule type="expression" priority="13" dxfId="71">
      <formula>G2&lt;&gt;"PRIMARY READY"</formula>
    </cfRule>
  </conditionalFormatting>
  <dataValidations count="8">
    <dataValidation sqref="D2:D7" showDropDown="0" showInputMessage="0" showErrorMessage="1" allowBlank="1" errorTitle="Use a listed option" error="Choose an option; G also checks pasted entries." type="list" errorStyle="stop">
      <formula1>"retain,exclude,discuss"</formula1>
    </dataValidation>
    <dataValidation sqref="E2:E7"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7" showDropDown="0" showInputMessage="0" showErrorMessage="1" allowBlank="1" errorTitle="Use a listed option" error="Choose an option; G also checks pasted entries." type="list" errorStyle="stop">
      <formula1>"no,primary_done"</formula1>
    </dataValidation>
    <dataValidation sqref="H2:H7"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7" showDropDown="0" showInputMessage="0" showErrorMessage="1" allowBlank="1" errorTitle="Use a listed option" error="Choose an option; G also checks pasted entries." type="list" errorStyle="stop">
      <formula1>"substantive,minor_presentation,indeterminate,not_applicable"</formula1>
    </dataValidation>
    <dataValidation sqref="J2:J7" showDropDown="0" showInputMessage="0" showErrorMessage="1" allowBlank="1" errorTitle="Use a listed option" error="Choose an option; G also checks pasted entries." type="list" errorStyle="stop">
      <formula1>"direct,possible,unlikely,unknown,not_applicable"</formula1>
    </dataValidation>
    <dataValidation sqref="K2:K7"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7"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R14"/>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2024::jama.2024.23898::C001</t>
        </is>
      </c>
      <c r="B2" s="20" t="inlineStr">
        <is>
          <t>Secondary quality-of-life significance summary</t>
        </is>
      </c>
      <c r="C2" s="20" t="inlineStr">
        <is>
          <t>REPORT jama_paterson_2024_oi_240139_1741633738.12862.pdf — PDF p. 1; jama_paterson_2024_oi_240139_1741633738.12862.pdf — PDF p. 5; jama_paterson_2024_oi_240139_1741633738.12862.pdf — PDF p. 6; jama_paterson_2024_oi_240139_1741633738.12862.pdf — PDF p. 7; jama_paterson_2024_oi_240139_1741633738.12862.pdf — PDF p. 8; corroborating PLAN joi240139supp2_prod_1741633738.17362.pdf — PDF p. 14, secondary multiplicity convention</t>
        </is>
      </c>
      <c r="D2" s="21" t="inlineStr">
        <is>
          <t>retain</t>
        </is>
      </c>
      <c r="E2" s="21" t="inlineStr">
        <is>
          <t>statistical_results</t>
        </is>
      </c>
      <c r="F2" s="21" t="inlineStr">
        <is>
          <t>primary_done</t>
        </is>
      </c>
      <c r="G2" s="20">
        <f>IFERROR(IF(LEN(TRIM(CLEAN(SUBSTITUTE(Setup!$B$2,CHAR(160)," "))))=0,"CHECK REVIEWER ID",IF(OR(A2="",COUNTIF($A$2:$A$14,A2)&lt;&gt;1,LEFT(A2,LEN("2024::jama.2024.23898::"))&lt;&gt;"2024::jama.2024.23898::"),"CHECK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minor_presentation</t>
        </is>
      </c>
      <c r="J2" s="22" t="inlineStr">
        <is>
          <t>unlikely</t>
        </is>
      </c>
      <c r="K2" s="21">
        <f>IF(AND(OR(D2="retain",D2=""),OR(E2="report_internal_inconsistency",E2="plan_material")),"","not_applicable")</f>
        <v/>
      </c>
      <c r="L2" s="22">
        <f>IF(AND(OR(D2="retain",D2=""),E2="protocol_report"),"","not_applicable")</f>
        <v/>
      </c>
      <c r="M2" s="20" t="n"/>
      <c r="N2" s="23" t="n"/>
      <c r="O2" s="23" t="n"/>
      <c r="P2" s="23" t="n"/>
      <c r="Q2" s="23" t="n"/>
      <c r="R2" s="22" t="inlineStr">
        <is>
          <t>Abstract (p1) and Results (p5) state there was no significant difference in any of the 11 secondary end points, including quality of life; Table 2 (p6) gives EQ-5D-5L postoperative day 5 difference -0.057 (95% CI -0.111 to -0.003), P=.04. One of nine EQ-5D time points is nominally significant (unadjusted for multiplicity per SAP), contradicting the blanket summary.</t>
        </is>
      </c>
    </row>
    <row r="3" ht="92" customHeight="1" s="25">
      <c r="A3" s="24" t="inlineStr">
        <is>
          <t>2024::jama.2024.23898::C002</t>
        </is>
      </c>
      <c r="B3" s="24" t="inlineStr">
        <is>
          <t>Safety analysis population and exposure requirement</t>
        </is>
      </c>
      <c r="C3" s="24" t="inlineStr">
        <is>
          <t>PLAN joi240139supp2_prod_1741633738.17362.pdf — PDF p. 13, adverse-event population; REPORT jama_paterson_2024_oi_240139_1741633738.12862.pdf — PDF p. 3, Figure 1 receipt/safety boxes and footnote b; jama_paterson_2024_oi_240139_1741633738.12862.pdf — PDF p. 8, Table 3 AE/SAE rows, headings and footnote e</t>
        </is>
      </c>
      <c r="D3" s="21" t="inlineStr">
        <is>
          <t>retain</t>
        </is>
      </c>
      <c r="E3" s="21" t="inlineStr">
        <is>
          <t>protocol_report</t>
        </is>
      </c>
      <c r="F3" s="21" t="inlineStr">
        <is>
          <t>primary_done</t>
        </is>
      </c>
      <c r="G3" s="24">
        <f>IFERROR(IF(LEN(TRIM(CLEAN(SUBSTITUTE(Setup!$B$2,CHAR(160)," "))))=0,"CHECK REVIEWER ID",IF(OR(A3="",COUNTIF($A$2:$A$14,A3)&lt;&gt;1,LEFT(A3,LEN("2024::jama.2024.23898::"))&lt;&gt;"2024::jama.2024.23898::"),"CHECK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SAP (supp2 p13): safety data presented for all randomized participants who received the IMP. Figure 1 (main p9) labels 279 lidocaine and 279 placebo (primary analysis set plus 1 exposed exclusion) as the safety analysis, although 12 and 13 participants did not receive the drug (267 and 265 received it). Table 3 AE/SAE rows use these totals. Safety population includes 25 unexposed participants.</t>
        </is>
      </c>
    </row>
    <row r="4" ht="92" customHeight="1" s="25">
      <c r="A4" s="20" t="inlineStr">
        <is>
          <t>2024::jama.2024.23898::C003</t>
        </is>
      </c>
      <c r="B4" s="20" t="inlineStr">
        <is>
          <t>Postoperative opioid accumulation window</t>
        </is>
      </c>
      <c r="C4" s="20" t="inlineStr">
        <is>
          <t>PLAN joi240139supp1_prod_1741633738.16362.pdf — PDF p. 17; joi240139supp1_prod_1741633738.16362.pdf — PDF p. 33; joi240139supp1_prod_1741633738.16362.pdf — PDF p. 35; joi240139supp2_prod_1741633738.17362.pdf — PDF p. 11, collection schedule; REPORT jama_paterson_2024_oi_240139_1741633738.12862.pdf — PDF p. 4; jama_paterson_2024_oi_240139_1741633738.12862.pdf — PDF p. 5; jama_paterson_2024_oi_240139_1741633738.12862.pdf — PDF p. 6</t>
        </is>
      </c>
      <c r="D4" s="21" t="inlineStr">
        <is>
          <t>retain</t>
        </is>
      </c>
      <c r="E4" s="21" t="inlineStr">
        <is>
          <t>protocol_report</t>
        </is>
      </c>
      <c r="F4" s="21" t="inlineStr">
        <is>
          <t>primary_done</t>
        </is>
      </c>
      <c r="G4" s="20">
        <f>IFERROR(IF(LEN(TRIM(CLEAN(SUBSTITUTE(Setup!$B$2,CHAR(160)," "))))=0,"CHECK REVIEWER ID",IF(OR(A4="",COUNTIF($A$2:$A$14,A4)&lt;&gt;1,LEFT(A4,LEN("2024::jama.2024.23898::"))&lt;&gt;"2024::jama.2024.23898::"),"CHECK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Protocol and SAP (supp2 p10-11 schedule: 'Total opioid consumption in-hospital up to 72 hours') specify cumulative postoperative opioid consumption to 72 hours; the report (main p4, Table 2 p6) defines and reports postoperative opioid consumption up to 24 hours (medians 70.6 vs 45.0 mg OME). Outcome time window changed from 72 to 24 hours; not explained.</t>
        </is>
      </c>
    </row>
    <row r="5" ht="92" customHeight="1" s="25">
      <c r="A5" s="24" t="inlineStr">
        <is>
          <t>2024::jama.2024.23898::C004</t>
        </is>
      </c>
      <c r="B5" s="24" t="inlineStr">
        <is>
          <t>Total hospital stay outcome hierarchy</t>
        </is>
      </c>
      <c r="C5" s="24" t="inlineStr">
        <is>
          <t>Conflicting REPORT jama_paterson_2024_oi_240139_1741633738.12862.pdf — PDF p. 4; jama_paterson_2024_oi_240139_1741633738.12862.pdf — PDF p. 7; jama_paterson_2024_oi_240139_1741633738.12862.pdf — PDF p. 8; corroborating PLAN joi240139supp1_prod_1741633738.16362.pdf — PDF p. 16; joi240139supp1_prod_1741633738.16362.pdf — PDF p. 18; joi240139supp2_prod_1741633738.17362.pdf — PDF p. 10, tertiary outcomes</t>
        </is>
      </c>
      <c r="D5" s="21" t="inlineStr">
        <is>
          <t>retain</t>
        </is>
      </c>
      <c r="E5" s="21" t="inlineStr">
        <is>
          <t>report_internal_inconsistency</t>
        </is>
      </c>
      <c r="F5" s="21" t="inlineStr">
        <is>
          <t>primary_done</t>
        </is>
      </c>
      <c r="G5" s="24">
        <f>IFERROR(IF(LEN(TRIM(CLEAN(SUBSTITUTE(Setup!$B$2,CHAR(160)," "))))=0,"CHECK REVIEWER ID",IF(OR(A5="",COUNTIF($A$2:$A$14,A5)&lt;&gt;1,LEFT(A5,LEN("2024::jama.2024.23898::"))&lt;&gt;"2024::jama.2024.23898::"),"CHECK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t="inlineStr">
        <is>
          <t>minor_presentation</t>
        </is>
      </c>
      <c r="L5" s="22">
        <f>IF(AND(OR(D5="retain",D5=""),E5="protocol_report"),"","not_applicable")</f>
        <v/>
      </c>
      <c r="M5" s="24" t="n"/>
      <c r="N5" s="23" t="n"/>
      <c r="O5" s="23" t="n"/>
      <c r="P5" s="23" t="n"/>
      <c r="Q5" s="23" t="n"/>
      <c r="R5" s="22" t="inlineStr">
        <is>
          <t>Main p4 lists total length of hospital stay among 5 tertiary objectives, and Table 3 (p8) is titled Tertiary/Safety Outcomes; the discussion (p7) says no benefit on 'any of the 11 secondary end points including ... total length of hospital stay'. The formal list of 11 secondary outcomes excludes it. Hierarchy label conflict; the SAP notes the published protocol listed tertiary outcomes as secondary.</t>
        </is>
      </c>
    </row>
    <row r="6" ht="92" customHeight="1" s="25">
      <c r="A6" s="20" t="inlineStr">
        <is>
          <t>2024::jama.2024.23898::C005</t>
        </is>
      </c>
      <c r="B6" s="20" t="inlineStr">
        <is>
          <t>Unplanned readmission observation window</t>
        </is>
      </c>
      <c r="C6" s="20" t="inlineStr">
        <is>
          <t>PLAN joi240139supp1_prod_1741633738.16362.pdf — PDF p. 16; joi240139supp1_prod_1741633738.16362.pdf — PDF p. 18; joi240139supp2_prod_1741633738.17362.pdf — PDF p. 10; joi240139supp2_prod_1741633738.17362.pdf — PDF p. 27; REPORT jama_paterson_2024_oi_240139_1741633738.12862.pdf — PDF p. 4, outcomes and follow-up; jama_paterson_2024_oi_240139_1741633738.12862.pdf — PDF p. 8, Table 3 readmission row and footnote c</t>
        </is>
      </c>
      <c r="D6" s="21" t="inlineStr">
        <is>
          <t>retain</t>
        </is>
      </c>
      <c r="E6" s="21" t="inlineStr">
        <is>
          <t>protocol_report</t>
        </is>
      </c>
      <c r="F6" s="21" t="inlineStr">
        <is>
          <t>primary_done</t>
        </is>
      </c>
      <c r="G6" s="20">
        <f>IFERROR(IF(LEN(TRIM(CLEAN(SUBSTITUTE(Setup!$B$2,CHAR(160)," "))))=0,"CHECK REVIEWER ID",IF(OR(A6="",COUNTIF($A$2:$A$14,A6)&lt;&gt;1,LEFT(A6,LEN("2024::jama.2024.23898::"))&lt;&gt;"2024::jama.2024.23898::"),"CHECK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t="inlineStr">
        <is>
          <t>Protocol/SAP (supp2 p10: 'Unplanned re-admissions within 30 days of date of operation') and main methods (p4: 'unplanned readmission within 30 days of surgery') specify a 30-day window; Table 3 (p8) reports 'Unplanned readmission after discharge and within 90 d of operation': 31 (11.1%) vs 34 (12.2%). Window differs from plan and from the report's own methods.</t>
        </is>
      </c>
    </row>
    <row r="7" ht="92" customHeight="1" s="25">
      <c r="A7" s="24" t="inlineStr">
        <is>
          <t>2024::jama.2024.23898::C006</t>
        </is>
      </c>
      <c r="B7" s="24" t="inlineStr">
        <is>
          <t>Primary logit and log-link specifications</t>
        </is>
      </c>
      <c r="C7" s="24" t="inlineStr">
        <is>
          <t>PLAN joi240139supp1_prod_1741633738.16362.pdf — PDF p. 40, §10.2; physical page, printed footer Page 41 of 61; joi240139supp2_prod_1741633738.17362.pdf — PDF p. 3; joi240139supp2_prod_1741633738.17362.pdf — PDF p. 14; joi240139supp2_prod_1741633738.17362.pdf — PDF p. 34; REPORT jama_paterson_2024_oi_240139_1741633738.12862.pdf — PDF p. 5; jama_paterson_2024_oi_240139_1741633738.12862.pdf — PDF p. 6; protocol cover/version context joi240139supp1_prod_1741633738.16362.pdf — PDF p. 1</t>
        </is>
      </c>
      <c r="D7" s="21" t="inlineStr">
        <is>
          <t>retain</t>
        </is>
      </c>
      <c r="E7" s="21" t="inlineStr">
        <is>
          <t>protocol_report</t>
        </is>
      </c>
      <c r="F7" s="21" t="inlineStr">
        <is>
          <t>primary_done</t>
        </is>
      </c>
      <c r="G7" s="24">
        <f>IFERROR(IF(LEN(TRIM(CLEAN(SUBSTITUTE(Setup!$B$2,CHAR(160)," "))))=0,"CHECK REVIEWER ID",IF(OR(A7="",COUNTIF($A$2:$A$14,A7)&lt;&gt;1,LEFT(A7,LEN("2024::jama.2024.23898::"))&lt;&gt;"2024::jama.2024.23898::"),"CHECK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t="inlineStr">
        <is>
          <t>substantive_difference</t>
        </is>
      </c>
      <c r="M7" s="24" t="n"/>
      <c r="N7" s="23" t="n"/>
      <c r="O7" s="23" t="n"/>
      <c r="P7" s="23" t="n"/>
      <c r="Q7" s="23" t="n"/>
      <c r="R7" s="22" t="inlineStr">
        <is>
          <t>Protocol section 10.2 (supp1 p40) specifies a GLM with logit link for the primary outcome; report (main p5) uses log link (RR 0.97). SAP v2 change log (supp2 p3) states the analysis used log link, the earlier logit wording was an error, and the change was made after analysis was completed (09/09/2024). Disclosed in the SAP; effect measure changed from OR to RR.</t>
        </is>
      </c>
    </row>
    <row r="8" ht="92" customHeight="1" s="25">
      <c r="A8" s="20" t="inlineStr">
        <is>
          <t>2024::jama.2024.23898::C007</t>
        </is>
      </c>
      <c r="B8" s="20" t="inlineStr">
        <is>
          <t>Planned unadjusted primary and key-secondary analyses</t>
        </is>
      </c>
      <c r="C8" s="20" t="inlineStr">
        <is>
          <t>PLAN joi240139supp2_prod_1741633738.17362.pdf — PDF p. 20, Tables 13.8–13.9; joi240139supp2_prod_1741633738.17362.pdf — PDF p. 21, Table 13.10; joi240139supp2_prod_1741633738.17362.pdf — PDF p. 26, Tables 13.21–13.22; reported-output/key-secondary identification jama_paterson_2024_oi_240139_1741633738.12862.pdf — PDF p. 1; jama_paterson_2024_oi_240139_1741633738.12862.pdf — PDF p. 5; jama_paterson_2024_oi_240139_1741633738.12862.pdf — PDF p. 6; jama_paterson_2024_oi_240139_1741633738.12862.pdf — PDF p. 7; jama_paterson_2024_oi_240139_1741633738.12862.pdf — PDF p. 8; joi240139supp3_prod_1741633738.18862.pdf — PDF p. 2, subgroup outputs; complete absence-search REPORT union: jama_paterson_2024_oi_240139_1741633738.12862.pdf — PDF p. 1; jama_paterson_2024_oi_240139_1741633738.12862.pdf — PDF p. 2; jama_paterson_2024_oi_240139_1741633738.12862.pdf — PDF p. 3; jama_paterson_2024_oi_240139_1741633738.12862.pdf — PDF p. 4; jama_paterson_2024_oi_240139_1741633738.12862.pdf — PDF p. 5; jama_paterson_2024_oi_240139_1741633738.12862.pdf — PDF p. 6; jama_paterson_2024_oi_240139_1741633738.12862.pdf — PDF p. 7; jama_paterson_2024_oi_240139_1741633738.12862.pdf — PDF p. 8; jama_paterson_2024_oi_240139_1741633738.12862.pdf — PDF p. 9; jama_paterson_2024_oi_240139_1741633738.12862.pdf — PDF p. 10; joi240139supp3_prod_1741633738.18862.pdf — PDF p. 1; joi240139supp3_prod_1741633738.18862.pdf — PDF p. 2; joi240139supp4_prod_1741633738.20861.pdf — PDF p. 1</t>
        </is>
      </c>
      <c r="D8" s="21" t="inlineStr">
        <is>
          <t>retain</t>
        </is>
      </c>
      <c r="E8" s="21" t="inlineStr">
        <is>
          <t>protocol_report</t>
        </is>
      </c>
      <c r="F8" s="21" t="inlineStr">
        <is>
          <t>primary_done</t>
        </is>
      </c>
      <c r="G8" s="20">
        <f>IFERROR(IF(LEN(TRIM(CLEAN(SUBSTITUTE(Setup!$B$2,CHAR(160)," "))))=0,"CHECK REVIEWER ID",IF(OR(A8="",COUNTIF($A$2:$A$14,A8)&lt;&gt;1,LEFT(A8,LEN("2024::jama.2024.23898::"))&lt;&gt;"2024::jama.2024.23898::"),"CHECK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f>IF(AND(OR(D8="retain",D8=""),E8="protocol_report"),"","not_applicable")</f>
        <v/>
      </c>
      <c r="M8" s="20" t="n"/>
      <c r="N8" s="23" t="n"/>
      <c r="O8" s="23" t="n"/>
      <c r="P8" s="23" t="n"/>
      <c r="Q8" s="23" t="n"/>
      <c r="R8" s="22" t="inlineStr">
        <is>
          <t>SAP shell Tables 13.8-13.10 and 13.21-13.22 (supp2 p20-21, p26) plan both unadjusted and minimization-adjusted estimates (95% CI, P) for the primary outcome (ITT and per-protocol), GI-2/GI-3 time, prolonged ileus and discharge readiness. Only adjusted estimates are reported (main Table 2). Unadjusted results are absent; the SAP's analysis text (11.3) specifies the adjusted model as the analysis, so the omission is of supplementary output.</t>
        </is>
      </c>
    </row>
    <row r="9" ht="92" customHeight="1" s="25">
      <c r="A9" s="24" t="inlineStr">
        <is>
          <t>2024::jama.2024.23898::C008</t>
        </is>
      </c>
      <c r="B9" s="24" t="inlineStr">
        <is>
          <t>Planned Edinburgh primary sensitivity analysis</t>
        </is>
      </c>
      <c r="C9" s="24" t="inlineStr">
        <is>
          <t>PLAN joi240139supp2_prod_1741633738.17362.pdf — PDF p.15, §11.6 primary sensitivity analysis. REPORT jama_paterson_2024_oi_240139_1741633738.12862.pdf — PDF p.5, analysis methods and results, jama_paterson_2024_oi_240139_1741633738.12862.pdf — PDF p.6, Table 2 primary estimates, jama_paterson_2024_oi_240139_1741633738.12862.pdf — PDF p.7, robustness discussion, jama_paterson_2024_oi_240139_1741633738.12862.pdf — PDF p.9, limitations, and joi240139supp3_prod_1741633738.18862.pdf — PDF p.2, subgroup eFigure. The absence check also covered every remaining page of the main article, both pages of the subgroup supplement and joi240139supp4_prod_1741633738.20861.pdf — PDF p.1, data-sharing statement, comprising all 13 supplied REPORT pages.</t>
        </is>
      </c>
      <c r="D9" s="21" t="inlineStr">
        <is>
          <t>retain</t>
        </is>
      </c>
      <c r="E9" s="21" t="inlineStr">
        <is>
          <t>protocol_report</t>
        </is>
      </c>
      <c r="F9" s="21" t="inlineStr">
        <is>
          <t>primary_done</t>
        </is>
      </c>
      <c r="G9" s="24">
        <f>IFERROR(IF(LEN(TRIM(CLEAN(SUBSTITUTE(Setup!$B$2,CHAR(160)," "))))=0,"CHECK REVIEWER ID",IF(OR(A9="",COUNTIF($A$2:$A$14,A9)&lt;&gt;1,LEFT(A9,LEN("2024::jama.2024.23898::"))&lt;&gt;"2024::jama.2024.23898::"),"CHECK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t="inlineStr">
        <is>
          <t>substantive_difference</t>
        </is>
      </c>
      <c r="M9" s="24" t="n"/>
      <c r="N9" s="23" t="n"/>
      <c r="O9" s="23" t="n"/>
      <c r="P9" s="23" t="n"/>
      <c r="Q9" s="23" t="n"/>
      <c r="R9" s="22" t="inlineStr">
        <is>
          <t>SAP 11.6 (supp2 p15) plans a sensitivity analysis of the primary outcome comparing Edinburgh (sponsor site, expected largest recruiter) with the other centres, unconditionally. No such analysis appears in the main article or the subgroup eFigure (supp3 p2).</t>
        </is>
      </c>
    </row>
    <row r="10" ht="92" customHeight="1" s="25">
      <c r="A10" s="20" t="inlineStr">
        <is>
          <t>2024::jama.2024.23898::C009</t>
        </is>
      </c>
      <c r="B10" s="20" t="inlineStr">
        <is>
          <t>Discharge and readiness model specifications</t>
        </is>
      </c>
      <c r="C10" s="20" t="inlineStr">
        <is>
          <t>PLAN joi240139supp2_prod_1741633738.17362.pdf — PDF p.14, §11.4 secondary analyses, joi240139supp2_prod_1741633738.17362.pdf — PDF p.26, Tables 13.21–13.22 and model footnotes, and joi240139supp2_prod_1741633738.17362.pdf — PDF p.36, discharge/readiness sample commands. REPORT jama_paterson_2024_oi_240139_1741633738.12862.pdf — PDF p.5, time-to-event methods and jama_paterson_2024_oi_240139_1741633738.12862.pdf — PDF p.7, Table 2 medical-discharge/patient-readiness rows and footnotes c,d.</t>
        </is>
      </c>
      <c r="D10" s="21" t="inlineStr">
        <is>
          <t>retain</t>
        </is>
      </c>
      <c r="E10" s="21" t="inlineStr">
        <is>
          <t>plan_material</t>
        </is>
      </c>
      <c r="F10" s="21" t="inlineStr">
        <is>
          <t>primary_done</t>
        </is>
      </c>
      <c r="G10" s="20">
        <f>IFERROR(IF(LEN(TRIM(CLEAN(SUBSTITUTE(Setup!$B$2,CHAR(160)," "))))=0,"CHECK REVIEWER ID",IF(OR(A10="",COUNTIF($A$2:$A$14,A10)&lt;&gt;1,LEFT(A10,LEN("2024::jama.2024.23898::"))&lt;&gt;"2024::jama.2024.23898::"),"CHECK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f>IF(AND(OR(D10="retain",D10=""),E10="statistical_results"),"","not_applicable")</f>
        <v/>
      </c>
      <c r="I10" s="21">
        <f>IF(AND(OR(D10="retain",D10=""),E10="statistical_results"),"","not_applicable")</f>
        <v/>
      </c>
      <c r="J10" s="22">
        <f>IF(AND(OR(D10="retain",D10=""),E10="statistical_results"),"","not_applicable")</f>
        <v/>
      </c>
      <c r="K10" s="21" t="inlineStr">
        <is>
          <t>minor_presentation</t>
        </is>
      </c>
      <c r="L10" s="22">
        <f>IF(AND(OR(D10="retain",D10=""),E10="protocol_report"),"","not_applicable")</f>
        <v/>
      </c>
      <c r="M10" s="20" t="n"/>
      <c r="N10" s="23" t="n"/>
      <c r="O10" s="23" t="n"/>
      <c r="P10" s="23" t="n"/>
      <c r="Q10" s="23" t="n"/>
      <c r="R10" s="22" t="inlineStr">
        <is>
          <t>E changed from protocol_report: the conflict is within the SAP. SAP 11.4 (supp2 p14) specifies Cox regression for time-to-event outcomes, while shell Tables 13.21-13.22 (p26) footnote 'Generalised linear model' and the sample code (p36) uses meglm for time to medical criteria and readiness for discharge. The report used Cox (HR 0.99), matching the SAP's analysis text.</t>
        </is>
      </c>
    </row>
    <row r="11" ht="92" customHeight="1" s="25">
      <c r="A11" s="24" t="inlineStr">
        <is>
          <t>2024::jama.2024.23898::C010</t>
        </is>
      </c>
      <c r="B11" s="24" t="inlineStr">
        <is>
          <t>Planned key-secondary result components</t>
        </is>
      </c>
      <c r="C11" s="24" t="inlineStr">
        <is>
          <t>The five component groups and their affected locations are listed separately below. Key-secondary status is established by REPORT jama_paterson_2024_oi_240139_1741633738.12862.pdf — PDF p.1, abstract outcome list and jama_paterson_2024_oi_240139_1741633738.12862.pdf — PDF p.4, outcome list; jama_paterson_2024_oi_240139_1741633738.12862.pdf — PDF p.5, results summary supplies no missing component output. The absence comparison covered the complete main article, the two-page subgroup supplement and joi240139supp4_prod_1741633738.20861.pdf — PDF p.1, all 13 REPORT pages.</t>
        </is>
      </c>
      <c r="D11" s="21" t="inlineStr">
        <is>
          <t>retain</t>
        </is>
      </c>
      <c r="E11" s="21" t="inlineStr">
        <is>
          <t>protocol_report</t>
        </is>
      </c>
      <c r="F11" s="21" t="inlineStr">
        <is>
          <t>primary_done</t>
        </is>
      </c>
      <c r="G11" s="24">
        <f>IFERROR(IF(LEN(TRIM(CLEAN(SUBSTITUTE(Setup!$B$2,CHAR(160)," "))))=0,"CHECK REVIEWER ID",IF(OR(A11="",COUNTIF($A$2:$A$14,A11)&lt;&gt;1,LEFT(A11,LEN("2024::jama.2024.23898::"))&lt;&gt;"2024::jama.2024.23898::"),"CHECK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f>IF(AND(OR(D11="retain",D11=""),E11="statistical_results"),"","not_applicable")</f>
        <v/>
      </c>
      <c r="I11" s="21">
        <f>IF(AND(OR(D11="retain",D11=""),E11="statistical_results"),"","not_applicable")</f>
        <v/>
      </c>
      <c r="J11" s="22">
        <f>IF(AND(OR(D11="retain",D11=""),E11="statistical_results"),"","not_applicable")</f>
        <v/>
      </c>
      <c r="K11" s="21">
        <f>IF(AND(OR(D11="retain",D11=""),OR(E11="report_internal_inconsistency",E11="plan_material")),"","not_applicable")</f>
        <v/>
      </c>
      <c r="L11" s="22" t="inlineStr">
        <is>
          <t>substantive_difference</t>
        </is>
      </c>
      <c r="M11" s="24" t="n"/>
      <c r="N11" s="23" t="n"/>
      <c r="O11" s="23" t="n"/>
      <c r="P11" s="23" t="n"/>
      <c r="Q11" s="23" t="n"/>
      <c r="R11" s="22" t="inlineStr">
        <is>
          <t>SAP shells plan outputs not found in the report: GI-2 status by 96 hours (Table 13.7, p20), total vomiting episodes and rescue antiemetic dose over 72 hours (Table 13.12 and schedule p11), EQ-5D visual analog scale at follow-up visits, and patient weight on postoperative day 1 (Table 13.20, p26). The report gives GI-2 only as time-to-event, PONV as score &gt;=5 by day, EQ-5D index only and no weight.</t>
        </is>
      </c>
    </row>
    <row r="12" ht="92" customHeight="1" s="25">
      <c r="A12" s="20" t="inlineStr">
        <is>
          <t>2024::jama.2024.23898::C011</t>
        </is>
      </c>
      <c r="B12" s="20" t="inlineStr">
        <is>
          <t>GI-2 and GI-3 survival time origin</t>
        </is>
      </c>
      <c r="C12" s="20" t="inlineStr">
        <is>
          <t>PLAN joi240139supp1_prod_1741633738.16362.pdf — PDF p.16, GI-2/GI-3 endpoint definitions; joi240139supp2_prod_1741633738.17362.pdf — PDF p.9, endpoint prose, joi240139supp2_prod_1741633738.17362.pdf — PDF p.33, binary composite definitions, and joi240139supp2_prod_1741633738.17362.pdf — PDF p.34, continuous survival Time definitions. Corroborating REPORT jama_paterson_2024_oi_240139_1741633738.12862.pdf — PDF p.6, GI-2/GI-3 time-to-event results and jama_paterson_2024_oi_240139_1741633738.12862.pdf — PDF p.8, Figure 2 time axis.</t>
        </is>
      </c>
      <c r="D12" s="21" t="inlineStr">
        <is>
          <t>retain</t>
        </is>
      </c>
      <c r="E12" s="21" t="inlineStr">
        <is>
          <t>plan_material</t>
        </is>
      </c>
      <c r="F12" s="21" t="inlineStr">
        <is>
          <t>primary_done</t>
        </is>
      </c>
      <c r="G12" s="20">
        <f>IFERROR(IF(LEN(TRIM(CLEAN(SUBSTITUTE(Setup!$B$2,CHAR(160)," "))))=0,"CHECK REVIEWER ID",IF(OR(A12="",COUNTIF($A$2:$A$14,A12)&lt;&gt;1,LEFT(A12,LEN("2024::jama.2024.23898::"))&lt;&gt;"2024::jama.2024.23898::"),"CHECK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t="inlineStr">
        <is>
          <t>minor_presentation</t>
        </is>
      </c>
      <c r="L12" s="22">
        <f>IF(AND(OR(D12="retain",D12=""),E12="protocol_report"),"","not_applicable")</f>
        <v/>
      </c>
      <c r="M12" s="20" t="n"/>
      <c r="N12" s="23" t="n"/>
      <c r="O12" s="23" t="n"/>
      <c r="P12" s="23" t="n"/>
      <c r="Q12" s="23" t="n"/>
      <c r="R12" s="22" t="inlineStr">
        <is>
          <t>Within the plans: GI-2/GI-3 time endpoints are defined as time from surgery/start of operation (protocol p16; SAP p9), while the SAP variable definitions for the Cox models (p34) define Time from the start of general anaesthetic. Different time origins for the same time-to-event outcomes.</t>
        </is>
      </c>
    </row>
    <row r="13" ht="92" customHeight="1" s="25">
      <c r="A13" s="24" t="inlineStr">
        <is>
          <t>2024::jama.2024.23898::C012</t>
        </is>
      </c>
      <c r="B13" s="24" t="inlineStr">
        <is>
          <t>ERAS subgroup age adjustment specification</t>
        </is>
      </c>
      <c r="C13" s="24" t="inlineStr">
        <is>
          <t>PLAN joi240139supp2_prod_1741633738.17362.pdf — PDF p.14, §11.3–11.5 model/subgroup instructions, joi240139supp2_prod_1741633738.17362.pdf — PDF p.15, subgroup specification continued, and joi240139supp2_prod_1741633738.17362.pdf — PDF p.38, ERAS sample command and adjacent age-subgroup command. joi240139supp2_prod_1741633738.17362.pdf — SAP PDF p.34, primary-model sample command corroborates the age term. REPORT jama_paterson_2024_oi_240139_1741633738.12862.pdf — PDF p.5, subgroup interaction method and joi240139supp3_prod_1741633738.18862.pdf — PDF p.2, ERAS subgroup results provide context and the affected estimates.</t>
        </is>
      </c>
      <c r="D13" s="21" t="inlineStr">
        <is>
          <t>retain</t>
        </is>
      </c>
      <c r="E13" s="21" t="inlineStr">
        <is>
          <t>plan_material</t>
        </is>
      </c>
      <c r="F13" s="21" t="inlineStr">
        <is>
          <t>primary_done</t>
        </is>
      </c>
      <c r="G13" s="24">
        <f>IFERROR(IF(LEN(TRIM(CLEAN(SUBSTITUTE(Setup!$B$2,CHAR(160)," "))))=0,"CHECK REVIEWER ID",IF(OR(A13="",COUNTIF($A$2:$A$14,A13)&lt;&gt;1,LEFT(A13,LEN("2024::jama.2024.23898::"))&lt;&gt;"2024::jama.2024.23898::"),"CHECK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f>IF(AND(OR(D13="retain",D13=""),E13="statistical_results"),"","not_applicable")</f>
        <v/>
      </c>
      <c r="I13" s="21">
        <f>IF(AND(OR(D13="retain",D13=""),E13="statistical_results"),"","not_applicable")</f>
        <v/>
      </c>
      <c r="J13" s="22">
        <f>IF(AND(OR(D13="retain",D13=""),E13="statistical_results"),"","not_applicable")</f>
        <v/>
      </c>
      <c r="K13" s="21" t="inlineStr">
        <is>
          <t>minor_presentation</t>
        </is>
      </c>
      <c r="L13" s="22">
        <f>IF(AND(OR(D13="retain",D13=""),E13="protocol_report"),"","not_applicable")</f>
        <v/>
      </c>
      <c r="M13" s="24" t="n"/>
      <c r="N13" s="23" t="n"/>
      <c r="O13" s="23" t="n"/>
      <c r="P13" s="23" t="n"/>
      <c r="Q13" s="23" t="n"/>
      <c r="R13" s="22" t="inlineStr">
        <is>
          <t>SAP 11.5 (supp2 p14-15) says subgroup interactions use the primary model (adjusted for age, sex, centre); the sample command for the ERAS subgroup (p38) omits AgeBand while the adjacent subgroup commands include it. The SAP change log also records the ERAS subgroup as an omission corrected after the fact, and the eFigure notes ERAS categories were not predefined.</t>
        </is>
      </c>
    </row>
    <row r="14" ht="92" customHeight="1" s="25">
      <c r="A14" s="20" t="inlineStr">
        <is>
          <t>2024::jama.2024.23898::C013</t>
        </is>
      </c>
      <c r="B14" s="20" t="inlineStr">
        <is>
          <t>Subgroup confidence-level definitions</t>
        </is>
      </c>
      <c r="C14" s="20" t="inlineStr">
        <is>
          <t>REPORT joi240139supp3_prod_1741633738.18862.pdf — PDF p.2, eFigure horizontal-line legend, 12 subgroup rows, overall row and numeric-interval caption. Corroborating REPORT jama_paterson_2024_oi_240139_1741633738.12862.pdf — PDF p.5, confidence/subgroup methods, jama_paterson_2024_oi_240139_1741633738.12862.pdf — PDF p.6, overall primary 95% interval, and PLAN joi240139supp2_prod_1741633738.17362.pdf — PDF p.15, subgroup significance and CI rule.</t>
        </is>
      </c>
      <c r="D14" s="21" t="inlineStr">
        <is>
          <t>retain</t>
        </is>
      </c>
      <c r="E14" s="21" t="inlineStr">
        <is>
          <t>statistical_results</t>
        </is>
      </c>
      <c r="F14" s="21" t="inlineStr">
        <is>
          <t>primary_done</t>
        </is>
      </c>
      <c r="G14" s="20">
        <f>IFERROR(IF(LEN(TRIM(CLEAN(SUBSTITUTE(Setup!$B$2,CHAR(160)," "))))=0,"CHECK REVIEWER ID",IF(OR(A14="",COUNTIF($A$2:$A$14,A14)&lt;&gt;1,LEFT(A14,LEN("2024::jama.2024.23898::"))&lt;&gt;"2024::jama.2024.23898::"),"CHECK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minor_presentation</t>
        </is>
      </c>
      <c r="J14" s="22" t="inlineStr">
        <is>
          <t>unlikely</t>
        </is>
      </c>
      <c r="K14" s="21">
        <f>IF(AND(OR(D14="retain",D14=""),OR(E14="report_internal_inconsistency",E14="plan_material")),"","not_applicable")</f>
        <v/>
      </c>
      <c r="L14" s="22">
        <f>IF(AND(OR(D14="retain",D14=""),E14="protocol_report"),"","not_applicable")</f>
        <v/>
      </c>
      <c r="M14" s="20" t="n"/>
      <c r="N14" s="23" t="n"/>
      <c r="O14" s="23" t="n"/>
      <c r="P14" s="23" t="n"/>
      <c r="Q14" s="23" t="n"/>
      <c r="R14" s="22" t="inlineStr">
        <is>
          <t>Subgroup eFigure (supp3 p2, rendered): legend labels the plotted intervals '99% CI', the caption says the numbers on the right are relative risks with 95% CIs, and the plotted lines coincide with the printed numeric intervals (e.g., low ERAS 0.49-2.08). SAP 11.5 specifies 99% CIs for subgroups. The confidence level of the subgroup intervals cannot be determined.</t>
        </is>
      </c>
    </row>
  </sheetData>
  <autoFilter ref="A1:R14"/>
  <conditionalFormatting sqref="H2:H14">
    <cfRule type="expression" priority="8" dxfId="70">
      <formula>NOT(AND(OR($D2="retain",$D2=""),$E2="statistical_results"))</formula>
    </cfRule>
  </conditionalFormatting>
  <conditionalFormatting sqref="I2:I14">
    <cfRule type="expression" priority="9" dxfId="70">
      <formula>NOT(AND(OR($D2="retain",$D2=""),$E2="statistical_results"))</formula>
    </cfRule>
  </conditionalFormatting>
  <conditionalFormatting sqref="J2:J14">
    <cfRule type="expression" priority="10" dxfId="70">
      <formula>NOT(AND(OR($D2="retain",$D2=""),$E2="statistical_results"))</formula>
    </cfRule>
  </conditionalFormatting>
  <conditionalFormatting sqref="K2:K14">
    <cfRule type="expression" priority="11" dxfId="70">
      <formula>NOT(AND(OR($D2="retain",$D2=""),OR($E2="report_internal_inconsistency",$E2="plan_material")))</formula>
    </cfRule>
  </conditionalFormatting>
  <conditionalFormatting sqref="L2:L14">
    <cfRule type="expression" priority="12" dxfId="70">
      <formula>NOT(AND(OR($D2="retain",$D2=""),$E2="protocol_report"))</formula>
    </cfRule>
  </conditionalFormatting>
  <conditionalFormatting sqref="G2:G14">
    <cfRule type="expression" priority="13" dxfId="71">
      <formula>G2&lt;&gt;"PRIMARY READY"</formula>
    </cfRule>
  </conditionalFormatting>
  <dataValidations count="8">
    <dataValidation sqref="D2:D14" showDropDown="0" showInputMessage="0" showErrorMessage="1" allowBlank="1" errorTitle="Use a listed option" error="Choose an option; G also checks pasted entries." type="list" errorStyle="stop">
      <formula1>"retain,exclude,discuss"</formula1>
    </dataValidation>
    <dataValidation sqref="E2:E14"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4" showDropDown="0" showInputMessage="0" showErrorMessage="1" allowBlank="1" errorTitle="Use a listed option" error="Choose an option; G also checks pasted entries." type="list" errorStyle="stop">
      <formula1>"no,primary_done"</formula1>
    </dataValidation>
    <dataValidation sqref="H2:H14"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4"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4" showDropDown="0" showInputMessage="0" showErrorMessage="1" allowBlank="1" errorTitle="Use a listed option" error="Choose an option; G also checks pasted entries." type="list" errorStyle="stop">
      <formula1>"direct,possible,unlikely,unknown,not_applicable"</formula1>
    </dataValidation>
    <dataValidation sqref="K2:K14"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4"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R16"/>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2024::jama.2024.25786::C001</t>
        </is>
      </c>
      <c r="B2" s="20" t="inlineStr">
        <is>
          <t>Randomized counts carry retained or analyzed population labels</t>
        </is>
      </c>
      <c r="C2" s="20" t="inlineStr">
        <is>
          <t>jama_arleth_2024_oi_240147_1738701765.27201.pdf — REPORT main PDF p. 1; jama_arleth_2024_oi_240147_1738701765.27201.pdf — REPORT main PDF p. 2; jama_arleth_2024_oi_240147_1738701765.27201.pdf — REPORT main PDF p. 3; jama_arleth_2024_oi_240147_1738701765.27201.pdf — REPORT main PDF p. 5.</t>
        </is>
      </c>
      <c r="D2" s="21" t="inlineStr">
        <is>
          <t>retain</t>
        </is>
      </c>
      <c r="E2" s="21" t="inlineStr">
        <is>
          <t>statistical_results</t>
        </is>
      </c>
      <c r="F2" s="21" t="inlineStr">
        <is>
          <t>primary_done</t>
        </is>
      </c>
      <c r="G2" s="20">
        <f>IFERROR(IF(LEN(TRIM(CLEAN(SUBSTITUTE(Setup!$B$2,CHAR(160)," "))))=0,"CHECK REVIEWER ID",IF(OR(A2="",COUNTIF($A$2:$A$16,A2)&lt;&gt;1,LEFT(A2,LEN("2024::jama.2024.25786::"))&lt;&gt;"2024::jama.2024.25786::"),"CHECK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substantive</t>
        </is>
      </c>
      <c r="J2" s="22" t="inlineStr">
        <is>
          <t>direct</t>
        </is>
      </c>
      <c r="K2" s="21">
        <f>IF(AND(OR(D2="retain",D2=""),OR(E2="report_internal_inconsistency",E2="plan_material")),"","not_applicable")</f>
        <v/>
      </c>
      <c r="L2" s="22">
        <f>IF(AND(OR(D2="retain",D2=""),E2="protocol_report"),"","not_applicable")</f>
        <v/>
      </c>
      <c r="M2" s="20" t="n"/>
      <c r="N2" s="23" t="n"/>
      <c r="O2" s="23" t="n"/>
      <c r="P2" s="23" t="n"/>
      <c r="Q2" s="23" t="n"/>
      <c r="R2" s="22" t="inlineStr">
        <is>
          <t>Abstract (p1) says patients were 'randomly assigned 1:1 to restrictive (n = 733) or liberal (n = 724)'; Key Points (p2) say 'Among 1508 randomized adult trauma patients'. Figure 1 (p3) and Results (p5): 1979 randomized (983 restrictive, 994 liberal after 2 lost envelopes), 1508 completed (750/758), 733/724 in the primary analysis. 733/724 are analyzed and 1508 completed patients, not randomized counts.</t>
        </is>
      </c>
    </row>
    <row r="3" ht="92" customHeight="1" s="25">
      <c r="A3" s="24" t="inlineStr">
        <is>
          <t>2024::jama.2024.25786::C002</t>
        </is>
      </c>
      <c r="B3" s="24" t="inlineStr">
        <is>
          <t>Accrual maximum and evaluable target use unclear populations</t>
        </is>
      </c>
      <c r="C3" s="24" t="inlineStr">
        <is>
          <t>jama_arleth_2024_oi_240147_1738701765.27201.pdf — REPORT main PDF p. 3; jama_arleth_2024_oi_240147_1738701765.27201.pdf — REPORT main PDF p. 5; joi240147supp1_prod_1738701765.28701.pdf — PLAN plan PDF p. 13; joi240147supp1_prod_1738701765.28701.pdf — PLAN plan PDF p. 26; joi240147supp1_prod_1738701765.28701.pdf — PLAN plan PDF p. 49; joi240147supp1_prod_1738701765.28701.pdf — PLAN plan PDF p. 62; joi240147supp1_prod_1738701765.28701.pdf — PLAN plan PDF p. 84; joi240147supp1_prod_1738701765.28701.pdf — PLAN plan PDF p. 85.</t>
        </is>
      </c>
      <c r="D3" s="21" t="inlineStr">
        <is>
          <t>retain</t>
        </is>
      </c>
      <c r="E3" s="21" t="inlineStr">
        <is>
          <t>protocol_report</t>
        </is>
      </c>
      <c r="F3" s="21" t="inlineStr">
        <is>
          <t>primary_done</t>
        </is>
      </c>
      <c r="G3" s="24">
        <f>IFERROR(IF(LEN(TRIM(CLEAN(SUBSTITUTE(Setup!$B$2,CHAR(160)," "))))=0,"CHECK REVIEWER ID",IF(OR(A3="",COUNTIF($A$2:$A$16,A3)&lt;&gt;1,LEFT(A3,LEN("2024::jama.2024.25786::"))&lt;&gt;"2024::jama.2024.25786::"),"CHECK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indeterminate</t>
        </is>
      </c>
      <c r="M3" s="24" t="n"/>
      <c r="N3" s="23" t="n"/>
      <c r="O3" s="23" t="n"/>
      <c r="P3" s="23" t="n"/>
      <c r="Q3" s="23" t="n"/>
      <c r="R3" s="22" t="inlineStr">
        <is>
          <t>Protocol (supp1 p13, p26; final p49, p62): include up to 1600 participants and stop when 1420 evaluable participants with 30-day follow-up are reached. SAP (p85) and main p5: 1420 including a 3.5% dropout; main p5 also says the trial ends after 1420 evaluable patients. Realized: 1979 randomized, 1508 completed, 1457 with primary outcome. Whether 1600 referred to randomized or retained participants, and whether 1420 is evaluable or includes dropouts, is not defined consistently.</t>
        </is>
      </c>
    </row>
    <row r="4" ht="92" customHeight="1" s="25">
      <c r="A4" s="20" t="inlineStr">
        <is>
          <t>2024::jama.2024.25786::C003</t>
        </is>
      </c>
      <c r="B4" s="20" t="inlineStr">
        <is>
          <t>Prespecified secondary outcome hierarchy becomes key or exploratory</t>
        </is>
      </c>
      <c r="C4" s="20" t="inlineStr">
        <is>
          <t>jama_arleth_2024_oi_240147_1738701765.27201.pdf — REPORT main PDF p. 5; jama_arleth_2024_oi_240147_1738701765.27201.pdf — REPORT main PDF p. 6; joi240147supp1_prod_1738701765.28701.pdf — PLAN plan PDF p. 13; joi240147supp1_prod_1738701765.28701.pdf — PLAN plan PDF p. 23; joi240147supp1_prod_1738701765.28701.pdf — PLAN plan PDF p. 24; joi240147supp1_prod_1738701765.28701.pdf — PLAN plan PDF p. 49; joi240147supp1_prod_1738701765.28701.pdf — PLAN plan PDF p. 59; joi240147supp1_prod_1738701765.28701.pdf — PLAN plan PDF p. 60; joi240147supp1_prod_1738701765.28701.pdf — PLAN plan PDF p. 80; joi240147supp1_prod_1738701765.28701.pdf — PLAN plan PDF p. 84; joi240147supp1_prod_1738701765.28701.pdf — PLAN plan PDF p. 85; joi240147supp1_prod_1738701765.28701.pdf — PLAN plan PDF p. 86; joi240147supp1_prod_1738701765.28701.pdf — PLAN plan PDF p. 88; joi240147supp1_prod_1738701765.28701.pdf — PLAN plan PDF p. 89; joi240147supp1_prod_1738701765.28701.pdf — PLAN plan PDF p. 92; joi240147supp1_prod_1738701765.28701.pdf — PLAN plan PDF p. 100; joi240147supp1_prod_1738701765.28701.pdf — PLAN plan PDF p. 101; joi240147supp2_prod_1738701765.29201.pdf — REPORT results PDF p. 10; joi240147supp2_prod_1738701765.29201.pdf — REPORT results PDF p. 17; joi240147supp2_prod_1738701765.29201.pdf — REPORT results PDF p. 18; joi240147supp2_prod_1738701765.29201.pdf — REPORT results PDF p. 19.</t>
        </is>
      </c>
      <c r="D4" s="21" t="inlineStr">
        <is>
          <t>retain</t>
        </is>
      </c>
      <c r="E4" s="21" t="inlineStr">
        <is>
          <t>protocol_report</t>
        </is>
      </c>
      <c r="F4" s="21" t="inlineStr">
        <is>
          <t>primary_done</t>
        </is>
      </c>
      <c r="G4" s="20">
        <f>IFERROR(IF(LEN(TRIM(CLEAN(SUBSTITUTE(Setup!$B$2,CHAR(160)," "))))=0,"CHECK REVIEWER ID",IF(OR(A4="",COUNTIF($A$2:$A$16,A4)&lt;&gt;1,LEFT(A4,LEN("2024::jama.2024.25786::"))&lt;&gt;"2024::jama.2024.25786::"),"CHECK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Protocols (supp1 p13, p23-24; final p49, p59-60) list secondary outcomes without hierarchy. SAP (p85-89; approved 11 Jan 2023 while still recruiting, before export) designates 30-day mortality and major respiratory complications as key secondary outcomes and the rest as exploratory with Benjamini-Hochberg FDR control; the report follows the SAP (main p5-6; supp2 eTables 4-6). Outcome-status change relative to the protocol, documented prospectively in the SAP.</t>
        </is>
      </c>
    </row>
    <row r="5" ht="92" customHeight="1" s="25">
      <c r="A5" s="24" t="inlineStr">
        <is>
          <t>2024::jama.2024.25786::C004</t>
        </is>
      </c>
      <c r="B5" s="24" t="inlineStr">
        <is>
          <t>Protocol pneumonia-adjusted primary model is absent from reported model set</t>
        </is>
      </c>
      <c r="C5" s="24" t="inlineStr">
        <is>
          <t>jama_arleth_2024_oi_240147_1738701765.27201.pdf — REPORT main PDF p. 5; joi240147supp1_prod_1738701765.28701.pdf — PLAN plan PDF p. 26; joi240147supp1_prod_1738701765.28701.pdf — PLAN plan PDF p. 62; joi240147supp1_prod_1738701765.28701.pdf — PLAN plan PDF p. 78; joi240147supp1_prod_1738701765.28701.pdf — PLAN plan PDF p. 79; joi240147supp1_prod_1738701765.28701.pdf — PLAN plan PDF p. 80; joi240147supp1_prod_1738701765.28701.pdf — PLAN plan PDF p. 84; joi240147supp1_prod_1738701765.28701.pdf — PLAN plan PDF p. 88; joi240147supp1_prod_1738701765.28701.pdf — PLAN plan PDF p. 89; joi240147supp2_prod_1738701765.29201.pdf — REPORT results PDF p. 11; joi240147supp2_prod_1738701765.29201.pdf — REPORT results PDF p. 12; joi240147supp2_prod_1738701765.29201.pdf — REPORT results PDF p. 17; joi240147supp2_prod_1738701765.29201.pdf — REPORT results PDF p. 22.</t>
        </is>
      </c>
      <c r="D5" s="21" t="inlineStr">
        <is>
          <t>retain</t>
        </is>
      </c>
      <c r="E5" s="21" t="inlineStr">
        <is>
          <t>protocol_report</t>
        </is>
      </c>
      <c r="F5" s="21" t="inlineStr">
        <is>
          <t>primary_done</t>
        </is>
      </c>
      <c r="G5" s="24">
        <f>IFERROR(IF(LEN(TRIM(CLEAN(SUBSTITUTE(Setup!$B$2,CHAR(160)," "))))=0,"CHECK REVIEWER ID",IF(OR(A5="",COUNTIF($A$2:$A$16,A5)&lt;&gt;1,LEFT(A5,LEN("2024::jama.2024.25786::"))&lt;&gt;"2024::jama.2024.25786::"),"CHECK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t="inlineStr">
        <is>
          <t>Protocols (supp1 p26, p62): primary analysis adjusted for age, sex, centre, intubation at randomization and known pneumonia on admission. SAP (p88) and report (main p5; supp2 eTables 4, 8): adjusted for stratification variables (site, intubation), with an additional model adding age, sex, ISS and first GCS; no model includes pneumonia on admission. Covariate set changed; documented in the SAP.</t>
        </is>
      </c>
    </row>
    <row r="6" ht="92" customHeight="1" s="25">
      <c r="A6" s="20" t="inlineStr">
        <is>
          <t>2024::jama.2024.25786::C005</t>
        </is>
      </c>
      <c r="B6" s="20" t="inlineStr">
        <is>
          <t>Planned primary-outcome hypoxemia subgroup is not reported</t>
        </is>
      </c>
      <c r="C6" s="20" t="inlineStr">
        <is>
          <t>jama_arleth_2024_oi_240147_1738701765.27201.pdf — REPORT main PDF p. 5; jama_arleth_2024_oi_240147_1738701765.27201.pdf — REPORT main PDF p. 8; joi240147supp1_prod_1738701765.28701.pdf — PLAN plan PDF p. 26; joi240147supp1_prod_1738701765.28701.pdf — PLAN plan PDF p. 62; joi240147supp1_prod_1738701765.28701.pdf — PLAN plan PDF p. 84; joi240147supp1_prod_1738701765.28701.pdf — PLAN plan PDF p. 89; joi240147supp2_prod_1738701765.29201.pdf — REPORT results PDF p. 17; joi240147supp2_prod_1738701765.29201.pdf — REPORT results PDF p. 18; joi240147supp2_prod_1738701765.29201.pdf — REPORT results PDF p. 19; joi240147supp2_prod_1738701765.29201.pdf — REPORT results PDF p. 20; joi240147supp2_prod_1738701765.29201.pdf — REPORT results PDF p. 21; joi240147supp2_prod_1738701765.29201.pdf — REPORT results PDF p. 22; joi240147supp2_prod_1738701765.29201.pdf — REPORT results PDF p. 23; joi240147supp2_prod_1738701765.29201.pdf — REPORT results PDF p. 24; joi240147supp2_prod_1738701765.29201.pdf — REPORT results PDF p. 25.</t>
        </is>
      </c>
      <c r="D6" s="21" t="inlineStr">
        <is>
          <t>retain</t>
        </is>
      </c>
      <c r="E6" s="21" t="inlineStr">
        <is>
          <t>protocol_report</t>
        </is>
      </c>
      <c r="F6" s="21" t="inlineStr">
        <is>
          <t>primary_done</t>
        </is>
      </c>
      <c r="G6" s="20">
        <f>IFERROR(IF(LEN(TRIM(CLEAN(SUBSTITUTE(Setup!$B$2,CHAR(160)," "))))=0,"CHECK REVIEWER ID",IF(OR(A6="",COUNTIF($A$2:$A$16,A6)&lt;&gt;1,LEFT(A6,LEN("2024::jama.2024.25786::"))&lt;&gt;"2024::jama.2024.25786::"),"CHECK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t="inlineStr">
        <is>
          <t>SAP subgroup list (supp1 p89) includes 'Episode(s) of hypoxaemia during the intervention (SpO2 &lt;90%)' for the primary outcome; main methods (p5), Figure 4 (p8) and eTable 7 (supp2 p20-21) report six subgroups (intubation, ICU, TBI, lung disease, inclusion site, ISS) and no hypoxemia subgroup.</t>
        </is>
      </c>
    </row>
    <row r="7" ht="92" customHeight="1" s="25">
      <c r="A7" s="24" t="inlineStr">
        <is>
          <t>2024::jama.2024.25786::C006</t>
        </is>
      </c>
      <c r="B7" s="24" t="inlineStr">
        <is>
          <t>Intubation subgroup changes from trauma clock to randomization status</t>
        </is>
      </c>
      <c r="C7" s="24" t="inlineStr">
        <is>
          <t>jama_arleth_2024_oi_240147_1738701765.27201.pdf — REPORT main PDF p. 5; jama_arleth_2024_oi_240147_1738701765.27201.pdf — REPORT main PDF p. 8; joi240147supp1_prod_1738701765.28701.pdf — PLAN plan PDF p. 26; joi240147supp1_prod_1738701765.28701.pdf — PLAN plan PDF p. 62; joi240147supp1_prod_1738701765.28701.pdf — PLAN plan PDF p. 84; joi240147supp1_prod_1738701765.28701.pdf — PLAN plan PDF p. 89; joi240147supp2_prod_1738701765.29201.pdf — REPORT results PDF p. 16; joi240147supp2_prod_1738701765.29201.pdf — REPORT results PDF p. 20; joi240147supp2_prod_1738701765.29201.pdf — REPORT results PDF p. 21.</t>
        </is>
      </c>
      <c r="D7" s="21" t="inlineStr">
        <is>
          <t>retain</t>
        </is>
      </c>
      <c r="E7" s="21" t="inlineStr">
        <is>
          <t>protocol_report</t>
        </is>
      </c>
      <c r="F7" s="21" t="inlineStr">
        <is>
          <t>primary_done</t>
        </is>
      </c>
      <c r="G7" s="24">
        <f>IFERROR(IF(LEN(TRIM(CLEAN(SUBSTITUTE(Setup!$B$2,CHAR(160)," "))))=0,"CHECK REVIEWER ID",IF(OR(A7="",COUNTIF($A$2:$A$16,A7)&lt;&gt;1,LEFT(A7,LEN("2024::jama.2024.25786::"))&lt;&gt;"2024::jama.2024.25786::"),"CHECK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t="inlineStr">
        <is>
          <t>indeterminate</t>
        </is>
      </c>
      <c r="M7" s="24" t="n"/>
      <c r="N7" s="23" t="n"/>
      <c r="O7" s="23" t="n"/>
      <c r="P7" s="23" t="n"/>
      <c r="Q7" s="23" t="n"/>
      <c r="R7" s="22" t="inlineStr">
        <is>
          <t>Protocols (supp1 p26, p62) and SAP (p89) define the intubation subgroup as 'initially intubated within one hour after trauma'; Figure 4 (p8) and eTable 7 (supp2 p20) use 'intubated at randomization' (the stratification variable). Median trauma-to-randomization time was 54 vs 52 min (IQR to 79 min), so membership could differ for some patients; extent unknown.</t>
        </is>
      </c>
    </row>
    <row r="8" ht="92" customHeight="1" s="25">
      <c r="A8" s="20" t="inlineStr">
        <is>
          <t>2024::jama.2024.25786::C007</t>
        </is>
      </c>
      <c r="B8" s="20" t="inlineStr">
        <is>
          <t>Planned categorical key-secondary tests are replaced by logistic models</t>
        </is>
      </c>
      <c r="C8" s="20" t="inlineStr">
        <is>
          <t>jama_arleth_2024_oi_240147_1738701765.27201.pdf — REPORT main PDF p. 5; jama_arleth_2024_oi_240147_1738701765.27201.pdf — REPORT main PDF p. 6; joi240147supp1_prod_1738701765.28701.pdf — PLAN plan PDF p. 23; joi240147supp1_prod_1738701765.28701.pdf — PLAN plan PDF p. 26; joi240147supp1_prod_1738701765.28701.pdf — PLAN plan PDF p. 59; joi240147supp1_prod_1738701765.28701.pdf — PLAN plan PDF p. 62; joi240147supp1_prod_1738701765.28701.pdf — PLAN plan PDF p. 78; joi240147supp1_prod_1738701765.28701.pdf — PLAN plan PDF p. 79; joi240147supp1_prod_1738701765.28701.pdf — PLAN plan PDF p. 80; joi240147supp1_prod_1738701765.28701.pdf — PLAN plan PDF p. 84; joi240147supp1_prod_1738701765.28701.pdf — PLAN plan PDF p. 88; joi240147supp1_prod_1738701765.28701.pdf — PLAN plan PDF p. 89; joi240147supp2_prod_1738701765.29201.pdf — REPORT results PDF p. 17.</t>
        </is>
      </c>
      <c r="D8" s="21" t="inlineStr">
        <is>
          <t>retain</t>
        </is>
      </c>
      <c r="E8" s="21" t="inlineStr">
        <is>
          <t>protocol_report</t>
        </is>
      </c>
      <c r="F8" s="21" t="inlineStr">
        <is>
          <t>primary_done</t>
        </is>
      </c>
      <c r="G8" s="20">
        <f>IFERROR(IF(LEN(TRIM(CLEAN(SUBSTITUTE(Setup!$B$2,CHAR(160)," "))))=0,"CHECK REVIEWER ID",IF(OR(A8="",COUNTIF($A$2:$A$16,A8)&lt;&gt;1,LEFT(A8,LEN("2024::jama.2024.25786::"))&lt;&gt;"2024::jama.2024.25786::"),"CHECK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t="inlineStr">
        <is>
          <t>substantive_difference</t>
        </is>
      </c>
      <c r="M8" s="20" t="n"/>
      <c r="N8" s="23" t="n"/>
      <c r="O8" s="23" t="n"/>
      <c r="P8" s="23" t="n"/>
      <c r="Q8" s="23" t="n"/>
      <c r="R8" s="22" t="inlineStr">
        <is>
          <t>Protocols (supp1 p26, p62): categorical secondary outcomes (including 30-day mortality and major respiratory complications) compared with Fisher's exact/chi-square tests. SAP (p88-89) and report (main p5; supp2 eTable 4): logistic regression with GEE and inverse probability weighting, ORs adjusted for stratification variables. Method changed; documented in the SAP.</t>
        </is>
      </c>
    </row>
    <row r="9" ht="92" customHeight="1" s="25">
      <c r="A9" s="24" t="inlineStr">
        <is>
          <t>2024::jama.2024.25786::C008</t>
        </is>
      </c>
      <c r="B9" s="24" t="inlineStr">
        <is>
          <t>SSI risk-difference interval and nominal odds-ratio tests give different null readings</t>
        </is>
      </c>
      <c r="C9" s="24" t="inlineStr">
        <is>
          <t>jama_arleth_2024_oi_240147_1738701765.27201.pdf — REPORT main PDF p. 5; jama_arleth_2024_oi_240147_1738701765.27201.pdf — REPORT main PDF p. 6; joi240147supp1_prod_1738701765.28701.pdf — PLAN plan PDF p. 86; joi240147supp2_prod_1738701765.29201.pdf — REPORT results PDF p. 18.</t>
        </is>
      </c>
      <c r="D9" s="21" t="inlineStr">
        <is>
          <t>exclude</t>
        </is>
      </c>
      <c r="E9" s="21" t="inlineStr">
        <is>
          <t>statistical_results</t>
        </is>
      </c>
      <c r="F9" s="21" t="inlineStr">
        <is>
          <t>primary_done</t>
        </is>
      </c>
      <c r="G9" s="24">
        <f>IFERROR(IF(LEN(TRIM(CLEAN(SUBSTITUTE(Setup!$B$2,CHAR(160)," "))))=0,"CHECK REVIEWER ID",IF(OR(A9="",COUNTIF($A$2:$A$16,A9)&lt;&gt;1,LEFT(A9,LEN("2024::jama.2024.25786::"))&lt;&gt;"2024::jama.2024.25786::"),"CHECK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f>IF(AND(OR(D9="retain",D9=""),E9="protocol_report"),"","not_applicable")</f>
        <v/>
      </c>
      <c r="M9" s="24" t="n"/>
      <c r="N9" s="23" t="n"/>
      <c r="O9" s="23" t="n"/>
      <c r="P9" s="23" t="n"/>
      <c r="Q9" s="23" t="n"/>
      <c r="R9" s="22" t="inlineStr">
        <is>
          <t>SSI (main Figure 2 p6; supp2 eTable 5 p18): OR 0.50 (0.25-0.99), P=.05 (additional models P=.03, .04) while the risk difference -3.04 (-6.87 to 0.79) includes 0. The OR is from the stratification-adjusted GEE logistic model; the RD comes from a separate, unspecified model. Different estimands and models can give different null readings near the boundary; the report correctly states that no exploratory outcome was significant after FDR control.</t>
        </is>
      </c>
    </row>
    <row r="10" ht="92" customHeight="1" s="25">
      <c r="A10" s="20" t="inlineStr">
        <is>
          <t>2024::jama.2024.25786::C009</t>
        </is>
      </c>
      <c r="B10" s="20" t="inlineStr">
        <is>
          <t>SSI classification criteria differ between SAP and results supplement</t>
        </is>
      </c>
      <c r="C10" s="20" t="inlineStr">
        <is>
          <t>jama_arleth_2024_oi_240147_1738701765.27201.pdf — REPORT main PDF p. 6; joi240147supp1_prod_1738701765.28701.pdf — PLAN plan PDF p. 84; joi240147supp1_prod_1738701765.28701.pdf — PLAN plan PDF p. 101; joi240147supp2_prod_1738701765.29201.pdf — REPORT results PDF p. 9; joi240147supp2_prod_1738701765.29201.pdf — REPORT results PDF p. 18.</t>
        </is>
      </c>
      <c r="D10" s="21" t="inlineStr">
        <is>
          <t>retain</t>
        </is>
      </c>
      <c r="E10" s="21" t="inlineStr">
        <is>
          <t>protocol_report</t>
        </is>
      </c>
      <c r="F10" s="21" t="inlineStr">
        <is>
          <t>primary_done</t>
        </is>
      </c>
      <c r="G10" s="20">
        <f>IFERROR(IF(LEN(TRIM(CLEAN(SUBSTITUTE(Setup!$B$2,CHAR(160)," "))))=0,"CHECK REVIEWER ID",IF(OR(A10="",COUNTIF($A$2:$A$16,A10)&lt;&gt;1,LEFT(A10,LEN("2024::jama.2024.25786::"))&lt;&gt;"2024::jama.2024.25786::"),"CHECK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f>IF(AND(OR(D10="retain",D10=""),E10="statistical_results"),"","not_applicable")</f>
        <v/>
      </c>
      <c r="I10" s="21">
        <f>IF(AND(OR(D10="retain",D10=""),E10="statistical_results"),"","not_applicable")</f>
        <v/>
      </c>
      <c r="J10" s="22">
        <f>IF(AND(OR(D10="retain",D10=""),E10="statistical_results"),"","not_applicable")</f>
        <v/>
      </c>
      <c r="K10" s="21">
        <f>IF(AND(OR(D10="retain",D10=""),OR(E10="report_internal_inconsistency",E10="plan_material")),"","not_applicable")</f>
        <v/>
      </c>
      <c r="L10" s="22" t="inlineStr">
        <is>
          <t>substantive_difference</t>
        </is>
      </c>
      <c r="M10" s="20" t="n"/>
      <c r="N10" s="23" t="n"/>
      <c r="O10" s="23" t="n"/>
      <c r="P10" s="23" t="n"/>
      <c r="Q10" s="23" t="n"/>
      <c r="R10" s="22" t="inlineStr">
        <is>
          <t>SAP Table 4 (supp1 p101): SSI = purulent drainage, OR positive microbiologic testing AND signs of infection, OR surgeon diagnosis. Results supplement 3.3.2 (supp2 p9): drainage, OR positive microbiology (alone), OR deliberate opening by a surgeon AND signs, OR surgeon diagnosis ('further elaborations'). The reported definition is broader.</t>
        </is>
      </c>
    </row>
    <row r="11" ht="92" customHeight="1" s="25">
      <c r="A11" s="24" t="inlineStr">
        <is>
          <t>2024::jama.2024.25786::C010</t>
        </is>
      </c>
      <c r="B11" s="24" t="inlineStr">
        <is>
          <t>ICU subgroup membership does not map to reported ICU admission counts</t>
        </is>
      </c>
      <c r="C11" s="24" t="inlineStr">
        <is>
          <t>jama_arleth_2024_oi_240147_1738701765.27201.pdf — REPORT main PDF p. 4; jama_arleth_2024_oi_240147_1738701765.27201.pdf — REPORT main PDF p. 5; jama_arleth_2024_oi_240147_1738701765.27201.pdf — REPORT main PDF p. 8; joi240147supp2_prod_1738701765.29201.pdf — REPORT results PDF p. 9; joi240147supp2_prod_1738701765.29201.pdf — REPORT results PDF p. 10; joi240147supp2_prod_1738701765.29201.pdf — REPORT results PDF p. 18; joi240147supp2_prod_1738701765.29201.pdf — REPORT results PDF p. 20; joi240147supp1_prod_1738701765.28701.pdf — PLAN plan PDF p. 89.</t>
        </is>
      </c>
      <c r="D11" s="21" t="inlineStr">
        <is>
          <t>exclude</t>
        </is>
      </c>
      <c r="E11" s="21" t="inlineStr">
        <is>
          <t>statistical_results</t>
        </is>
      </c>
      <c r="F11" s="21" t="inlineStr">
        <is>
          <t>primary_done</t>
        </is>
      </c>
      <c r="G11" s="24">
        <f>IFERROR(IF(LEN(TRIM(CLEAN(SUBSTITUTE(Setup!$B$2,CHAR(160)," "))))=0,"CHECK REVIEWER ID",IF(OR(A11="",COUNTIF($A$2:$A$16,A11)&lt;&gt;1,LEFT(A11,LEN("2024::jama.2024.25786::"))&lt;&gt;"2024::jama.2024.25786::"),"CHECK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f>IF(AND(OR(D11="retain",D11=""),E11="statistical_results"),"","not_applicable")</f>
        <v/>
      </c>
      <c r="I11" s="21">
        <f>IF(AND(OR(D11="retain",D11=""),E11="statistical_results"),"","not_applicable")</f>
        <v/>
      </c>
      <c r="J11" s="22">
        <f>IF(AND(OR(D11="retain",D11=""),E11="statistical_results"),"","not_applicable")</f>
        <v/>
      </c>
      <c r="K11" s="21">
        <f>IF(AND(OR(D11="retain",D11=""),OR(E11="report_internal_inconsistency",E11="plan_material")),"","not_applicable")</f>
        <v/>
      </c>
      <c r="L11" s="22">
        <f>IF(AND(OR(D11="retain",D11=""),E11="protocol_report"),"","not_applicable")</f>
        <v/>
      </c>
      <c r="M11" s="24" t="n"/>
      <c r="N11" s="23" t="n"/>
      <c r="O11" s="23" t="n"/>
      <c r="P11" s="23" t="n"/>
      <c r="Q11" s="23" t="n"/>
      <c r="R11" s="22" t="inlineStr">
        <is>
          <t>ICU subgroup in Figure 4/eTable 7 (Yes 271 and 238; No 458 and 481) does not match the exploratory 'ICU admission' outcome (374/738, 359/736), but it matches the Table's 'destination after trauma resuscitation: ICU' (276/741, 242/739) restricted to the primary-analysis set (733/724). The subgroup is the immediate ICU destination; the outcome counts any ICU admission. Label is imprecise but the numbers reconcile.</t>
        </is>
      </c>
    </row>
    <row r="12" ht="92" customHeight="1" s="25">
      <c r="A12" s="20" t="inlineStr">
        <is>
          <t>2024::jama.2024.25786::C011</t>
        </is>
      </c>
      <c r="B12" s="20" t="inlineStr">
        <is>
          <t>Liberal AIS below 3 percentage does not reconcile across displays and its count pair</t>
        </is>
      </c>
      <c r="C12" s="20" t="inlineStr">
        <is>
          <t>jama_arleth_2024_oi_240147_1738701765.27201.pdf — REPORT main PDF p. 8; joi240147supp2_prod_1738701765.29201.pdf — REPORT results PDF p. 20; joi240147supp2_prod_1738701765.29201.pdf — REPORT results PDF p. 21.</t>
        </is>
      </c>
      <c r="D12" s="21" t="inlineStr">
        <is>
          <t>retain</t>
        </is>
      </c>
      <c r="E12" s="21" t="inlineStr">
        <is>
          <t>statistical_results</t>
        </is>
      </c>
      <c r="F12" s="21" t="inlineStr">
        <is>
          <t>primary_done</t>
        </is>
      </c>
      <c r="G12" s="20">
        <f>IFERROR(IF(LEN(TRIM(CLEAN(SUBSTITUTE(Setup!$B$2,CHAR(160)," "))))=0,"CHECK REVIEWER ID",IF(OR(A12="",COUNTIF($A$2:$A$16,A12)&lt;&gt;1,LEFT(A12,LEN("2024::jama.2024.25786::"))&lt;&gt;"2024::jama.2024.25786::"),"CHECK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t="inlineStr">
        <is>
          <t>confirmed_issue</t>
        </is>
      </c>
      <c r="I12" s="21" t="inlineStr">
        <is>
          <t>minor_presentation</t>
        </is>
      </c>
      <c r="J12" s="22" t="inlineStr">
        <is>
          <t>unlikely</t>
        </is>
      </c>
      <c r="K12" s="21">
        <f>IF(AND(OR(D12="retain",D12=""),OR(E12="report_internal_inconsistency",E12="plan_material")),"","not_applicable")</f>
        <v/>
      </c>
      <c r="L12" s="22">
        <f>IF(AND(OR(D12="retain",D12=""),E12="protocol_report"),"","not_applicable")</f>
        <v/>
      </c>
      <c r="M12" s="20" t="n"/>
      <c r="N12" s="23" t="n"/>
      <c r="O12" s="23" t="n"/>
      <c r="P12" s="23" t="n"/>
      <c r="Q12" s="23" t="n"/>
      <c r="R12" s="22" t="inlineStr">
        <is>
          <t>Liberal AIS &lt;3 primary-outcome cell: eTable 7 (supp2 p20) 48/473 (9.2%) vs main Figure 4 (p8) 48/473 (10.1%). 48/473 = 10.15%; the supplement percentage is wrong.</t>
        </is>
      </c>
    </row>
    <row r="13" ht="92" customHeight="1" s="25">
      <c r="A13" s="24" t="inlineStr">
        <is>
          <t>2024::jama.2024.25786::C012</t>
        </is>
      </c>
      <c r="B13" s="24" t="inlineStr">
        <is>
          <t>Bern receiving-center percentages do not reconcile with printed pairs</t>
        </is>
      </c>
      <c r="C13" s="24" t="inlineStr">
        <is>
          <t>joi240147supp2_prod_1738701765.29201.pdf — REPORT results PDF p. 14.</t>
        </is>
      </c>
      <c r="D13" s="21" t="inlineStr">
        <is>
          <t>retain</t>
        </is>
      </c>
      <c r="E13" s="21" t="inlineStr">
        <is>
          <t>statistical_results</t>
        </is>
      </c>
      <c r="F13" s="21" t="inlineStr">
        <is>
          <t>primary_done</t>
        </is>
      </c>
      <c r="G13" s="24">
        <f>IFERROR(IF(LEN(TRIM(CLEAN(SUBSTITUTE(Setup!$B$2,CHAR(160)," "))))=0,"CHECK REVIEWER ID",IF(OR(A13="",COUNTIF($A$2:$A$16,A13)&lt;&gt;1,LEFT(A13,LEN("2024::jama.2024.25786::"))&lt;&gt;"2024::jama.2024.25786::"),"CHECK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t="inlineStr">
        <is>
          <t>confirmed_issue</t>
        </is>
      </c>
      <c r="I13" s="21" t="inlineStr">
        <is>
          <t>minor_presentation</t>
        </is>
      </c>
      <c r="J13" s="22" t="inlineStr">
        <is>
          <t>unlikely</t>
        </is>
      </c>
      <c r="K13" s="21">
        <f>IF(AND(OR(D13="retain",D13=""),OR(E13="report_internal_inconsistency",E13="plan_material")),"","not_applicable")</f>
        <v/>
      </c>
      <c r="L13" s="22">
        <f>IF(AND(OR(D13="retain",D13=""),E13="protocol_report"),"","not_applicable")</f>
        <v/>
      </c>
      <c r="M13" s="24" t="n"/>
      <c r="N13" s="23" t="n"/>
      <c r="O13" s="23" t="n"/>
      <c r="P13" s="23" t="n"/>
      <c r="Q13" s="23" t="n"/>
      <c r="R13" s="22" t="inlineStr">
        <is>
          <t>eTable 1 (supp2 p14) receiving center Bern: 50/750 (7.2%) and 47/758 (6.7%); 50/750 = 6.7% and 47/758 = 6.2%. Other receiving-center percentages are also slightly off (Rigshospitalet 335/750 = 44.7% printed 44.4; 348/758 = 45.9% printed 45.7; Odense 173/750 = 23.1% printed 22.9), while counts sum to 750 and 758, suggesting percentages were computed from a different data version.</t>
        </is>
      </c>
    </row>
    <row r="14" ht="92" customHeight="1" s="25">
      <c r="A14" s="20" t="inlineStr">
        <is>
          <t>2024::jama.2024.25786::C013</t>
        </is>
      </c>
      <c r="B14" s="20" t="inlineStr">
        <is>
          <t>Liberal walk-in percentage differs from its printed count pair</t>
        </is>
      </c>
      <c r="C14" s="20" t="inlineStr">
        <is>
          <t>joi240147supp2_prod_1738701765.29201.pdf — REPORT results PDF p. 15.</t>
        </is>
      </c>
      <c r="D14" s="21" t="inlineStr">
        <is>
          <t>retain</t>
        </is>
      </c>
      <c r="E14" s="21" t="inlineStr">
        <is>
          <t>statistical_results</t>
        </is>
      </c>
      <c r="F14" s="21" t="inlineStr">
        <is>
          <t>primary_done</t>
        </is>
      </c>
      <c r="G14" s="20">
        <f>IFERROR(IF(LEN(TRIM(CLEAN(SUBSTITUTE(Setup!$B$2,CHAR(160)," "))))=0,"CHECK REVIEWER ID",IF(OR(A14="",COUNTIF($A$2:$A$16,A14)&lt;&gt;1,LEFT(A14,LEN("2024::jama.2024.25786::"))&lt;&gt;"2024::jama.2024.25786::"),"CHECK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minor_presentation</t>
        </is>
      </c>
      <c r="J14" s="22" t="inlineStr">
        <is>
          <t>unlikely</t>
        </is>
      </c>
      <c r="K14" s="21">
        <f>IF(AND(OR(D14="retain",D14=""),OR(E14="report_internal_inconsistency",E14="plan_material")),"","not_applicable")</f>
        <v/>
      </c>
      <c r="L14" s="22">
        <f>IF(AND(OR(D14="retain",D14=""),E14="protocol_report"),"","not_applicable")</f>
        <v/>
      </c>
      <c r="M14" s="20" t="n"/>
      <c r="N14" s="23" t="n"/>
      <c r="O14" s="23" t="n"/>
      <c r="P14" s="23" t="n"/>
      <c r="Q14" s="23" t="n"/>
      <c r="R14" s="22" t="inlineStr">
        <is>
          <t>eTable 2 (supp2 p15) liberal walk-in transport: 4/743 (5.3%); 4/743 = 0.54%. The liberal transport percentages sum to 104.7% with 5.3 and to 99.9% with 0.5, so 5.3 is a misprint for 0.5.</t>
        </is>
      </c>
    </row>
    <row r="15" ht="92" customHeight="1" s="25">
      <c r="A15" s="24" t="inlineStr">
        <is>
          <t>2024::jama.2024.25786::C014</t>
        </is>
      </c>
      <c r="B15" s="24" t="inlineStr">
        <is>
          <t>Liberal vascular-surgery percentage is positive beside a zero numerator</t>
        </is>
      </c>
      <c r="C15" s="24" t="inlineStr">
        <is>
          <t>joi240147supp2_prod_1738701765.29201.pdf — REPORT results PDF p. 15.</t>
        </is>
      </c>
      <c r="D15" s="21" t="inlineStr">
        <is>
          <t>retain</t>
        </is>
      </c>
      <c r="E15" s="21" t="inlineStr">
        <is>
          <t>statistical_results</t>
        </is>
      </c>
      <c r="F15" s="21" t="inlineStr">
        <is>
          <t>primary_done</t>
        </is>
      </c>
      <c r="G15" s="24">
        <f>IFERROR(IF(LEN(TRIM(CLEAN(SUBSTITUTE(Setup!$B$2,CHAR(160)," "))))=0,"CHECK REVIEWER ID",IF(OR(A15="",COUNTIF($A$2:$A$16,A15)&lt;&gt;1,LEFT(A15,LEN("2024::jama.2024.25786::"))&lt;&gt;"2024::jama.2024.25786::"),"CHECK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t="inlineStr">
        <is>
          <t>confirmed_issue</t>
        </is>
      </c>
      <c r="I15" s="21" t="inlineStr">
        <is>
          <t>minor_presentation</t>
        </is>
      </c>
      <c r="J15" s="22" t="inlineStr">
        <is>
          <t>unlikely</t>
        </is>
      </c>
      <c r="K15" s="21">
        <f>IF(AND(OR(D15="retain",D15=""),OR(E15="report_internal_inconsistency",E15="plan_material")),"","not_applicable")</f>
        <v/>
      </c>
      <c r="L15" s="22">
        <f>IF(AND(OR(D15="retain",D15=""),E15="protocol_report"),"","not_applicable")</f>
        <v/>
      </c>
      <c r="M15" s="24" t="n"/>
      <c r="N15" s="23" t="n"/>
      <c r="O15" s="23" t="n"/>
      <c r="P15" s="23" t="n"/>
      <c r="Q15" s="23" t="n"/>
      <c r="R15" s="22" t="inlineStr">
        <is>
          <t>eTable 2 (supp2 p15) liberal vascular surgery in the trauma room: 0/747 (1.1%). A zero numerator cannot give 1.1%; one of the two values is wrong. Outside this candidate, the firearm injury row uses denominator 724 (8/724) where all other restrictive mechanism rows use 742.</t>
        </is>
      </c>
    </row>
    <row r="16" ht="92" customHeight="1" s="25">
      <c r="A16" s="20" t="inlineStr">
        <is>
          <t>2024::jama.2024.25786::C015</t>
        </is>
      </c>
      <c r="B16" s="20" t="inlineStr">
        <is>
          <t>Exclusion percentages and printed denominators describe different quantities</t>
        </is>
      </c>
      <c r="C16" s="20" t="inlineStr">
        <is>
          <t>joi240147supp2_prod_1738701765.29201.pdf — REPORT results PDF p. 24.</t>
        </is>
      </c>
      <c r="D16" s="21" t="inlineStr">
        <is>
          <t>retain</t>
        </is>
      </c>
      <c r="E16" s="21" t="inlineStr">
        <is>
          <t>statistical_results</t>
        </is>
      </c>
      <c r="F16" s="21" t="inlineStr">
        <is>
          <t>primary_done</t>
        </is>
      </c>
      <c r="G16" s="20">
        <f>IFERROR(IF(LEN(TRIM(CLEAN(SUBSTITUTE(Setup!$B$2,CHAR(160)," "))))=0,"CHECK REVIEWER ID",IF(OR(A16="",COUNTIF($A$2:$A$16,A16)&lt;&gt;1,LEFT(A16,LEN("2024::jama.2024.25786::"))&lt;&gt;"2024::jama.2024.25786::"),"CHECK KEY",IF(OR(AND(NOT(AND(D16="retain",E16="statistical_results")),H16&lt;&gt;"",NOT(EXACT(H16,"not_applicable"))),AND(NOT(AND(D16="retain",E16="statistical_results")),I16&lt;&gt;"",NOT(EXACT(I16,"not_applicable"))),AND(NOT(AND(D16="retain",E16="statistical_results")),J16&lt;&gt;"",NOT(EXACT(J16,"not_applicable"))),AND(NOT(AND(D16="retain",OR(E16="report_internal_inconsistency",E16="plan_material"))),K16&lt;&gt;"",NOT(EXACT(K16,"not_applicable"))),AND(NOT(AND(D16="retain",E16="protocol_report")),L16&lt;&gt;"",NOT(EXACT(L16,"not_applicable")))),"CLEAR INACTIVE VALUES",IF(OR(NOT(OR(EXACT(D16,"retain"),EXACT(D16,"exclude"),EXACT(D16,"discuss"))),NOT(OR(EXACT(E16,"statistical_results"),EXACT(E16,"report_internal_inconsistency"),EXACT(E16,"plan_material"),EXACT(E16,"protocol_report"))),AND(AND(D16="retain",E16="statistical_results"),NOT(OR(EXACT(H16,"confirmed_issue"),EXACT(H16,"probable_issue"),EXACT(H16,"not_issue"),EXACT(H16,"indeterminate")))),AND(AND(D16="retain",E16="statistical_results"),NOT(OR(EXACT(I16,"substantive"),EXACT(I16,"minor_presentation"),EXACT(I16,"indeterminate")))),AND(AND(D16="retain",E16="statistical_results"),J16&lt;&gt;"",NOT(OR(EXACT(J16,"direct"),EXACT(J16,"possible"),EXACT(J16,"unlikely"),EXACT(J16,"unknown")))),AND(AND(D16="retain",OR(E16="report_internal_inconsistency",E16="plan_material")),NOT(OR(EXACT(K16,"substantive_inconsistency"),EXACT(K16,"minor_presentation"),EXACT(K16,"non_inconsistency"),EXACT(K16,"indeterminate")))),AND(AND(D16="retain",E16="protocol_report"),L16&lt;&gt;"",NOT(OR(EXACT(L16,"substantive_difference"),EXACT(L16,"minor_presentation"),EXACT(L16,"version_timing"),EXACT(L16,"non_inconsistency"),EXACT(L16,"indeterminate"))))),"CHECK FIELDS",IF(AND(F16&lt;&gt;"",NOT(OR(EXACT(F16,"no"),EXACT(F16,"primary_done")))),"CHECK COMPLETE",IF(EXACT(F16,"primary_done"),"PRIMARY READY","PRIMARY DRAFT")))))),"CHECK INPUT / KEY")</f>
        <v/>
      </c>
      <c r="H16" s="21" t="inlineStr">
        <is>
          <t>confirmed_issue</t>
        </is>
      </c>
      <c r="I16" s="21" t="inlineStr">
        <is>
          <t>minor_presentation</t>
        </is>
      </c>
      <c r="J16" s="22" t="inlineStr">
        <is>
          <t>unlikely</t>
        </is>
      </c>
      <c r="K16" s="21">
        <f>IF(AND(OR(D16="retain",D16=""),OR(E16="report_internal_inconsistency",E16="plan_material")),"","not_applicable")</f>
        <v/>
      </c>
      <c r="L16" s="22">
        <f>IF(AND(OR(D16="retain",D16=""),E16="protocol_report"),"","not_applicable")</f>
        <v/>
      </c>
      <c r="M16" s="20" t="n"/>
      <c r="N16" s="23" t="n"/>
      <c r="O16" s="23" t="n"/>
      <c r="P16" s="23" t="n"/>
      <c r="Q16" s="23" t="n"/>
      <c r="R16" s="22" t="inlineStr">
        <is>
          <t>eTable 10 (supp2 p24): exclusion after randomization 55/750 (45%) and 67/758 (55%); secondary exclusion 174/750 (51%) and 165/758 (49%). The percentages are shares of the excluded patients (55/122 = 45%, 174/339 = 51%), not of the printed denominators (55/750 = 7.3%, 174/750 = 23.2%). Also row N=130 vs 55+67 = 122 is unexplained (the footnote explains only the secondary-exclusion row).</t>
        </is>
      </c>
    </row>
  </sheetData>
  <autoFilter ref="A1:R16"/>
  <conditionalFormatting sqref="H2:H16">
    <cfRule type="expression" priority="8" dxfId="70">
      <formula>NOT(AND(OR($D2="retain",$D2=""),$E2="statistical_results"))</formula>
    </cfRule>
  </conditionalFormatting>
  <conditionalFormatting sqref="I2:I16">
    <cfRule type="expression" priority="9" dxfId="70">
      <formula>NOT(AND(OR($D2="retain",$D2=""),$E2="statistical_results"))</formula>
    </cfRule>
  </conditionalFormatting>
  <conditionalFormatting sqref="J2:J16">
    <cfRule type="expression" priority="10" dxfId="70">
      <formula>NOT(AND(OR($D2="retain",$D2=""),$E2="statistical_results"))</formula>
    </cfRule>
  </conditionalFormatting>
  <conditionalFormatting sqref="K2:K16">
    <cfRule type="expression" priority="11" dxfId="70">
      <formula>NOT(AND(OR($D2="retain",$D2=""),OR($E2="report_internal_inconsistency",$E2="plan_material")))</formula>
    </cfRule>
  </conditionalFormatting>
  <conditionalFormatting sqref="L2:L16">
    <cfRule type="expression" priority="12" dxfId="70">
      <formula>NOT(AND(OR($D2="retain",$D2=""),$E2="protocol_report"))</formula>
    </cfRule>
  </conditionalFormatting>
  <conditionalFormatting sqref="G2:G16">
    <cfRule type="expression" priority="13" dxfId="71">
      <formula>G2&lt;&gt;"PRIMARY READY"</formula>
    </cfRule>
  </conditionalFormatting>
  <dataValidations count="8">
    <dataValidation sqref="D2:D16" showDropDown="0" showInputMessage="0" showErrorMessage="1" allowBlank="1" errorTitle="Use a listed option" error="Choose an option; G also checks pasted entries." type="list" errorStyle="stop">
      <formula1>"retain,exclude,discuss"</formula1>
    </dataValidation>
    <dataValidation sqref="E2:E16"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6" showDropDown="0" showInputMessage="0" showErrorMessage="1" allowBlank="1" errorTitle="Use a listed option" error="Choose an option; G also checks pasted entries." type="list" errorStyle="stop">
      <formula1>"no,primary_done"</formula1>
    </dataValidation>
    <dataValidation sqref="H2:H16"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6"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6" showDropDown="0" showInputMessage="0" showErrorMessage="1" allowBlank="1" errorTitle="Use a listed option" error="Choose an option; G also checks pasted entries." type="list" errorStyle="stop">
      <formula1>"direct,possible,unlikely,unknown,not_applicable"</formula1>
    </dataValidation>
    <dataValidation sqref="K2:K16"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6"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R15"/>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2024::jama.2024.4183::C001</t>
        </is>
      </c>
      <c r="B2" s="20" t="inlineStr">
        <is>
          <t>Planned and reported primary continuation populations</t>
        </is>
      </c>
      <c r="C2" s="20" t="inlineStr">
        <is>
          <t>joi240036supp1_prod_1716416466.00349.pdf — p.7, Participants; joi240036supp1_prod_1716416466.00349.pdf — p.24, final pharmacotherapy paragraph; joi240036supp1_prod_1716416466.00349.pdf — p.25, first paragraph; joi240036supp1_prod_1716416466.00349.pdf — p.28, general strategy and coding/model; joi240036supp1_prod_1716416466.00349.pdf — p.29, Aims 2–3; joi240036supp1_prod_1716416466.00349.pdf — p.30, continuing Aim 3 contrasts; jama_cinciripini_2024_oi_240036_1716416465.98349.pdf — main p.1, both Results paragraphs; jama_cinciripini_2024_oi_240036_1716416465.98349.pdf — Main p.4, Results/flow prose; jama_cinciripini_2024_oi_240036_1716416465.98349.pdf — Main p.6, Figure 2 and footnote c; jama_cinciripini_2024_oi_240036_1716416465.98349.pdf — Main p.8, first limitation; joi240036supp2_prod_1716416466.01349.pdf — supplement p.6, phase-II weighting/coding</t>
        </is>
      </c>
      <c r="D2" s="21" t="inlineStr">
        <is>
          <t>retain</t>
        </is>
      </c>
      <c r="E2" s="21" t="inlineStr">
        <is>
          <t>protocol_report</t>
        </is>
      </c>
      <c r="F2" s="21" t="inlineStr">
        <is>
          <t>primary_done</t>
        </is>
      </c>
      <c r="G2" s="20">
        <f>IFERROR(IF(LEN(TRIM(CLEAN(SUBSTITUTE(Setup!$B$2,CHAR(160)," "))))=0,"CHECK REVIEWER ID",IF(OR(A2="",COUNTIF($A$2:$A$15,A2)&lt;&gt;1,LEFT(A2,LEN("2024::jama.2024.4183::"))&lt;&gt;"2024::jama.2024.4183::"),"CHECK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t="inlineStr">
        <is>
          <t>Protocol (supp1 p7, p24-25, p28-30) rerandomizes week-6 nonabstainers to continue, switch or increase, with continuation as the reference. Report (main p1, p4, p6 Figure 2 footnote c, p8 limitation) adds 40 CNRT and 35 varenicline nonabstainers who did not attend rerandomization to the continuation arms (90 = 50 + 40; 77 = 42 + 35). Nonrandomized participants enter only the reference arms. Disclosed in the report as an intention-to-treat choice.</t>
        </is>
      </c>
    </row>
    <row r="3" ht="92" customHeight="1" s="25">
      <c r="A3" s="24" t="inlineStr">
        <is>
          <t>2024::jama.2024.4183::C002</t>
        </is>
      </c>
      <c r="B3" s="24" t="inlineStr">
        <is>
          <t>Weight mapping for 75 assigned continuation participants</t>
        </is>
      </c>
      <c r="C3" s="24" t="inlineStr">
        <is>
          <t>jama_cinciripini_2024_oi_240036_1716416465.98349.pdf — main p.1, assigned counts; jama_cinciripini_2024_oi_240036_1716416465.98349.pdf — p.4, statistical methods and participant flow; jama_cinciripini_2024_oi_240036_1716416465.98349.pdf — p.6, Figure 2/footnote c; jama_cinciripini_2024_oi_240036_1716416465.98349.pdf — main p.7, Figure 3; joi240036supp2_prod_1716416466.01349.pdf — supplement p.5, opening eAppendix 3; joi240036supp2_prod_1716416466.01349.pdf — P.6, first two paragraphs and coding; joi240036supp2_prod_1716416466.01349.pdf — Supplement p.19, eTable 3 headings</t>
        </is>
      </c>
      <c r="D3" s="21" t="inlineStr">
        <is>
          <t>retain</t>
        </is>
      </c>
      <c r="E3" s="21" t="inlineStr">
        <is>
          <t>statistical_results</t>
        </is>
      </c>
      <c r="F3" s="21" t="inlineStr">
        <is>
          <t>primary_done</t>
        </is>
      </c>
      <c r="G3" s="24">
        <f>IFERROR(IF(LEN(TRIM(CLEAN(SUBSTITUTE(Setup!$B$2,CHAR(160)," "))))=0,"CHECK REVIEWER ID",IF(OR(A3="",COUNTIF($A$2:$A$15,A3)&lt;&gt;1,LEFT(A3,LEN("2024::jama.2024.4183::"))&lt;&gt;"2024::jama.2024.4183::"),"CHECK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t="inlineStr">
        <is>
          <t>confirmed_issue</t>
        </is>
      </c>
      <c r="I3" s="21" t="inlineStr">
        <is>
          <t>substantive</t>
        </is>
      </c>
      <c r="J3" s="22" t="inlineStr">
        <is>
          <t>possible</t>
        </is>
      </c>
      <c r="K3" s="21">
        <f>IF(AND(OR(D3="retain",D3=""),OR(E3="report_internal_inconsistency",E3="plan_material")),"","not_applicable")</f>
        <v/>
      </c>
      <c r="L3" s="22">
        <f>IF(AND(OR(D3="retain",D3=""),E3="protocol_report"),"","not_applicable")</f>
        <v/>
      </c>
      <c r="M3" s="24" t="n"/>
      <c r="N3" s="23" t="n"/>
      <c r="O3" s="23" t="n"/>
      <c r="P3" s="23" t="n"/>
      <c r="Q3" s="23" t="n"/>
      <c r="R3" s="22" t="inlineStr">
        <is>
          <t>Supplement eAppendix 3 (supp2 p5-6) gives inverse probability weights 2 for phase-1 abstainers and 1/(0.5*0.33) = 6.06 for rerandomized nonabstainers, but does not say how the 75 nonrandomized nonreturners assigned to continuation (40 CNRT, 35 varenicline) were weighted. They make up 40/90 and 35/77 of the reference arms of the primary contrasts, so the primary estimates depend on an unstated weighting rule.</t>
        </is>
      </c>
    </row>
    <row r="4" ht="92" customHeight="1" s="25">
      <c r="A4" s="20" t="inlineStr">
        <is>
          <t>2024::jama.2024.4183::C003</t>
        </is>
      </c>
      <c r="B4" s="20" t="inlineStr">
        <is>
          <t>Mixed denominators in abstract allocation percentages</t>
        </is>
      </c>
      <c r="C4" s="20" t="inlineStr">
        <is>
          <t>jama_cinciripini_2024_oi_240036_1716416465.98349.pdf — main p.1, CNRT and VAR Results paragraphs; jama_cinciripini_2024_oi_240036_1716416465.98349.pdf — main p.6, Figure 2 branches</t>
        </is>
      </c>
      <c r="D4" s="21" t="inlineStr">
        <is>
          <t>retain</t>
        </is>
      </c>
      <c r="E4" s="21" t="inlineStr">
        <is>
          <t>statistical_results</t>
        </is>
      </c>
      <c r="F4" s="21" t="inlineStr">
        <is>
          <t>primary_done</t>
        </is>
      </c>
      <c r="G4" s="20">
        <f>IFERROR(IF(LEN(TRIM(CLEAN(SUBSTITUTE(Setup!$B$2,CHAR(160)," "))))=0,"CHECK REVIEWER ID",IF(OR(A4="",COUNTIF($A$2:$A$15,A4)&lt;&gt;1,LEFT(A4,LEN("2024::jama.2024.4183::"))&lt;&gt;"2024::jama.2024.4183::"),"CHECK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t="inlineStr">
        <is>
          <t>confirmed_issue</t>
        </is>
      </c>
      <c r="I4" s="21" t="inlineStr">
        <is>
          <t>minor_presentation</t>
        </is>
      </c>
      <c r="J4" s="22" t="inlineStr">
        <is>
          <t>unlikely</t>
        </is>
      </c>
      <c r="K4" s="21">
        <f>IF(AND(OR(D4="retain",D4=""),OR(E4="report_internal_inconsistency",E4="plan_material")),"","not_applicable")</f>
        <v/>
      </c>
      <c r="L4" s="22">
        <f>IF(AND(OR(D4="retain",D4=""),E4="protocol_report"),"","not_applicable")</f>
        <v/>
      </c>
      <c r="M4" s="20" t="n"/>
      <c r="N4" s="23" t="n"/>
      <c r="O4" s="23" t="n"/>
      <c r="P4" s="23" t="n"/>
      <c r="Q4" s="23" t="n"/>
      <c r="R4" s="22" t="inlineStr">
        <is>
          <t>Abstract (p1) phase-2 allocation percentages mix denominators: CNRT continue 90 (47%) = 90/191, increase 50 (33%) = 50/151, switch 51 (34%) = 51/151; varenicline increase 39 (32%) = 39/122, switch 41 (34%) = 41/122, continue 77 (49%) = 77/157. Each arm's percentages sum to 114-115%.</t>
        </is>
      </c>
    </row>
    <row r="5" ht="92" customHeight="1" s="25">
      <c r="A5" s="24" t="inlineStr">
        <is>
          <t>2024::jama.2024.4183::C004</t>
        </is>
      </c>
      <c r="B5" s="24" t="inlineStr">
        <is>
          <t>Primary CNRT lower credible limit differs across locations</t>
        </is>
      </c>
      <c r="C5" s="24" t="inlineStr">
        <is>
          <t>jama_cinciripini_2024_oi_240036_1716416465.98349.pdf — main p.1, CNRT Results; jama_cinciripini_2024_oi_240036_1716416465.98349.pdf — main p.5, Smoking Cessation End of Phase 2, CNRT paragraph; joi240036supp2_prod_1716416466.01349.pdf — supplement p.21, eTable 4</t>
        </is>
      </c>
      <c r="D5" s="21" t="inlineStr">
        <is>
          <t>retain</t>
        </is>
      </c>
      <c r="E5" s="21" t="inlineStr">
        <is>
          <t>statistical_results</t>
        </is>
      </c>
      <c r="F5" s="21" t="inlineStr">
        <is>
          <t>primary_done</t>
        </is>
      </c>
      <c r="G5" s="24">
        <f>IFERROR(IF(LEN(TRIM(CLEAN(SUBSTITUTE(Setup!$B$2,CHAR(160)," "))))=0,"CHECK REVIEWER ID",IF(OR(A5="",COUNTIF($A$2:$A$15,A5)&lt;&gt;1,LEFT(A5,LEN("2024::jama.2024.4183::"))&lt;&gt;"2024::jama.2024.4183::"),"CHECK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substantive</t>
        </is>
      </c>
      <c r="J5" s="22" t="inlineStr">
        <is>
          <t>direct</t>
        </is>
      </c>
      <c r="K5" s="21">
        <f>IF(AND(OR(D5="retain",D5=""),OR(E5="report_internal_inconsistency",E5="plan_material")),"","not_applicable")</f>
        <v/>
      </c>
      <c r="L5" s="22">
        <f>IF(AND(OR(D5="retain",D5=""),E5="protocol_report"),"","not_applicable")</f>
        <v/>
      </c>
      <c r="M5" s="24" t="n"/>
      <c r="N5" s="23" t="n"/>
      <c r="O5" s="23" t="n"/>
      <c r="P5" s="23" t="n"/>
      <c r="Q5" s="23" t="n"/>
      <c r="R5" s="22" t="inlineStr">
        <is>
          <t>Abstract (p1): CNRT rescue strategies vs continuation, absolute RD 6% (95% CrI 6% to 11%); main p5 gives 6% (2%-11%) for both switching and dose increase, and eTable 4 (supp2 p21) gives 6% (2%-11%) and 6% (2%-10%). The abstract's lower limit equals the point estimate and is wrong.</t>
        </is>
      </c>
    </row>
    <row r="6" ht="92" customHeight="1" s="25">
      <c r="A6" s="20" t="inlineStr">
        <is>
          <t>2024::jama.2024.4183::C005</t>
        </is>
      </c>
      <c r="B6" s="20" t="inlineStr">
        <is>
          <t>Primary varenicline-to-CNRT direction, sign, and attribution</t>
        </is>
      </c>
      <c r="C6" s="20" t="inlineStr">
        <is>
          <t>jama_cinciripini_2024_oi_240036_1716416465.98349.pdf — main p.1, VAR Results; jama_cinciripini_2024_oi_240036_1716416465.98349.pdf — main p.5, VAR nonabstainer paragraph; jama_cinciripini_2024_oi_240036_1716416465.98349.pdf — main p.7, Figure 3 VAR nonabstainer rows; joi240036supp2_prod_1716416466.01349.pdf — supplement p.21, eTable 4 VAR switch-CNRT versus VAR-stay row; jama_cinciripini_2024_oi_240036_1716416465.98349.pdf — Main p.8, Discussion</t>
        </is>
      </c>
      <c r="D6" s="21" t="inlineStr">
        <is>
          <t>retain</t>
        </is>
      </c>
      <c r="E6" s="21" t="inlineStr">
        <is>
          <t>statistical_results</t>
        </is>
      </c>
      <c r="F6" s="21" t="inlineStr">
        <is>
          <t>primary_done</t>
        </is>
      </c>
      <c r="G6" s="20">
        <f>IFERROR(IF(LEN(TRIM(CLEAN(SUBSTITUTE(Setup!$B$2,CHAR(160)," "))))=0,"CHECK REVIEWER ID",IF(OR(A6="",COUNTIF($A$2:$A$15,A6)&lt;&gt;1,LEFT(A6,LEN("2024::jama.2024.4183::"))&lt;&gt;"2024::jama.2024.4183::"),"CHECK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t="inlineStr">
        <is>
          <t>confirmed_issue</t>
        </is>
      </c>
      <c r="I6" s="21" t="inlineStr">
        <is>
          <t>substantive</t>
        </is>
      </c>
      <c r="J6" s="22" t="inlineStr">
        <is>
          <t>possible</t>
        </is>
      </c>
      <c r="K6" s="21">
        <f>IF(AND(OR(D6="retain",D6=""),OR(E6="report_internal_inconsistency",E6="plan_material")),"","not_applicable")</f>
        <v/>
      </c>
      <c r="L6" s="22">
        <f>IF(AND(OR(D6="retain",D6=""),E6="protocol_report"),"","not_applicable")</f>
        <v/>
      </c>
      <c r="M6" s="20" t="n"/>
      <c r="N6" s="23" t="n"/>
      <c r="O6" s="23" t="n"/>
      <c r="P6" s="23" t="n"/>
      <c r="Q6" s="23" t="n"/>
      <c r="R6" s="22" t="inlineStr">
        <is>
          <t>Varenicline nonabstainers: switch to CNRT 0% (0/41) vs continue 3% (2/77). Main p5: switching to CNRT 'resulted in an absolute RD of -3% ... posterior probability &gt;99% that continuing was worse than switching'; the abstract attaches -3% to 'continuing ... was worse than switching to a higher dosage'. eTable 4 (supp2 p21) prints switch-vs-stay +3% (+1% to +4%). The sign and the stated direction conflict; per the arm probabilities, switching was worse than continuing.</t>
        </is>
      </c>
    </row>
    <row r="7" ht="92" customHeight="1" s="25">
      <c r="A7" s="24" t="inlineStr">
        <is>
          <t>2024::jama.2024.4183::C006</t>
        </is>
      </c>
      <c r="B7" s="24" t="inlineStr">
        <is>
          <t>Reported prespecified posterior criterion differs from plan</t>
        </is>
      </c>
      <c r="C7" s="24" t="inlineStr">
        <is>
          <t>joi240036supp1_prod_1716416466.00349.pdf — p.31, paragraph preceding Data Simulation Model; joi240036supp1_prod_1716416466.00349.pdf — Plan p.33, power prose; joi240036supp1_prod_1716416466.00349.pdf — p.34, Table 3; jama_cinciripini_2024_oi_240036_1716416465.98349.pdf — main p.4, Sample Size Determination and Statistical Analysis Plan; joi240036supp2_prod_1716416466.01349.pdf — supplement p.9, first paragraph; joi240036supp2_prod_1716416466.01349.pdf — supplement p.18, eTable 2</t>
        </is>
      </c>
      <c r="D7" s="21" t="inlineStr">
        <is>
          <t>retain</t>
        </is>
      </c>
      <c r="E7" s="21" t="inlineStr">
        <is>
          <t>protocol_report</t>
        </is>
      </c>
      <c r="F7" s="21" t="inlineStr">
        <is>
          <t>primary_done</t>
        </is>
      </c>
      <c r="G7" s="24">
        <f>IFERROR(IF(LEN(TRIM(CLEAN(SUBSTITUTE(Setup!$B$2,CHAR(160)," "))))=0,"CHECK REVIEWER ID",IF(OR(A7="",COUNTIF($A$2:$A$15,A7)&lt;&gt;1,LEFT(A7,LEN("2024::jama.2024.4183::"))&lt;&gt;"2024::jama.2024.4183::"),"CHECK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t="inlineStr">
        <is>
          <t>substantive_difference</t>
        </is>
      </c>
      <c r="M7" s="24" t="n"/>
      <c r="N7" s="23" t="n"/>
      <c r="O7" s="23" t="n"/>
      <c r="P7" s="23" t="n"/>
      <c r="Q7" s="23" t="n"/>
      <c r="R7" s="22" t="inlineStr">
        <is>
          <t>Protocol (supp1 p31): a posterior probability &gt; 0.90 that the effect exists 'constitutes sufficient evidence'; power prose p33 refers to detecting 0.90. Report (main p4; supp2 p9) describes &gt; 0.80 as the prespecified posterior probability sufficient to confirm the hypotheses. The decision threshold called prespecified differs from the plan.</t>
        </is>
      </c>
    </row>
    <row r="8" ht="92" customHeight="1" s="25">
      <c r="A8" s="20" t="inlineStr">
        <is>
          <t>2024::jama.2024.4183::C007</t>
        </is>
      </c>
      <c r="B8" s="20" t="inlineStr">
        <is>
          <t>Planned primary-model robustness analyses absent from reports</t>
        </is>
      </c>
      <c r="C8" s="20" t="inlineStr">
        <is>
          <t>joi240036supp1_prod_1716416466.00349.pdf — p.28, general analytic strategy and prior paragraphs; jama_cinciripini_2024_oi_240036_1716416465.98349.pdf — p.4, methods/intent-to-treat; jama_cinciripini_2024_oi_240036_1716416465.98349.pdf — p.7, secondary outcomes; jama_cinciripini_2024_oi_240036_1716416465.98349.pdf — p.8, post hoc analyses/limitations; joi240036supp2_prod_1716416466.01349.pdf — pp.1–3, complete contents; joi240036supp2_prod_1716416466.01349.pdf — p.5; joi240036supp2_prod_1716416466.01349.pdf — p.6; joi240036supp2_prod_1716416466.01349.pdf — p.7; joi240036supp2_prod_1716416466.01349.pdf — p.8; joi240036supp2_prod_1716416466.01349.pdf — p.9; joi240036supp2_prod_1716416466.01349.pdf — p.10; joi240036supp2_prod_1716416466.01349.pdf — p.11; joi240036supp2_prod_1716416466.01349.pdf — p.12; joi240036supp2_prod_1716416466.01349.pdf — p.13</t>
        </is>
      </c>
      <c r="D8" s="21" t="inlineStr">
        <is>
          <t>retain</t>
        </is>
      </c>
      <c r="E8" s="21" t="inlineStr">
        <is>
          <t>protocol_report</t>
        </is>
      </c>
      <c r="F8" s="21" t="inlineStr">
        <is>
          <t>primary_done</t>
        </is>
      </c>
      <c r="G8" s="20">
        <f>IFERROR(IF(LEN(TRIM(CLEAN(SUBSTITUTE(Setup!$B$2,CHAR(160)," "))))=0,"CHECK REVIEWER ID",IF(OR(A8="",COUNTIF($A$2:$A$15,A8)&lt;&gt;1,LEFT(A8,LEN("2024::jama.2024.4183::"))&lt;&gt;"2024::jama.2024.4183::"),"CHECK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t="inlineStr">
        <is>
          <t>substantive_difference</t>
        </is>
      </c>
      <c r="M8" s="20" t="n"/>
      <c r="N8" s="23" t="n"/>
      <c r="O8" s="23" t="n"/>
      <c r="P8" s="23" t="n"/>
      <c r="Q8" s="23" t="n"/>
      <c r="R8" s="22" t="inlineStr">
        <is>
          <t>Protocol (supp1 p28): secondary joint modeling of outcomes and missingness, missing-data sensitivity analyses with pattern-mixture models, and sensitivity analyses with optimistic, pessimistic and skeptical priors. None is reported in the main article or supplement (only missing = smoking, a convergence-driven intercept prior change, and post hoc GEE dynamic-treatment estimates).</t>
        </is>
      </c>
    </row>
    <row r="9" ht="92" customHeight="1" s="25">
      <c r="A9" s="24" t="inlineStr">
        <is>
          <t>2024::jama.2024.4183::C008</t>
        </is>
      </c>
      <c r="B9" s="24" t="inlineStr">
        <is>
          <t>EOT plus 30-day varenicline continuation denominator</t>
        </is>
      </c>
      <c r="C9" s="24" t="inlineStr">
        <is>
          <t>jama_cinciripini_2024_oi_240036_1716416465.98349.pdf — main p.7, Secondary Outcomes of Abstinence; joi240036supp2_prod_1716416466.01349.pdf — supplement p.10, opening continuation of summarized analysis; joi240036supp2_prod_1716416466.01349.pdf — supplement p.15, eFigure 2 final VAR nonabstainer-to-VAR row; jama_cinciripini_2024_oi_240036_1716416465.98349.pdf — main p.6, VAR continuation branch</t>
        </is>
      </c>
      <c r="D9" s="21" t="inlineStr">
        <is>
          <t>retain</t>
        </is>
      </c>
      <c r="E9" s="21" t="inlineStr">
        <is>
          <t>statistical_results</t>
        </is>
      </c>
      <c r="F9" s="21" t="inlineStr">
        <is>
          <t>primary_done</t>
        </is>
      </c>
      <c r="G9" s="24">
        <f>IFERROR(IF(LEN(TRIM(CLEAN(SUBSTITUTE(Setup!$B$2,CHAR(160)," "))))=0,"CHECK REVIEWER ID",IF(OR(A9="",COUNTIF($A$2:$A$15,A9)&lt;&gt;1,LEFT(A9,LEN("2024::jama.2024.4183::"))&lt;&gt;"2024::jama.2024.4183::"),"CHECK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t="inlineStr">
        <is>
          <t>confirmed_issue</t>
        </is>
      </c>
      <c r="I9" s="21" t="inlineStr">
        <is>
          <t>minor_presentation</t>
        </is>
      </c>
      <c r="J9" s="22" t="inlineStr">
        <is>
          <t>unlikely</t>
        </is>
      </c>
      <c r="K9" s="21">
        <f>IF(AND(OR(D9="retain",D9=""),OR(E9="report_internal_inconsistency",E9="plan_material")),"","not_applicable")</f>
        <v/>
      </c>
      <c r="L9" s="22">
        <f>IF(AND(OR(D9="retain",D9=""),E9="protocol_report"),"","not_applicable")</f>
        <v/>
      </c>
      <c r="M9" s="24" t="n"/>
      <c r="N9" s="23" t="n"/>
      <c r="O9" s="23" t="n"/>
      <c r="P9" s="23" t="n"/>
      <c r="Q9" s="23" t="n"/>
      <c r="R9" s="22" t="inlineStr">
        <is>
          <t>EOT+30 continuous abstinence, varenicline continuation: main p7 and supp2 p10 give '0%; n = 42', but the continuation arm in the primary-analysis framework is 77 (42 rerandomized + 35 assigned), and eFigure 2 (supp2 p15) prints 0/77. The n label is inconsistent with the analyzed population.</t>
        </is>
      </c>
    </row>
    <row r="10" ht="92" customHeight="1" s="25">
      <c r="A10" s="20" t="inlineStr">
        <is>
          <t>2024::jama.2024.4183::C009</t>
        </is>
      </c>
      <c r="B10" s="20" t="inlineStr">
        <is>
          <t>Six-month CNRT summary probabilities and risk difference</t>
        </is>
      </c>
      <c r="C10" s="20" t="inlineStr">
        <is>
          <t>jama_cinciripini_2024_oi_240036_1716416465.98349.pdf — main p.7, six-month Secondary Outcomes sentence; joi240036supp2_prod_1716416466.01349.pdf — supplement p.10, six-month summarized analysis; jama_cinciripini_2024_oi_240036_1716416465.98349.pdf — Main p.1, final Results sentence; joi240036supp2_prod_1716416466.01349.pdf — supplement p.11, six-month CNRT detailed paragraph; joi240036supp2_prod_1716416466.01349.pdf — Supplement p.16, eFigure 3 matched CNRT rows; joi240036supp2_prod_1716416466.01349.pdf — Supplement p.33, eTable 9 six-month CNRT+ contrast</t>
        </is>
      </c>
      <c r="D10" s="21" t="inlineStr">
        <is>
          <t>retain</t>
        </is>
      </c>
      <c r="E10" s="21" t="inlineStr">
        <is>
          <t>statistical_results</t>
        </is>
      </c>
      <c r="F10" s="21" t="inlineStr">
        <is>
          <t>primary_done</t>
        </is>
      </c>
      <c r="G10" s="20">
        <f>IFERROR(IF(LEN(TRIM(CLEAN(SUBSTITUTE(Setup!$B$2,CHAR(160)," "))))=0,"CHECK REVIEWER ID",IF(OR(A10="",COUNTIF($A$2:$A$15,A10)&lt;&gt;1,LEFT(A10,LEN("2024::jama.2024.4183::"))&lt;&gt;"2024::jama.2024.4183::"),"CHECK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t="inlineStr">
        <is>
          <t>confirmed_issue</t>
        </is>
      </c>
      <c r="I10" s="21" t="inlineStr">
        <is>
          <t>substantive</t>
        </is>
      </c>
      <c r="J10" s="22" t="inlineStr">
        <is>
          <t>possible</t>
        </is>
      </c>
      <c r="K10" s="21">
        <f>IF(AND(OR(D10="retain",D10=""),OR(E10="report_internal_inconsistency",E10="plan_material")),"","not_applicable")</f>
        <v/>
      </c>
      <c r="L10" s="22">
        <f>IF(AND(OR(D10="retain",D10=""),E10="protocol_report"),"","not_applicable")</f>
        <v/>
      </c>
      <c r="M10" s="20" t="n"/>
      <c r="N10" s="23" t="n"/>
      <c r="O10" s="23" t="n"/>
      <c r="P10" s="23" t="n"/>
      <c r="Q10" s="23" t="n"/>
      <c r="R10" s="22" t="inlineStr">
        <is>
          <t>Six-month continuous abstinence: main p7 and supp2 p10 say only CNRT dose increase (3%) and varenicline dose increase (2%) provided benefit over continuation (0%). Detailed results (supp2 p11) and eFigure 3 (p16) give CNRT increase 6% (3/50) and continuation 3% (3/90), ARD 3% (eTable 9). The CNRT figures in the summary are risk differences presented as arm probabilities.</t>
        </is>
      </c>
    </row>
    <row r="11" ht="92" customHeight="1" s="25">
      <c r="A11" s="24" t="inlineStr">
        <is>
          <t>2024::jama.2024.4183::C010</t>
        </is>
      </c>
      <c r="B11" s="24" t="inlineStr">
        <is>
          <t>Week-6 design intervals and generating beta distributions</t>
        </is>
      </c>
      <c r="C11" s="24" t="inlineStr">
        <is>
          <t>joi240036supp1_prod_1716416466.00349.pdf — p.31, Data Simulation Model; joi240036supp1_prod_1716416466.00349.pdf — p.32, Figure 2; joi240036supp2_prod_1716416466.01349.pdf — supplement p.5, eFigure 1 description; joi240036supp2_prod_1716416466.01349.pdf — supplement p.14, eFigure 1</t>
        </is>
      </c>
      <c r="D11" s="21" t="inlineStr">
        <is>
          <t>retain</t>
        </is>
      </c>
      <c r="E11" s="21" t="inlineStr">
        <is>
          <t>plan_material</t>
        </is>
      </c>
      <c r="F11" s="21" t="inlineStr">
        <is>
          <t>primary_done</t>
        </is>
      </c>
      <c r="G11" s="24">
        <f>IFERROR(IF(LEN(TRIM(CLEAN(SUBSTITUTE(Setup!$B$2,CHAR(160)," "))))=0,"CHECK REVIEWER ID",IF(OR(A11="",COUNTIF($A$2:$A$15,A11)&lt;&gt;1,LEFT(A11,LEN("2024::jama.2024.4183::"))&lt;&gt;"2024::jama.2024.4183::"),"CHECK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f>IF(AND(OR(D11="retain",D11=""),E11="statistical_results"),"","not_applicable")</f>
        <v/>
      </c>
      <c r="I11" s="21">
        <f>IF(AND(OR(D11="retain",D11=""),E11="statistical_results"),"","not_applicable")</f>
        <v/>
      </c>
      <c r="J11" s="22">
        <f>IF(AND(OR(D11="retain",D11=""),E11="statistical_results"),"","not_applicable")</f>
        <v/>
      </c>
      <c r="K11" s="21" t="inlineStr">
        <is>
          <t>minor_presentation</t>
        </is>
      </c>
      <c r="L11" s="22">
        <f>IF(AND(OR(D11="retain",D11=""),E11="protocol_report"),"","not_applicable")</f>
        <v/>
      </c>
      <c r="M11" s="24" t="n"/>
      <c r="N11" s="23" t="n"/>
      <c r="O11" s="23" t="n"/>
      <c r="P11" s="23" t="n"/>
      <c r="Q11" s="23" t="n"/>
      <c r="R11" s="22" t="inlineStr">
        <is>
          <t>Protocol Figure 2 (supp1 p31-32), repeated in supplement eFigure 1 (supp2 p14): week-6 design inputs CNRT 0.48 (0.38-0.58) Beta(193, 210) and varenicline 0.50 (0.40-0.60) Beta(785, 869). Quantiles of these betas are 0.430-0.528 and 0.451-0.499 (medians 0.479, 0.475). The eight week-12 boxes reproduce from their betas. The week-6 intervals and beta parameters are inconsistent.</t>
        </is>
      </c>
    </row>
    <row r="12" ht="92" customHeight="1" s="25">
      <c r="A12" s="20" t="inlineStr">
        <is>
          <t>2024::jama.2024.4183::C011</t>
        </is>
      </c>
      <c r="B12" s="20" t="inlineStr">
        <is>
          <t>Revised normal prior variance and printed odds interval</t>
        </is>
      </c>
      <c r="C12" s="20" t="inlineStr">
        <is>
          <t>joi240036supp2_prod_1716416466.01349.pdf — supplement p.7, initial coefficient-prior paragraph; joi240036supp2_prod_1716416466.01349.pdf — p.8, first prior paragraph; joi240036supp2_prod_1716416466.01349.pdf — p.8 model-fitting paragraph</t>
        </is>
      </c>
      <c r="D12" s="21" t="inlineStr">
        <is>
          <t>retain</t>
        </is>
      </c>
      <c r="E12" s="21" t="inlineStr">
        <is>
          <t>statistical_results</t>
        </is>
      </c>
      <c r="F12" s="21" t="inlineStr">
        <is>
          <t>primary_done</t>
        </is>
      </c>
      <c r="G12" s="20">
        <f>IFERROR(IF(LEN(TRIM(CLEAN(SUBSTITUTE(Setup!$B$2,CHAR(160)," "))))=0,"CHECK REVIEWER ID",IF(OR(A12="",COUNTIF($A$2:$A$15,A12)&lt;&gt;1,LEFT(A12,LEN("2024::jama.2024.4183::"))&lt;&gt;"2024::jama.2024.4183::"),"CHECK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t="inlineStr">
        <is>
          <t>confirmed_issue</t>
        </is>
      </c>
      <c r="I12" s="21" t="inlineStr">
        <is>
          <t>minor_presentation</t>
        </is>
      </c>
      <c r="J12" s="22" t="inlineStr">
        <is>
          <t>unlikely</t>
        </is>
      </c>
      <c r="K12" s="21">
        <f>IF(AND(OR(D12="retain",D12=""),OR(E12="report_internal_inconsistency",E12="plan_material")),"","not_applicable")</f>
        <v/>
      </c>
      <c r="L12" s="22">
        <f>IF(AND(OR(D12="retain",D12=""),E12="protocol_report"),"","not_applicable")</f>
        <v/>
      </c>
      <c r="M12" s="20" t="n"/>
      <c r="N12" s="23" t="n"/>
      <c r="O12" s="23" t="n"/>
      <c r="P12" s="23" t="n"/>
      <c r="Q12" s="23" t="n"/>
      <c r="R12" s="22" t="inlineStr">
        <is>
          <t>Supp2 p8: revised intercept prior 'Normal(mean = 0, variance = 10)' on the log-odds scale, with stated 95% prior interval for the odds 3.07 x 10^-9 to 325,215,956. exp(+/-1.96*sqrt(10)) = 0.0020 to 492; the printed interval equals exp(+/-1.96*10), i.e., SD = 10 (variance 100). The prior is misstated.</t>
        </is>
      </c>
    </row>
    <row r="13" ht="92" customHeight="1" s="25">
      <c r="A13" s="24" t="inlineStr">
        <is>
          <t>2024::jama.2024.4183::C012</t>
        </is>
      </c>
      <c r="B13" s="24" t="inlineStr">
        <is>
          <t>Repeated EOT plus 30-day decimal-scale discrepancies</t>
        </is>
      </c>
      <c r="C13" s="24" t="inlineStr">
        <is>
          <t>joi240036supp2_prod_1716416466.01349.pdf — Supplement p.10, CNRT nonabstainer switch probability; joi240036supp2_prod_1716416466.01349.pdf — P.15, eFigure 2 CNRT nonabstainer→VAR; joi240036supp2_prod_1716416466.01349.pdf — P.10, same CNRT probability sentence, increase; joi240036supp2_prod_1716416466.01349.pdf — P.15, eFigure 2 CNRT nonabstainer→CNRT+; joi240036supp2_prod_1716416466.01349.pdf — P.10, CNRT switch-minus-continuation ARD; joi240036supp2_prod_1716416466.01349.pdf — P.33, eTable 9 EOT+30 CNRT VAR-switch column; joi240036supp2_prod_1716416466.01349.pdf — P.10, final VAR nonabstainer probability sentence, increase; joi240036supp2_prod_1716416466.01349.pdf — P.15, eFigure 2 VAR nonabstainer→VAR+; joi240036supp2_prod_1716416466.01349.pdf — P.11, first paragraph, VAR increase-minus-continuation ARD; joi240036supp2_prod_1716416466.01349.pdf — P.33, eTable 9 EOT+30 VAR+ column; joi240036supp2_prod_1716416466.01349.pdf — P.11, second paragraph, VAR increase-minus-switch ARD; joi240036supp2_prod_1716416466.01349.pdf — P.34, eTable 10 EOT+30 VAR column; joi240036supp2_prod_1716416466.01349.pdf — P.11, phase-1 abstainers paragraph, CNRT versus VAR ARD; joi240036supp2_prod_1716416466.01349.pdf — P.35, eTable 11 EOT+30 row</t>
        </is>
      </c>
      <c r="D13" s="21" t="inlineStr">
        <is>
          <t>retain</t>
        </is>
      </c>
      <c r="E13" s="21" t="inlineStr">
        <is>
          <t>statistical_results</t>
        </is>
      </c>
      <c r="F13" s="21" t="inlineStr">
        <is>
          <t>primary_done</t>
        </is>
      </c>
      <c r="G13" s="24">
        <f>IFERROR(IF(LEN(TRIM(CLEAN(SUBSTITUTE(Setup!$B$2,CHAR(160)," "))))=0,"CHECK REVIEWER ID",IF(OR(A13="",COUNTIF($A$2:$A$15,A13)&lt;&gt;1,LEFT(A13,LEN("2024::jama.2024.4183::"))&lt;&gt;"2024::jama.2024.4183::"),"CHECK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t="inlineStr">
        <is>
          <t>confirmed_issue</t>
        </is>
      </c>
      <c r="I13" s="21" t="inlineStr">
        <is>
          <t>minor_presentation</t>
        </is>
      </c>
      <c r="J13" s="22" t="inlineStr">
        <is>
          <t>unlikely</t>
        </is>
      </c>
      <c r="K13" s="21">
        <f>IF(AND(OR(D13="retain",D13=""),OR(E13="report_internal_inconsistency",E13="plan_material")),"","not_applicable")</f>
        <v/>
      </c>
      <c r="L13" s="22">
        <f>IF(AND(OR(D13="retain",D13=""),E13="protocol_report"),"","not_applicable")</f>
        <v/>
      </c>
      <c r="M13" s="24" t="n"/>
      <c r="N13" s="23" t="n"/>
      <c r="O13" s="23" t="n"/>
      <c r="P13" s="23" t="n"/>
      <c r="Q13" s="23" t="n"/>
      <c r="R13" s="22" t="inlineStr">
        <is>
          <t>Supplement eAppendix 4 narrative (supp2 p10-11) prints EOT+30 estimates with shifted decimals: '1.0% (7.0%-1.3%)' for 10% (7%-13%) in eFigure 2; '8.0% (5.0%-1.1%)' (four times) for 8% (5%-11%); '6.0% (3.0%-1.0%)' for 6% (3%-10%); '1.1% (-1.0%-22%)' for 11% (-1%-22%) in eTable 11. Figures and tables are correct.</t>
        </is>
      </c>
    </row>
    <row r="14" ht="92" customHeight="1" s="25">
      <c r="A14" s="20" t="inlineStr">
        <is>
          <t>2024::jama.2024.4183::C013</t>
        </is>
      </c>
      <c r="B14" s="20" t="inlineStr">
        <is>
          <t>Six-month responder credible limits differ across locations</t>
        </is>
      </c>
      <c r="C14" s="20" t="inlineStr">
        <is>
          <t>joi240036supp2_prod_1716416466.01349.pdf — supplement p.12, Continuous Abstinence at 6 months for Abstainers; joi240036supp2_prod_1716416466.01349.pdf — supplement p.35, eTable 11 six-month Continuous Abstinence row; joi240036supp2_prod_1716416466.01349.pdf — P.16, eFigure 3 responder rows</t>
        </is>
      </c>
      <c r="D14" s="21" t="inlineStr">
        <is>
          <t>retain</t>
        </is>
      </c>
      <c r="E14" s="21" t="inlineStr">
        <is>
          <t>statistical_results</t>
        </is>
      </c>
      <c r="F14" s="21" t="inlineStr">
        <is>
          <t>primary_done</t>
        </is>
      </c>
      <c r="G14" s="20">
        <f>IFERROR(IF(LEN(TRIM(CLEAN(SUBSTITUTE(Setup!$B$2,CHAR(160)," "))))=0,"CHECK REVIEWER ID",IF(OR(A14="",COUNTIF($A$2:$A$15,A14)&lt;&gt;1,LEFT(A14,LEN("2024::jama.2024.4183::"))&lt;&gt;"2024::jama.2024.4183::"),"CHECK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minor_presentation</t>
        </is>
      </c>
      <c r="J14" s="22" t="inlineStr">
        <is>
          <t>unlikely</t>
        </is>
      </c>
      <c r="K14" s="21">
        <f>IF(AND(OR(D14="retain",D14=""),OR(E14="report_internal_inconsistency",E14="plan_material")),"","not_applicable")</f>
        <v/>
      </c>
      <c r="L14" s="22">
        <f>IF(AND(OR(D14="retain",D14=""),E14="protocol_report"),"","not_applicable")</f>
        <v/>
      </c>
      <c r="M14" s="20" t="n"/>
      <c r="N14" s="23" t="n"/>
      <c r="O14" s="23" t="n"/>
      <c r="P14" s="23" t="n"/>
      <c r="Q14" s="23" t="n"/>
      <c r="R14" s="22" t="inlineStr">
        <is>
          <t>Six-month continuous abstinence among phase-1 abstainers, CNRT vs varenicline: supp2 p12 narrative ARD 1.0% (-1.3% to 1.1%), probability 55%; eTable 11 (p35) ARD 1% (-11% to 12%), probability 56%. Arm probabilities 39% (30-48) and 40% (33-47) make the eTable interval plausible; the narrative limits are wrong (decimal slip, cf. C012).</t>
        </is>
      </c>
    </row>
    <row r="15" ht="92" customHeight="1" s="25">
      <c r="A15" s="24" t="inlineStr">
        <is>
          <t>2024::jama.2024.4183::C014</t>
        </is>
      </c>
      <c r="B15" s="24" t="inlineStr">
        <is>
          <t>Augmented-CNRT dose attached to the primary-design input</t>
        </is>
      </c>
      <c r="C15" s="24" t="inlineStr">
        <is>
          <t>joi240036supp2_prod_1716416466.01349.pdf — supplement p.14, eFigure 1 caption and CNRT+ week-12 cell; joi240036supp2_prod_1716416466.01349.pdf — supplement p.17, eTable 1 caption; joi240036supp2_prod_1716416466.01349.pdf — Supplement p.18, eTable 2 caption; joi240036supp2_prod_1716416466.01349.pdf — P.15, eFigure 2 caption; joi240036supp2_prod_1716416466.01349.pdf — p.16, eFigure 3 caption; jama_cinciripini_2024_oi_240036_1716416465.98349.pdf — main p.4, first medication paragraph; jama_cinciripini_2024_oi_240036_1716416465.98349.pdf — main p.7, Figure 3 caption; jama_cinciripini_2024_oi_240036_1716416465.98349.pdf — Main p.8, second limitation; joi240036supp1_prod_1716416466.00349.pdf — p.25, medication paragraph</t>
        </is>
      </c>
      <c r="D15" s="21" t="inlineStr">
        <is>
          <t>retain</t>
        </is>
      </c>
      <c r="E15" s="21" t="inlineStr">
        <is>
          <t>report_internal_inconsistency</t>
        </is>
      </c>
      <c r="F15" s="21" t="inlineStr">
        <is>
          <t>primary_done</t>
        </is>
      </c>
      <c r="G15" s="24">
        <f>IFERROR(IF(LEN(TRIM(CLEAN(SUBSTITUTE(Setup!$B$2,CHAR(160)," "))))=0,"CHECK REVIEWER ID",IF(OR(A15="",COUNTIF($A$2:$A$15,A15)&lt;&gt;1,LEFT(A15,LEN("2024::jama.2024.4183::"))&lt;&gt;"2024::jama.2024.4183::"),"CHECK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f>IF(AND(OR(D15="retain",D15=""),E15="statistical_results"),"","not_applicable")</f>
        <v/>
      </c>
      <c r="I15" s="21">
        <f>IF(AND(OR(D15="retain",D15=""),E15="statistical_results"),"","not_applicable")</f>
        <v/>
      </c>
      <c r="J15" s="22">
        <f>IF(AND(OR(D15="retain",D15=""),E15="statistical_results"),"","not_applicable")</f>
        <v/>
      </c>
      <c r="K15" s="21" t="inlineStr">
        <is>
          <t>minor_presentation</t>
        </is>
      </c>
      <c r="L15" s="22">
        <f>IF(AND(OR(D15="retain",D15=""),E15="protocol_report"),"","not_applicable")</f>
        <v/>
      </c>
      <c r="M15" s="24" t="n"/>
      <c r="N15" s="23" t="n"/>
      <c r="O15" s="23" t="n"/>
      <c r="P15" s="23" t="n"/>
      <c r="Q15" s="23" t="n"/>
      <c r="R15" s="22" t="inlineStr">
        <is>
          <t>Supplement eFigure 1 (supp2 p14) defines the CNRT dose-increase design cell as two 21-mg patches plus 4-mg lozenges; eTables 1-2 (p17-18), main p4, Figure 3 caption and the protocol (supp1 p25) specify 2-mg lozenges. Main p8 notes 2-mg rather than 4-mg lozenges were used as a practical choice, so eFigure 1 may reflect an earlier assumption.</t>
        </is>
      </c>
    </row>
  </sheetData>
  <autoFilter ref="A1:R15"/>
  <conditionalFormatting sqref="H2:H15">
    <cfRule type="expression" priority="8" dxfId="70">
      <formula>NOT(AND(OR($D2="retain",$D2=""),$E2="statistical_results"))</formula>
    </cfRule>
  </conditionalFormatting>
  <conditionalFormatting sqref="I2:I15">
    <cfRule type="expression" priority="9" dxfId="70">
      <formula>NOT(AND(OR($D2="retain",$D2=""),$E2="statistical_results"))</formula>
    </cfRule>
  </conditionalFormatting>
  <conditionalFormatting sqref="J2:J15">
    <cfRule type="expression" priority="10" dxfId="70">
      <formula>NOT(AND(OR($D2="retain",$D2=""),$E2="statistical_results"))</formula>
    </cfRule>
  </conditionalFormatting>
  <conditionalFormatting sqref="K2:K15">
    <cfRule type="expression" priority="11" dxfId="70">
      <formula>NOT(AND(OR($D2="retain",$D2=""),OR($E2="report_internal_inconsistency",$E2="plan_material")))</formula>
    </cfRule>
  </conditionalFormatting>
  <conditionalFormatting sqref="L2:L15">
    <cfRule type="expression" priority="12" dxfId="70">
      <formula>NOT(AND(OR($D2="retain",$D2=""),$E2="protocol_report"))</formula>
    </cfRule>
  </conditionalFormatting>
  <conditionalFormatting sqref="G2:G15">
    <cfRule type="expression" priority="13" dxfId="71">
      <formula>G2&lt;&gt;"PRIMARY READY"</formula>
    </cfRule>
  </conditionalFormatting>
  <dataValidations count="8">
    <dataValidation sqref="D2:D15" showDropDown="0" showInputMessage="0" showErrorMessage="1" allowBlank="1" errorTitle="Use a listed option" error="Choose an option; G also checks pasted entries." type="list" errorStyle="stop">
      <formula1>"retain,exclude,discuss"</formula1>
    </dataValidation>
    <dataValidation sqref="E2:E15"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5" showDropDown="0" showInputMessage="0" showErrorMessage="1" allowBlank="1" errorTitle="Use a listed option" error="Choose an option; G also checks pasted entries." type="list" errorStyle="stop">
      <formula1>"no,primary_done"</formula1>
    </dataValidation>
    <dataValidation sqref="H2:H15"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5"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5" showDropDown="0" showInputMessage="0" showErrorMessage="1" allowBlank="1" errorTitle="Use a listed option" error="Choose an option; G also checks pasted entries." type="list" errorStyle="stop">
      <formula1>"direct,possible,unlikely,unknown,not_applicable"</formula1>
    </dataValidation>
    <dataValidation sqref="K2:K15"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5"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R14"/>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2024::jama.2024.6063::C001</t>
        </is>
      </c>
      <c r="B2" s="20" t="inlineStr">
        <is>
          <t>Primary signed contrast differs between report locations</t>
        </is>
      </c>
      <c r="C2" s="20" t="inlineStr">
        <is>
          <t>DOC-001 jama_laslett_2024_oi_240048_1727199125.7595.pdf — p1 abstract, jama_laslett_2024_oi_240048_1727199125.7595.pdf — p2 Key Points, jama_laslett_2024_oi_240048_1727199125.7595.pdf — p6 Table 2, jama_laslett_2024_oi_240048_1727199125.7595.pdf — p7 primary text; DOC-004 joi240048supp3_prod_1727199125.83025.pdf — p2 original row, joi240048supp3_prod_1727199125.83025.pdf — p5 VAS24.</t>
        </is>
      </c>
      <c r="D2" s="21" t="inlineStr">
        <is>
          <t>retain</t>
        </is>
      </c>
      <c r="E2" s="21" t="inlineStr">
        <is>
          <t>statistical_results</t>
        </is>
      </c>
      <c r="F2" s="21" t="inlineStr">
        <is>
          <t>primary_done</t>
        </is>
      </c>
      <c r="G2" s="20">
        <f>IFERROR(IF(LEN(TRIM(CLEAN(SUBSTITUTE(Setup!$B$2,CHAR(160)," "))))=0,"CHECK REVIEWER ID",IF(OR(A2="",COUNTIF($A$2:$A$14,A2)&lt;&gt;1,LEFT(A2,LEN("2024::jama.2024.6063::"))&lt;&gt;"2024::jama.2024.6063::"),"CHECK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minor_presentation</t>
        </is>
      </c>
      <c r="J2" s="22" t="inlineStr">
        <is>
          <t>unlikely</t>
        </is>
      </c>
      <c r="K2" s="21">
        <f>IF(AND(OR(D2="retain",D2=""),OR(E2="report_internal_inconsistency",E2="plan_material")),"","not_applicable")</f>
        <v/>
      </c>
      <c r="L2" s="22">
        <f>IF(AND(OR(D2="retain",D2=""),E2="protocol_report"),"","not_applicable")</f>
        <v/>
      </c>
      <c r="M2" s="20" t="n"/>
      <c r="N2" s="23" t="n"/>
      <c r="O2" s="23" t="n"/>
      <c r="P2" s="23" t="n"/>
      <c r="Q2" s="23" t="n"/>
      <c r="R2" s="22" t="inlineStr">
        <is>
          <t>Key Points (main p2) give the primary between-group difference as 0.30 (95% CI -6.9 to 6.4); abstract (p1), Table 2 (p6), Results (p7) and eTable 4 (supp3 p5) give -0.3 with the same CI (eTable 1: -0.27). The table convention is placebo change minus krill change: -20.2 - (-19.9) = -0.3.</t>
        </is>
      </c>
    </row>
    <row r="3" ht="92" customHeight="1" s="25">
      <c r="A3" s="24" t="inlineStr">
        <is>
          <t>2024::jama.2024.6063::C002</t>
        </is>
      </c>
      <c r="B3" s="24" t="inlineStr">
        <is>
          <t>Placebo composition percentages differ by a decimal place</t>
        </is>
      </c>
      <c r="C3" s="24" t="inlineStr">
        <is>
          <t>DOC-001 jama_laslett_2024_oi_240048_1727199125.7595.pdf — p2 intervention last line, jama_laslett_2024_oi_240048_1727199125.7595.pdf — p3 continuation, jama_laslett_2024_oi_240048_1727199125.7595.pdf — p9 Discussion.</t>
        </is>
      </c>
      <c r="D3" s="21" t="inlineStr">
        <is>
          <t>retain</t>
        </is>
      </c>
      <c r="E3" s="21" t="inlineStr">
        <is>
          <t>statistical_results</t>
        </is>
      </c>
      <c r="F3" s="21" t="inlineStr">
        <is>
          <t>primary_done</t>
        </is>
      </c>
      <c r="G3" s="24">
        <f>IFERROR(IF(LEN(TRIM(CLEAN(SUBSTITUTE(Setup!$B$2,CHAR(160)," "))))=0,"CHECK REVIEWER ID",IF(OR(A3="",COUNTIF($A$2:$A$14,A3)&lt;&gt;1,LEFT(A3,LEN("2024::jama.2024.6063::"))&lt;&gt;"2024::jama.2024.6063::"),"CHECK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t="inlineStr">
        <is>
          <t>confirmed_issue</t>
        </is>
      </c>
      <c r="I3" s="21" t="inlineStr">
        <is>
          <t>minor_presentation</t>
        </is>
      </c>
      <c r="J3" s="22" t="inlineStr">
        <is>
          <t>unlikely</t>
        </is>
      </c>
      <c r="K3" s="21">
        <f>IF(AND(OR(D3="retain",D3=""),OR(E3="report_internal_inconsistency",E3="plan_material")),"","not_applicable")</f>
        <v/>
      </c>
      <c r="L3" s="22">
        <f>IF(AND(OR(D3="retain",D3=""),E3="protocol_report"),"","not_applicable")</f>
        <v/>
      </c>
      <c r="M3" s="24" t="n"/>
      <c r="N3" s="23" t="n"/>
      <c r="O3" s="23" t="n"/>
      <c r="P3" s="23" t="n"/>
      <c r="Q3" s="23" t="n"/>
      <c r="R3" s="22" t="inlineStr">
        <is>
          <t>Placebo omega-3 content: Methods (main p2-3) 'less than 5 mg/g (0.5%)'; Discussion (p9) 'less than 5 mg/g (0.05%)'. 5 mg/g = 0.5%; the Discussion percentage is off by a factor of 10.</t>
        </is>
      </c>
    </row>
    <row r="4" ht="92" customHeight="1" s="25">
      <c r="A4" s="20" t="inlineStr">
        <is>
          <t>2024::jama.2024.6063::C003</t>
        </is>
      </c>
      <c r="B4" s="20" t="inlineStr">
        <is>
          <t>Primary VAS recall periods differ between plan and report</t>
        </is>
      </c>
      <c r="C4" s="20" t="inlineStr">
        <is>
          <t>DOC-001 jama_laslett_2024_oi_240048_1727199125.7595.pdf — p3 primary outcome, jama_laslett_2024_oi_240048_1727199125.7595.pdf — p5 Table 1 footnote b; DOC-002 joi240048supp1_prod_1727199125.7845.pdf — p6 primary definition, joi240048supp1_prod_1727199125.7845.pdf — p8 primary question.</t>
        </is>
      </c>
      <c r="D4" s="21" t="inlineStr">
        <is>
          <t>retain</t>
        </is>
      </c>
      <c r="E4" s="21" t="inlineStr">
        <is>
          <t>protocol_report</t>
        </is>
      </c>
      <c r="F4" s="21" t="inlineStr">
        <is>
          <t>primary_done</t>
        </is>
      </c>
      <c r="G4" s="20">
        <f>IFERROR(IF(LEN(TRIM(CLEAN(SUBSTITUTE(Setup!$B$2,CHAR(160)," "))))=0,"CHECK REVIEWER ID",IF(OR(A4="",COUNTIF($A$2:$A$14,A4)&lt;&gt;1,LEFT(A4,LEN("2024::jama.2024.6063::"))&lt;&gt;"2024::jama.2024.6063::"),"CHECK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Protocol (supp1 p8): primary VAS pain asked as 'how would you rate your pain today'. Report (main p3, Table 1 footnote b): knee pain VAS 'over the past 7 days'. The recall period of the primary outcome differs; not described as a change.</t>
        </is>
      </c>
    </row>
    <row r="5" ht="92" customHeight="1" s="25">
      <c r="A5" s="24" t="inlineStr">
        <is>
          <t>2024::jama.2024.6063::C004</t>
        </is>
      </c>
      <c r="B5" s="24" t="inlineStr">
        <is>
          <t>ICOAP item count does not identify the scoring denominator</t>
        </is>
      </c>
      <c r="C5" s="24" t="inlineStr">
        <is>
          <t>DOC-001 jama_laslett_2024_oi_240048_1727199125.7595.pdf — p4 post hoc scoring, jama_laslett_2024_oi_240048_1727199125.7595.pdf — p5 Table 1 footnote g, jama_laslett_2024_oi_240048_1727199125.7595.pdf — p6 ICOAP rows/descriptions.</t>
        </is>
      </c>
      <c r="D5" s="21" t="inlineStr">
        <is>
          <t>retain</t>
        </is>
      </c>
      <c r="E5" s="21" t="inlineStr">
        <is>
          <t>statistical_results</t>
        </is>
      </c>
      <c r="F5" s="21" t="inlineStr">
        <is>
          <t>primary_done</t>
        </is>
      </c>
      <c r="G5" s="24">
        <f>IFERROR(IF(LEN(TRIM(CLEAN(SUBSTITUTE(Setup!$B$2,CHAR(160)," "))))=0,"CHECK REVIEWER ID",IF(OR(A5="",COUNTIF($A$2:$A$14,A5)&lt;&gt;1,LEFT(A5,LEN("2024::jama.2024.6063::"))&lt;&gt;"2024::jama.2024.6063::"),"CHECK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minor_presentation</t>
        </is>
      </c>
      <c r="J5" s="22" t="inlineStr">
        <is>
          <t>unlikely</t>
        </is>
      </c>
      <c r="K5" s="21">
        <f>IF(AND(OR(D5="retain",D5=""),OR(E5="report_internal_inconsistency",E5="plan_material")),"","not_applicable")</f>
        <v/>
      </c>
      <c r="L5" s="22">
        <f>IF(AND(OR(D5="retain",D5=""),E5="protocol_report"),"","not_applicable")</f>
        <v/>
      </c>
      <c r="M5" s="24" t="n"/>
      <c r="N5" s="23" t="n"/>
      <c r="O5" s="23" t="n"/>
      <c r="P5" s="23" t="n"/>
      <c r="Q5" s="23" t="n"/>
      <c r="R5" s="22" t="inlineStr">
        <is>
          <t>Table 1 footnote g (main p5): ICOAP has 5 constant-pain questions and 8 intermittent-pain questions; Methods (p4): items scored 0-4, constant 0-20, intermittent 0-24, total 0-44. 5 x 4 = 20, but 8 x 4 = 32 and 13 x 4 = 52; the ranges imply 6 intermittent items (11 total). The item count in the footnote is wrong.</t>
        </is>
      </c>
    </row>
    <row r="6" ht="92" customHeight="1" s="25">
      <c r="A6" s="20" t="inlineStr">
        <is>
          <t>2024::jama.2024.6063::C005</t>
        </is>
      </c>
      <c r="B6" s="20" t="inlineStr">
        <is>
          <t>Adopted power specifications differ between plan and report</t>
        </is>
      </c>
      <c r="C6" s="20" t="inlineStr">
        <is>
          <t>DOC-001 jama_laslett_2024_oi_240048_1727199125.7595.pdf — p4 power; DOC-002 joi240048supp1_prod_1727199125.7845.pdf — p2 effusion hypothesis, joi240048supp1_prod_1727199125.7845.pdf — p12 adopted power.</t>
        </is>
      </c>
      <c r="D6" s="21" t="inlineStr">
        <is>
          <t>retain</t>
        </is>
      </c>
      <c r="E6" s="21" t="inlineStr">
        <is>
          <t>protocol_report</t>
        </is>
      </c>
      <c r="F6" s="21" t="inlineStr">
        <is>
          <t>primary_done</t>
        </is>
      </c>
      <c r="G6" s="20">
        <f>IFERROR(IF(LEN(TRIM(CLEAN(SUBSTITUTE(Setup!$B$2,CHAR(160)," "))))=0,"CHECK REVIEWER ID",IF(OR(A6="",COUNTIF($A$2:$A$14,A6)&lt;&gt;1,LEFT(A6,LEN("2024::jama.2024.6063::"))&lt;&gt;"2024::jama.2024.6063::"),"CHECK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t="inlineStr">
        <is>
          <t>Protocol power (supp1 p2, p12): 10-mm VAS difference, SD of change 25.5 (4Jointz data), 90% power, 234 + 10% = 260; effusion: 96% power for a 20% difference in effusion area (mean 2.24 cm2, SD 1.35). Report (main p4): 130/group for 90% power to detect 10 points with SD 23.8 and a 4.5-mL effusion-volume change. Inputs and the effusion metric (area vs volume) differ.</t>
        </is>
      </c>
    </row>
    <row r="7" ht="92" customHeight="1" s="25">
      <c r="A7" s="24" t="inlineStr">
        <is>
          <t>2024::jama.2024.6063::C006</t>
        </is>
      </c>
      <c r="B7" s="24" t="inlineStr">
        <is>
          <t>Reported primary model differs from the supplied planned model</t>
        </is>
      </c>
      <c r="C7" s="24" t="inlineStr">
        <is>
          <t>DOC-001 jama_laslett_2024_oi_240048_1727199125.7595.pdf — p4 statistical methods, jama_laslett_2024_oi_240048_1727199125.7595.pdf — p7 continuation; DOC-002 joi240048supp1_prod_1727199125.7845.pdf — p12 Statistics; DOC-003 joi240048supp2_prod_1727199125.8245.pdf — p1 lines 5–7.</t>
        </is>
      </c>
      <c r="D7" s="21" t="inlineStr">
        <is>
          <t>retain</t>
        </is>
      </c>
      <c r="E7" s="21" t="inlineStr">
        <is>
          <t>protocol_report</t>
        </is>
      </c>
      <c r="F7" s="21" t="inlineStr">
        <is>
          <t>primary_done</t>
        </is>
      </c>
      <c r="G7" s="24">
        <f>IFERROR(IF(LEN(TRIM(CLEAN(SUBSTITUTE(Setup!$B$2,CHAR(160)," "))))=0,"CHECK REVIEWER ID",IF(OR(A7="",COUNTIF($A$2:$A$14,A7)&lt;&gt;1,LEFT(A7,LEN("2024::jama.2024.6063::"))&lt;&gt;"2024::jama.2024.6063::"),"CHECK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t="inlineStr">
        <is>
          <t>substantive_difference</t>
        </is>
      </c>
      <c r="M7" s="24" t="n"/>
      <c r="N7" s="23" t="n"/>
      <c r="O7" s="23" t="n"/>
      <c r="P7" s="23" t="n"/>
      <c r="Q7" s="23" t="n"/>
      <c r="R7" s="22" t="inlineStr">
        <is>
          <t>Protocol/SAP excerpt (supp1 p12; supp2 p1): linear regression comparing changes between groups (multivariable if baseline imbalance), missing data handled by propensity weighting. Report (main p4, p7): linear mixed model with treatment, month and treatment x month, random intercepts for participant and centre and random slope for month, all available data; age-missingness sensitivity analysis. Primary model and missing-data approach differ.</t>
        </is>
      </c>
    </row>
    <row r="8" ht="92" customHeight="1" s="25">
      <c r="A8" s="20" t="inlineStr">
        <is>
          <t>2024::jama.2024.6063::C007</t>
        </is>
      </c>
      <c r="B8" s="20" t="inlineStr">
        <is>
          <t>Planned per-protocol primary efficacy analysis is not reported</t>
        </is>
      </c>
      <c r="C8" s="20" t="inlineStr">
        <is>
          <t>DOC-002 joi240048supp1_prod_1727199125.7845.pdf — p12 Statistics; DOC-003 joi240048supp2_prod_1727199125.8245.pdf — p1 lines 8–9; DOC-001 jama_laslett_2024_oi_240048_1727199125.7595.pdf — p4 methods, jama_laslett_2024_oi_240048_1727199125.7595.pdf — p6 efficacy table, jama_laslett_2024_oi_240048_1727199125.7595.pdf — p7 methods/results; DOC-004 joi240048supp3_prod_1727199125.83025.pdf — p2 sensitivity table, joi240048supp3_prod_1727199125.83025.pdf — p3 adherence.</t>
        </is>
      </c>
      <c r="D8" s="21" t="inlineStr">
        <is>
          <t>retain</t>
        </is>
      </c>
      <c r="E8" s="21" t="inlineStr">
        <is>
          <t>protocol_report</t>
        </is>
      </c>
      <c r="F8" s="21" t="inlineStr">
        <is>
          <t>primary_done</t>
        </is>
      </c>
      <c r="G8" s="20">
        <f>IFERROR(IF(LEN(TRIM(CLEAN(SUBSTITUTE(Setup!$B$2,CHAR(160)," "))))=0,"CHECK REVIEWER ID",IF(OR(A8="",COUNTIF($A$2:$A$14,A8)&lt;&gt;1,LEFT(A8,LEN("2024::jama.2024.6063::"))&lt;&gt;"2024::jama.2024.6063::"),"CHECK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t="inlineStr">
        <is>
          <t>substantive_difference</t>
        </is>
      </c>
      <c r="M8" s="20" t="n"/>
      <c r="N8" s="23" t="n"/>
      <c r="O8" s="23" t="n"/>
      <c r="P8" s="23" t="n"/>
      <c r="Q8" s="23" t="n"/>
      <c r="R8" s="22" t="inlineStr">
        <is>
          <t>Protocol/SAP (supp1 p12; supp2 p1 lines 8-9): per-protocol analyses for participants consuming &gt;=80% of capsules. Report reports adherence (95% took &gt;=80%, main p7; eTable 2) but no per-protocol efficacy estimate for the primary outcome in the main text or supplement.</t>
        </is>
      </c>
    </row>
    <row r="9" ht="92" customHeight="1" s="25">
      <c r="A9" s="24" t="inlineStr">
        <is>
          <t>2024::jama.2024.6063::C008</t>
        </is>
      </c>
      <c r="B9" s="24" t="inlineStr">
        <is>
          <t>Repeated modeled arm-change and point-contrast discrepancies</t>
        </is>
      </c>
      <c r="C9" s="24" t="inlineStr">
        <is>
          <t>DOC-001 jama_laslett_2024_oi_240048_1727199125.7595.pdf — p6 ICOAP total/intermittent; DOC-004 joi240048supp3_prod_1727199125.83025.pdf — p5 weight-bearing/function week4, joi240048supp3_prod_1727199125.83025.pdf — p6 hsCRP12/24 and glucose12. Producing model corroboration: DOC-001 jama_laslett_2024_oi_240048_1727199125.7595.pdf — p4, jama_laslett_2024_oi_240048_1727199125.7595.pdf — p7.</t>
        </is>
      </c>
      <c r="D9" s="21" t="inlineStr">
        <is>
          <t>retain</t>
        </is>
      </c>
      <c r="E9" s="21" t="inlineStr">
        <is>
          <t>statistical_results</t>
        </is>
      </c>
      <c r="F9" s="21" t="inlineStr">
        <is>
          <t>primary_done</t>
        </is>
      </c>
      <c r="G9" s="24">
        <f>IFERROR(IF(LEN(TRIM(CLEAN(SUBSTITUTE(Setup!$B$2,CHAR(160)," "))))=0,"CHECK REVIEWER ID",IF(OR(A9="",COUNTIF($A$2:$A$14,A9)&lt;&gt;1,LEFT(A9,LEN("2024::jama.2024.6063::"))&lt;&gt;"2024::jama.2024.6063::"),"CHECK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t="inlineStr">
        <is>
          <t>confirmed_issue</t>
        </is>
      </c>
      <c r="I9" s="21" t="inlineStr">
        <is>
          <t>substantive</t>
        </is>
      </c>
      <c r="J9" s="22" t="inlineStr">
        <is>
          <t>possible</t>
        </is>
      </c>
      <c r="K9" s="21">
        <f>IF(AND(OR(D9="retain",D9=""),OR(E9="report_internal_inconsistency",E9="plan_material")),"","not_applicable")</f>
        <v/>
      </c>
      <c r="L9" s="22">
        <f>IF(AND(OR(D9="retain",D9=""),E9="protocol_report"),"","not_applicable")</f>
        <v/>
      </c>
      <c r="M9" s="24" t="n"/>
      <c r="N9" s="23" t="n"/>
      <c r="O9" s="23" t="n"/>
      <c r="P9" s="23" t="n"/>
      <c r="Q9" s="23" t="n"/>
      <c r="R9" s="22" t="inlineStr">
        <is>
          <t>Point contrasts that do not match their arm changes under the table's placebo-minus-krill convention: ICOAP total 24 wk, -8.2 - (-9.9) = 1.7 vs printed 2.05 (main p6); WOMAC weight-bearing pain week 4 arm changes -84 and -103 (supp3 p5) are inconsistent with their own final/baseline means (100 - 127 = -27; 108 - 141 = -33) and with the contrast 3; hsCRP 12 wk, 0.24 - (-0.53) = 0.77 vs printed 0.07 (-1.19 to 1.33), P=.92, the same tuple printed for glucose 12 wk (supp3 p6).</t>
        </is>
      </c>
    </row>
    <row r="10" ht="92" customHeight="1" s="25">
      <c r="A10" s="20" t="inlineStr">
        <is>
          <t>2024::jama.2024.6063::C009</t>
        </is>
      </c>
      <c r="B10" s="20" t="inlineStr">
        <is>
          <t>Selected adverse-event counts change treatment attribution</t>
        </is>
      </c>
      <c r="C10" s="20" t="inlineStr">
        <is>
          <t>DOC-001 jama_laslett_2024_oi_240048_1727199125.7595.pdf — p8 Table 3; DOC-004 joi240048supp3_prod_1727199125.83025.pdf — p10 cough and treatment headers, joi240048supp3_prod_1727199125.83025.pdf — p11 gastrointestinal rows.</t>
        </is>
      </c>
      <c r="D10" s="21" t="inlineStr">
        <is>
          <t>retain</t>
        </is>
      </c>
      <c r="E10" s="21" t="inlineStr">
        <is>
          <t>statistical_results</t>
        </is>
      </c>
      <c r="F10" s="21" t="inlineStr">
        <is>
          <t>primary_done</t>
        </is>
      </c>
      <c r="G10" s="20">
        <f>IFERROR(IF(LEN(TRIM(CLEAN(SUBSTITUTE(Setup!$B$2,CHAR(160)," "))))=0,"CHECK REVIEWER ID",IF(OR(A10="",COUNTIF($A$2:$A$14,A10)&lt;&gt;1,LEFT(A10,LEN("2024::jama.2024.6063::"))&lt;&gt;"2024::jama.2024.6063::"),"CHECK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t="inlineStr">
        <is>
          <t>confirmed_issue</t>
        </is>
      </c>
      <c r="I10" s="21" t="inlineStr">
        <is>
          <t>substantive</t>
        </is>
      </c>
      <c r="J10" s="22" t="inlineStr">
        <is>
          <t>possible</t>
        </is>
      </c>
      <c r="K10" s="21">
        <f>IF(AND(OR(D10="retain",D10=""),OR(E10="report_internal_inconsistency",E10="plan_material")),"","not_applicable")</f>
        <v/>
      </c>
      <c r="L10" s="22">
        <f>IF(AND(OR(D10="retain",D10=""),E10="protocol_report"),"","not_applicable")</f>
        <v/>
      </c>
      <c r="M10" s="20" t="n"/>
      <c r="N10" s="23" t="n"/>
      <c r="O10" s="23" t="n"/>
      <c r="P10" s="23" t="n"/>
      <c r="Q10" s="23" t="n"/>
      <c r="R10" s="22" t="inlineStr">
        <is>
          <t>Main Table 3 (p8) vs eTable 7 (supp3 p10-11, rendered): cough krill 2/placebo 0 vs eTable blank/2; gastroesophageal reflux 1/3 vs 3/1; abdominal discomfort 0/3 vs 3/blank. eTable 7 subrows sum to the GI totals (krill 13, placebo 6); the main-table subrows attribute these events to the wrong arm. Also outside this candidate: Table 3 'pain in extremity' placebo 6 vs 5 in abstract, text and eTable 7; 'participants with an adverse event' 67 (50.7%) should be 67/130 = 51.5%.</t>
        </is>
      </c>
    </row>
    <row r="11" ht="92" customHeight="1" s="25">
      <c r="A11" s="24" t="inlineStr">
        <is>
          <t>2024::jama.2024.6063::C010</t>
        </is>
      </c>
      <c r="B11" s="24" t="inlineStr">
        <is>
          <t>Serious-event relatedness classifications do not reconcile</t>
        </is>
      </c>
      <c r="C11" s="24" t="inlineStr">
        <is>
          <t>DOC-001 jama_laslett_2024_oi_240048_1727199125.7595.pdf — p8 Table 3, footnote b, narrative; DOC-004 joi240048supp3_prod_1727199125.83025.pdf — p14 eTable 8 relatedness entries.</t>
        </is>
      </c>
      <c r="D11" s="21" t="inlineStr">
        <is>
          <t>retain</t>
        </is>
      </c>
      <c r="E11" s="21" t="inlineStr">
        <is>
          <t>statistical_results</t>
        </is>
      </c>
      <c r="F11" s="21" t="inlineStr">
        <is>
          <t>primary_done</t>
        </is>
      </c>
      <c r="G11" s="24">
        <f>IFERROR(IF(LEN(TRIM(CLEAN(SUBSTITUTE(Setup!$B$2,CHAR(160)," "))))=0,"CHECK REVIEWER ID",IF(OR(A11="",COUNTIF($A$2:$A$14,A11)&lt;&gt;1,LEFT(A11,LEN("2024::jama.2024.6063::"))&lt;&gt;"2024::jama.2024.6063::"),"CHECK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t="inlineStr">
        <is>
          <t>confirmed_issue</t>
        </is>
      </c>
      <c r="I11" s="21" t="inlineStr">
        <is>
          <t>substantive</t>
        </is>
      </c>
      <c r="J11" s="22" t="inlineStr">
        <is>
          <t>possible</t>
        </is>
      </c>
      <c r="K11" s="21">
        <f>IF(AND(OR(D11="retain",D11=""),OR(E11="report_internal_inconsistency",E11="plan_material")),"","not_applicable")</f>
        <v/>
      </c>
      <c r="L11" s="22">
        <f>IF(AND(OR(D11="retain",D11=""),E11="protocol_report"),"","not_applicable")</f>
        <v/>
      </c>
      <c r="M11" s="24" t="n"/>
      <c r="N11" s="23" t="n"/>
      <c r="O11" s="23" t="n"/>
      <c r="P11" s="23" t="n"/>
      <c r="Q11" s="23" t="n"/>
      <c r="R11" s="22" t="inlineStr">
        <is>
          <t>Main text (p8) and Table 3 footnote: all serious adverse events were considered unrelated to treatment. eTable 8 (supp3 p14, rendered) classifies relationship with treatment: krill oil transfusion-dependent anaemia 'Probable', six other krill SAEs and three placebo SAEs 'Possible'; only 2 'Unlikely' and 2 'NA'. The main safety statement contradicts the supplementary classification.</t>
        </is>
      </c>
    </row>
    <row r="12" ht="92" customHeight="1" s="25">
      <c r="A12" s="20" t="inlineStr">
        <is>
          <t>2024::jama.2024.6063::C011</t>
        </is>
      </c>
      <c r="B12" s="20" t="inlineStr">
        <is>
          <t>Planned effusion power does not reproduce from supplied inputs</t>
        </is>
      </c>
      <c r="C12" s="20" t="inlineStr">
        <is>
          <t>DOC-002 joi240048supp1_prod_1727199125.7845.pdf — p2 effusion hypothesis, joi240048supp1_prod_1727199125.7845.pdf — p12 Power/Statistics; DOC-003 joi240048supp2_prod_1727199125.8245.pdf — p1 model and significance corroboration.</t>
        </is>
      </c>
      <c r="D12" s="21" t="inlineStr">
        <is>
          <t>retain</t>
        </is>
      </c>
      <c r="E12" s="21" t="inlineStr">
        <is>
          <t>plan_material</t>
        </is>
      </c>
      <c r="F12" s="21" t="inlineStr">
        <is>
          <t>primary_done</t>
        </is>
      </c>
      <c r="G12" s="20">
        <f>IFERROR(IF(LEN(TRIM(CLEAN(SUBSTITUTE(Setup!$B$2,CHAR(160)," "))))=0,"CHECK REVIEWER ID",IF(OR(A12="",COUNTIF($A$2:$A$14,A12)&lt;&gt;1,LEFT(A12,LEN("2024::jama.2024.6063::"))&lt;&gt;"2024::jama.2024.6063::"),"CHECK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t="inlineStr">
        <is>
          <t>indeterminate</t>
        </is>
      </c>
      <c r="L12" s="22">
        <f>IF(AND(OR(D12="retain",D12=""),E12="protocol_report"),"","not_applicable")</f>
        <v/>
      </c>
      <c r="M12" s="20" t="n"/>
      <c r="N12" s="23" t="n"/>
      <c r="O12" s="23" t="n"/>
      <c r="P12" s="23" t="n"/>
      <c r="Q12" s="23" t="n"/>
      <c r="R12" s="22" t="inlineStr">
        <is>
          <t>Protocol (supp1 p12): 96% power to detect a 20% difference in effusion size (mean 2.24 cm2, SD of change 1.35) with 130/group (or 117 evaluable). A two-sample calculation with delta = 0.448 cm2 and SD 1.35 gives about 72% (117/group) to 76% (130/group). The stated power cannot be reproduced from the stated inputs; an unstated assumption (e.g., a different SD scale) may explain it.</t>
        </is>
      </c>
    </row>
    <row r="13" ht="92" customHeight="1" s="25">
      <c r="A13" s="24" t="inlineStr">
        <is>
          <t>2024::jama.2024.6063::C012</t>
        </is>
      </c>
      <c r="B13" s="24" t="inlineStr">
        <is>
          <t>Repeated contrast-interval widths differ from a reproducing display rule</t>
        </is>
      </c>
      <c r="C13" s="24" t="inlineStr">
        <is>
          <t>DOC-004 joi240048supp3_prod_1727199125.83025.pdf — p6 glucose12/24, TG12, HDL12, LDL12, hsCRP12 and adjustment footnote, joi240048supp3_prod_1727199125.83025.pdf — p5 WOMAC total4/8/12/16/20/24; DOC-001 jama_laslett_2024_oi_240048_1727199125.7595.pdf — p6 WOMAC total24 and glucose24 corroboration, jama_laslett_2024_oi_240048_1727199125.7595.pdf — p4 model methods, jama_laslett_2024_oi_240048_1727199125.7595.pdf — p7 model continuation.</t>
        </is>
      </c>
      <c r="D13" s="21" t="inlineStr">
        <is>
          <t>retain</t>
        </is>
      </c>
      <c r="E13" s="21" t="inlineStr">
        <is>
          <t>statistical_results</t>
        </is>
      </c>
      <c r="F13" s="21" t="inlineStr">
        <is>
          <t>primary_done</t>
        </is>
      </c>
      <c r="G13" s="24">
        <f>IFERROR(IF(LEN(TRIM(CLEAN(SUBSTITUTE(Setup!$B$2,CHAR(160)," "))))=0,"CHECK REVIEWER ID",IF(OR(A13="",COUNTIF($A$2:$A$14,A13)&lt;&gt;1,LEFT(A13,LEN("2024::jama.2024.6063::"))&lt;&gt;"2024::jama.2024.6063::"),"CHECK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t="inlineStr">
        <is>
          <t>confirmed_issue</t>
        </is>
      </c>
      <c r="I13" s="21" t="inlineStr">
        <is>
          <t>minor_presentation</t>
        </is>
      </c>
      <c r="J13" s="22" t="inlineStr">
        <is>
          <t>unlikely</t>
        </is>
      </c>
      <c r="K13" s="21">
        <f>IF(AND(OR(D13="retain",D13=""),OR(E13="report_internal_inconsistency",E13="plan_material")),"","not_applicable")</f>
        <v/>
      </c>
      <c r="L13" s="22">
        <f>IF(AND(OR(D13="retain",D13=""),E13="protocol_report"),"","not_applicable")</f>
        <v/>
      </c>
      <c r="M13" s="24" t="n"/>
      <c r="N13" s="23" t="n"/>
      <c r="O13" s="23" t="n"/>
      <c r="P13" s="23" t="n"/>
      <c r="Q13" s="23" t="n"/>
      <c r="R13" s="22" t="inlineStr">
        <is>
          <t>eTable 4 (supp3 p6) glucose 12 wk: arm changes 0.09 (-0.07 to 0.24) and 0.15 (-0.01 to 0.31), contrast 0.07 (-1.19 to 1.33); the contrast interval is about 5-6 times wider than the arm intervals imply (root-sum-square half-width about 0.22) and equals the hsCRP 12-wk tuple. WOMAC total pain 24 wk contrast (-24 to 31) is narrower than the arm CIs imply (about +/-33), unlike earlier WOMAC time points.</t>
        </is>
      </c>
    </row>
    <row r="14" ht="92" customHeight="1" s="25">
      <c r="A14" s="20" t="inlineStr">
        <is>
          <t>2024::jama.2024.6063::C013</t>
        </is>
      </c>
      <c r="B14" s="20" t="inlineStr">
        <is>
          <t>WORMS smaller-one-unit percentages differ from their counts</t>
        </is>
      </c>
      <c r="C14" s="20" t="inlineStr">
        <is>
          <t>DOC-004 joi240048supp3_prod_1727199125.83025.pdf — p8 eTable 5 smaller-one-unit and totals.</t>
        </is>
      </c>
      <c r="D14" s="21" t="inlineStr">
        <is>
          <t>retain</t>
        </is>
      </c>
      <c r="E14" s="21" t="inlineStr">
        <is>
          <t>statistical_results</t>
        </is>
      </c>
      <c r="F14" s="21" t="inlineStr">
        <is>
          <t>primary_done</t>
        </is>
      </c>
      <c r="G14" s="20">
        <f>IFERROR(IF(LEN(TRIM(CLEAN(SUBSTITUTE(Setup!$B$2,CHAR(160)," "))))=0,"CHECK REVIEWER ID",IF(OR(A14="",COUNTIF($A$2:$A$14,A14)&lt;&gt;1,LEFT(A14,LEN("2024::jama.2024.6063::"))&lt;&gt;"2024::jama.2024.6063::"),"CHECK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minor_presentation</t>
        </is>
      </c>
      <c r="J14" s="22" t="inlineStr">
        <is>
          <t>unlikely</t>
        </is>
      </c>
      <c r="K14" s="21">
        <f>IF(AND(OR(D14="retain",D14=""),OR(E14="report_internal_inconsistency",E14="plan_material")),"","not_applicable")</f>
        <v/>
      </c>
      <c r="L14" s="22">
        <f>IF(AND(OR(D14="retain",D14=""),E14="protocol_report"),"","not_applicable")</f>
        <v/>
      </c>
      <c r="M14" s="20" t="n"/>
      <c r="N14" s="23" t="n"/>
      <c r="O14" s="23" t="n"/>
      <c r="P14" s="23" t="n"/>
      <c r="Q14" s="23" t="n"/>
      <c r="R14" s="22" t="inlineStr">
        <is>
          <t>eTable 5 (supp3 p8) WORMS effusion change: krill 10 (12%) of 107 and placebo 16 (12%) of 109; 10/107 = 9.3%, 16/109 = 14.7%. Every row prints identical percentages for both arms, which match pooled percentages: (10+16)/216 = 12.0%, (80+75)/216 = 71.8% (printed 72%), (12+13)/216 = 11.6% (12%), (3+3)/216 = 2.8%.</t>
        </is>
      </c>
    </row>
  </sheetData>
  <autoFilter ref="A1:R14"/>
  <conditionalFormatting sqref="H2:H14">
    <cfRule type="expression" priority="8" dxfId="70">
      <formula>NOT(AND(OR($D2="retain",$D2=""),$E2="statistical_results"))</formula>
    </cfRule>
  </conditionalFormatting>
  <conditionalFormatting sqref="I2:I14">
    <cfRule type="expression" priority="9" dxfId="70">
      <formula>NOT(AND(OR($D2="retain",$D2=""),$E2="statistical_results"))</formula>
    </cfRule>
  </conditionalFormatting>
  <conditionalFormatting sqref="J2:J14">
    <cfRule type="expression" priority="10" dxfId="70">
      <formula>NOT(AND(OR($D2="retain",$D2=""),$E2="statistical_results"))</formula>
    </cfRule>
  </conditionalFormatting>
  <conditionalFormatting sqref="K2:K14">
    <cfRule type="expression" priority="11" dxfId="70">
      <formula>NOT(AND(OR($D2="retain",$D2=""),OR($E2="report_internal_inconsistency",$E2="plan_material")))</formula>
    </cfRule>
  </conditionalFormatting>
  <conditionalFormatting sqref="L2:L14">
    <cfRule type="expression" priority="12" dxfId="70">
      <formula>NOT(AND(OR($D2="retain",$D2=""),$E2="protocol_report"))</formula>
    </cfRule>
  </conditionalFormatting>
  <conditionalFormatting sqref="G2:G14">
    <cfRule type="expression" priority="13" dxfId="71">
      <formula>G2&lt;&gt;"PRIMARY READY"</formula>
    </cfRule>
  </conditionalFormatting>
  <dataValidations count="8">
    <dataValidation sqref="D2:D14" showDropDown="0" showInputMessage="0" showErrorMessage="1" allowBlank="1" errorTitle="Use a listed option" error="Choose an option; G also checks pasted entries." type="list" errorStyle="stop">
      <formula1>"retain,exclude,discuss"</formula1>
    </dataValidation>
    <dataValidation sqref="E2:E14"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4" showDropDown="0" showInputMessage="0" showErrorMessage="1" allowBlank="1" errorTitle="Use a listed option" error="Choose an option; G also checks pasted entries." type="list" errorStyle="stop">
      <formula1>"no,primary_done"</formula1>
    </dataValidation>
    <dataValidation sqref="H2:H14"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4"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4" showDropDown="0" showInputMessage="0" showErrorMessage="1" allowBlank="1" errorTitle="Use a listed option" error="Choose an option; G also checks pasted entries." type="list" errorStyle="stop">
      <formula1>"direct,possible,unlikely,unknown,not_applicable"</formula1>
    </dataValidation>
    <dataValidation sqref="K2:K14"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4"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E56"/>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14" min="1" max="1"/>
    <col width="30" customWidth="1" style="14" min="2" max="2"/>
    <col width="40" customWidth="1" style="14" min="3" max="3"/>
    <col width="96" customWidth="1" style="14" min="4" max="4"/>
    <col width="28" customWidth="1" style="14" min="5" max="5"/>
  </cols>
  <sheetData>
    <row r="1" ht="42" customFormat="1" customHeight="1" s="14">
      <c r="A1" s="15" t="inlineStr">
        <is>
          <t>Field name</t>
        </is>
      </c>
      <c r="B1" s="15" t="inlineStr">
        <is>
          <t>Option / value</t>
        </is>
      </c>
      <c r="C1" s="15" t="inlineStr">
        <is>
          <t>Requirement / scope</t>
        </is>
      </c>
      <c r="D1" s="15" t="inlineStr">
        <is>
          <t>Explanation and example</t>
        </is>
      </c>
      <c r="E1" s="15" t="inlineStr">
        <is>
          <t>Internal key</t>
        </is>
      </c>
    </row>
    <row r="2" ht="100" customFormat="1" customHeight="1" s="14">
      <c r="A2" s="16" t="inlineStr">
        <is>
          <t>Working method</t>
        </is>
      </c>
      <c r="B2" s="16" t="inlineStr">
        <is>
          <t>GUIDE</t>
        </is>
      </c>
      <c r="C2" s="16" t="inlineStr">
        <is>
          <t>Independent primary</t>
        </is>
      </c>
      <c r="D2" s="16" t="inlineStr">
        <is>
          <t>Blank means no answer, never inherited. Clear obsolete literal answers after branch changes. not_applicable means inactive.</t>
        </is>
      </c>
      <c r="E2" s="16" t="n"/>
    </row>
    <row r="3" ht="100" customFormat="1" customHeight="1" s="14">
      <c r="A3" s="17" t="inlineStr">
        <is>
          <t>Required judgments</t>
        </is>
      </c>
      <c r="B3" s="17" t="inlineStr">
        <is>
          <t>GUIDE</t>
        </is>
      </c>
      <c r="C3" s="17" t="inlineStr">
        <is>
          <t>Retain only</t>
        </is>
      </c>
      <c r="D3" s="17" t="inlineStr">
        <is>
          <t>statistical_results: issue + substantiveness; report_internal_inconsistency or plan_material: internalStatus. protocol_report: no extra required judgment; interpretation is optional.</t>
        </is>
      </c>
      <c r="E3" s="17" t="n"/>
    </row>
    <row r="4" ht="100" customFormat="1" customHeight="1" s="14">
      <c r="A4" s="16" t="inlineStr">
        <is>
          <t>How to read this Codebook</t>
        </is>
      </c>
      <c r="B4" s="16" t="n"/>
      <c r="C4" s="16" t="n"/>
      <c r="D4" s="16" t="n"/>
      <c r="E4" s="16" t="n"/>
    </row>
    <row r="5" ht="100" customFormat="1" customHeight="1" s="14">
      <c r="A5" s="17" t="inlineStr">
        <is>
          <t>1  |  Common decisions and optional notes</t>
        </is>
      </c>
      <c r="B5" s="17" t="n"/>
      <c r="C5" s="17" t="n"/>
      <c r="D5" s="17" t="n"/>
      <c r="E5" s="17" t="n"/>
    </row>
    <row r="6" ht="100" customFormat="1" customHeight="1" s="14">
      <c r="A6" s="16" t="inlineStr">
        <is>
          <t>Disposition</t>
        </is>
      </c>
      <c r="B6" s="16" t="inlineStr">
        <is>
          <t>FIELD</t>
        </is>
      </c>
      <c r="C6" s="16" t="inlineStr">
        <is>
          <t>Required; all domains</t>
        </is>
      </c>
      <c r="D6" s="16" t="inlineStr">
        <is>
          <t>Keep, exclude, or defer for discussion. Blank means untouched, not discuss. No AI disposition is preselected.</t>
        </is>
      </c>
      <c r="E6" s="16" t="inlineStr">
        <is>
          <t>disposition</t>
        </is>
      </c>
    </row>
    <row r="7" ht="100" customFormat="1" customHeight="1" s="14">
      <c r="A7" s="17" t="n"/>
      <c r="B7" s="17" t="inlineStr">
        <is>
          <t>retain</t>
        </is>
      </c>
      <c r="C7" s="17" t="inlineStr">
        <is>
          <t>Option</t>
        </is>
      </c>
      <c r="D7" s="17" t="inlineStr">
        <is>
          <t>Retain candidate. After human review, keep this finding in the applicable review results; retaining a protocol discrepancy does not automatically confirm an issue.</t>
        </is>
      </c>
      <c r="E7" s="17" t="n"/>
    </row>
    <row r="8" ht="100" customFormat="1" customHeight="1" s="14">
      <c r="A8" s="16" t="n"/>
      <c r="B8" s="16" t="inlineStr">
        <is>
          <t>exclude</t>
        </is>
      </c>
      <c r="C8" s="16" t="inlineStr">
        <is>
          <t>Option</t>
        </is>
      </c>
      <c r="D8" s="16" t="inlineStr">
        <is>
          <t>Do not retain. The candidate has been assessed and should not remain as a finding, for example because the apparent mismatch has a satisfactory explanation.</t>
        </is>
      </c>
      <c r="E8" s="16" t="n"/>
    </row>
    <row r="9" ht="100" customFormat="1" customHeight="1" s="14">
      <c r="A9" s="17" t="n"/>
      <c r="B9" s="17" t="inlineStr">
        <is>
          <t>discuss</t>
        </is>
      </c>
      <c r="C9" s="17" t="inlineStr">
        <is>
          <t>Option</t>
        </is>
      </c>
      <c r="D9" s="17" t="inlineStr">
        <is>
          <t>Needs discussion. The reviewer has considered the candidate but cannot settle the disposition without further discussion. This is a decision to defer, not an untouched blank.</t>
        </is>
      </c>
      <c r="E9" s="17" t="n"/>
    </row>
    <row r="10" ht="100" customFormat="1" customHeight="1" s="14">
      <c r="A10" s="16" t="inlineStr">
        <is>
          <t>Review domain</t>
        </is>
      </c>
      <c r="B10" s="16" t="inlineStr">
        <is>
          <t>FIELD</t>
        </is>
      </c>
      <c r="C10" s="16" t="inlineStr">
        <is>
          <t>Required; all domains</t>
        </is>
      </c>
      <c r="D10" s="16" t="inlineStr">
        <is>
          <t>Choose the assessment branch first. It controls automatic not_applicable defaults and which judgments are required. All four choices are available; the frozen document relationship code does not change.</t>
        </is>
      </c>
      <c r="E10" s="16" t="inlineStr">
        <is>
          <t>domain</t>
        </is>
      </c>
    </row>
    <row r="11" ht="100" customFormat="1" customHeight="1" s="14">
      <c r="A11" s="17" t="n"/>
      <c r="B11" s="17" t="inlineStr">
        <is>
          <t>statistical_results</t>
        </is>
      </c>
      <c r="C11" s="17" t="inlineStr">
        <is>
          <t>Option</t>
        </is>
      </c>
      <c r="D11" s="17" t="inlineStr">
        <is>
          <t>Statistical results (S_C / S_W). Assess reported numbers, estimates, intervals, denominators or statistical claims in the current report materials.</t>
        </is>
      </c>
      <c r="E11" s="17" t="n"/>
    </row>
    <row r="12" ht="100" customFormat="1" customHeight="1" s="14">
      <c r="A12" s="16" t="n"/>
      <c r="B12" s="16" t="inlineStr">
        <is>
          <t>report_internal_inconsistency</t>
        </is>
      </c>
      <c r="C12" s="16" t="inlineStr">
        <is>
          <t>Option</t>
        </is>
      </c>
      <c r="D12" s="1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2" s="16" t="n"/>
    </row>
    <row r="13" ht="100" customFormat="1" customHeight="1" s="14">
      <c r="A13" s="17" t="n"/>
      <c r="B13" s="17" t="inlineStr">
        <is>
          <t>protocol_report</t>
        </is>
      </c>
      <c r="C13" s="17" t="inlineStr">
        <is>
          <t>Option</t>
        </is>
      </c>
      <c r="D13" s="17" t="inlineStr">
        <is>
          <t>Protocol-report (P_R). Assess whether planned and reported conduct or analyses meaningfully differ, using the compared materials. No search for acknowledgment or reasons for changes is required.</t>
        </is>
      </c>
      <c r="E13" s="17" t="n"/>
    </row>
    <row r="14" ht="100" customFormat="1" customHeight="1" s="14">
      <c r="A14" s="16" t="n"/>
      <c r="B14" s="16" t="inlineStr">
        <is>
          <t>plan_material</t>
        </is>
      </c>
      <c r="C14" s="16" t="inlineStr">
        <is>
          <t>Option</t>
        </is>
      </c>
      <c r="D14" s="16" t="inlineStr">
        <is>
          <t>Plan material (P_P). Assess an inconsistency involving planning materials themselves rather than a planned-versus-reported result. The original relationship code remains unchanged.</t>
        </is>
      </c>
      <c r="E14" s="16" t="n"/>
    </row>
    <row r="15" ht="100" customFormat="1" customHeight="1" s="14">
      <c r="A15" s="17" t="inlineStr">
        <is>
          <t>Complete</t>
        </is>
      </c>
      <c r="B15" s="17" t="inlineStr">
        <is>
          <t>FIELD</t>
        </is>
      </c>
      <c r="C15" s="17" t="inlineStr">
        <is>
          <t>Independent primary</t>
        </is>
      </c>
      <c r="D15" s="17" t="inlineStr">
        <is>
          <t>Use no while drafting; primary_done after manual review. Reset to no before editing a completed row, review again, then mark primary_done.</t>
        </is>
      </c>
      <c r="E15" s="17" t="inlineStr">
        <is>
          <t>reviewComplete</t>
        </is>
      </c>
    </row>
    <row r="16" ht="100" customFormat="1" customHeight="1" s="14">
      <c r="A16" s="16" t="n"/>
      <c r="B16" s="16" t="inlineStr">
        <is>
          <t>no</t>
        </is>
      </c>
      <c r="C16" s="16" t="inlineStr">
        <is>
          <t>Option</t>
        </is>
      </c>
      <c r="D16" s="16" t="inlineStr">
        <is>
          <t>Draft. This review stage is not yet confirmed complete; AI suggestions or partially filled fields do not count as completed human review.</t>
        </is>
      </c>
      <c r="E16" s="16" t="n"/>
    </row>
    <row r="17" ht="100" customFormat="1" customHeight="1" s="14">
      <c r="A17" s="17" t="inlineStr">
        <is>
          <t>Validation hint</t>
        </is>
      </c>
      <c r="B17" s="17" t="inlineStr">
        <is>
          <t>FIELD</t>
        </is>
      </c>
      <c r="C17" s="17" t="inlineStr">
        <is>
          <t>Calculated</t>
        </is>
      </c>
      <c r="D17" s="17" t="inlineStr">
        <is>
          <t>PRIMARY READY means valid independent primary entry and manual completion, including discuss. Other hints identify missing or invalid input. This does not establish scientific accuracy.</t>
        </is>
      </c>
      <c r="E17" s="17" t="inlineStr">
        <is>
          <t>readiness</t>
        </is>
      </c>
    </row>
    <row r="18" ht="100" customFormat="1" customHeight="1" s="14">
      <c r="A18" s="16" t="inlineStr">
        <is>
          <t>Notes (optional)</t>
        </is>
      </c>
      <c r="B18" s="16" t="inlineStr">
        <is>
          <t>FIELD</t>
        </is>
      </c>
      <c r="C18" s="16" t="inlineStr">
        <is>
          <t>Optional</t>
        </is>
      </c>
      <c r="D18" s="16" t="inlineStr">
        <is>
          <t>Optional English context. Clearing removes the text; no inheritance and no control words.</t>
        </is>
      </c>
      <c r="E18" s="16" t="inlineStr">
        <is>
          <t>notes</t>
        </is>
      </c>
    </row>
    <row r="19" ht="100" customFormat="1" customHeight="1" s="14">
      <c r="A19" s="17" t="inlineStr">
        <is>
          <t>2  |  Statistical results: two required judgments</t>
        </is>
      </c>
      <c r="B19" s="17" t="n"/>
      <c r="C19" s="17" t="n"/>
      <c r="D19" s="17" t="n"/>
      <c r="E19" s="17" t="n"/>
    </row>
    <row r="20" ht="100" customFormat="1" customHeight="1" s="14">
      <c r="A20" s="16" t="inlineStr">
        <is>
          <t>Statistical_or_numerical issue</t>
        </is>
      </c>
      <c r="B20" s="16" t="inlineStr">
        <is>
          <t>FIELD</t>
        </is>
      </c>
      <c r="C20" s="16" t="inlineStr">
        <is>
          <t>Required; retained statistical_results</t>
        </is>
      </c>
      <c r="D20" s="16" t="inlineStr">
        <is>
          <t>Does a statistical or numerical reporting issue exist? Example: a reported percentage conflicts with its stated numerator and denominator after checking definitions. Certainty is separate from importance.</t>
        </is>
      </c>
      <c r="E20" s="16" t="inlineStr">
        <is>
          <t>statisticalIssueStatus</t>
        </is>
      </c>
    </row>
    <row r="21" ht="100" customFormat="1" customHeight="1" s="14">
      <c r="A21" s="17" t="n"/>
      <c r="B21" s="17" t="inlineStr">
        <is>
          <t>confirmed_issue</t>
        </is>
      </c>
      <c r="C21" s="17" t="inlineStr">
        <is>
          <t>Option</t>
        </is>
      </c>
      <c r="D21" s="17" t="inlineStr">
        <is>
          <t>Confirmed statistical or numerical reporting issue. The available evidence establishes a reporting issue or contradiction, even if the correct replacement value is not known.</t>
        </is>
      </c>
      <c r="E21" s="17" t="n"/>
    </row>
    <row r="22" ht="100" customFormat="1" customHeight="1" s="14">
      <c r="A22" s="16" t="n"/>
      <c r="B22" s="16" t="inlineStr">
        <is>
          <t>probable_issue</t>
        </is>
      </c>
      <c r="C22" s="16" t="inlineStr">
        <is>
          <t>Option</t>
        </is>
      </c>
      <c r="D22" s="16" t="inlineStr">
        <is>
          <t>Probable statistical or numerical reporting issue. The evidence favors a reporting issue, but an unresolved limitation or plausible alternative prevents confirmation.</t>
        </is>
      </c>
      <c r="E22" s="16" t="n"/>
    </row>
    <row r="23" ht="100" customFormat="1" customHeight="1" s="14">
      <c r="A23" s="17" t="n"/>
      <c r="B23" s="17" t="inlineStr">
        <is>
          <t>not_issue</t>
        </is>
      </c>
      <c r="C23" s="17" t="inlineStr">
        <is>
          <t>Option</t>
        </is>
      </c>
      <c r="D23" s="17" t="inlineStr">
        <is>
          <t>Not a statistical or numerical issue. The apparent discrepancy is consistent with a valid calculation, definition, analysis method or reporting context.</t>
        </is>
      </c>
      <c r="E23" s="17" t="n"/>
    </row>
    <row r="24" ht="100" customFormat="1" customHeight="1" s="14">
      <c r="A24" s="16" t="n"/>
      <c r="B24" s="16" t="inlineStr">
        <is>
          <t>indeterminate</t>
        </is>
      </c>
      <c r="C24" s="16" t="inlineStr">
        <is>
          <t>Option</t>
        </is>
      </c>
      <c r="D24" s="16" t="inlineStr">
        <is>
          <t>Indeterminate. The available evidence does not support deciding whether a statistical or numerical reporting issue exists; neither confirmation nor dismissal is justified.</t>
        </is>
      </c>
      <c r="E24" s="16" t="n"/>
    </row>
    <row r="25" ht="100" customFormat="1" customHeight="1" s="14">
      <c r="A25" s="17" t="n"/>
      <c r="B25" s="17" t="inlineStr">
        <is>
          <t>not_applicable</t>
        </is>
      </c>
      <c r="C25" s="17" t="inlineStr">
        <is>
          <t>Option</t>
        </is>
      </c>
      <c r="D25" s="17" t="inlineStr">
        <is>
          <t>Automatic default outside this field's review domain or for a non-retained candidate. It is not an issue verdict, missing evidence, or an unanswered applicable question. Do not choose it for an applicable field.</t>
        </is>
      </c>
      <c r="E25" s="17" t="n"/>
    </row>
    <row r="26" ht="100" customFormat="1" customHeight="1" s="14">
      <c r="A26" s="16" t="inlineStr">
        <is>
          <t>Substantiveness</t>
        </is>
      </c>
      <c r="B26" s="16" t="inlineStr">
        <is>
          <t>FIELD</t>
        </is>
      </c>
      <c r="C26" s="16" t="inlineStr">
        <is>
          <t>Required; retained statistical_results</t>
        </is>
      </c>
      <c r="D26" s="16" t="inlineStr">
        <is>
          <t>Could the issue meaningfully affect interpretation or data use? A harmless spacing typo is minor_presentation; an ambiguous extractable effect estimate may be substantive. An issue can be confirmed yet minor.</t>
        </is>
      </c>
      <c r="E26" s="16" t="inlineStr">
        <is>
          <t>substantiveStatus</t>
        </is>
      </c>
    </row>
    <row r="27" ht="100" customFormat="1" customHeight="1" s="14">
      <c r="A27" s="17" t="n"/>
      <c r="B27" s="17" t="inlineStr">
        <is>
          <t>substantive</t>
        </is>
      </c>
      <c r="C27" s="17" t="inlineStr">
        <is>
          <t>Option</t>
        </is>
      </c>
      <c r="D27" s="17" t="inlineStr">
        <is>
          <t>Substantive. The issue could meaningfully change interpretation, data extraction or downstream analysis, rather than only the presentation of the result.</t>
        </is>
      </c>
      <c r="E27" s="17" t="n"/>
    </row>
    <row r="28" ht="100" customFormat="1" customHeight="1" s="14">
      <c r="A28" s="16" t="n"/>
      <c r="B28" s="16" t="inlineStr">
        <is>
          <t>minor_presentation</t>
        </is>
      </c>
      <c r="C28" s="16" t="inlineStr">
        <is>
          <t>Option</t>
        </is>
      </c>
      <c r="D28" s="16" t="inlineStr">
        <is>
          <t>Minor or presentation only. The intended result remains clear and the issue is a small formatting, labeling or typographic problem without a meaningful change in interpretation.</t>
        </is>
      </c>
      <c r="E28" s="16" t="n"/>
    </row>
    <row r="29" ht="100" customFormat="1" customHeight="1" s="14">
      <c r="A29" s="17" t="n"/>
      <c r="B29" s="17" t="inlineStr">
        <is>
          <t>indeterminate</t>
        </is>
      </c>
      <c r="C29" s="17" t="inlineStr">
        <is>
          <t>Option</t>
        </is>
      </c>
      <c r="D29" s="17" t="inlineStr">
        <is>
          <t>Indeterminate. There is not enough information to decide whether the issue is substantive or limited to presentation.</t>
        </is>
      </c>
      <c r="E29" s="17" t="n"/>
    </row>
    <row r="30" ht="100" customFormat="1" customHeight="1" s="14">
      <c r="A30" s="16" t="n"/>
      <c r="B30" s="16" t="inlineStr">
        <is>
          <t>not_applicable</t>
        </is>
      </c>
      <c r="C30" s="16" t="inlineStr">
        <is>
          <t>Option</t>
        </is>
      </c>
      <c r="D30" s="16" t="inlineStr">
        <is>
          <t>Automatic default outside this field's review domain or for a non-retained candidate. It is not an issue verdict, missing evidence, or an unanswered applicable question. Do not choose it for an applicable field.</t>
        </is>
      </c>
      <c r="E30" s="16" t="n"/>
    </row>
    <row r="31" ht="100" customFormat="1" customHeight="1" s="14">
      <c r="A31" s="17" t="inlineStr">
        <is>
          <t>Downstream impact</t>
        </is>
      </c>
      <c r="B31" s="17" t="inlineStr">
        <is>
          <t>FIELD</t>
        </is>
      </c>
      <c r="C31" s="17" t="inlineStr">
        <is>
          <t>Optional; retained statistical_results</t>
        </is>
      </c>
      <c r="D31" s="17"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1" s="17" t="inlineStr">
        <is>
          <t>downstreamImpact</t>
        </is>
      </c>
    </row>
    <row r="32" ht="100" customFormat="1" customHeight="1" s="14">
      <c r="A32" s="16" t="n"/>
      <c r="B32" s="16" t="inlineStr">
        <is>
          <t>direct</t>
        </is>
      </c>
      <c r="C32" s="16" t="inlineStr">
        <is>
          <t>Option</t>
        </is>
      </c>
      <c r="D32" s="16" t="inlineStr">
        <is>
          <t>Direct extraction or analysis impact. The affected value or definition is itself an input to data extraction or subsequent analysis; this describes potential impact, not proven downstream harm.</t>
        </is>
      </c>
      <c r="E32" s="16" t="n"/>
    </row>
    <row r="33" ht="100" customFormat="1" customHeight="1" s="14">
      <c r="A33" s="17" t="n"/>
      <c r="B33" s="17" t="inlineStr">
        <is>
          <t>possible</t>
        </is>
      </c>
      <c r="C33" s="17" t="inlineStr">
        <is>
          <t>Option</t>
        </is>
      </c>
      <c r="D33" s="17" t="inlineStr">
        <is>
          <t>Possible downstream impact. A plausible route to affecting later interpretation, extraction or analysis exists, but the connection is indirect or uncertain.</t>
        </is>
      </c>
      <c r="E33" s="17" t="n"/>
    </row>
    <row r="34" ht="100" customFormat="1" customHeight="1" s="14">
      <c r="A34" s="16" t="n"/>
      <c r="B34" s="16" t="inlineStr">
        <is>
          <t>unlikely</t>
        </is>
      </c>
      <c r="C34" s="16" t="inlineStr">
        <is>
          <t>Option</t>
        </is>
      </c>
      <c r="D34" s="16" t="inlineStr">
        <is>
          <t>Unlikely downstream impact. The issue is unlikely to change extracted information or later analysis because the relevant result remains clear and usable.</t>
        </is>
      </c>
      <c r="E34" s="16" t="n"/>
    </row>
    <row r="35" ht="100" customFormat="1" customHeight="1" s="14">
      <c r="A35" s="17" t="n"/>
      <c r="B35" s="17" t="inlineStr">
        <is>
          <t>unknown</t>
        </is>
      </c>
      <c r="C35" s="17" t="inlineStr">
        <is>
          <t>Option</t>
        </is>
      </c>
      <c r="D35" s="17" t="inlineStr">
        <is>
          <t>Unable to assess. The materials do not establish enough about the affected information or its likely use to judge downstream impact.</t>
        </is>
      </c>
      <c r="E35" s="17" t="n"/>
    </row>
    <row r="36" ht="100" customFormat="1" customHeight="1" s="14">
      <c r="A36" s="16" t="n"/>
      <c r="B36" s="16" t="inlineStr">
        <is>
          <t>not_applicable</t>
        </is>
      </c>
      <c r="C36" s="16" t="inlineStr">
        <is>
          <t>Option</t>
        </is>
      </c>
      <c r="D36" s="16" t="inlineStr">
        <is>
          <t>Automatic default outside this field's review domain or for a non-retained candidate. It is not an issue verdict, missing evidence, or an unanswered applicable question. Do not choose it for an applicable field.</t>
        </is>
      </c>
      <c r="E36" s="16" t="n"/>
    </row>
    <row r="37" ht="100" customFormat="1" customHeight="1" s="14">
      <c r="A37" s="17" t="inlineStr">
        <is>
          <t>3  |  Report internal or planning-material inconsistency</t>
        </is>
      </c>
      <c r="B37" s="17" t="n"/>
      <c r="C37" s="17" t="n"/>
      <c r="D37" s="17" t="n"/>
      <c r="E37" s="17" t="n"/>
    </row>
    <row r="38" ht="100" customFormat="1" customHeight="1" s="14">
      <c r="A38" s="16" t="inlineStr">
        <is>
          <t>Report-internal or planning-material inconsistency</t>
        </is>
      </c>
      <c r="B38" s="16" t="inlineStr">
        <is>
          <t>FIELD</t>
        </is>
      </c>
      <c r="C38" s="16" t="inlineStr">
        <is>
          <t>Required; retained report_internal_inconsistency or plan_material</t>
        </is>
      </c>
      <c r="D38" s="16"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8" s="16" t="inlineStr">
        <is>
          <t>internalStatus</t>
        </is>
      </c>
    </row>
    <row r="39" ht="100" customFormat="1" customHeight="1" s="14">
      <c r="A39" s="17" t="n"/>
      <c r="B39" s="17" t="inlineStr">
        <is>
          <t>substantive_inconsistency</t>
        </is>
      </c>
      <c r="C39" s="17" t="inlineStr">
        <is>
          <t>Option</t>
        </is>
      </c>
      <c r="D39" s="17" t="inlineStr">
        <is>
          <t>Substantive inconsistency. Conflicting statements, values, labels, or descriptions in the compared report or planning materials could materially change how the study, population, procedures or results are understood.</t>
        </is>
      </c>
      <c r="E39" s="17" t="n"/>
    </row>
    <row r="40" ht="100" customFormat="1" customHeight="1" s="14">
      <c r="A40" s="16" t="n"/>
      <c r="B40" s="16" t="inlineStr">
        <is>
          <t>minor_presentation</t>
        </is>
      </c>
      <c r="C40" s="16" t="inlineStr">
        <is>
          <t>Option</t>
        </is>
      </c>
      <c r="D40" s="16" t="inlineStr">
        <is>
          <t>Minor presentation inconsistency. A real discrepancy exists, but it mainly affects presentation, including minor wording or labeling problems, and the intended meaning remains clear. Example: an imprecise label whose intended meaning is clear from context.</t>
        </is>
      </c>
      <c r="E40" s="16" t="n"/>
    </row>
    <row r="41" ht="100" customFormat="1" customHeight="1" s="14">
      <c r="A41" s="17" t="n"/>
      <c r="B41" s="17" t="inlineStr">
        <is>
          <t>non_inconsistency</t>
        </is>
      </c>
      <c r="C41" s="17" t="inlineStr">
        <is>
          <t>Option</t>
        </is>
      </c>
      <c r="D41" s="17"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1" s="17" t="n"/>
    </row>
    <row r="42" ht="100" customFormat="1" customHeight="1" s="14">
      <c r="A42" s="16" t="n"/>
      <c r="B42" s="16" t="inlineStr">
        <is>
          <t>indeterminate</t>
        </is>
      </c>
      <c r="C42" s="16" t="inlineStr">
        <is>
          <t>Option</t>
        </is>
      </c>
      <c r="D42" s="16" t="inlineStr">
        <is>
          <t>Indeterminate. The available material is insufficient to establish whether the statements conflict or how important any conflict is.</t>
        </is>
      </c>
      <c r="E42" s="16" t="n"/>
    </row>
    <row r="43" ht="100" customFormat="1" customHeight="1" s="14">
      <c r="A43" s="17" t="n"/>
      <c r="B43" s="17" t="inlineStr">
        <is>
          <t>not_applicable</t>
        </is>
      </c>
      <c r="C43" s="17" t="inlineStr">
        <is>
          <t>Option</t>
        </is>
      </c>
      <c r="D43" s="17" t="inlineStr">
        <is>
          <t>Automatic default outside this field's review domain or for a non-retained candidate. It is not an issue verdict, missing evidence, or an unanswered applicable question. Do not choose it for an applicable field.</t>
        </is>
      </c>
      <c r="E43" s="17" t="n"/>
    </row>
    <row r="44" ht="100" customFormat="1" customHeight="1" s="14">
      <c r="A44" s="16" t="inlineStr">
        <is>
          <t>4  |  Protocol versus report: optional description only</t>
        </is>
      </c>
      <c r="B44" s="16" t="n"/>
      <c r="C44" s="16" t="n"/>
      <c r="D44" s="16" t="n"/>
      <c r="E44" s="16" t="n"/>
    </row>
    <row r="45" ht="100" customFormat="1" customHeight="1" s="14">
      <c r="A45" s="17" t="inlineStr">
        <is>
          <t>Protocol interpretation</t>
        </is>
      </c>
      <c r="B45" s="17" t="inlineStr">
        <is>
          <t>FIELD</t>
        </is>
      </c>
      <c r="C45" s="17" t="inlineStr">
        <is>
          <t>Optional; retained protocol_report</t>
        </is>
      </c>
      <c r="D45" s="17"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5" s="17" t="inlineStr">
        <is>
          <t>protocolInterpretation</t>
        </is>
      </c>
    </row>
    <row r="46" ht="100" customFormat="1" customHeight="1" s="14">
      <c r="A46" s="16" t="n"/>
      <c r="B46" s="16" t="inlineStr">
        <is>
          <t>substantive_difference</t>
        </is>
      </c>
      <c r="C46" s="16" t="inlineStr">
        <is>
          <t>Option</t>
        </is>
      </c>
      <c r="D46" s="16"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6" s="16" t="n"/>
    </row>
    <row r="47" ht="100" customFormat="1" customHeight="1" s="14">
      <c r="A47" s="17" t="n"/>
      <c r="B47" s="17" t="inlineStr">
        <is>
          <t>minor_presentation</t>
        </is>
      </c>
      <c r="C47" s="17" t="inlineStr">
        <is>
          <t>Option</t>
        </is>
      </c>
      <c r="D47" s="17" t="inlineStr">
        <is>
          <t>Minor presentation difference. A minor wording, labeling or presentation problem exists, but the intended planned and reported meaning or conduct remains clear. Example: an imprecise outcome label clarified by the same definition in both documents.</t>
        </is>
      </c>
      <c r="E47" s="17" t="n"/>
    </row>
    <row r="48" ht="100" customFormat="1" customHeight="1" s="14">
      <c r="A48" s="16" t="n"/>
      <c r="B48" s="16" t="inlineStr">
        <is>
          <t>version_timing</t>
        </is>
      </c>
      <c r="C48" s="16" t="inlineStr">
        <is>
          <t>Option</t>
        </is>
      </c>
      <c r="D48" s="16" t="inlineStr">
        <is>
          <t>Version or timing ambiguity. The difference may reflect which protocol version or date is being compared; the sequence cannot be resolved from the available material.</t>
        </is>
      </c>
      <c r="E48" s="16" t="n"/>
    </row>
    <row r="49" ht="100" customFormat="1" customHeight="1" s="14">
      <c r="A49" s="17" t="n"/>
      <c r="B49" s="17" t="inlineStr">
        <is>
          <t>non_inconsistency</t>
        </is>
      </c>
      <c r="C49" s="17" t="inlineStr">
        <is>
          <t>Option</t>
        </is>
      </c>
      <c r="D49" s="17"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9" s="17" t="n"/>
    </row>
    <row r="50" ht="100" customFormat="1" customHeight="1" s="14">
      <c r="A50" s="16" t="n"/>
      <c r="B50" s="16" t="inlineStr">
        <is>
          <t>indeterminate</t>
        </is>
      </c>
      <c r="C50" s="16" t="inlineStr">
        <is>
          <t>Option</t>
        </is>
      </c>
      <c r="D50" s="16" t="inlineStr">
        <is>
          <t>Indeterminate. The available evidence cannot support a more specific interpretation of the planned-versus-reported difference.</t>
        </is>
      </c>
      <c r="E50" s="16" t="n"/>
    </row>
    <row r="51" ht="100" customFormat="1" customHeight="1" s="14">
      <c r="A51" s="17" t="n"/>
      <c r="B51" s="17" t="inlineStr">
        <is>
          <t>not_applicable</t>
        </is>
      </c>
      <c r="C51" s="17" t="inlineStr">
        <is>
          <t>Option</t>
        </is>
      </c>
      <c r="D51" s="17" t="inlineStr">
        <is>
          <t>Automatic default outside this field's review domain or for a non-retained candidate. It is not an issue verdict, missing evidence, or an unanswered applicable question. Do not choose it for an applicable field.</t>
        </is>
      </c>
      <c r="E51" s="17" t="n"/>
    </row>
    <row r="52" ht="100" customFormat="1" customHeight="1" s="14">
      <c r="A52" s="16" t="inlineStr">
        <is>
          <t>5  |  Candidate context</t>
        </is>
      </c>
      <c r="B52" s="16" t="n"/>
      <c r="C52" s="16" t="n"/>
      <c r="D52" s="16" t="n"/>
      <c r="E52" s="16" t="n"/>
    </row>
    <row r="53" ht="100" customFormat="1" customHeight="1" s="14">
      <c r="A53" s="17" t="inlineStr">
        <is>
          <t>Candidate key</t>
        </is>
      </c>
      <c r="B53" s="17" t="inlineStr">
        <is>
          <t>FIELD</t>
        </is>
      </c>
      <c r="C53" s="17" t="inlineStr">
        <is>
          <t>Reference</t>
        </is>
      </c>
      <c r="D53" s="17" t="inlineStr">
        <is>
          <t>Unique candidate identity used for matching, even after complete rows are reordered. Never edit this value.</t>
        </is>
      </c>
      <c r="E53" s="17" t="inlineStr">
        <is>
          <t>key</t>
        </is>
      </c>
    </row>
    <row r="54" ht="100" customFormat="1" customHeight="1" s="14">
      <c r="A54" s="16" t="inlineStr">
        <is>
          <t>Candidate title</t>
        </is>
      </c>
      <c r="B54" s="16" t="inlineStr">
        <is>
          <t>FIELD</t>
        </is>
      </c>
      <c r="C54" s="16" t="inlineStr">
        <is>
          <t>Reference</t>
        </is>
      </c>
      <c r="D54" s="16" t="inlineStr">
        <is>
          <t>Short candidate title. A candidate is an AI flag for human assessment, not a confirmed issue.</t>
        </is>
      </c>
      <c r="E54" s="16" t="inlineStr">
        <is>
          <t>title</t>
        </is>
      </c>
    </row>
    <row r="55" ht="100" customFormat="1" customHeight="1" s="14">
      <c r="A55" s="17" t="inlineStr">
        <is>
          <t>Source location</t>
        </is>
      </c>
      <c r="B55" s="17" t="inlineStr">
        <is>
          <t>FIELD</t>
        </is>
      </c>
      <c r="C55" s="17" t="inlineStr">
        <is>
          <t>Source reference</t>
        </is>
      </c>
      <c r="D55" s="17" t="inlineStr">
        <is>
          <t>Where to check the source claim. Open the original documents named here (file and PDF page).</t>
        </is>
      </c>
      <c r="E55" s="17" t="inlineStr">
        <is>
          <t>locations</t>
        </is>
      </c>
    </row>
    <row r="56" ht="100" customFormat="1" customHeight="1" s="14">
      <c r="A56" s="16" t="inlineStr">
        <is>
          <t>Complete</t>
        </is>
      </c>
      <c r="B56" s="16" t="inlineStr">
        <is>
          <t>primary_done</t>
        </is>
      </c>
      <c r="C56" s="16" t="inlineStr">
        <is>
          <t>Independent primary</t>
        </is>
      </c>
      <c r="D56" s="16" t="inlineStr">
        <is>
          <t>Use no while drafting; primary_done after manual review. Reset to no before editing a completed row, review again, then mark primary_done.</t>
        </is>
      </c>
      <c r="E56" s="16" t="inlineStr">
        <is>
          <t>reviewComplete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2026-09-19T05:14:09Z</dcterms:created>
  <dcterms:modified xsi:type="dcterms:W3CDTF">2026-10-14T05:14:02Z</dcterms:modified>
</cp:coreProperties>
</file>