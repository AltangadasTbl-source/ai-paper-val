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etup" sheetId="1" state="visible" r:id="rId1"/>
    <sheet name="Checks" sheetId="2" state="visible" r:id="rId2"/>
    <sheet name="Papers" sheetId="3" state="visible" r:id="rId3"/>
    <sheet name="C_jama.2024.24764" sheetId="4" state="visible" r:id="rId4"/>
    <sheet name="C_jama.2024.27643" sheetId="5" state="visible" r:id="rId5"/>
    <sheet name="C_jama.2025.11178" sheetId="6" state="visible" r:id="rId6"/>
    <sheet name="C_jama.2025.15185" sheetId="7" state="visible" r:id="rId7"/>
    <sheet name="C_jama.2025.15440" sheetId="8" state="visible" r:id="rId8"/>
    <sheet name="C_jama.2025.16450" sheetId="9" state="visible" r:id="rId9"/>
    <sheet name="C_jama.2025.19563" sheetId="10" state="visible" r:id="rId10"/>
    <sheet name="C_jama.2025.19843" sheetId="11" state="visible" r:id="rId11"/>
    <sheet name="C_jama.2025.20765" sheetId="12" state="visible" r:id="rId12"/>
    <sheet name="C_jama.2025.24175" sheetId="13" state="visible" r:id="rId13"/>
    <sheet name="C_jama.2025.4390" sheetId="14" state="visible" r:id="rId14"/>
    <sheet name="C_jama.2025.7583" sheetId="15" state="visible" r:id="rId15"/>
    <sheet name="C_jama.2025.7710" sheetId="16" state="visible" r:id="rId16"/>
    <sheet name="C_jama.2025.9110" sheetId="17" state="visible" r:id="rId17"/>
    <sheet name="C_jama.2025.9663" sheetId="18" state="visible" r:id="rId18"/>
    <sheet name="Codebook" sheetId="19" state="visible" r:id="rId19"/>
  </sheets>
  <definedNames>
    <definedName name="_xlnm._FilterDatabase" localSheetId="3" hidden="1">'C_jama.2024.24764'!$A$1:$R$6</definedName>
    <definedName name="_xlnm._FilterDatabase" localSheetId="4" hidden="1">'C_jama.2024.27643'!$A$1:$R$17</definedName>
    <definedName name="_xlnm._FilterDatabase" localSheetId="5" hidden="1">'C_jama.2025.11178'!$A$1:$R$19</definedName>
    <definedName name="_xlnm._FilterDatabase" localSheetId="6" hidden="1">'C_jama.2025.15185'!$A$1:$R$7</definedName>
    <definedName name="_xlnm._FilterDatabase" localSheetId="7" hidden="1">'C_jama.2025.15440'!$A$1:$R$2</definedName>
    <definedName name="_xlnm._FilterDatabase" localSheetId="8" hidden="1">'C_jama.2025.16450'!$A$1:$R$7</definedName>
    <definedName name="_xlnm._FilterDatabase" localSheetId="9" hidden="1">'C_jama.2025.19563'!$A$1:$R$14</definedName>
    <definedName name="_xlnm._FilterDatabase" localSheetId="10" hidden="1">'C_jama.2025.19843'!$A$1:$R$8</definedName>
    <definedName name="_xlnm._FilterDatabase" localSheetId="11" hidden="1">'C_jama.2025.20765'!$A$1:$R$20</definedName>
    <definedName name="_xlnm._FilterDatabase" localSheetId="12" hidden="1">'C_jama.2025.24175'!$A$1:$R$15</definedName>
    <definedName name="_xlnm._FilterDatabase" localSheetId="13" hidden="1">'C_jama.2025.4390'!$A$1:$R$14</definedName>
    <definedName name="_xlnm._FilterDatabase" localSheetId="14" hidden="1">'C_jama.2025.7583'!$A$1:$R$5</definedName>
    <definedName name="_xlnm._FilterDatabase" localSheetId="15" hidden="1">'C_jama.2025.7710'!$A$1:$R$4</definedName>
    <definedName name="_xlnm._FilterDatabase" localSheetId="16" hidden="1">'C_jama.2025.9110'!$A$1:$R$4</definedName>
    <definedName name="_xlnm._FilterDatabase" localSheetId="17" hidden="1">'C_jama.2025.9663'!$A$1:$R$6</definedName>
  </definedNames>
  <calcPr calcId="124519" calcMode="auto" fullCalcOnLoad="1" forceFullCalc="1"/>
</workbook>
</file>

<file path=xl/styles.xml><?xml version="1.0" encoding="utf-8"?>
<styleSheet xmlns="http://schemas.openxmlformats.org/spreadsheetml/2006/main">
  <numFmts count="0"/>
  <fonts count="5">
    <font>
      <name val="Carlito"/>
      <sz val="11"/>
    </font>
    <font>
      <name val="Calibri"/>
      <color rgb="FF173F57"/>
      <sz val="11"/>
    </font>
    <font>
      <name val="Calibri"/>
      <b val="1"/>
      <color rgb="FFFFFFFF"/>
      <sz val="11"/>
    </font>
    <font>
      <name val="Calibri"/>
      <color rgb="00173F57"/>
      <sz val="11"/>
    </font>
    <font>
      <name val="Calibri"/>
      <b val="1"/>
      <color rgb="00FFFFFF"/>
      <sz val="11"/>
    </font>
  </fonts>
  <fills count="10">
    <fill>
      <patternFill/>
    </fill>
    <fill>
      <patternFill patternType="gray125"/>
    </fill>
    <fill>
      <patternFill patternType="solid">
        <fgColor rgb="FF173F57"/>
      </patternFill>
    </fill>
    <fill>
      <patternFill patternType="solid">
        <fgColor rgb="FFF4F8FA"/>
      </patternFill>
    </fill>
    <fill>
      <patternFill patternType="solid">
        <fgColor rgb="FFFFF2CC"/>
      </patternFill>
    </fill>
    <fill>
      <patternFill patternType="solid">
        <fgColor rgb="FFEAF3FC"/>
      </patternFill>
    </fill>
    <fill>
      <patternFill patternType="solid">
        <fgColor rgb="00173F57"/>
      </patternFill>
    </fill>
    <fill>
      <patternFill patternType="solid">
        <fgColor rgb="00F4F8FA"/>
      </patternFill>
    </fill>
    <fill>
      <patternFill patternType="solid">
        <fgColor rgb="00FFF2CC"/>
      </patternFill>
    </fill>
    <fill>
      <patternFill patternType="solid">
        <fgColor rgb="00EAF3FC"/>
      </patternFill>
    </fill>
  </fills>
  <borders count="1">
    <border/>
  </borders>
  <cellStyleXfs count="1">
    <xf numFmtId="0" fontId="0" fillId="0" borderId="0" applyProtection="1">
      <protection locked="0" hidden="0"/>
    </xf>
  </cellStyleXfs>
  <cellXfs count="26">
    <xf numFmtId="0" fontId="0" fillId="0" borderId="0" applyProtection="1" pivotButton="0" quotePrefix="0" xfId="0">
      <protection locked="0" hidden="0"/>
    </xf>
    <xf numFmtId="0" fontId="1" fillId="0" borderId="0" applyProtection="1" pivotButton="0" quotePrefix="0" xfId="0">
      <protection locked="0" hidden="0"/>
    </xf>
    <xf numFmtId="0" fontId="1" fillId="0" borderId="0" applyAlignment="1" applyProtection="1" pivotButton="0" quotePrefix="0" xfId="0">
      <alignment wrapText="1"/>
      <protection locked="0" hidden="0"/>
    </xf>
    <xf numFmtId="0" fontId="1" fillId="0" borderId="0" applyAlignment="1" applyProtection="1" pivotButton="0" quotePrefix="0" xfId="0">
      <alignment vertical="center" wrapText="1"/>
      <protection locked="0" hidden="0"/>
    </xf>
    <xf numFmtId="0" fontId="1" fillId="2" borderId="0" applyAlignment="1" applyProtection="1" pivotButton="0" quotePrefix="0" xfId="0">
      <alignment vertical="center" wrapText="1"/>
      <protection locked="0" hidden="0"/>
    </xf>
    <xf numFmtId="0" fontId="2" fillId="2"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4" borderId="0" applyAlignment="1" applyProtection="1" pivotButton="0" quotePrefix="0" xfId="0">
      <alignment vertical="center" wrapText="1"/>
      <protection locked="0" hidden="0"/>
    </xf>
    <xf numFmtId="0" fontId="0" fillId="0" borderId="0" applyProtection="1" pivotButton="0" quotePrefix="0" xfId="0">
      <protection locked="0" hidden="0"/>
    </xf>
    <xf numFmtId="0" fontId="1" fillId="0" borderId="0" applyProtection="1" pivotButton="0" quotePrefix="0" xfId="0">
      <protection locked="0" hidden="0"/>
    </xf>
    <xf numFmtId="0" fontId="1" fillId="0" borderId="0" applyAlignment="1" applyProtection="1" pivotButton="0" quotePrefix="0" xfId="0">
      <alignment wrapText="1"/>
      <protection locked="0" hidden="0"/>
    </xf>
    <xf numFmtId="0" fontId="1" fillId="0"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5" borderId="0" applyAlignment="1" applyProtection="1" pivotButton="0" quotePrefix="0" xfId="0">
      <alignment vertical="center" wrapText="1"/>
      <protection locked="0" hidden="0"/>
    </xf>
    <xf numFmtId="0" fontId="0" fillId="0" borderId="0" applyProtection="1" pivotButton="0" quotePrefix="0" xfId="0">
      <protection locked="0" hidden="0"/>
    </xf>
    <xf numFmtId="0" fontId="4" fillId="6" borderId="0" applyAlignment="1" applyProtection="1" pivotButton="0" quotePrefix="0" xfId="0">
      <alignment vertical="center" wrapText="1"/>
      <protection locked="0" hidden="0"/>
    </xf>
    <xf numFmtId="0" fontId="3" fillId="7" borderId="0" applyAlignment="1" applyProtection="1" pivotButton="0" quotePrefix="0" xfId="0">
      <alignment vertical="center" wrapText="1"/>
      <protection locked="0" hidden="0"/>
    </xf>
    <xf numFmtId="0" fontId="3" fillId="0" borderId="0" applyAlignment="1" applyProtection="1" pivotButton="0" quotePrefix="0" xfId="0">
      <alignment vertical="center" wrapText="1"/>
      <protection locked="0" hidden="0"/>
    </xf>
    <xf numFmtId="0" fontId="3" fillId="8" borderId="0" applyAlignment="1" applyProtection="1" pivotButton="0" quotePrefix="0" xfId="0">
      <alignment vertical="center" wrapText="1"/>
      <protection locked="0" hidden="0"/>
    </xf>
    <xf numFmtId="0" fontId="2" fillId="2"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8" borderId="0" applyAlignment="1" applyProtection="1" pivotButton="0" quotePrefix="0" xfId="0">
      <alignment vertical="center" wrapText="1"/>
      <protection locked="0" hidden="0"/>
    </xf>
    <xf numFmtId="0" fontId="1" fillId="9" borderId="0" applyAlignment="1" applyProtection="1" pivotButton="0" quotePrefix="0" xfId="0">
      <alignment vertical="center" wrapText="1"/>
      <protection locked="0" hidden="0"/>
    </xf>
    <xf numFmtId="0" fontId="1" fillId="4" borderId="0" applyAlignment="1" applyProtection="1" pivotButton="0" quotePrefix="0" xfId="0">
      <alignment vertical="center" wrapText="1"/>
      <protection locked="0" hidden="0"/>
    </xf>
    <xf numFmtId="0" fontId="1" fillId="0" borderId="0" applyAlignment="1" applyProtection="1" pivotButton="0" quotePrefix="0" xfId="0">
      <alignment vertical="center" wrapText="1"/>
      <protection locked="0" hidden="0"/>
    </xf>
    <xf numFmtId="0" fontId="0" fillId="0" borderId="0" pivotButton="0" quotePrefix="0" xfId="0"/>
  </cellXfs>
  <cellStyles count="1">
    <cellStyle name="Normal" xfId="0"/>
  </cellStyles>
  <dxfs count="72">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00687783"/>
      </font>
      <fill>
        <patternFill patternType="solid">
          <fgColor rgb="00EDF2F5"/>
        </patternFill>
      </fill>
    </dxf>
    <dxf>
      <font>
        <color rgb="009C0006"/>
      </font>
      <fill>
        <patternFill patternType="solid">
          <fgColor rgb="00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5"/>
  <sheetViews>
    <sheetView showGridLines="0" tabSelected="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style="14" min="1" max="1"/>
    <col width="65" customWidth="1" style="14" min="2" max="2"/>
  </cols>
  <sheetData>
    <row r="1" ht="42" customFormat="1" customHeight="1" s="14">
      <c r="A1" s="15" t="inlineStr">
        <is>
          <t>Field</t>
        </is>
      </c>
      <c r="B1" s="15" t="inlineStr">
        <is>
          <t>Value</t>
        </is>
      </c>
    </row>
    <row r="2" ht="42" customFormat="1" customHeight="1" s="14">
      <c r="A2" s="16" t="inlineStr">
        <is>
          <t>reviewerId</t>
        </is>
      </c>
      <c r="B2" s="18" t="inlineStr">
        <is>
          <t>R_A</t>
        </is>
      </c>
    </row>
    <row r="3" ht="42" customFormat="1" customHeight="1" s="14">
      <c r="A3" s="17" t="inlineStr">
        <is>
          <t>reviewerName (optional)</t>
        </is>
      </c>
      <c r="B3" s="18" t="n"/>
    </row>
    <row r="4" ht="42" customFormat="1" customHeight="1" s="14">
      <c r="A4" s="16" t="inlineStr">
        <is>
          <t>reviewerRole</t>
        </is>
      </c>
      <c r="B4" s="16" t="inlineStr">
        <is>
          <t>R_A</t>
        </is>
      </c>
    </row>
    <row r="5" ht="42" customFormat="1" customHeight="1" s="14">
      <c r="A5" s="17" t="inlineStr">
        <is>
          <t>year</t>
        </is>
      </c>
      <c r="B5" s="17" t="n">
        <v>2025</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showGridLines="0"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5" customWidth="1" style="14" min="1" max="1"/>
    <col width="100" customWidth="1" style="14" min="2" max="2"/>
  </cols>
  <sheetData>
    <row r="1" ht="42" customFormat="1" customHeight="1" s="14">
      <c r="A1" s="15" t="inlineStr">
        <is>
          <t>Check</t>
        </is>
      </c>
      <c r="B1" s="15" t="inlineStr">
        <is>
          <t>Result</t>
        </is>
      </c>
    </row>
    <row r="2" ht="55" customFormat="1" customHeight="1" s="14">
      <c r="A2" s="16" t="inlineStr">
        <is>
          <t>Reviewer role</t>
        </is>
      </c>
      <c r="B2" s="16">
        <f>Setup!B4</f>
        <v/>
      </c>
    </row>
    <row r="3" ht="55" customFormat="1" customHeight="1" s="14">
      <c r="A3" s="17" t="inlineStr">
        <is>
          <t>Candidates</t>
        </is>
      </c>
      <c r="B3" s="17" t="n">
        <v>133</v>
      </c>
    </row>
    <row r="4" ht="55" customFormat="1" customHeight="1" s="14">
      <c r="A4" s="16" t="inlineStr">
        <is>
          <t>Primary ready rows</t>
        </is>
      </c>
      <c r="B4" s="16">
        <f>COUNTIF('C_jama.2024.24764'!$G$2:$G$6,"PRIMARY READY")+COUNTIF('C_jama.2024.27643'!$G$2:$G$17,"PRIMARY READY")+COUNTIF('C_jama.2025.11178'!$G$2:$G$19,"PRIMARY READY")+COUNTIF('C_jama.2025.15185'!$G$2:$G$7,"PRIMARY READY")+COUNTIF('C_jama.2025.15440'!$G$2:$G$2,"PRIMARY READY")+COUNTIF('C_jama.2025.16450'!$G$2:$G$7,"PRIMARY READY")+COUNTIF('C_jama.2025.19563'!$G$2:$G$14,"PRIMARY READY")+COUNTIF('C_jama.2025.19843'!$G$2:$G$8,"PRIMARY READY")+COUNTIF('C_jama.2025.20765'!$G$2:$G$20,"PRIMARY READY")+COUNTIF('C_jama.2025.24175'!$G$2:$G$15,"PRIMARY READY")+COUNTIF('C_jama.2025.4390'!$G$2:$G$14,"PRIMARY READY")+COUNTIF('C_jama.2025.7583'!$G$2:$G$5,"PRIMARY READY")+COUNTIF('C_jama.2025.7710'!$G$2:$G$4,"PRIMARY READY")+COUNTIF('C_jama.2025.9110'!$G$2:$G$4,"PRIMARY READY")+COUNTIF('C_jama.2025.9663'!$G$2:$G$6,"PRIMARY READY")</f>
        <v/>
      </c>
    </row>
    <row r="5" ht="55" customFormat="1" customHeight="1" s="14">
      <c r="A5" s="17" t="inlineStr">
        <is>
          <t>Discuss / unresolved rows</t>
        </is>
      </c>
      <c r="B5" s="17">
        <f>COUNTIF('C_jama.2024.24764'!$D$2:$D$6,"discuss")+COUNTIF('C_jama.2024.27643'!$D$2:$D$17,"discuss")+COUNTIF('C_jama.2025.11178'!$D$2:$D$19,"discuss")+COUNTIF('C_jama.2025.15185'!$D$2:$D$7,"discuss")+COUNTIF('C_jama.2025.15440'!$D$2:$D$2,"discuss")+COUNTIF('C_jama.2025.16450'!$D$2:$D$7,"discuss")+COUNTIF('C_jama.2025.19563'!$D$2:$D$14,"discuss")+COUNTIF('C_jama.2025.19843'!$D$2:$D$8,"discuss")+COUNTIF('C_jama.2025.20765'!$D$2:$D$20,"discuss")+COUNTIF('C_jama.2025.24175'!$D$2:$D$15,"discuss")+COUNTIF('C_jama.2025.4390'!$D$2:$D$14,"discuss")+COUNTIF('C_jama.2025.7583'!$D$2:$D$5,"discuss")+COUNTIF('C_jama.2025.7710'!$D$2:$D$4,"discuss")+COUNTIF('C_jama.2025.9110'!$D$2:$D$4,"discuss")+COUNTIF('C_jama.2025.9663'!$D$2:$D$6,"discuss")</f>
        <v/>
      </c>
    </row>
    <row r="6" ht="55" customFormat="1" customHeight="1" s="14">
      <c r="A6" s="16" t="inlineStr">
        <is>
          <t>Unfinished rows</t>
        </is>
      </c>
      <c r="B6" s="16">
        <f>B3-B4</f>
        <v/>
      </c>
    </row>
    <row r="7" ht="55" customFormat="1" customHeight="1" s="14">
      <c r="A7" s="17" t="inlineStr">
        <is>
          <t>Workflow status</t>
        </is>
      </c>
      <c r="B7" s="17">
        <f>IF(B4=B3,"PRIMARY READY","ACTION NEEDED")</f>
        <v/>
      </c>
    </row>
    <row r="8" ht="55" customFormat="1" customHeight="1" s="14">
      <c r="A8" s="16" t="inlineStr">
        <is>
          <t>Meaning</t>
        </is>
      </c>
      <c r="B8" s="16" t="inlineStr">
        <is>
          <t>PRIMARY READY means independent entry is complete. Discuss remains unresolved and is not counted as absence of error.</t>
        </is>
      </c>
    </row>
    <row r="9" ht="55" customFormat="1" customHeight="1" s="14">
      <c r="A9" s="17" t="inlineStr">
        <is>
          <t>Next action</t>
        </is>
      </c>
      <c r="B9" s="17" t="inlineStr">
        <is>
          <t>Inspect G on the C_ sheets. Save and deliver this file after review.</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6"/>
  <sheetViews>
    <sheetView showGridLines="0"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style="14" min="1" max="1"/>
    <col width="38" customWidth="1" style="14" min="2" max="2"/>
    <col width="18" customWidth="1" style="14" min="3" max="3"/>
  </cols>
  <sheetData>
    <row r="1" ht="42" customFormat="1" customHeight="1" s="14">
      <c r="A1" s="15" t="inlineStr">
        <is>
          <t>Paper</t>
        </is>
      </c>
      <c r="B1" s="15" t="inlineStr">
        <is>
          <t>Review worksheet</t>
        </is>
      </c>
      <c r="C1" s="15" t="inlineStr">
        <is>
          <t>Candidates</t>
        </is>
      </c>
    </row>
    <row r="2" ht="36" customHeight="1" s="25">
      <c r="A2" s="16" t="inlineStr">
        <is>
          <t>jama.2024.24764</t>
        </is>
      </c>
      <c r="B2" s="16" t="inlineStr">
        <is>
          <t>C_jama.2024.24764</t>
        </is>
      </c>
      <c r="C2" s="16" t="n">
        <v>5</v>
      </c>
    </row>
    <row r="3" ht="36" customHeight="1" s="25">
      <c r="A3" s="17" t="inlineStr">
        <is>
          <t>jama.2024.27643</t>
        </is>
      </c>
      <c r="B3" s="17" t="inlineStr">
        <is>
          <t>C_jama.2024.27643</t>
        </is>
      </c>
      <c r="C3" s="17" t="n">
        <v>16</v>
      </c>
    </row>
    <row r="4" ht="36" customHeight="1" s="25">
      <c r="A4" s="16" t="inlineStr">
        <is>
          <t>jama.2025.11178</t>
        </is>
      </c>
      <c r="B4" s="16" t="inlineStr">
        <is>
          <t>C_jama.2025.11178</t>
        </is>
      </c>
      <c r="C4" s="16" t="n">
        <v>18</v>
      </c>
    </row>
    <row r="5" ht="36" customHeight="1" s="25">
      <c r="A5" s="17" t="inlineStr">
        <is>
          <t>jama.2025.15185</t>
        </is>
      </c>
      <c r="B5" s="17" t="inlineStr">
        <is>
          <t>C_jama.2025.15185</t>
        </is>
      </c>
      <c r="C5" s="17" t="n">
        <v>6</v>
      </c>
    </row>
    <row r="6" ht="36" customHeight="1" s="25">
      <c r="A6" s="16" t="inlineStr">
        <is>
          <t>jama.2025.15440</t>
        </is>
      </c>
      <c r="B6" s="16" t="inlineStr">
        <is>
          <t>C_jama.2025.15440</t>
        </is>
      </c>
      <c r="C6" s="16" t="n">
        <v>1</v>
      </c>
    </row>
    <row r="7" ht="36" customHeight="1" s="25">
      <c r="A7" s="17" t="inlineStr">
        <is>
          <t>jama.2025.16450</t>
        </is>
      </c>
      <c r="B7" s="17" t="inlineStr">
        <is>
          <t>C_jama.2025.16450</t>
        </is>
      </c>
      <c r="C7" s="17" t="n">
        <v>6</v>
      </c>
    </row>
    <row r="8" ht="36" customHeight="1" s="25">
      <c r="A8" s="16" t="inlineStr">
        <is>
          <t>jama.2025.19563</t>
        </is>
      </c>
      <c r="B8" s="16" t="inlineStr">
        <is>
          <t>C_jama.2025.19563</t>
        </is>
      </c>
      <c r="C8" s="16" t="n">
        <v>13</v>
      </c>
    </row>
    <row r="9" ht="36" customHeight="1" s="25">
      <c r="A9" s="17" t="inlineStr">
        <is>
          <t>jama.2025.19843</t>
        </is>
      </c>
      <c r="B9" s="17" t="inlineStr">
        <is>
          <t>C_jama.2025.19843</t>
        </is>
      </c>
      <c r="C9" s="17" t="n">
        <v>7</v>
      </c>
    </row>
    <row r="10" ht="36" customHeight="1" s="25">
      <c r="A10" s="16" t="inlineStr">
        <is>
          <t>jama.2025.20765</t>
        </is>
      </c>
      <c r="B10" s="16" t="inlineStr">
        <is>
          <t>C_jama.2025.20765</t>
        </is>
      </c>
      <c r="C10" s="16" t="n">
        <v>19</v>
      </c>
    </row>
    <row r="11" ht="36" customHeight="1" s="25">
      <c r="A11" s="17" t="inlineStr">
        <is>
          <t>jama.2025.24175</t>
        </is>
      </c>
      <c r="B11" s="17" t="inlineStr">
        <is>
          <t>C_jama.2025.24175</t>
        </is>
      </c>
      <c r="C11" s="17" t="n">
        <v>14</v>
      </c>
    </row>
    <row r="12" ht="36" customHeight="1" s="25">
      <c r="A12" s="16" t="inlineStr">
        <is>
          <t>jama.2025.4390</t>
        </is>
      </c>
      <c r="B12" s="16" t="inlineStr">
        <is>
          <t>C_jama.2025.4390</t>
        </is>
      </c>
      <c r="C12" s="16" t="n">
        <v>13</v>
      </c>
    </row>
    <row r="13" ht="36" customHeight="1" s="25">
      <c r="A13" s="17" t="inlineStr">
        <is>
          <t>jama.2025.7583</t>
        </is>
      </c>
      <c r="B13" s="17" t="inlineStr">
        <is>
          <t>C_jama.2025.7583</t>
        </is>
      </c>
      <c r="C13" s="17" t="n">
        <v>4</v>
      </c>
    </row>
    <row r="14" ht="36" customHeight="1" s="25">
      <c r="A14" s="16" t="inlineStr">
        <is>
          <t>jama.2025.7710</t>
        </is>
      </c>
      <c r="B14" s="16" t="inlineStr">
        <is>
          <t>C_jama.2025.7710</t>
        </is>
      </c>
      <c r="C14" s="16" t="n">
        <v>3</v>
      </c>
    </row>
    <row r="15" ht="36" customHeight="1" s="25">
      <c r="A15" s="17" t="inlineStr">
        <is>
          <t>jama.2025.9110</t>
        </is>
      </c>
      <c r="B15" s="17" t="inlineStr">
        <is>
          <t>C_jama.2025.9110</t>
        </is>
      </c>
      <c r="C15" s="17" t="n">
        <v>3</v>
      </c>
    </row>
    <row r="16" ht="36" customHeight="1" s="25">
      <c r="A16" s="16" t="inlineStr">
        <is>
          <t>jama.2025.9663</t>
        </is>
      </c>
      <c r="B16" s="16" t="inlineStr">
        <is>
          <t>C_jama.2025.9663</t>
        </is>
      </c>
      <c r="C16" s="16" t="n">
        <v>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2025::jama.2024.24764::C001</t>
        </is>
      </c>
      <c r="B2" s="20" t="inlineStr">
        <is>
          <t>Quality-of-life conclusion versus the day-7 index test</t>
        </is>
      </c>
      <c r="C2" s="20" t="inlineStr">
        <is>
          <t>REPORT jama_atherton_2025_oi_240145_1741627844.85412.pdf — main article abstract, PDF p. 1; REPORT jama_atherton_2025_oi_240145_1741627844.85412.pdf — main Secondary Outcomes, PDF p. 6; REPORT joi240145supp3_prod_1741627844.89412.pdf — results supplement eTable 3, day-7 index, later-time rows and interaction, PDF p. 4. Corroborating PLAN joi240145supp1_prod_1741627844.87412.pdf — SAP §§5.1–5.2, PDF p. 12.</t>
        </is>
      </c>
      <c r="D2" s="21" t="inlineStr">
        <is>
          <t>retain</t>
        </is>
      </c>
      <c r="E2" s="21" t="inlineStr">
        <is>
          <t>statistical_results</t>
        </is>
      </c>
      <c r="F2" s="21" t="inlineStr">
        <is>
          <t>primary_done</t>
        </is>
      </c>
      <c r="G2" s="20">
        <f>IFERROR(IF(LEN(TRIM(CLEAN(SUBSTITUTE(Setup!$B$2,CHAR(160)," "))))=0,"CHECK REVIEWER ID",IF(OR(A2="",COUNTIF($A$2:$A$6,A2)&lt;&gt;1,LEFT(A2,LEN("2025::jama.2024.24764::"))&lt;&gt;"2025::jama.2024.24764::"),"CHECK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t="inlineStr">
        <is>
          <t>confirmed_issue</t>
        </is>
      </c>
      <c r="I2" s="21" t="inlineStr">
        <is>
          <t>substantive</t>
        </is>
      </c>
      <c r="J2" s="22" t="inlineStr">
        <is>
          <t>possible</t>
        </is>
      </c>
      <c r="K2" s="21">
        <f>IF(AND(OR(D2="retain",D2=""),OR(E2="report_internal_inconsistency",E2="plan_material")),"","not_applicable")</f>
        <v/>
      </c>
      <c r="L2" s="22">
        <f>IF(AND(OR(D2="retain",D2=""),E2="protocol_report"),"","not_applicable")</f>
        <v/>
      </c>
      <c r="M2" s="20" t="n"/>
      <c r="N2" s="23" t="n"/>
      <c r="O2" s="23" t="n"/>
      <c r="P2" s="23" t="n"/>
      <c r="Q2" s="23" t="n"/>
      <c r="R2" s="22" t="inlineStr">
        <is>
          <t>Main p1 abstract (6 of 7 secondary outcomes not significant, incl. QoL) and p6 ('no differences in quality of life', citing eTables 2-4) vs supp3 eTable 3 p4: day-7 EQ-5D index -0.057 (-0.104 to -0.010), P=.02 favoring control; CI-implied P=0.017. SAP p26 names day 7 as a primary QoL time point and p12 uses alpha .05 without multiplicity correction. Interaction P=.10 does not remove the day-specific result. Card agrees.</t>
        </is>
      </c>
    </row>
    <row r="3" ht="92" customHeight="1" s="25">
      <c r="A3" s="24" t="inlineStr">
        <is>
          <t>2025::jama.2024.24764::C002</t>
        </is>
      </c>
      <c r="B3" s="24" t="inlineStr">
        <is>
          <t>Planned hospital-stay differences versus reported geometric ratios</t>
        </is>
      </c>
      <c r="C3" s="24" t="inlineStr">
        <is>
          <t>PLAN joi240145supp1_prod_1741627844.87412.pdf — SAP §9.2, PDF p. 15, joi240145supp1_prod_1741627844.87412.pdf — SAP §9.6, PDF p. 25, joi240145supp1_prod_1741627844.87412.pdf — SAP Appendix D7 shell, PDF p. 42; PLAN joi240145supp4_prod_1741627844.90412.pdf — protocol UK definition, PDF p. 24, joi240145supp4_prod_1741627844.90412.pdf — protocol §14.2.2, PDF p. 39; REPORT jama_atherton_2025_oi_240145_1741627844.85412.pdf — main abstract, PDF p. 1, jama_atherton_2025_oi_240145_1741627844.85412.pdf — Statistical Analysis, PDF p. 4, jama_atherton_2025_oi_240145_1741627844.85412.pdf — Secondary Outcomes, PDF p. 6, jama_atherton_2025_oi_240145_1741627844.85412.pdf — Table 3 UK/pooled rows and footnote c, PDF p. 8.</t>
        </is>
      </c>
      <c r="D3" s="21" t="inlineStr">
        <is>
          <t>retain</t>
        </is>
      </c>
      <c r="E3" s="21" t="inlineStr">
        <is>
          <t>protocol_report</t>
        </is>
      </c>
      <c r="F3" s="21" t="inlineStr">
        <is>
          <t>primary_done</t>
        </is>
      </c>
      <c r="G3" s="24">
        <f>IFERROR(IF(LEN(TRIM(CLEAN(SUBSTITUTE(Setup!$B$2,CHAR(160)," "))))=0,"CHECK REVIEWER ID",IF(OR(A3="",COUNTIF($A$2:$A$6,A3)&lt;&gt;1,LEFT(A3,LEN("2025::jama.2024.24764::"))&lt;&gt;"2025::jama.2024.24764::"),"CHECK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substantive_difference</t>
        </is>
      </c>
      <c r="M3" s="24" t="n"/>
      <c r="N3" s="23" t="n"/>
      <c r="O3" s="23" t="n"/>
      <c r="P3" s="23" t="n"/>
      <c r="Q3" s="23" t="n"/>
      <c r="R3" s="22" t="inlineStr">
        <is>
          <t>SAP p25/p42: LOS analysed UK-only by linear mixed model as adjusted mean difference (days); protocol p39: if skewed, unadjusted median difference. Report p4/p6/p8: log-transformed, ratio of geometric means, for UK and also pooled UK+Australia (pooled result in abstract); no additive difference reported. Partly disclosed (skewness stated, p4); SAP p15 allows transformation only as a sensitivity analysis.</t>
        </is>
      </c>
    </row>
    <row r="4" ht="92" customHeight="1" s="25">
      <c r="A4" s="20" t="inlineStr">
        <is>
          <t>2025::jama.2024.24764::C003</t>
        </is>
      </c>
      <c r="B4" s="20" t="inlineStr">
        <is>
          <t>Reported predicted-survival exclusion versus supplied eligibility criteria</t>
        </is>
      </c>
      <c r="C4" s="20" t="inlineStr">
        <is>
          <t>REPORT jama_atherton_2025_oi_240145_1741627844.85412.pdf — main Eligibility Criteria, PDF p. 2 and jama_atherton_2025_oi_240145_1741627844.85412.pdf — mortality interpretation, PDF p. 10; PLAN joi240145supp4_prod_1741627844.90412.pdf — protocol §§5.1–5.2, PDF p. 17, joi240145supp4_prod_1741627844.90412.pdf — Key Eligibility Criteria summary, PDF p. 8, and joi240145supp4_prod_1741627844.90412.pdf — amendment context, PDF p. 2.</t>
        </is>
      </c>
      <c r="D4" s="21" t="inlineStr">
        <is>
          <t>retain</t>
        </is>
      </c>
      <c r="E4" s="21" t="inlineStr">
        <is>
          <t>protocol_report</t>
        </is>
      </c>
      <c r="F4" s="21" t="inlineStr">
        <is>
          <t>primary_done</t>
        </is>
      </c>
      <c r="G4" s="20">
        <f>IFERROR(IF(LEN(TRIM(CLEAN(SUBSTITUTE(Setup!$B$2,CHAR(160)," "))))=0,"CHECK REVIEWER ID",IF(OR(A4="",COUNTIF($A$2:$A$6,A4)&lt;&gt;1,LEFT(A4,LEN("2025::jama.2024.24764::"))&lt;&gt;"2025::jama.2024.24764::"),"CHECK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Main p2 lists 'not expected to survive beyond 30 days' as an exclusion and p10 invokes it; protocol v4.0 §5.2 p17 and summary p8 list only two exclusions (abdominal surgery within 3 months; expected return to theatre). CONSORT ineligibility reasons (p5) also lack a survival category. Earlier protocol versions not supplied; v4.0 is the latest.</t>
        </is>
      </c>
    </row>
    <row r="5" ht="92" customHeight="1" s="25">
      <c r="A5" s="24" t="inlineStr">
        <is>
          <t>2025::jama.2024.24764::C004</t>
        </is>
      </c>
      <c r="B5" s="24" t="inlineStr">
        <is>
          <t>Unstructured versus independent quality-of-life covariance</t>
        </is>
      </c>
      <c r="C5" s="24" t="inlineStr">
        <is>
          <t>PLAN joi240145supp1_prod_1741627844.87412.pdf — SAP §9.6 SF-12 and EQ-5D paragraphs, PDF p. 26; REPORT jama_atherton_2025_oi_240145_1741627844.85412.pdf — main Statistical Analysis, PDF p. 4; affected REPORT jama_atherton_2025_oi_240145_1741627844.85412.pdf — main Table 3 day-30 SF-12 rows, PDF p. 8, joi240145supp3_prod_1741627844.89412.pdf — results eTable 2, all PCS/MCS rows and interactions, PDF p. 3, joi240145supp3_prod_1741627844.89412.pdf — results eTable 3 index rows/interaction, PDF p. 4, and joi240145supp3_prod_1741627844.89412.pdf — results eTable 4 health rows/interaction, PDF p. 4.</t>
        </is>
      </c>
      <c r="D5" s="21" t="inlineStr">
        <is>
          <t>retain</t>
        </is>
      </c>
      <c r="E5" s="21" t="inlineStr">
        <is>
          <t>protocol_report</t>
        </is>
      </c>
      <c r="F5" s="21" t="inlineStr">
        <is>
          <t>primary_done</t>
        </is>
      </c>
      <c r="G5" s="24">
        <f>IFERROR(IF(LEN(TRIM(CLEAN(SUBSTITUTE(Setup!$B$2,CHAR(160)," "))))=0,"CHECK REVIEWER ID",IF(OR(A5="",COUNTIF($A$2:$A$6,A5)&lt;&gt;1,LEFT(A5,LEN("2025::jama.2024.24764::"))&lt;&gt;"2025::jama.2024.24764::"),"CHECK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t="inlineStr">
        <is>
          <t>substantive_difference</t>
        </is>
      </c>
      <c r="M5" s="24" t="n"/>
      <c r="N5" s="23" t="n"/>
      <c r="O5" s="23" t="n"/>
      <c r="P5" s="23" t="n"/>
      <c r="Q5" s="23" t="n"/>
      <c r="R5" s="22" t="inlineStr">
        <is>
          <t>SAP §9.6 p26: repeated-measures mixed model with unstructured covariance and robust sandwich SEs for SF-12, inherited by EQ-5D index and health. Main p4: 'an independent covariance structure was assumed'. Not disclosed as a change. Affects all QoL contrasts in Table 3 and eTables 2-4.</t>
        </is>
      </c>
    </row>
    <row r="6" ht="92" customHeight="1" s="25">
      <c r="A6" s="20" t="inlineStr">
        <is>
          <t>2025::jama.2024.24764::C005</t>
        </is>
      </c>
      <c r="B6" s="20" t="inlineStr">
        <is>
          <t>SAP fixed-participant parameterization and adjusted contrasts</t>
        </is>
      </c>
      <c r="C6" s="20" t="inlineStr">
        <is>
          <t>PLAN joi240145supp1_prod_1741627844.87412.pdf — SAP §9.6 SF-12 fixed-parameter declaration, PDF p. 26; PLAN joi240145supp1_prod_1741627844.87412.pdf — same paragraph's assessment-time, baseline adjustment and time-specific contrast declarations, PDF p. 26; inherited PLAN joi240145supp1_prod_1741627844.87412.pdf — EQ-5D index/health methods paragraph, PDF p. 26. No REPORT location is a conflicting party.</t>
        </is>
      </c>
      <c r="D6" s="21" t="inlineStr">
        <is>
          <t>retain</t>
        </is>
      </c>
      <c r="E6" s="21" t="inlineStr">
        <is>
          <t>plan_material</t>
        </is>
      </c>
      <c r="F6" s="21" t="inlineStr">
        <is>
          <t>primary_done</t>
        </is>
      </c>
      <c r="G6" s="20">
        <f>IFERROR(IF(LEN(TRIM(CLEAN(SUBSTITUTE(Setup!$B$2,CHAR(160)," "))))=0,"CHECK REVIEWER ID",IF(OR(A6="",COUNTIF($A$2:$A$6,A6)&lt;&gt;1,LEFT(A6,LEN("2025::jama.2024.24764::"))&lt;&gt;"2025::jama.2024.24764::"),"CHECK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t="inlineStr">
        <is>
          <t>minor_presentation</t>
        </is>
      </c>
      <c r="L6" s="22">
        <f>IF(AND(OR(D6="retain",D6=""),E6="protocol_report"),"","not_applicable")</f>
        <v/>
      </c>
      <c r="M6" s="20" t="n"/>
      <c r="N6" s="23" t="n"/>
      <c r="O6" s="23" t="n"/>
      <c r="P6" s="23" t="n"/>
      <c r="Q6" s="23" t="n"/>
      <c r="R6" s="22" t="inlineStr">
        <is>
          <t>SAP §9.6 p26 lists 'participant' among parameters fitted as fixed effects together with treatment group and baseline score, and also includes baseline both as an assessment time and as a covariate. Read literally, participant fixed effects absorb the time-invariant treatment and baseline terms; the intended repeated-measures model (unstructured covariance) is nevertheless recognizable, so I rate it minor.</t>
        </is>
      </c>
    </row>
  </sheetData>
  <autoFilter ref="A1:R6"/>
  <conditionalFormatting sqref="H2:H6">
    <cfRule type="expression" priority="8" dxfId="70">
      <formula>NOT(AND(OR($D2="retain",$D2=""),$E2="statistical_results"))</formula>
    </cfRule>
  </conditionalFormatting>
  <conditionalFormatting sqref="I2:I6">
    <cfRule type="expression" priority="9" dxfId="70">
      <formula>NOT(AND(OR($D2="retain",$D2=""),$E2="statistical_results"))</formula>
    </cfRule>
  </conditionalFormatting>
  <conditionalFormatting sqref="J2:J6">
    <cfRule type="expression" priority="10" dxfId="70">
      <formula>NOT(AND(OR($D2="retain",$D2=""),$E2="statistical_results"))</formula>
    </cfRule>
  </conditionalFormatting>
  <conditionalFormatting sqref="K2:K6">
    <cfRule type="expression" priority="11" dxfId="70">
      <formula>NOT(AND(OR($D2="retain",$D2=""),OR($E2="report_internal_inconsistency",$E2="plan_material")))</formula>
    </cfRule>
  </conditionalFormatting>
  <conditionalFormatting sqref="L2:L6">
    <cfRule type="expression" priority="12" dxfId="70">
      <formula>NOT(AND(OR($D2="retain",$D2=""),$E2="protocol_report"))</formula>
    </cfRule>
  </conditionalFormatting>
  <conditionalFormatting sqref="G2:G6">
    <cfRule type="expression" priority="13" dxfId="71">
      <formula>G2&lt;&gt;"PRIMARY READY"</formula>
    </cfRule>
  </conditionalFormatting>
  <dataValidations count="8">
    <dataValidation sqref="D2:D6" showDropDown="0" showInputMessage="0" showErrorMessage="1" allowBlank="1" errorTitle="Use a listed option" error="Choose an option; G also checks pasted entries." type="list" errorStyle="stop">
      <formula1>"retain,exclude,discuss"</formula1>
    </dataValidation>
    <dataValidation sqref="E2:E6"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6" showDropDown="0" showInputMessage="0" showErrorMessage="1" allowBlank="1" errorTitle="Use a listed option" error="Choose an option; G also checks pasted entries." type="list" errorStyle="stop">
      <formula1>"no,primary_done"</formula1>
    </dataValidation>
    <dataValidation sqref="H2:H6"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6" showDropDown="0" showInputMessage="0" showErrorMessage="1" allowBlank="1" errorTitle="Use a listed option" error="Choose an option; G also checks pasted entries." type="list" errorStyle="stop">
      <formula1>"substantive,minor_presentation,indeterminate,not_applicable"</formula1>
    </dataValidation>
    <dataValidation sqref="J2:J6" showDropDown="0" showInputMessage="0" showErrorMessage="1" allowBlank="1" errorTitle="Use a listed option" error="Choose an option; G also checks pasted entries." type="list" errorStyle="stop">
      <formula1>"direct,possible,unlikely,unknown,not_applicable"</formula1>
    </dataValidation>
    <dataValidation sqref="K2:K6"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6"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R17"/>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2025::jama.2024.27643::C001</t>
        </is>
      </c>
      <c r="B2" s="20" t="inlineStr">
        <is>
          <t>Muscle-strength outcome status</t>
        </is>
      </c>
      <c r="C2" s="20" t="inlineStr">
        <is>
          <t>Physical PDF pages; PLAN/REPORT roles are stated above and within the evidence. joi240158supp1_prod_1742927563.7611.pdf — PDF p. 112; joi240158supp1_prod_1742927563.7611.pdf — PDF p. 184; joi240158supp2_prod_1742927563.7711.pdf — PDF p. 76; joi240158supp2_prod_1742927563.7711.pdf — PDF p. 77; joi240158supp2_prod_1742927563.7711.pdf — PDF p. 78; joi240158supp2_prod_1742927563.7711.pdf — PDF p. 109; joi240158supp2_prod_1742927563.7711.pdf — PDF p. 110; joi240158supp2_prod_1742927563.7711.pdf — PDF p. 111; joi240158supp2_prod_1742927563.7711.pdf — PDF p. 112; jama_berry_2025_oi_240158_1742927563.7361.pdf — PDF p. 3; joi240158supp3_prod_1742927563.7911.pdf — PDF p. 5; joi240158supp3_prod_1742927563.7911.pdf — PDF p. 6; joi240158supp2_prod_1742927563.7711.pdf — PDF p. 104</t>
        </is>
      </c>
      <c r="D2" s="21" t="inlineStr">
        <is>
          <t>retain</t>
        </is>
      </c>
      <c r="E2" s="21" t="inlineStr">
        <is>
          <t>protocol_report</t>
        </is>
      </c>
      <c r="F2" s="21" t="inlineStr">
        <is>
          <t>primary_done</t>
        </is>
      </c>
      <c r="G2" s="20">
        <f>IFERROR(IF(LEN(TRIM(CLEAN(SUBSTITUTE(Setup!$B$2,CHAR(160)," "))))=0,"CHECK REVIEWER ID",IF(OR(A2="",COUNTIF($A$2:$A$17,A2)&lt;&gt;1,LEFT(A2,LEN("2025::jama.2024.27643::"))&lt;&gt;"2025::jama.2024.27643::"),"CHECK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substantive_difference</t>
        </is>
      </c>
      <c r="M2" s="20" t="n"/>
      <c r="N2" s="23" t="n"/>
      <c r="O2" s="23" t="n"/>
      <c r="P2" s="23" t="n"/>
      <c r="Q2" s="23" t="n"/>
      <c r="R2" s="22" t="inlineStr">
        <is>
          <t>RSA C v3.0 p112 and v6.0 p184 (supp1) list HHD/grip muscle strength as a secondary efficacy endpoint; R-SAP v1.0 p76 and v3.0 p109-112 make CAFS, SVC, survival the key secondaries and HHD exploratory; article p3 and eMethods p5-6 report HHD as exploratory. Outcome-status change; the R-SAP governance table (supp2 p104) gives the SAP authority on analysis matters, but the later RSA v6.0 still lists HHD as secondary. Not disclosed.</t>
        </is>
      </c>
    </row>
    <row r="3" ht="92" customHeight="1" s="25">
      <c r="A3" s="24" t="inlineStr">
        <is>
          <t>2025::jama.2024.27643::C002</t>
        </is>
      </c>
      <c r="B3" s="24" t="inlineStr">
        <is>
          <t>Plasma NfL prespecification</t>
        </is>
      </c>
      <c r="C3" s="24" t="inlineStr">
        <is>
          <t>Physical PDF pages; PLAN/REPORT roles are stated above and within the evidence. jama_berry_2025_oi_240158_1742927563.7361.pdf — PDF p. 3; joi240158supp3_prod_1742927563.7911.pdf — PDF p. 6; joi240158supp3_prod_1742927563.7911.pdf — PDF p. 11; joi240158supp2_prod_1742927563.7711.pdf — PDF p. 110; joi240158supp2_prod_1742927563.7711.pdf — PDF p. 112; joi240158supp2_prod_1742927563.7711.pdf — PDF p. 127; joi240158supp2_prod_1742927563.7711.pdf — PDF p. 114; jama_berry_2025_oi_240158_1742927563.7361.pdf — PDF p. 8; joi240158supp3_prod_1742927563.7911.pdf — PDF p. 17</t>
        </is>
      </c>
      <c r="D3" s="21" t="inlineStr">
        <is>
          <t>retain</t>
        </is>
      </c>
      <c r="E3" s="21" t="inlineStr">
        <is>
          <t>protocol_report</t>
        </is>
      </c>
      <c r="F3" s="21" t="inlineStr">
        <is>
          <t>primary_done</t>
        </is>
      </c>
      <c r="G3" s="24">
        <f>IFERROR(IF(LEN(TRIM(CLEAN(SUBSTITUTE(Setup!$B$2,CHAR(160)," "))))=0,"CHECK REVIEWER ID",IF(OR(A3="",COUNTIF($A$2:$A$17,A3)&lt;&gt;1,LEFT(A3,LEN("2025::jama.2024.27643::"))&lt;&gt;"2025::jama.2024.27643::"),"CHECK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substantive_difference</t>
        </is>
      </c>
      <c r="M3" s="24" t="n"/>
      <c r="N3" s="23" t="n"/>
      <c r="O3" s="23" t="n"/>
      <c r="P3" s="23" t="n"/>
      <c r="Q3" s="23" t="n"/>
      <c r="R3" s="22" t="inlineStr">
        <is>
          <t>Article p3: 'plasma NfL was prespecified to occur in samples from this regimen only'; eMethods p6 ('Plasma NfL was added later as a post-hoc analysis') and p11 (PD SAP originally specified UCH-L1, so plasma NfL 'is considered post-hoc'). R-SAP v3.0 p110/p112 lists serum and CSF NfL, not plasma NfL. Article p8 presents plasma NfL -9.5%, P=.04 as a result. Disclosed as post hoc in the supplement only; the article text contradicts it.</t>
        </is>
      </c>
    </row>
    <row r="4" ht="92" customHeight="1" s="25">
      <c r="A4" s="20" t="inlineStr">
        <is>
          <t>2025::jama.2024.27643::C003</t>
        </is>
      </c>
      <c r="B4" s="20" t="inlineStr">
        <is>
          <t>Unreported named planned primary/key-secondary analyses</t>
        </is>
      </c>
      <c r="C4" s="20" t="inlineStr">
        <is>
          <t>Physical PDF pages; PLAN/REPORT roles are stated above and within the evidence. joi240158supp2_prod_1742927563.7711.pdf — PDF p. 116; joi240158supp2_prod_1742927563.7711.pdf — PDF p. 117; jama_berry_2025_oi_240158_1742927563.7361.pdf — PDF p. 4; joi240158supp3_prod_1742927563.7911.pdf — PDF p. 15; joi240158supp3_prod_1742927563.7911.pdf — PDF p. 9; joi240158supp2_prod_1742927563.7711.pdf — PDF p. 119; jama_berry_2025_oi_240158_1742927563.7361.pdf — PDF p. 3; joi240158supp3_prod_1742927563.7911.pdf — PDF p. 10; joi240158supp3_prod_1742927563.7911.pdf — PDF p. 16; joi240158supp3_prod_1742927563.7911.pdf — PDF p. 17; joi240158supp2_prod_1742927563.7711.pdf — PDF p. 125; jama_berry_2025_oi_240158_1742927563.7361.pdf — PDF p. 8; joi240158supp2_prod_1742927563.7711.pdf — PDF p. 113; joi240158supp2_prod_1742927563.7711.pdf — PDF p. 121; jama_berry_2025_oi_240158_1742927563.7361.pdf — PDF p. 7; joi240158supp3_prod_1742927563.7911.pdf — PDF p. 12; joi240158supp2_prod_1742927563.7711.pdf — PDF p. 126; joi240158supp3_prod_1742927563.7911.pdf — PDF p. 13; joi240158supp3_prod_1742927563.7911.pdf — PDF p. 18; joi240158supp3_prod_1742927563.7911.pdf — PDF p. 19; joi240158supp3_prod_1742927563.7911.pdf — PDF p. 20; joi240158supp3_prod_1742927563.7911.pdf — PDF p. 25; joi240158supp3_prod_1742927563.7911.pdf — PDF p. 1</t>
        </is>
      </c>
      <c r="D4" s="21" t="inlineStr">
        <is>
          <t>retain</t>
        </is>
      </c>
      <c r="E4" s="21" t="inlineStr">
        <is>
          <t>protocol_report</t>
        </is>
      </c>
      <c r="F4" s="21" t="inlineStr">
        <is>
          <t>primary_done</t>
        </is>
      </c>
      <c r="G4" s="20">
        <f>IFERROR(IF(LEN(TRIM(CLEAN(SUBSTITUTE(Setup!$B$2,CHAR(160)," "))))=0,"CHECK REVIEWER ID",IF(OR(A4="",COUNTIF($A$2:$A$17,A4)&lt;&gt;1,LEFT(A4,LEN("2025::jama.2024.27643::"))&lt;&gt;"2025::jama.2024.27643::"),"CHECK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R-SAP v3.0 pp116-126 plans ECM sensitivity and EPP supportive DRR analyses, joint-rank SVC, multiple-imputation and death-alone CAFS/SVC rank analyses, placebo-reference MI (50 imputations), death-alone survival, and early-disease/urate/bulbar-onset/site subgroups. Searched the full article and supp3: none reported (only FAS/ERO DRR, NfL-adjusted CAFS P=.88, week-24 PAV/death). eMethods p9 says prespecified sensitivity analyses were performed but gives no results.</t>
        </is>
      </c>
    </row>
    <row r="5" ht="92" customHeight="1" s="25">
      <c r="A5" s="24" t="inlineStr">
        <is>
          <t>2025::jama.2024.27643::C004</t>
        </is>
      </c>
      <c r="B5" s="24" t="inlineStr">
        <is>
          <t>Adjusted planned CAFS versus reported Wilcoxon</t>
        </is>
      </c>
      <c r="C5" s="24" t="inlineStr">
        <is>
          <t>Physical PDF pages; PLAN/REPORT roles are stated above and within the evidence. joi240158supp2_prod_1742927563.7711.pdf — PDF p. 118; joi240158supp2_prod_1742927563.7711.pdf — PDF p. 119; jama_berry_2025_oi_240158_1742927563.7361.pdf — PDF p. 3; jama_berry_2025_oi_240158_1742927563.7361.pdf — PDF p. 4; joi240158supp3_prod_1742927563.7911.pdf — PDF p. 9; joi240158supp2_prod_1742927563.7711.pdf — PDF p. 84; joi240158supp2_prod_1742927563.7711.pdf — PDF p. 97</t>
        </is>
      </c>
      <c r="D5" s="21" t="inlineStr">
        <is>
          <t>retain</t>
        </is>
      </c>
      <c r="E5" s="21" t="inlineStr">
        <is>
          <t>protocol_report</t>
        </is>
      </c>
      <c r="F5" s="21" t="inlineStr">
        <is>
          <t>primary_done</t>
        </is>
      </c>
      <c r="G5" s="24">
        <f>IFERROR(IF(LEN(TRIM(CLEAN(SUBSTITUTE(Setup!$B$2,CHAR(160)," "))))=0,"CHECK REVIEWER ID",IF(OR(A5="",COUNTIF($A$2:$A$17,A5)&lt;&gt;1,LEFT(A5,LEN("2025::jama.2024.27643::"))&lt;&gt;"2025::jama.2024.27643::"),"CHECK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t="inlineStr">
        <is>
          <t>substantive_difference</t>
        </is>
      </c>
      <c r="M5" s="24" t="n"/>
      <c r="N5" s="23" t="n"/>
      <c r="O5" s="23" t="n"/>
      <c r="P5" s="23" t="n"/>
      <c r="Q5" s="23" t="n"/>
      <c r="R5" s="22" t="inlineStr">
        <is>
          <t>R-SAP v3.0 (22 Jul 2022) p118-119: primary CAFS inference from a rank regression adjusted for onset time, delta-FRS, riluzole, edaravone (revision history p97 states the change to an adjusted analysis). Article p3-4: Wilcoxon rank-sum, mean ranks 143.9 vs 140.5, P=.51. The report matches the superseded R-SAP v1.0 p84 (npar1way Wilcoxon). Sequence is documented, so I did not use version_timing.</t>
        </is>
      </c>
    </row>
    <row r="6" ht="92" customHeight="1" s="25">
      <c r="A6" s="20" t="inlineStr">
        <is>
          <t>2025::jama.2024.27643::C005</t>
        </is>
      </c>
      <c r="B6" s="20" t="inlineStr">
        <is>
          <t>Planned survival logrank result</t>
        </is>
      </c>
      <c r="C6" s="20" t="inlineStr">
        <is>
          <t>Physical PDF pages; PLAN/REPORT roles are stated above and within the evidence. joi240158supp2_prod_1742927563.7711.pdf — PDF p. 117; joi240158supp2_prod_1742927563.7711.pdf — PDF p. 121; joi240158supp2_prod_1742927563.7711.pdf — PDF p. 85; joi240158supp2_prod_1742927563.7711.pdf — PDF p. 86; jama_berry_2025_oi_240158_1742927563.7361.pdf — PDF p. 3; jama_berry_2025_oi_240158_1742927563.7361.pdf — PDF p. 4; jama_berry_2025_oi_240158_1742927563.7361.pdf — PDF p. 7; joi240158supp3_prod_1742927563.7911.pdf — PDF p. 10; joi240158supp2_prod_1742927563.7711.pdf — PDF p. 118</t>
        </is>
      </c>
      <c r="D6" s="21" t="inlineStr">
        <is>
          <t>retain</t>
        </is>
      </c>
      <c r="E6" s="21" t="inlineStr">
        <is>
          <t>protocol_report</t>
        </is>
      </c>
      <c r="F6" s="21" t="inlineStr">
        <is>
          <t>primary_done</t>
        </is>
      </c>
      <c r="G6" s="20">
        <f>IFERROR(IF(LEN(TRIM(CLEAN(SUBSTITUTE(Setup!$B$2,CHAR(160)," "))))=0,"CHECK REVIEWER ID",IF(OR(A6="",COUNTIF($A$2:$A$17,A6)&lt;&gt;1,LEFT(A6,LEN("2025::jama.2024.27643::"))&lt;&gt;"2025::jama.2024.27643::"),"CHECK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t="inlineStr">
        <is>
          <t>substantive_difference</t>
        </is>
      </c>
      <c r="M6" s="20" t="n"/>
      <c r="N6" s="23" t="n"/>
      <c r="O6" s="23" t="n"/>
      <c r="P6" s="23" t="n"/>
      <c r="Q6" s="23" t="n"/>
      <c r="R6" s="22" t="inlineStr">
        <is>
          <t>R-SAP v3.0 p117 and p121 (and v1.0 p85-86): primary survival inference by Kaplan-Meier and logrank on pooled active vs placebo in FAS, with an unadjusted Cox HR if logrank is significant. Report (p3-4, Table 2 p7, eMethods p10-12): adjusted Cox HRs and P values only; KM curves shown but no logrank result.</t>
        </is>
      </c>
    </row>
    <row r="7" ht="92" customHeight="1" s="25">
      <c r="A7" s="24" t="inlineStr">
        <is>
          <t>2025::jama.2024.27643::C006</t>
        </is>
      </c>
      <c r="B7" s="24" t="inlineStr">
        <is>
          <t>Survival covariate-set descriptions</t>
        </is>
      </c>
      <c r="C7" s="24" t="inlineStr">
        <is>
          <t>Physical PDF pages; PLAN/REPORT roles are stated above and within the evidence. jama_berry_2025_oi_240158_1742927563.7361.pdf — PDF p. 3; joi240158supp3_prod_1742927563.7911.pdf — PDF p. 10; jama_berry_2025_oi_240158_1742927563.7361.pdf — PDF p. 7; joi240158supp3_prod_1742927563.7911.pdf — PDF p. 12; joi240158supp2_prod_1742927563.7711.pdf — PDF p. 121</t>
        </is>
      </c>
      <c r="D7" s="21" t="inlineStr">
        <is>
          <t>retain</t>
        </is>
      </c>
      <c r="E7" s="21" t="inlineStr">
        <is>
          <t>statistical_results</t>
        </is>
      </c>
      <c r="F7" s="21" t="inlineStr">
        <is>
          <t>primary_done</t>
        </is>
      </c>
      <c r="G7" s="24">
        <f>IFERROR(IF(LEN(TRIM(CLEAN(SUBSTITUTE(Setup!$B$2,CHAR(160)," "))))=0,"CHECK REVIEWER ID",IF(OR(A7="",COUNTIF($A$2:$A$17,A7)&lt;&gt;1,LEFT(A7,LEN("2025::jama.2024.27643::"))&lt;&gt;"2025::jama.2024.27643::"),"CHECK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t="inlineStr">
        <is>
          <t>confirmed_issue</t>
        </is>
      </c>
      <c r="I7" s="21" t="inlineStr">
        <is>
          <t>minor_presentation</t>
        </is>
      </c>
      <c r="J7" s="22" t="inlineStr">
        <is>
          <t>possible</t>
        </is>
      </c>
      <c r="K7" s="21">
        <f>IF(AND(OR(D7="retain",D7=""),OR(E7="report_internal_inconsistency",E7="plan_material")),"","not_applicable")</f>
        <v/>
      </c>
      <c r="L7" s="22">
        <f>IF(AND(OR(D7="retain",D7=""),E7="protocol_report"),"","not_applicable")</f>
        <v/>
      </c>
      <c r="M7" s="24" t="n"/>
      <c r="N7" s="23" t="n"/>
      <c r="O7" s="23" t="n"/>
      <c r="P7" s="23" t="n"/>
      <c r="Q7" s="23" t="n"/>
      <c r="R7" s="22" t="inlineStr">
        <is>
          <t>Article p3 and eMethods p10: Cox covariates = prebaseline slope, months since onset, riluzole, edaravone, age (5). Table 2 footnote b p7: age, sex, time since onset, prebaseline slope, riluzole, edaravone (6, adds sex). eMethods p12 (time-to-event) again omits sex. The report contradicts itself on the model behind the printed HRs; HR values themselves are unambiguous.</t>
        </is>
      </c>
    </row>
    <row r="8" ht="92" customHeight="1" s="25">
      <c r="A8" s="20" t="inlineStr">
        <is>
          <t>2025::jama.2024.27643::C007</t>
        </is>
      </c>
      <c r="B8" s="20" t="inlineStr">
        <is>
          <t>Mortality component estimates</t>
        </is>
      </c>
      <c r="C8" s="20" t="inlineStr">
        <is>
          <t>Physical PDF pages; PLAN/REPORT roles are stated above and within the evidence. jama_berry_2025_oi_240158_1742927563.7361.pdf — PDF p. 4; joi240158supp3_prod_1742927563.7911.pdf — PDF p. 15</t>
        </is>
      </c>
      <c r="D8" s="21" t="inlineStr">
        <is>
          <t>retain</t>
        </is>
      </c>
      <c r="E8" s="21" t="inlineStr">
        <is>
          <t>statistical_results</t>
        </is>
      </c>
      <c r="F8" s="21" t="inlineStr">
        <is>
          <t>primary_done</t>
        </is>
      </c>
      <c r="G8" s="20">
        <f>IFERROR(IF(LEN(TRIM(CLEAN(SUBSTITUTE(Setup!$B$2,CHAR(160)," "))))=0,"CHECK REVIEWER ID",IF(OR(A8="",COUNTIF($A$2:$A$17,A8)&lt;&gt;1,LEFT(A8,LEN("2025::jama.2024.27643::"))&lt;&gt;"2025::jama.2024.27643::"),"CHECK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t="inlineStr">
        <is>
          <t>confirmed_issue</t>
        </is>
      </c>
      <c r="I8" s="21" t="inlineStr">
        <is>
          <t>substantive</t>
        </is>
      </c>
      <c r="J8" s="22" t="inlineStr">
        <is>
          <t>direct</t>
        </is>
      </c>
      <c r="K8" s="21">
        <f>IF(AND(OR(D8="retain",D8=""),OR(E8="report_internal_inconsistency",E8="plan_material")),"","not_applicable")</f>
        <v/>
      </c>
      <c r="L8" s="22">
        <f>IF(AND(OR(D8="retain",D8=""),E8="protocol_report"),"","not_applicable")</f>
        <v/>
      </c>
      <c r="M8" s="20" t="n"/>
      <c r="N8" s="23" t="n"/>
      <c r="O8" s="23" t="n"/>
      <c r="P8" s="23" t="n"/>
      <c r="Q8" s="23" t="n"/>
      <c r="R8" s="22" t="inlineStr">
        <is>
          <t>Article p4 (citing eTable 2): mortality event rate 0.007/month shared placebo and 0.006/month CNM-Au8. eTable 2 p15: 0.010 (95% CrI 0.0054-0.0154) and 0.009 (0.0052-0.0150) for the same model. Differences of 30-33% are not rounding. Also noted: the article's ALSFRS-R slope CrIs (-1.176 to -0.892; -1.153 to -0.858) differ from eTable 2 (-1.181 to -0.894; -1.143 to -0.847).</t>
        </is>
      </c>
    </row>
    <row r="9" ht="92" customHeight="1" s="25">
      <c r="A9" s="24" t="inlineStr">
        <is>
          <t>2025::jama.2024.27643::C008</t>
        </is>
      </c>
      <c r="B9" s="24" t="inlineStr">
        <is>
          <t>SVC change versus monthly rate</t>
        </is>
      </c>
      <c r="C9" s="24" t="inlineStr">
        <is>
          <t>Physical PDF pages; PLAN/REPORT roles are stated above and within the evidence. jama_berry_2025_oi_240158_1742927563.7361.pdf — PDF p. 4; joi240158supp3_prod_1742927563.7911.pdf — PDF p. 16; jama_berry_2025_oi_240158_1742927563.7361.pdf — PDF p. 3; joi240158supp3_prod_1742927563.7911.pdf — PDF p. 10; joi240158supp2_prod_1742927563.7711.pdf — PDF p. 119; joi240158supp2_prod_1742927563.7711.pdf — PDF p. 120; joi240158supp2_prod_1742927563.7711.pdf — PDF p. 121; joi240158supp2_prod_1742927563.7711.pdf — PDF p. 122; joi240158supp2_prod_1742927563.7711.pdf — PDF p. 123</t>
        </is>
      </c>
      <c r="D9" s="21" t="inlineStr">
        <is>
          <t>retain</t>
        </is>
      </c>
      <c r="E9" s="21" t="inlineStr">
        <is>
          <t>statistical_results</t>
        </is>
      </c>
      <c r="F9" s="21" t="inlineStr">
        <is>
          <t>primary_done</t>
        </is>
      </c>
      <c r="G9" s="24">
        <f>IFERROR(IF(LEN(TRIM(CLEAN(SUBSTITUTE(Setup!$B$2,CHAR(160)," "))))=0,"CHECK REVIEWER ID",IF(OR(A9="",COUNTIF($A$2:$A$17,A9)&lt;&gt;1,LEFT(A9,LEN("2025::jama.2024.27643::"))&lt;&gt;"2025::jama.2024.27643::"),"CHECK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t="inlineStr">
        <is>
          <t>confirmed_issue</t>
        </is>
      </c>
      <c r="I9" s="21" t="inlineStr">
        <is>
          <t>substantive</t>
        </is>
      </c>
      <c r="J9" s="22" t="inlineStr">
        <is>
          <t>direct</t>
        </is>
      </c>
      <c r="K9" s="21">
        <f>IF(AND(OR(D9="retain",D9=""),OR(E9="report_internal_inconsistency",E9="plan_material")),"","not_applicable")</f>
        <v/>
      </c>
      <c r="L9" s="22">
        <f>IF(AND(OR(D9="retain",D9=""),E9="protocol_report"),"","not_applicable")</f>
        <v/>
      </c>
      <c r="M9" s="24" t="n"/>
      <c r="N9" s="23" t="n"/>
      <c r="O9" s="23" t="n"/>
      <c r="P9" s="23" t="n"/>
      <c r="Q9" s="23" t="n"/>
      <c r="R9" s="22" t="inlineStr">
        <is>
          <t>E changed to statistical_results: the problem is the unit of a numeric estimate. Article p4 gives -9.32 vs -8.53 'PPN per month' and difference -0.78 PPN/month; eTable 3A p16 gives the same numbers as 24-week change estimates. -9.32/5.52 months = -1.69/month, close to the slope-model values -1.73 vs -1.55/month that the article gives for the NfL-adjusted sensitivity analysis. Mislabeling overstates the monthly rate about 5.5-fold.</t>
        </is>
      </c>
    </row>
    <row r="10" ht="92" customHeight="1" s="25">
      <c r="A10" s="20" t="inlineStr">
        <is>
          <t>2025::jama.2024.27643::C009</t>
        </is>
      </c>
      <c r="B10" s="20" t="inlineStr">
        <is>
          <t>Survival regimen-placebo exclusions and denominator</t>
        </is>
      </c>
      <c r="C10" s="20" t="inlineStr">
        <is>
          <t>Physical PDF pages; PLAN/REPORT roles are stated above and within the evidence. jama_berry_2025_oi_240158_1742927563.7361.pdf — PDF p. 4; jama_berry_2025_oi_240158_1742927563.7361.pdf — PDF p. 7</t>
        </is>
      </c>
      <c r="D10" s="21" t="inlineStr">
        <is>
          <t>retain</t>
        </is>
      </c>
      <c r="E10" s="21" t="inlineStr">
        <is>
          <t>statistical_results</t>
        </is>
      </c>
      <c r="F10" s="21" t="inlineStr">
        <is>
          <t>primary_done</t>
        </is>
      </c>
      <c r="G10" s="20">
        <f>IFERROR(IF(LEN(TRIM(CLEAN(SUBSTITUTE(Setup!$B$2,CHAR(160)," "))))=0,"CHECK REVIEWER ID",IF(OR(A10="",COUNTIF($A$2:$A$17,A10)&lt;&gt;1,LEFT(A10,LEN("2025::jama.2024.27643::"))&lt;&gt;"2025::jama.2024.27643::"),"CHECK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t="inlineStr">
        <is>
          <t>confirmed_issue</t>
        </is>
      </c>
      <c r="I10" s="21" t="inlineStr">
        <is>
          <t>minor_presentation</t>
        </is>
      </c>
      <c r="J10" s="22" t="inlineStr">
        <is>
          <t>unlikely</t>
        </is>
      </c>
      <c r="K10" s="21">
        <f>IF(AND(OR(D10="retain",D10=""),OR(E10="report_internal_inconsistency",E10="plan_material")),"","not_applicable")</f>
        <v/>
      </c>
      <c r="L10" s="22">
        <f>IF(AND(OR(D10="retain",D10=""),E10="protocol_report"),"","not_applicable")</f>
        <v/>
      </c>
      <c r="M10" s="20" t="n"/>
      <c r="N10" s="23" t="n"/>
      <c r="O10" s="23" t="n"/>
      <c r="P10" s="23" t="n"/>
      <c r="Q10" s="23" t="n"/>
      <c r="R10" s="22" t="inlineStr">
        <is>
          <t>Article p4: 'Of those, 4 of the 41 participants in the regimen placebo group and 2 in the shared placebo group were excluded due to having no follow-up time (1 had PAV at baseline and 1 terminated early...)'. Table 2 p7 uses 4/41 for regimen placebo and 9/162 for shared placebo, and footnote a says only 2 shared placebo participants were excluded. The parenthetical explains 2 exclusions, so '4 of the 41' must mean events. Sentence is wrong as written; Table 2 makes the intended meaning recoverable.</t>
        </is>
      </c>
    </row>
    <row r="11" ht="92" customHeight="1" s="25">
      <c r="A11" s="24" t="inlineStr">
        <is>
          <t>2025::jama.2024.27643::C010</t>
        </is>
      </c>
      <c r="B11" s="24" t="inlineStr">
        <is>
          <t>Prespecified subgroup partitions</t>
        </is>
      </c>
      <c r="C11" s="24" t="inlineStr">
        <is>
          <t>Physical PDF pages; PLAN/REPORT roles are stated above and within the evidence. joi240158supp2_prod_1742927563.7711.pdf — PDF p. 89; joi240158supp2_prod_1742927563.7711.pdf — PDF p. 126; joi240158supp3_prod_1742927563.7911.pdf — PDF p. 13; joi240158supp3_prod_1742927563.7911.pdf — PDF p. 20; joi240158supp2_prod_1742927563.7711.pdf — PDF p. 88; joi240158supp3_prod_1742927563.7911.pdf — PDF p. 19; jama_berry_2025_oi_240158_1742927563.7361.pdf — PDF p. 8</t>
        </is>
      </c>
      <c r="D11" s="21" t="inlineStr">
        <is>
          <t>retain</t>
        </is>
      </c>
      <c r="E11" s="21" t="inlineStr">
        <is>
          <t>protocol_report</t>
        </is>
      </c>
      <c r="F11" s="21" t="inlineStr">
        <is>
          <t>primary_done</t>
        </is>
      </c>
      <c r="G11" s="24">
        <f>IFERROR(IF(LEN(TRIM(CLEAN(SUBSTITUTE(Setup!$B$2,CHAR(160)," "))))=0,"CHECK REVIEWER ID",IF(OR(A11="",COUNTIF($A$2:$A$17,A11)&lt;&gt;1,LEFT(A11,LEN("2025::jama.2024.27643::"))&lt;&gt;"2025::jama.2024.27643::"),"CHECK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t="inlineStr">
        <is>
          <t>indeterminate</t>
        </is>
      </c>
      <c r="M11" s="24" t="n"/>
      <c r="N11" s="23" t="n"/>
      <c r="O11" s="23" t="n"/>
      <c r="P11" s="23" t="n"/>
      <c r="Q11" s="23" t="n"/>
      <c r="R11" s="22" t="inlineStr">
        <is>
          <t>R-SAP v1.0 p88-89 and v3.0 p125-126: weight &lt;43, 43-&lt;56, 56-&lt;77, 77-&lt;150, &gt;=150 kg; delta-FRS three fixed groups (&lt;0.47, 0.47-&lt;1.11, &gt;=1.11). eTable 4 p18-20 and eMethods p13: weight &lt;56 / 56-&lt;77 / 77-&lt;150; dFRS median split. But M-SAP v3.0 p25 (to which the R-SAP subgroups are 'in addition') lists a dFRS median split, and M-SAP v2.0, which governs regimen C, is not supplied. Weight merge may reflect an empty &lt;43 kg group. L indeterminate.</t>
        </is>
      </c>
    </row>
    <row r="12" ht="92" customHeight="1" s="25">
      <c r="A12" s="20" t="inlineStr">
        <is>
          <t>2025::jama.2024.27643::C011</t>
        </is>
      </c>
      <c r="B12" s="20" t="inlineStr">
        <is>
          <t>Six-point functional-decline composite inside PLAN</t>
        </is>
      </c>
      <c r="C12" s="20" t="inlineStr">
        <is>
          <t>Physical PDF pages; PLAN/REPORT roles are stated above and within the evidence. joi240158supp1_prod_1742927563.7611.pdf — PDF p. 112; joi240158supp1_prod_1742927563.7611.pdf — PDF p. 184; joi240158supp2_prod_1742927563.7711.pdf — PDF p. 78; joi240158supp2_prod_1742927563.7711.pdf — PDF p. 111; joi240158supp2_prod_1742927563.7711.pdf — PDF p. 113; jama_berry_2025_oi_240158_1742927563.7361.pdf — PDF p. 3; joi240158supp2_prod_1742927563.7711.pdf — PDF p. 104</t>
        </is>
      </c>
      <c r="D12" s="21" t="inlineStr">
        <is>
          <t>retain</t>
        </is>
      </c>
      <c r="E12" s="21" t="inlineStr">
        <is>
          <t>plan_material</t>
        </is>
      </c>
      <c r="F12" s="21" t="inlineStr">
        <is>
          <t>primary_done</t>
        </is>
      </c>
      <c r="G12" s="20">
        <f>IFERROR(IF(LEN(TRIM(CLEAN(SUBSTITUTE(Setup!$B$2,CHAR(160)," "))))=0,"CHECK REVIEWER ID",IF(OR(A12="",COUNTIF($A$2:$A$17,A12)&lt;&gt;1,LEFT(A12,LEN("2025::jama.2024.27643::"))&lt;&gt;"2025::jama.2024.27643::"),"CHECK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t="inlineStr">
        <is>
          <t>substantive_inconsistency</t>
        </is>
      </c>
      <c r="L12" s="22">
        <f>IF(AND(OR(D12="retain",D12=""),E12="protocol_report"),"","not_applicable")</f>
        <v/>
      </c>
      <c r="M12" s="20" t="n"/>
      <c r="N12" s="23" t="n"/>
      <c r="O12" s="23" t="n"/>
      <c r="P12" s="23" t="n"/>
      <c r="Q12" s="23" t="n"/>
      <c r="R12" s="22" t="inlineStr">
        <is>
          <t>Protocol RSA C v3.0 p112 and v6.0 p184: exploratory 'difference in the proportion of patients experiencing a &gt;=6-point decline in ALSFRS-R ... from Baseline to Week 24'. R-SAP v1.0 p78 and v3.0 p111: time to first &gt;=6-point decline, a composite with death or death equivalent, censored at last ALSFRS-R assessment. A week-24 binary proportion and a time-to-first-event composite including death are different endpoints. The report (p3) follows the SAP (time to decline).</t>
        </is>
      </c>
    </row>
    <row r="13" ht="92" customHeight="1" s="25">
      <c r="A13" s="24" t="inlineStr">
        <is>
          <t>2025::jama.2024.27643::C012</t>
        </is>
      </c>
      <c r="B13" s="24" t="inlineStr">
        <is>
          <t>NfL interval versus P display pattern</t>
        </is>
      </c>
      <c r="C13" s="24" t="inlineStr">
        <is>
          <t>Physical PDF pages; PLAN/REPORT roles are stated above and within the evidence. joi240158supp3_prod_1742927563.7911.pdf — PDF p. 17; jama_berry_2025_oi_240158_1742927563.7361.pdf — PDF p. 4; jama_berry_2025_oi_240158_1742927563.7361.pdf — PDF p. 8</t>
        </is>
      </c>
      <c r="D13" s="21" t="inlineStr">
        <is>
          <t>retain</t>
        </is>
      </c>
      <c r="E13" s="21" t="inlineStr">
        <is>
          <t>statistical_results</t>
        </is>
      </c>
      <c r="F13" s="21" t="inlineStr">
        <is>
          <t>primary_done</t>
        </is>
      </c>
      <c r="G13" s="24">
        <f>IFERROR(IF(LEN(TRIM(CLEAN(SUBSTITUTE(Setup!$B$2,CHAR(160)," "))))=0,"CHECK REVIEWER ID",IF(OR(A13="",COUNTIF($A$2:$A$17,A13)&lt;&gt;1,LEFT(A13,LEN("2025::jama.2024.27643::"))&lt;&gt;"2025::jama.2024.27643::"),"CHECK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t="inlineStr">
        <is>
          <t>probable_issue</t>
        </is>
      </c>
      <c r="I13" s="21" t="inlineStr">
        <is>
          <t>minor_presentation</t>
        </is>
      </c>
      <c r="J13" s="22" t="inlineStr">
        <is>
          <t>possible</t>
        </is>
      </c>
      <c r="K13" s="21">
        <f>IF(AND(OR(D13="retain",D13=""),OR(E13="report_internal_inconsistency",E13="plan_material")),"","not_applicable")</f>
        <v/>
      </c>
      <c r="L13" s="22">
        <f>IF(AND(OR(D13="retain",D13=""),E13="protocol_report"),"","not_applicable")</f>
        <v/>
      </c>
      <c r="M13" s="24" t="n"/>
      <c r="N13" s="23" t="n"/>
      <c r="O13" s="23" t="n"/>
      <c r="P13" s="23" t="n"/>
      <c r="Q13" s="23" t="n"/>
      <c r="R13" s="22" t="inlineStr">
        <is>
          <t>eTable 3B p17: plasma pooled -9.5 (-18.0, 0) P=0.04 and 60 mg -10.5 (-20, 0) P=0.04 are consistent with rounding (CI-implied P 0.039/0.040; article gives -17.8 to -0.4, Figure 3 -17.8 to -0.5). Serum 60 mg -27.4 (-45.1, -0.7) P=0.05 is not: the estimate lies 4.5 units off the CI midpoint (-22.9), unlike the other rows (offset &lt;0.1), and the CI excludes 0 while P=.05. Probable typo in that row.</t>
        </is>
      </c>
    </row>
    <row r="14" ht="92" customHeight="1" s="25">
      <c r="A14" s="20" t="inlineStr">
        <is>
          <t>2025::jama.2024.27643::C013</t>
        </is>
      </c>
      <c r="B14" s="20" t="inlineStr">
        <is>
          <t>Serum NfL contrast scale</t>
        </is>
      </c>
      <c r="C14" s="20" t="inlineStr">
        <is>
          <t>Physical PDF pages; PLAN/REPORT roles are stated above and within the evidence. joi240158supp3_prod_1742927563.7911.pdf — PDF p. 17; jama_berry_2025_oi_240158_1742927563.7361.pdf — PDF p. 8</t>
        </is>
      </c>
      <c r="D14" s="21" t="inlineStr">
        <is>
          <t>retain</t>
        </is>
      </c>
      <c r="E14" s="21" t="inlineStr">
        <is>
          <t>statistical_results</t>
        </is>
      </c>
      <c r="F14" s="21" t="inlineStr">
        <is>
          <t>primary_done</t>
        </is>
      </c>
      <c r="G14" s="20">
        <f>IFERROR(IF(LEN(TRIM(CLEAN(SUBSTITUTE(Setup!$B$2,CHAR(160)," "))))=0,"CHECK REVIEWER ID",IF(OR(A14="",COUNTIF($A$2:$A$17,A14)&lt;&gt;1,LEFT(A14,LEN("2025::jama.2024.27643::"))&lt;&gt;"2025::jama.2024.27643::"),"CHECK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t="inlineStr">
        <is>
          <t>confirmed_issue</t>
        </is>
      </c>
      <c r="I14" s="21" t="inlineStr">
        <is>
          <t>substantive</t>
        </is>
      </c>
      <c r="J14" s="22" t="inlineStr">
        <is>
          <t>direct</t>
        </is>
      </c>
      <c r="K14" s="21">
        <f>IF(AND(OR(D14="retain",D14=""),OR(E14="report_internal_inconsistency",E14="plan_material")),"","not_applicable")</f>
        <v/>
      </c>
      <c r="L14" s="22">
        <f>IF(AND(OR(D14="retain",D14=""),E14="protocol_report"),"","not_applicable")</f>
        <v/>
      </c>
      <c r="M14" s="20" t="n"/>
      <c r="N14" s="23" t="n"/>
      <c r="O14" s="23" t="n"/>
      <c r="P14" s="23" t="n"/>
      <c r="Q14" s="23" t="n"/>
      <c r="R14" s="22" t="inlineStr">
        <is>
          <t>Article p8/Figure 3: serum NfL placebo +30.8%, CNM-Au8 +0.4%, difference -23.2% (95% CI -39.5 to -2.5), P=.03. eTable 3B p17: placebo 26.8, difference -26.4 (-50.3, -2.6), P=0.03, labeled % change/GMR. The eTable values are log-scale x100: exp(0.268)-1=30.7%, exp(-0.264)-1=-23.2%, exp(-0.503)-1=-39.5%, exp(-0.026)-1=-2.6%. Plasma rows are on the back-transformed scale. Serum rows are on the wrong scale for their label.</t>
        </is>
      </c>
    </row>
    <row r="15" ht="92" customHeight="1" s="25">
      <c r="A15" s="24" t="inlineStr">
        <is>
          <t>2025::jama.2024.27643::C014</t>
        </is>
      </c>
      <c r="B15" s="24" t="inlineStr">
        <is>
          <t>Estimated DRR direction in planned operating characteristics</t>
        </is>
      </c>
      <c r="C15" s="24" t="inlineStr">
        <is>
          <t>Physical PDF pages; PLAN/REPORT roles are stated above and within the evidence. joi240158supp2_prod_1742927563.7711.pdf — PDF p. 50; joi240158supp1_prod_1742927563.7611.pdf — PDF p. 65; joi240158supp1_prod_1742927563.7611.pdf — PDF p. 137; joi240158supp1_prod_1742927563.7611.pdf — PDF p. 212; joi240158supp2_prod_1742927563.7711.pdf — PDF p. 8; joi240158supp2_prod_1742927563.7711.pdf — PDF p. 63</t>
        </is>
      </c>
      <c r="D15" s="21" t="inlineStr">
        <is>
          <t>retain</t>
        </is>
      </c>
      <c r="E15" s="21" t="inlineStr">
        <is>
          <t>plan_material</t>
        </is>
      </c>
      <c r="F15" s="21" t="inlineStr">
        <is>
          <t>primary_done</t>
        </is>
      </c>
      <c r="G15" s="24">
        <f>IFERROR(IF(LEN(TRIM(CLEAN(SUBSTITUTE(Setup!$B$2,CHAR(160)," "))))=0,"CHECK REVIEWER ID",IF(OR(A15="",COUNTIF($A$2:$A$17,A15)&lt;&gt;1,LEFT(A15,LEN("2025::jama.2024.27643::"))&lt;&gt;"2025::jama.2024.27643::"),"CHECK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
      </c>
      <c r="H15" s="21">
        <f>IF(AND(OR(D15="retain",D15=""),E15="statistical_results"),"","not_applicable")</f>
        <v/>
      </c>
      <c r="I15" s="21">
        <f>IF(AND(OR(D15="retain",D15=""),E15="statistical_results"),"","not_applicable")</f>
        <v/>
      </c>
      <c r="J15" s="22">
        <f>IF(AND(OR(D15="retain",D15=""),E15="statistical_results"),"","not_applicable")</f>
        <v/>
      </c>
      <c r="K15" s="21" t="inlineStr">
        <is>
          <t>minor_presentation</t>
        </is>
      </c>
      <c r="L15" s="22">
        <f>IF(AND(OR(D15="retain",D15=""),E15="protocol_report"),"","not_applicable")</f>
        <v/>
      </c>
      <c r="M15" s="24" t="n"/>
      <c r="N15" s="23" t="n"/>
      <c r="O15" s="23" t="n"/>
      <c r="P15" s="23" t="n"/>
      <c r="Q15" s="23" t="n"/>
      <c r="R15" s="22" t="inlineStr">
        <is>
          <t>M-SAP v3.0 §6.2 p50: prose says 'the power and estimated DRR decrease as the rate of mortality increases', but Table 6.2.1 shows mean estimated DRR rising (0.71/0.72/0.75 for mortality HR 1.0; 0.72/0.75/0.81 for HR 1.3) while power falls. The next sentences give the correct values and say the functional treatment effect decreases, so the intended meaning is clear. Wording slip in design operating characteristics.</t>
        </is>
      </c>
    </row>
    <row r="16" ht="92" customHeight="1" s="25">
      <c r="A16" s="20" t="inlineStr">
        <is>
          <t>2025::jama.2024.27643::C015</t>
        </is>
      </c>
      <c r="B16" s="20" t="inlineStr">
        <is>
          <t>Signed CAFS P value in illustrative PLAN prose</t>
        </is>
      </c>
      <c r="C16" s="20" t="inlineStr">
        <is>
          <t>Physical PDF pages; PLAN/REPORT roles are stated above and within the evidence. joi240158supp2_prod_1742927563.7711.pdf — PDF p. 59; joi240158supp2_prod_1742927563.7711.pdf — PDF p. 58; joi240158supp2_prod_1742927563.7711.pdf — PDF p. 8; joi240158supp2_prod_1742927563.7711.pdf — PDF p. 63</t>
        </is>
      </c>
      <c r="D16" s="21" t="inlineStr">
        <is>
          <t>exclude</t>
        </is>
      </c>
      <c r="E16" s="21" t="inlineStr">
        <is>
          <t>plan_material</t>
        </is>
      </c>
      <c r="F16" s="21" t="inlineStr">
        <is>
          <t>primary_done</t>
        </is>
      </c>
      <c r="G16" s="20">
        <f>IFERROR(IF(LEN(TRIM(CLEAN(SUBSTITUTE(Setup!$B$2,CHAR(160)," "))))=0,"CHECK REVIEWER ID",IF(OR(A16="",COUNTIF($A$2:$A$17,A16)&lt;&gt;1,LEFT(A16,LEN("2025::jama.2024.27643::"))&lt;&gt;"2025::jama.2024.27643::"),"CHECK KEY",IF(OR(AND(NOT(AND(D16="retain",E16="statistical_results")),H16&lt;&gt;"",NOT(EXACT(H16,"not_applicable"))),AND(NOT(AND(D16="retain",E16="statistical_results")),I16&lt;&gt;"",NOT(EXACT(I16,"not_applicable"))),AND(NOT(AND(D16="retain",E16="statistical_results")),J16&lt;&gt;"",NOT(EXACT(J16,"not_applicable"))),AND(NOT(AND(D16="retain",OR(E16="report_internal_inconsistency",E16="plan_material"))),K16&lt;&gt;"",NOT(EXACT(K16,"not_applicable"))),AND(NOT(AND(D16="retain",E16="protocol_report")),L16&lt;&gt;"",NOT(EXACT(L16,"not_applicable")))),"CLEAR INACTIVE VALUES",IF(OR(NOT(OR(EXACT(D16,"retain"),EXACT(D16,"exclude"),EXACT(D16,"discuss"))),NOT(OR(EXACT(E16,"statistical_results"),EXACT(E16,"report_internal_inconsistency"),EXACT(E16,"plan_material"),EXACT(E16,"protocol_report"))),AND(AND(D16="retain",E16="statistical_results"),NOT(OR(EXACT(H16,"confirmed_issue"),EXACT(H16,"probable_issue"),EXACT(H16,"not_issue"),EXACT(H16,"indeterminate")))),AND(AND(D16="retain",E16="statistical_results"),NOT(OR(EXACT(I16,"substantive"),EXACT(I16,"minor_presentation"),EXACT(I16,"indeterminate")))),AND(AND(D16="retain",E16="statistical_results"),J16&lt;&gt;"",NOT(OR(EXACT(J16,"direct"),EXACT(J16,"possible"),EXACT(J16,"unlikely"),EXACT(J16,"unknown")))),AND(AND(D16="retain",OR(E16="report_internal_inconsistency",E16="plan_material")),NOT(OR(EXACT(K16,"substantive_inconsistency"),EXACT(K16,"minor_presentation"),EXACT(K16,"non_inconsistency"),EXACT(K16,"indeterminate")))),AND(AND(D16="retain",E16="protocol_report"),L16&lt;&gt;"",NOT(OR(EXACT(L16,"substantive_difference"),EXACT(L16,"minor_presentation"),EXACT(L16,"version_timing"),EXACT(L16,"non_inconsistency"),EXACT(L16,"indeterminate"))))),"CHECK FIELDS",IF(AND(F16&lt;&gt;"",NOT(OR(EXACT(F16,"no"),EXACT(F16,"primary_done")))),"CHECK COMPLETE",IF(EXACT(F16,"primary_done"),"PRIMARY READY","PRIMARY DRAFT")))))),"CHECK INPUT / KEY")</f>
        <v/>
      </c>
      <c r="H16" s="21">
        <f>IF(AND(OR(D16="retain",D16=""),E16="statistical_results"),"","not_applicable")</f>
        <v/>
      </c>
      <c r="I16" s="21">
        <f>IF(AND(OR(D16="retain",D16=""),E16="statistical_results"),"","not_applicable")</f>
        <v/>
      </c>
      <c r="J16" s="22">
        <f>IF(AND(OR(D16="retain",D16=""),E16="statistical_results"),"","not_applicable")</f>
        <v/>
      </c>
      <c r="K16" s="21">
        <f>IF(AND(OR(D16="retain",D16=""),OR(E16="report_internal_inconsistency",E16="plan_material")),"","not_applicable")</f>
        <v/>
      </c>
      <c r="L16" s="22">
        <f>IF(AND(OR(D16="retain",D16=""),E16="protocol_report"),"","not_applicable")</f>
        <v/>
      </c>
      <c r="M16" s="20" t="n"/>
      <c r="N16" s="23" t="n"/>
      <c r="O16" s="23" t="n"/>
      <c r="P16" s="23" t="n"/>
      <c r="Q16" s="23" t="n"/>
      <c r="R16" s="22" t="inlineStr">
        <is>
          <t>M-SAP p59: 'CAFS p-value of -' at line end, '.3675)' on the next line, in an illustrative example trial (Example Trial 4); the adjacent figure prints 0.3675. A line-end dash in an illustration, not a design element of this trial; no conflict that matters for the plan.</t>
        </is>
      </c>
    </row>
    <row r="17" ht="92" customHeight="1" s="25">
      <c r="A17" s="24" t="inlineStr">
        <is>
          <t>2025::jama.2024.27643::C016</t>
        </is>
      </c>
      <c r="B17" s="24" t="inlineStr">
        <is>
          <t>Serum NfL below-quantitation substitution rule</t>
        </is>
      </c>
      <c r="C17" s="24" t="inlineStr">
        <is>
          <t>Physical PDF pages; PLAN/REPORT roles are stated above and within the evidence. joi240158supp2_prod_1742927563.7711.pdf — PDF p. 112; joi240158supp3_prod_1742927563.7911.pdf — PDF p. 11; joi240158supp3_prod_1742927563.7911.pdf — PDF p. 10; joi240158supp3_prod_1742927563.7911.pdf — PDF p. 12; jama_berry_2025_oi_240158_1742927563.7361.pdf — PDF p. 8; joi240158supp3_prod_1742927563.7911.pdf — PDF p. 17</t>
        </is>
      </c>
      <c r="D17" s="21" t="inlineStr">
        <is>
          <t>retain</t>
        </is>
      </c>
      <c r="E17" s="21" t="inlineStr">
        <is>
          <t>protocol_report</t>
        </is>
      </c>
      <c r="F17" s="21" t="inlineStr">
        <is>
          <t>primary_done</t>
        </is>
      </c>
      <c r="G17" s="24">
        <f>IFERROR(IF(LEN(TRIM(CLEAN(SUBSTITUTE(Setup!$B$2,CHAR(160)," "))))=0,"CHECK REVIEWER ID",IF(OR(A17="",COUNTIF($A$2:$A$17,A17)&lt;&gt;1,LEFT(A17,LEN("2025::jama.2024.27643::"))&lt;&gt;"2025::jama.2024.27643::"),"CHECK KEY",IF(OR(AND(NOT(AND(D17="retain",E17="statistical_results")),H17&lt;&gt;"",NOT(EXACT(H17,"not_applicable"))),AND(NOT(AND(D17="retain",E17="statistical_results")),I17&lt;&gt;"",NOT(EXACT(I17,"not_applicable"))),AND(NOT(AND(D17="retain",E17="statistical_results")),J17&lt;&gt;"",NOT(EXACT(J17,"not_applicable"))),AND(NOT(AND(D17="retain",OR(E17="report_internal_inconsistency",E17="plan_material"))),K17&lt;&gt;"",NOT(EXACT(K17,"not_applicable"))),AND(NOT(AND(D17="retain",E17="protocol_report")),L17&lt;&gt;"",NOT(EXACT(L17,"not_applicable")))),"CLEAR INACTIVE VALUES",IF(OR(NOT(OR(EXACT(D17,"retain"),EXACT(D17,"exclude"),EXACT(D17,"discuss"))),NOT(OR(EXACT(E17,"statistical_results"),EXACT(E17,"report_internal_inconsistency"),EXACT(E17,"plan_material"),EXACT(E17,"protocol_report"))),AND(AND(D17="retain",E17="statistical_results"),NOT(OR(EXACT(H17,"confirmed_issue"),EXACT(H17,"probable_issue"),EXACT(H17,"not_issue"),EXACT(H17,"indeterminate")))),AND(AND(D17="retain",E17="statistical_results"),NOT(OR(EXACT(I17,"substantive"),EXACT(I17,"minor_presentation"),EXACT(I17,"indeterminate")))),AND(AND(D17="retain",E17="statistical_results"),J17&lt;&gt;"",NOT(OR(EXACT(J17,"direct"),EXACT(J17,"possible"),EXACT(J17,"unlikely"),EXACT(J17,"unknown")))),AND(AND(D17="retain",OR(E17="report_internal_inconsistency",E17="plan_material")),NOT(OR(EXACT(K17,"substantive_inconsistency"),EXACT(K17,"minor_presentation"),EXACT(K17,"non_inconsistency"),EXACT(K17,"indeterminate")))),AND(AND(D17="retain",E17="protocol_report"),L17&lt;&gt;"",NOT(OR(EXACT(L17,"substantive_difference"),EXACT(L17,"minor_presentation"),EXACT(L17,"version_timing"),EXACT(L17,"non_inconsistency"),EXACT(L17,"indeterminate"))))),"CHECK FIELDS",IF(AND(F17&lt;&gt;"",NOT(OR(EXACT(F17,"no"),EXACT(F17,"primary_done")))),"CHECK COMPLETE",IF(EXACT(F17,"primary_done"),"PRIMARY READY","PRIMARY DRAFT")))))),"CHECK INPUT / KEY")</f>
        <v/>
      </c>
      <c r="H17" s="21">
        <f>IF(AND(OR(D17="retain",D17=""),E17="statistical_results"),"","not_applicable")</f>
        <v/>
      </c>
      <c r="I17" s="21">
        <f>IF(AND(OR(D17="retain",D17=""),E17="statistical_results"),"","not_applicable")</f>
        <v/>
      </c>
      <c r="J17" s="22">
        <f>IF(AND(OR(D17="retain",D17=""),E17="statistical_results"),"","not_applicable")</f>
        <v/>
      </c>
      <c r="K17" s="21">
        <f>IF(AND(OR(D17="retain",D17=""),OR(E17="report_internal_inconsistency",E17="plan_material")),"","not_applicable")</f>
        <v/>
      </c>
      <c r="L17" s="22" t="inlineStr">
        <is>
          <t>substantive_difference</t>
        </is>
      </c>
      <c r="M17" s="24" t="n"/>
      <c r="N17" s="23" t="n"/>
      <c r="O17" s="23" t="n"/>
      <c r="P17" s="23" t="n"/>
      <c r="Q17" s="23" t="n"/>
      <c r="R17" s="22" t="inlineStr">
        <is>
          <t>R-SAP v3.0 §5.6 p112: serum/CSF NfL values below the limit of quantitation imputed at the LOQ. eMethods p11: serum values &lt;LOQ imputed using the assay LOD. Different substitution value for the same condition. Relevant because the serum NfL result was sensitive to a very low baseline value (article p8; eMethods p12).</t>
        </is>
      </c>
    </row>
  </sheetData>
  <autoFilter ref="A1:R17"/>
  <conditionalFormatting sqref="H2:H17">
    <cfRule type="expression" priority="8" dxfId="70">
      <formula>NOT(AND(OR($D2="retain",$D2=""),$E2="statistical_results"))</formula>
    </cfRule>
  </conditionalFormatting>
  <conditionalFormatting sqref="I2:I17">
    <cfRule type="expression" priority="9" dxfId="70">
      <formula>NOT(AND(OR($D2="retain",$D2=""),$E2="statistical_results"))</formula>
    </cfRule>
  </conditionalFormatting>
  <conditionalFormatting sqref="J2:J17">
    <cfRule type="expression" priority="10" dxfId="70">
      <formula>NOT(AND(OR($D2="retain",$D2=""),$E2="statistical_results"))</formula>
    </cfRule>
  </conditionalFormatting>
  <conditionalFormatting sqref="K2:K17">
    <cfRule type="expression" priority="11" dxfId="70">
      <formula>NOT(AND(OR($D2="retain",$D2=""),OR($E2="report_internal_inconsistency",$E2="plan_material")))</formula>
    </cfRule>
  </conditionalFormatting>
  <conditionalFormatting sqref="L2:L17">
    <cfRule type="expression" priority="12" dxfId="70">
      <formula>NOT(AND(OR($D2="retain",$D2=""),$E2="protocol_report"))</formula>
    </cfRule>
  </conditionalFormatting>
  <conditionalFormatting sqref="G2:G17">
    <cfRule type="expression" priority="13" dxfId="71">
      <formula>G2&lt;&gt;"PRIMARY READY"</formula>
    </cfRule>
  </conditionalFormatting>
  <dataValidations count="8">
    <dataValidation sqref="D2:D17" showDropDown="0" showInputMessage="0" showErrorMessage="1" allowBlank="1" errorTitle="Use a listed option" error="Choose an option; G also checks pasted entries." type="list" errorStyle="stop">
      <formula1>"retain,exclude,discuss"</formula1>
    </dataValidation>
    <dataValidation sqref="E2:E17"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7" showDropDown="0" showInputMessage="0" showErrorMessage="1" allowBlank="1" errorTitle="Use a listed option" error="Choose an option; G also checks pasted entries." type="list" errorStyle="stop">
      <formula1>"no,primary_done"</formula1>
    </dataValidation>
    <dataValidation sqref="H2:H17"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7"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7" showDropDown="0" showInputMessage="0" showErrorMessage="1" allowBlank="1" errorTitle="Use a listed option" error="Choose an option; G also checks pasted entries." type="list" errorStyle="stop">
      <formula1>"direct,possible,unlikely,unknown,not_applicable"</formula1>
    </dataValidation>
    <dataValidation sqref="K2:K17"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7"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R19"/>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2025::jama.2025.11178::C001</t>
        </is>
      </c>
      <c r="B2" s="20" t="inlineStr">
        <is>
          <t>Planned versus reported online session duration</t>
        </is>
      </c>
      <c r="C2" s="20" t="inlineStr">
        <is>
          <t>Yes, all five locations: REPORT main p.3, Health Coach Program and Online Program — jama_debar_2025_oi_250046_1755300121.13587.pdf; PLAN protocol p.43 §10.1.1 — joi250046supp1_prod_1755300121.14087.pdf and p.44 coach overview — joi250046supp1_prod_1755300121.14087.pdf; REPORT TIDieR p.3 Procedures — joi250046supp3_prod_1755300121.15087.pdf and p.4 When and How Much — joi250046supp3_prod_1755300121.15087.pdf.</t>
        </is>
      </c>
      <c r="D2" s="21" t="inlineStr">
        <is>
          <t>retain</t>
        </is>
      </c>
      <c r="E2" s="21" t="inlineStr">
        <is>
          <t>protocol_report</t>
        </is>
      </c>
      <c r="F2" s="21" t="inlineStr">
        <is>
          <t>primary_done</t>
        </is>
      </c>
      <c r="G2" s="20">
        <f>IFERROR(IF(LEN(TRIM(CLEAN(SUBSTITUTE(Setup!$B$2,CHAR(160)," "))))=0,"CHECK REVIEWER ID",IF(OR(A2="",COUNTIF($A$2:$A$19,A2)&lt;&gt;1,LEFT(A2,LEN("2025::jama.2025.11178::"))&lt;&gt;"2025::jama.2025.11178::"),"CHECK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substantive_difference</t>
        </is>
      </c>
      <c r="M2" s="20" t="n"/>
      <c r="N2" s="23" t="n"/>
      <c r="O2" s="23" t="n"/>
      <c r="P2" s="23" t="n"/>
      <c r="Q2" s="23" t="n"/>
      <c r="R2" s="22" t="inlineStr">
        <is>
          <t>Protocol v5.0 p43 (10.1.1): painTRAINER sessions take 45-60 min; p44 (10.1.2): coach sessions take 60 min. Main p3 and TIDieR supp3 pp3-4: painTRAINER 30-45 min, coach 45-60 min. Session number (8) and 12-week window unchanged. Described per-session dose is shorter in the report for both arms (non-overlapping for painTRAINER); may reflect a revised completion-time estimate rather than changed content. Card agrees.</t>
        </is>
      </c>
    </row>
    <row r="3" ht="92" customHeight="1" s="25">
      <c r="A3" s="24" t="inlineStr">
        <is>
          <t>2025::jama.2025.11178::C002</t>
        </is>
      </c>
      <c r="B3" s="24" t="inlineStr">
        <is>
          <t>Therapeutic-dose adherence percentage</t>
        </is>
      </c>
      <c r="C3" s="24" t="inlineStr">
        <is>
          <t>Yes: REPORT main p.4 Results adherence paragraph — jama_debar_2025_oi_250046_1755300121.13587.pdf and p.5 Figure 1 PT allocation/session counts — jama_debar_2025_oi_250046_1755300121.13587.pdf.</t>
        </is>
      </c>
      <c r="D3" s="21" t="inlineStr">
        <is>
          <t>retain</t>
        </is>
      </c>
      <c r="E3" s="21" t="inlineStr">
        <is>
          <t>statistical_results</t>
        </is>
      </c>
      <c r="F3" s="21" t="inlineStr">
        <is>
          <t>primary_done</t>
        </is>
      </c>
      <c r="G3" s="24">
        <f>IFERROR(IF(LEN(TRIM(CLEAN(SUBSTITUTE(Setup!$B$2,CHAR(160)," "))))=0,"CHECK REVIEWER ID",IF(OR(A3="",COUNTIF($A$2:$A$19,A3)&lt;&gt;1,LEFT(A3,LEN("2025::jama.2025.11178::"))&lt;&gt;"2025::jama.2025.11178::"),"CHECK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t="inlineStr">
        <is>
          <t>confirmed_issue</t>
        </is>
      </c>
      <c r="I3" s="21" t="inlineStr">
        <is>
          <t>minor_presentation</t>
        </is>
      </c>
      <c r="J3" s="22" t="inlineStr">
        <is>
          <t>possible</t>
        </is>
      </c>
      <c r="K3" s="21">
        <f>IF(AND(OR(D3="retain",D3=""),OR(E3="report_internal_inconsistency",E3="plan_material")),"","not_applicable")</f>
        <v/>
      </c>
      <c r="L3" s="22">
        <f>IF(AND(OR(D3="retain",D3=""),E3="protocol_report"),"","not_applicable")</f>
        <v/>
      </c>
      <c r="M3" s="24" t="n"/>
      <c r="N3" s="23" t="n"/>
      <c r="O3" s="23" t="n"/>
      <c r="P3" s="23" t="n"/>
      <c r="Q3" s="23" t="n"/>
      <c r="R3" s="22" t="inlineStr">
        <is>
          <t>Main p4: painTRAINER '371 (43%) completed at least 6 sessions'. Figure 1 p5: 776 randomized; 371 + 156 + 249 = 776. 371/776 = 47.8% (printed 43%); 371/527 initiators = 70.4%. Other three adherence percentages reproduce (527/776 = 67.9%, 660/778 = 84.8%, 548/778 = 70.4%). Count is correct, percentage wrong. Card agrees.</t>
        </is>
      </c>
    </row>
    <row r="4" ht="92" customHeight="1" s="25">
      <c r="A4" s="20" t="inlineStr">
        <is>
          <t>2025::jama.2025.11178::C003</t>
        </is>
      </c>
      <c r="B4" s="20" t="inlineStr">
        <is>
          <t>SMD construction across Table 3</t>
        </is>
      </c>
      <c r="C4" s="20" t="inlineStr">
        <is>
          <t>Yes: REPORT main p.4 SMD definition — jama_debar_2025_oi_250046_1755300121.13587.pdf, p.10 Table 3 — jama_debar_2025_oi_250046_1755300121.13587.pdf, and p.11 continuation and footnote d — jama_debar_2025_oi_250046_1755300121.13587.pdf. All twenty registered outcome/time rows and all three point-contrast columns per row were read directly.</t>
        </is>
      </c>
      <c r="D4" s="21" t="inlineStr">
        <is>
          <t>retain</t>
        </is>
      </c>
      <c r="E4" s="21" t="inlineStr">
        <is>
          <t>statistical_results</t>
        </is>
      </c>
      <c r="F4" s="21" t="inlineStr">
        <is>
          <t>primary_done</t>
        </is>
      </c>
      <c r="G4" s="20">
        <f>IFERROR(IF(LEN(TRIM(CLEAN(SUBSTITUTE(Setup!$B$2,CHAR(160)," "))))=0,"CHECK REVIEWER ID",IF(OR(A4="",COUNTIF($A$2:$A$19,A4)&lt;&gt;1,LEFT(A4,LEN("2025::jama.2025.11178::"))&lt;&gt;"2025::jama.2025.11178::"),"CHECK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t="inlineStr">
        <is>
          <t>confirmed_issue</t>
        </is>
      </c>
      <c r="I4" s="21" t="inlineStr">
        <is>
          <t>substantive</t>
        </is>
      </c>
      <c r="J4" s="22" t="inlineStr">
        <is>
          <t>direct</t>
        </is>
      </c>
      <c r="K4" s="21">
        <f>IF(AND(OR(D4="retain",D4=""),OR(E4="report_internal_inconsistency",E4="plan_material")),"","not_applicable")</f>
        <v/>
      </c>
      <c r="L4" s="22">
        <f>IF(AND(OR(D4="retain",D4=""),E4="protocol_report"),"","not_applicable")</f>
        <v/>
      </c>
      <c r="M4" s="20" t="n"/>
      <c r="N4" s="23" t="n"/>
      <c r="O4" s="23" t="n"/>
      <c r="P4" s="23" t="n"/>
      <c r="Q4" s="23" t="n"/>
      <c r="R4" s="22" t="inlineStr">
        <is>
          <t>Main p4 and Table 3 note d (p11): SMD = adjusted MD / SD of UC change at that time point, so the three contrasts at a time point share one denominator. Recomputed for all 21 rows: implied SD (MD/SMD) differs across the three columns of one row (e.g., social 3 mo: 6.7, 150, 3.5), 4 SMDs have the opposite sign to their MD, HC-PT SMD is -0.08 to -0.13 where MD is 0.0, and SMD(HC-PT) is not SMD(HC-UC) - SMD(PT-UC) in 17 rows. SMD columns cannot follow the stated definition. Also: text p7 quotes 3-month SMDs -0.26/-0.36, which are the 6-month values in Table 3 (3-month: -0.25/-0.34). Card agrees.</t>
        </is>
      </c>
    </row>
    <row r="5" ht="92" customHeight="1" s="25">
      <c r="A5" s="24" t="inlineStr">
        <is>
          <t>2025::jama.2025.11178::C004</t>
        </is>
      </c>
      <c r="B5" s="24" t="inlineStr">
        <is>
          <t>Reciprocal NNT point-reproduction pattern</t>
        </is>
      </c>
      <c r="C5" s="24" t="inlineStr">
        <is>
          <t>Yes: REPORT main p.4 NNT definition — jama_debar_2025_oi_250046_1755300121.13587.pdf; REPORT main p.9 Table 2 severity 6-month HC/UC, interference 6-month HC/UC and footnote d — jama_debar_2025_oi_250046_1755300121.13587.pdf; REPORT results p.14 eTable 8 reminder-letter 6-month PT/UC and footnote d — joi250046supp4_prod_1755300121.15587.pdf. All three affected rows were read.</t>
        </is>
      </c>
      <c r="D5" s="21" t="inlineStr">
        <is>
          <t>exclude</t>
        </is>
      </c>
      <c r="E5" s="21" t="inlineStr">
        <is>
          <t>statistical_results</t>
        </is>
      </c>
      <c r="F5" s="21" t="inlineStr">
        <is>
          <t>primary_done</t>
        </is>
      </c>
      <c r="G5" s="24">
        <f>IFERROR(IF(LEN(TRIM(CLEAN(SUBSTITUTE(Setup!$B$2,CHAR(160)," "))))=0,"CHECK REVIEWER ID",IF(OR(A5="",COUNTIF($A$2:$A$19,A5)&lt;&gt;1,LEFT(A5,LEN("2025::jama.2025.11178::"))&lt;&gt;"2025::jama.2025.11178::"),"CHECK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inlineStr">
        <is>
          <t>Main p4 and Table 2 note d: NNT = 1/(difference in adjusted %). Recomputed all 81 NNT points in Table 2 and eTables 7-8 with +/-0.05 on each displayed %: every printed NNT equals the round-up (ceiling) of 1/RD, and 24 of 81 (including the 3 flagged) are incompatible with conventional rounding. Rounding NNT up is the standard convention and is applied consistently. Card names upward rounding as an alternative; my full-table check settles it.</t>
        </is>
      </c>
    </row>
    <row r="6" ht="92" customHeight="1" s="25">
      <c r="A6" s="20" t="inlineStr">
        <is>
          <t>2025::jama.2025.11178::C005</t>
        </is>
      </c>
      <c r="B6" s="20" t="inlineStr">
        <is>
          <t>Age as a prespecified base adjustment covariate</t>
        </is>
      </c>
      <c r="C6" s="20" t="inlineStr">
        <is>
          <t>Yes: PLAN protocol p.56 §15.5 — joi250046supp1_prod_1755300121.14087.pdf; PLAN SAP p.20 §§13–14 — joi250046supp2_prod_1755300121.15087.pdf; REPORT main p.4 adjustment sentence — jama_debar_2025_oi_250046_1755300121.13587.pdf; REPORT results p.4 Adjustment — joi250046supp4_prod_1755300121.15587.pdf, p.7 eTable 2 all-model variables — joi250046supp4_prod_1755300121.15587.pdf, p.8 eTable 3 age — joi250046supp4_prod_1755300121.15587.pdf, p.9 eTable 4 age — joi250046supp4_prod_1755300121.15587.pdf, p.10 eTable 5 age — joi250046supp4_prod_1755300121.15587.pdf; REPORT workbook — joi250046supp5_prod_1755300121.16087.xlsx, worksheet eTable 3, cells G2, A10, G10, directly decoded.</t>
        </is>
      </c>
      <c r="D6" s="21" t="inlineStr">
        <is>
          <t>retain</t>
        </is>
      </c>
      <c r="E6" s="21" t="inlineStr">
        <is>
          <t>protocol_report</t>
        </is>
      </c>
      <c r="F6" s="21" t="inlineStr">
        <is>
          <t>primary_done</t>
        </is>
      </c>
      <c r="G6" s="20">
        <f>IFERROR(IF(LEN(TRIM(CLEAN(SUBSTITUTE(Setup!$B$2,CHAR(160)," "))))=0,"CHECK REVIEWER ID",IF(OR(A6="",COUNTIF($A$2:$A$19,A6)&lt;&gt;1,LEFT(A6,LEN("2025::jama.2025.11178::"))&lt;&gt;"2025::jama.2025.11178::"),"CHECK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t="inlineStr">
        <is>
          <t>substantive_difference</t>
        </is>
      </c>
      <c r="M6" s="20" t="n"/>
      <c r="N6" s="23" t="n"/>
      <c r="O6" s="23" t="n"/>
      <c r="P6" s="23" t="n"/>
      <c r="Q6" s="23" t="n"/>
      <c r="R6" s="22" t="inlineStr">
        <is>
          <t>Protocol v5.0 PDF p56 (section 15.5) and SAP v6.0 p20 (14.0): adjust for baseline pain severity, sex, site, rural residence, multisite pain, mental health condition (no age). Main p4 gives the same list. Supp4 p4 and eTable 2 p7 call age part of the 'base set of pre-specified adjustment variables'; eTables 3-4 fit age &gt;=65; xlsx eTable 3 G10 marks age as prespecified. Age was added to all primary models and described as prespecified. Card agrees.</t>
        </is>
      </c>
    </row>
    <row r="7" ht="92" customHeight="1" s="25">
      <c r="A7" s="24" t="inlineStr">
        <is>
          <t>2025::jama.2025.11178::C006</t>
        </is>
      </c>
      <c r="B7" s="24" t="inlineStr">
        <is>
          <t>Secondary-analysis adjustment specification</t>
        </is>
      </c>
      <c r="C7" s="24" t="inlineStr">
        <is>
          <t>Yes: PLAN protocol p.57 §15.6 — joi250046supp1_prod_1755300121.14087.pdf; PLAN SAP p.21 §15 — joi250046supp2_prod_1755300121.15087.pdf; REPORT main p.4 secondary methods — jama_debar_2025_oi_250046_1755300121.13587.pdf, p.10 Table 3 — jama_debar_2025_oi_250046_1755300121.13587.pdf and p.11 continuation — jama_debar_2025_oi_250046_1755300121.13587.pdf.</t>
        </is>
      </c>
      <c r="D7" s="21" t="inlineStr">
        <is>
          <t>retain</t>
        </is>
      </c>
      <c r="E7" s="21" t="inlineStr">
        <is>
          <t>protocol_report</t>
        </is>
      </c>
      <c r="F7" s="21" t="inlineStr">
        <is>
          <t>primary_done</t>
        </is>
      </c>
      <c r="G7" s="24">
        <f>IFERROR(IF(LEN(TRIM(CLEAN(SUBSTITUTE(Setup!$B$2,CHAR(160)," "))))=0,"CHECK REVIEWER ID",IF(OR(A7="",COUNTIF($A$2:$A$19,A7)&lt;&gt;1,LEFT(A7,LEN("2025::jama.2025.11178::"))&lt;&gt;"2025::jama.2025.11178::"),"CHECK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t="inlineStr">
        <is>
          <t>substantive_difference</t>
        </is>
      </c>
      <c r="M7" s="24" t="n"/>
      <c r="N7" s="23" t="n"/>
      <c r="O7" s="23" t="n"/>
      <c r="P7" s="23" t="n"/>
      <c r="Q7" s="23" t="n"/>
      <c r="R7" s="22" t="inlineStr">
        <is>
          <t>Protocol PDF p57 (section 15.6) and SAP p21 (section 15.0): secondary analyses 'follow the same approach as Aim 1' and 'include as covariates baseline levels of pain severity and all stratification variables'. Main p4: same structures 'with added adjustment for the given baseline secondary outcome'. The baseline value of each secondary outcome is an added covariate not in either plan. Card agrees.</t>
        </is>
      </c>
    </row>
    <row r="8" ht="92" customHeight="1" s="25">
      <c r="A8" s="20" t="inlineStr">
        <is>
          <t>2025::jama.2025.11178::C007</t>
        </is>
      </c>
      <c r="B8" s="20" t="inlineStr">
        <is>
          <t>Primary versus sensitivity missing-data analysis roles</t>
        </is>
      </c>
      <c r="C8" s="20" t="inlineStr">
        <is>
          <t>Yes: PLAN SAP p.19 §11 — joi250046supp2_prod_1755300121.15087.pdf, PLAN p.4 July 17, 2024 amendment — joi250046supp2_prod_1755300121.15087.pdf; REPORT main p.4 missing-data paragraph — jama_debar_2025_oi_250046_1755300121.13587.pdf; REPORT results p.4 Missing Data — joi250046supp4_prod_1755300121.15587.pdf, p.5 Non-Response Weighting — joi250046supp4_prod_1755300121.15587.pdf, p.9 eTable 4 — joi250046supp4_prod_1755300121.15587.pdf, p.11 sensitivity narrative and complete-case block — joi250046supp4_prod_1755300121.15587.pdf. P.5 was read as disclosed-amendment context in addition to the registered comparisons.</t>
        </is>
      </c>
      <c r="D8" s="21" t="inlineStr">
        <is>
          <t>retain</t>
        </is>
      </c>
      <c r="E8" s="21" t="inlineStr">
        <is>
          <t>protocol_report</t>
        </is>
      </c>
      <c r="F8" s="21" t="inlineStr">
        <is>
          <t>primary_done</t>
        </is>
      </c>
      <c r="G8" s="20">
        <f>IFERROR(IF(LEN(TRIM(CLEAN(SUBSTITUTE(Setup!$B$2,CHAR(160)," "))))=0,"CHECK REVIEWER ID",IF(OR(A8="",COUNTIF($A$2:$A$19,A8)&lt;&gt;1,LEFT(A8,LEN("2025::jama.2025.11178::"))&lt;&gt;"2025::jama.2025.11178::"),"CHECK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t="inlineStr">
        <is>
          <t>indeterminate</t>
        </is>
      </c>
      <c r="M8" s="20" t="n"/>
      <c r="N8" s="23" t="n"/>
      <c r="O8" s="23" t="n"/>
      <c r="P8" s="23" t="n"/>
      <c r="Q8" s="23" t="n"/>
      <c r="R8" s="22" t="inlineStr">
        <is>
          <t>SAP v6.0 (18 Jul 2024) p19 section 11: 'For the primary analyses, we will analyze those patients who have follow-up data' under MAR; if &gt;15% missing or differential, pattern-mixture imputation plus IPW (IPW added by the 17 Jul 2024 amendment, p4, after follow-up ended Apr 2024) and worst/best-case sensitivity. Report (main p4; supp4 pp4-5, 11): weighted MNAR imputation is primary; complete-case labelled a 'pre-specified sensitivity analysis'. Disclosed (supp4 p5). The conditional clause can be read as authorizing the switch, so the plan's own hierarchy is ambiguous.</t>
        </is>
      </c>
    </row>
    <row r="9" ht="92" customHeight="1" s="25">
      <c r="A9" s="24" t="inlineStr">
        <is>
          <t>2025::jama.2025.11178::C008</t>
        </is>
      </c>
      <c r="B9" s="24" t="inlineStr">
        <is>
          <t>RR versus finite NNT null coverage</t>
        </is>
      </c>
      <c r="C9" s="24" t="inlineStr">
        <is>
          <t>Yes: REPORT main p.9 Table 2 HC/PT columns and footnotes b,d,e — jama_debar_2025_oi_250046_1755300121.13587.pdf, all six registered contrast/time rows; REPORT p.4 binary model and NNT method — jama_debar_2025_oi_250046_1755300121.13587.pdf.</t>
        </is>
      </c>
      <c r="D9" s="21" t="inlineStr">
        <is>
          <t>retain</t>
        </is>
      </c>
      <c r="E9" s="21" t="inlineStr">
        <is>
          <t>statistical_results</t>
        </is>
      </c>
      <c r="F9" s="21" t="inlineStr">
        <is>
          <t>primary_done</t>
        </is>
      </c>
      <c r="G9" s="24">
        <f>IFERROR(IF(LEN(TRIM(CLEAN(SUBSTITUTE(Setup!$B$2,CHAR(160)," "))))=0,"CHECK REVIEWER ID",IF(OR(A9="",COUNTIF($A$2:$A$19,A9)&lt;&gt;1,LEFT(A9,LEN("2025::jama.2025.11178::"))&lt;&gt;"2025::jama.2025.11178::"),"CHECK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t="inlineStr">
        <is>
          <t>confirmed_issue</t>
        </is>
      </c>
      <c r="I9" s="21" t="inlineStr">
        <is>
          <t>substantive</t>
        </is>
      </c>
      <c r="J9" s="22" t="inlineStr">
        <is>
          <t>possible</t>
        </is>
      </c>
      <c r="K9" s="21">
        <f>IF(AND(OR(D9="retain",D9=""),OR(E9="report_internal_inconsistency",E9="plan_material")),"","not_applicable")</f>
        <v/>
      </c>
      <c r="L9" s="22">
        <f>IF(AND(OR(D9="retain",D9=""),E9="protocol_report"),"","not_applicable")</f>
        <v/>
      </c>
      <c r="M9" s="24" t="n"/>
      <c r="N9" s="23" t="n"/>
      <c r="O9" s="23" t="n"/>
      <c r="P9" s="23" t="n"/>
      <c r="Q9" s="23" t="n"/>
      <c r="R9" s="22" t="inlineStr">
        <is>
          <t>Main p9 Table 2: the six HC-vs-PT rows whose RR CI includes 1 (severity 6/12 mo, intensity 3/12 mo, interference 6/12 mo) print finite positive NNT CIs (e.g., 24 (12-186)), implying RD CIs above 0. In the text layer exactly these six use an en dash (U+2013) and all 21 others a hyphen. Reading the en dash as a lost minus (12 to -186) gives RD lower limits of -0.54, -1.32, -1.75, -2.63, -1.49, -1.27 points, matching those implied by the RR CIs (-0.66, -1.44, -1.70, -2.57, -1.48, -1.19) and footnote e. Printed intervals misstate null coverage. Beyond the card, which did not identify the mechanism.</t>
        </is>
      </c>
    </row>
    <row r="10" ht="92" customHeight="1" s="25">
      <c r="A10" s="20" t="inlineStr">
        <is>
          <t>2025::jama.2025.11178::C009</t>
        </is>
      </c>
      <c r="B10" s="20" t="inlineStr">
        <is>
          <t>NNT point outside its confidence interval</t>
        </is>
      </c>
      <c r="C10" s="20" t="inlineStr">
        <is>
          <t>Yes: REPORT main p.9 Table 2 pain intensity 12 months, HC/PT NNT column — jama_debar_2025_oi_250046_1755300121.13587.pdf.</t>
        </is>
      </c>
      <c r="D10" s="21" t="inlineStr">
        <is>
          <t>retain</t>
        </is>
      </c>
      <c r="E10" s="21" t="inlineStr">
        <is>
          <t>statistical_results</t>
        </is>
      </c>
      <c r="F10" s="21" t="inlineStr">
        <is>
          <t>primary_done</t>
        </is>
      </c>
      <c r="G10" s="20">
        <f>IFERROR(IF(LEN(TRIM(CLEAN(SUBSTITUTE(Setup!$B$2,CHAR(160)," "))))=0,"CHECK REVIEWER ID",IF(OR(A10="",COUNTIF($A$2:$A$19,A10)&lt;&gt;1,LEFT(A10,LEN("2025::jama.2025.11178::"))&lt;&gt;"2025::jama.2025.11178::"),"CHECK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t="inlineStr">
        <is>
          <t>confirmed_issue</t>
        </is>
      </c>
      <c r="I10" s="21" t="inlineStr">
        <is>
          <t>substantive</t>
        </is>
      </c>
      <c r="J10" s="22" t="inlineStr">
        <is>
          <t>possible</t>
        </is>
      </c>
      <c r="K10" s="21">
        <f>IF(AND(OR(D10="retain",D10=""),OR(E10="report_internal_inconsistency",E10="plan_material")),"","not_applicable")</f>
        <v/>
      </c>
      <c r="L10" s="22">
        <f>IF(AND(OR(D10="retain",D10=""),E10="protocol_report"),"","not_applicable")</f>
        <v/>
      </c>
      <c r="M10" s="20" t="n"/>
      <c r="N10" s="23" t="n"/>
      <c r="O10" s="23" t="n"/>
      <c r="P10" s="23" t="n"/>
      <c r="Q10" s="23" t="n"/>
      <c r="R10" s="22" t="inlineStr">
        <is>
          <t>Main p9 Table 2, pain intensity 12 mo HC vs PT: NNT 63 (18-38), point outside interval. 1/(33.7 - 32.1) = 62.5, so 63 is correct; RR 1.05 (0.92-1.20) includes 1. Same lost-minus mechanism as C008 (en dash): intended interval 18 to -38, i.e., RD -2.6 to 5.6 points. As printed the interval is impossible and also implies a significant RD.</t>
        </is>
      </c>
    </row>
    <row r="11" ht="92" customHeight="1" s="25">
      <c r="A11" s="24" t="inlineStr">
        <is>
          <t>2025::jama.2025.11178::C010</t>
        </is>
      </c>
      <c r="B11" s="24" t="inlineStr">
        <is>
          <t>SMD points outside printed confidence intervals</t>
        </is>
      </c>
      <c r="C11" s="24" t="inlineStr">
        <is>
          <t>Yes: REPORT main p.10 Table 3 — jama_debar_2025_oi_250046_1755300121.13587.pdf and p.11 PGIC-pain continuation — jama_debar_2025_oi_250046_1755300121.13587.pdf. Every one of the fourteen registered tuples was read directly; all matched the ledger.</t>
        </is>
      </c>
      <c r="D11" s="21" t="inlineStr">
        <is>
          <t>retain</t>
        </is>
      </c>
      <c r="E11" s="21" t="inlineStr">
        <is>
          <t>statistical_results</t>
        </is>
      </c>
      <c r="F11" s="21" t="inlineStr">
        <is>
          <t>primary_done</t>
        </is>
      </c>
      <c r="G11" s="24">
        <f>IFERROR(IF(LEN(TRIM(CLEAN(SUBSTITUTE(Setup!$B$2,CHAR(160)," "))))=0,"CHECK REVIEWER ID",IF(OR(A11="",COUNTIF($A$2:$A$19,A11)&lt;&gt;1,LEFT(A11,LEN("2025::jama.2025.11178::"))&lt;&gt;"2025::jama.2025.11178::"),"CHECK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t="inlineStr">
        <is>
          <t>confirmed_issue</t>
        </is>
      </c>
      <c r="I11" s="21" t="inlineStr">
        <is>
          <t>substantive</t>
        </is>
      </c>
      <c r="J11" s="22" t="inlineStr">
        <is>
          <t>direct</t>
        </is>
      </c>
      <c r="K11" s="21">
        <f>IF(AND(OR(D11="retain",D11=""),OR(E11="report_internal_inconsistency",E11="plan_material")),"","not_applicable")</f>
        <v/>
      </c>
      <c r="L11" s="22">
        <f>IF(AND(OR(D11="retain",D11=""),E11="protocol_report"),"","not_applicable")</f>
        <v/>
      </c>
      <c r="M11" s="24" t="n"/>
      <c r="N11" s="23" t="n"/>
      <c r="O11" s="23" t="n"/>
      <c r="P11" s="23" t="n"/>
      <c r="Q11" s="23" t="n"/>
      <c r="R11" s="22" t="inlineStr">
        <is>
          <t>Main pp10-11 Table 3: I count 14 of 63 SMD points outside their printed 95% CIs (severity 12 mo PT/UC -0.25 (-0.24 to 0.01); physical 6 and 12 mo all three; PGIC pain 12 mo all three; etc.) and 18 intervals with reversed limits (all social and physical rows). Same root problem as C003 (SMD columns do not follow the stated construction). Card agrees.</t>
        </is>
      </c>
    </row>
    <row r="12" ht="92" customHeight="1" s="25">
      <c r="A12" s="20" t="inlineStr">
        <is>
          <t>2025::jama.2025.11178::C011</t>
        </is>
      </c>
      <c r="B12" s="20" t="inlineStr">
        <is>
          <t>Covariate set of restricted primary analyses</t>
        </is>
      </c>
      <c r="C12" s="20" t="inlineStr">
        <is>
          <t>Yes: REPORT results p.4 Adjustment — joi250046supp4_prod_1755300121.15587.pdf, p.7 eTable 2 final imputation/estimation set — joi250046supp4_prod_1755300121.15587.pdf, p.13 Protocol Change Subset Analyses — joi250046supp4_prod_1755300121.15587.pdf, p.14 eTable 8 all three blocks and footnote b — joi250046supp4_prod_1755300121.15587.pdf. Fitted education/employment terms at p.8 — joi250046supp4_prod_1755300121.15587.pdf and p.9 — joi250046supp4_prod_1755300121.15587.pdf were also read as corroboration.</t>
        </is>
      </c>
      <c r="D12" s="21" t="inlineStr">
        <is>
          <t>retain</t>
        </is>
      </c>
      <c r="E12" s="21" t="inlineStr">
        <is>
          <t>statistical_results</t>
        </is>
      </c>
      <c r="F12" s="21" t="inlineStr">
        <is>
          <t>primary_done</t>
        </is>
      </c>
      <c r="G12" s="20">
        <f>IFERROR(IF(LEN(TRIM(CLEAN(SUBSTITUTE(Setup!$B$2,CHAR(160)," "))))=0,"CHECK REVIEWER ID",IF(OR(A12="",COUNTIF($A$2:$A$19,A12)&lt;&gt;1,LEFT(A12,LEN("2025::jama.2025.11178::"))&lt;&gt;"2025::jama.2025.11178::"),"CHECK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t="inlineStr">
        <is>
          <t>probable_issue</t>
        </is>
      </c>
      <c r="I12" s="21" t="inlineStr">
        <is>
          <t>minor_presentation</t>
        </is>
      </c>
      <c r="J12" s="22" t="inlineStr">
        <is>
          <t>unlikely</t>
        </is>
      </c>
      <c r="K12" s="21">
        <f>IF(AND(OR(D12="retain",D12=""),OR(E12="report_internal_inconsistency",E12="plan_material")),"","not_applicable")</f>
        <v/>
      </c>
      <c r="L12" s="22">
        <f>IF(AND(OR(D12="retain",D12=""),E12="protocol_report"),"","not_applicable")</f>
        <v/>
      </c>
      <c r="M12" s="20" t="n"/>
      <c r="N12" s="23" t="n"/>
      <c r="O12" s="23" t="n"/>
      <c r="P12" s="23" t="n"/>
      <c r="Q12" s="23" t="n"/>
      <c r="R12" s="22" t="inlineStr">
        <is>
          <t>Supp4 p13 calls eTable 8 'the primary analysis restricting to subsets'; eTable 2 p7 and eTables 3-4 add education and employment to the primary imputation/estimation models. eTable 8 note b (p14) lists only sex, age, site, rural, multisite, mental health, baseline pain severity (copied from eTable 7, the complete-case analysis). Either the footnote is incomplete or the subset models are not the primary model. Card agrees.</t>
        </is>
      </c>
    </row>
    <row r="13" ht="92" customHeight="1" s="25">
      <c r="A13" s="24" t="inlineStr">
        <is>
          <t>2025::jama.2025.11178::C012</t>
        </is>
      </c>
      <c r="B13" s="24" t="inlineStr">
        <is>
          <t>Final response-weight model predictor membership</t>
        </is>
      </c>
      <c r="C13" s="24" t="inlineStr">
        <is>
          <t>Yes: REPORT results p.4 Adjustment/selection — joi250046supp4_prod_1755300121.15587.pdf, p.5 Non-Response Weighting — joi250046supp4_prod_1755300121.15587.pdf, p.7 eTable 2 final nonresponse predictors — joi250046supp4_prod_1755300121.15587.pdf, p.10 eTable 5 full coefficient display — joi250046supp4_prod_1755300121.15587.pdf; corroborating REPORT workbook — joi250046supp5_prod_1755300121.16087.xlsx, worksheet eTable 3, cells A18, H18, I18, J18.</t>
        </is>
      </c>
      <c r="D13" s="21" t="inlineStr">
        <is>
          <t>retain</t>
        </is>
      </c>
      <c r="E13" s="21" t="inlineStr">
        <is>
          <t>statistical_results</t>
        </is>
      </c>
      <c r="F13" s="21" t="inlineStr">
        <is>
          <t>primary_done</t>
        </is>
      </c>
      <c r="G13" s="24">
        <f>IFERROR(IF(LEN(TRIM(CLEAN(SUBSTITUTE(Setup!$B$2,CHAR(160)," "))))=0,"CHECK REVIEWER ID",IF(OR(A13="",COUNTIF($A$2:$A$19,A13)&lt;&gt;1,LEFT(A13,LEN("2025::jama.2025.11178::"))&lt;&gt;"2025::jama.2025.11178::"),"CHECK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t="inlineStr">
        <is>
          <t>confirmed_issue</t>
        </is>
      </c>
      <c r="I13" s="21" t="inlineStr">
        <is>
          <t>minor_presentation</t>
        </is>
      </c>
      <c r="J13" s="22" t="inlineStr">
        <is>
          <t>unlikely</t>
        </is>
      </c>
      <c r="K13" s="21">
        <f>IF(AND(OR(D13="retain",D13=""),OR(E13="report_internal_inconsistency",E13="plan_material")),"","not_applicable")</f>
        <v/>
      </c>
      <c r="L13" s="22">
        <f>IF(AND(OR(D13="retain",D13=""),E13="protocol_report"),"","not_applicable")</f>
        <v/>
      </c>
      <c r="M13" s="24" t="n"/>
      <c r="N13" s="23" t="n"/>
      <c r="O13" s="23" t="n"/>
      <c r="P13" s="23" t="n"/>
      <c r="Q13" s="23" t="n"/>
      <c r="R13" s="22" t="inlineStr">
        <is>
          <t>Supp4 eTable 2 p7: additional weight-model predictors PEG, PHQ-8, GAD-7, any negative SDOH, education. Fitted weight model eTable 5 p10: PEG, PHQ-8, GAD-7, no negative SDOH, not employed; no education. xlsx eTable 3: education has no non-response P (I12 blank; H12 .0156, J12 .05), employment qualifies (H18 &lt;.001, I18 .0228). eTable 5 matches the stated selection rule; eTable 2 names the wrong variable. Card agrees on the conflict; xlsx resolves which is right.</t>
        </is>
      </c>
    </row>
    <row r="14" ht="92" customHeight="1" s="25">
      <c r="A14" s="20" t="inlineStr">
        <is>
          <t>2025::jama.2025.11178::C013</t>
        </is>
      </c>
      <c r="B14" s="20" t="inlineStr">
        <is>
          <t>Education coding and coefficient attribution</t>
        </is>
      </c>
      <c r="C14" s="20" t="inlineStr">
        <is>
          <t>Yes: REPORT results p.7 eTable 2 final primary predictor list — joi250046supp4_prod_1755300121.15587.pdf, p.8 eTable 3 all three education rows — joi250046supp4_prod_1755300121.15587.pdf, p.9 eTable 4 all three education rows — joi250046supp4_prod_1755300121.15587.pdf; corroborating REPORT workbook — joi250046supp5_prod_1755300121.16087.xlsx, worksheet eTable 3, cells A12:A16.</t>
        </is>
      </c>
      <c r="D14" s="21" t="inlineStr">
        <is>
          <t>retain</t>
        </is>
      </c>
      <c r="E14" s="21" t="inlineStr">
        <is>
          <t>statistical_results</t>
        </is>
      </c>
      <c r="F14" s="21" t="inlineStr">
        <is>
          <t>primary_done</t>
        </is>
      </c>
      <c r="G14" s="20">
        <f>IFERROR(IF(LEN(TRIM(CLEAN(SUBSTITUTE(Setup!$B$2,CHAR(160)," "))))=0,"CHECK REVIEWER ID",IF(OR(A14="",COUNTIF($A$2:$A$19,A14)&lt;&gt;1,LEFT(A14,LEN("2025::jama.2025.11178::"))&lt;&gt;"2025::jama.2025.11178::"),"CHECK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t="inlineStr">
        <is>
          <t>confirmed_issue</t>
        </is>
      </c>
      <c r="I14" s="21" t="inlineStr">
        <is>
          <t>minor_presentation</t>
        </is>
      </c>
      <c r="J14" s="22" t="inlineStr">
        <is>
          <t>unlikely</t>
        </is>
      </c>
      <c r="K14" s="21">
        <f>IF(AND(OR(D14="retain",D14=""),OR(E14="report_internal_inconsistency",E14="plan_material")),"","not_applicable")</f>
        <v/>
      </c>
      <c r="L14" s="22">
        <f>IF(AND(OR(D14="retain",D14=""),E14="protocol_report"),"","not_applicable")</f>
        <v/>
      </c>
      <c r="M14" s="20" t="n"/>
      <c r="N14" s="23" t="n"/>
      <c r="O14" s="23" t="n"/>
      <c r="P14" s="23" t="n"/>
      <c r="Q14" s="23" t="n"/>
      <c r="R14" s="22" t="inlineStr">
        <is>
          <t>Supp4 eTable 2 p7: education selected as binary (any college vs HS or less). eTables 3-4 (pp8-9) show three education coefficients vs HS or less, two labelled 'AA degree' (e.g., eTable 4 RR 0.97 and 1.16). xlsx eTable 3 has four levels (HS or less, Associate's/Technical, College, Doctoral/Postgraduate), consistent with a 4-level term; the second 'AA' row is presumably College degree. Coding description and labels conflict. Card agrees.</t>
        </is>
      </c>
    </row>
    <row r="15" ht="92" customHeight="1" s="25">
      <c r="A15" s="24" t="inlineStr">
        <is>
          <t>2025::jama.2025.11178::C014</t>
        </is>
      </c>
      <c r="B15" s="24" t="inlineStr">
        <is>
          <t>Coefficient CI versus P-value null-significance pattern</t>
        </is>
      </c>
      <c r="C15" s="24" t="inlineStr">
        <is>
          <t>Yes: REPORT results p.8 eTable 3 seven registered rows — joi250046supp4_prod_1755300121.15587.pdf, p.9 eTable 4 age and second AA rows — joi250046supp4_prod_1755300121.15587.pdf, p.10 eTable 5 PEG row — joi250046supp4_prod_1755300121.15587.pdf. Method context was read at results p.4 — joi250046supp4_prod_1755300121.15587.pdf, p.5 — joi250046supp4_prod_1755300121.15587.pdf, and REPORT main p.4 two-sided alpha=.05 — jama_debar_2025_oi_250046_1755300121.13587.pdf.</t>
        </is>
      </c>
      <c r="D15" s="21" t="inlineStr">
        <is>
          <t>retain</t>
        </is>
      </c>
      <c r="E15" s="21" t="inlineStr">
        <is>
          <t>statistical_results</t>
        </is>
      </c>
      <c r="F15" s="21" t="inlineStr">
        <is>
          <t>primary_done</t>
        </is>
      </c>
      <c r="G15" s="24">
        <f>IFERROR(IF(LEN(TRIM(CLEAN(SUBSTITUTE(Setup!$B$2,CHAR(160)," "))))=0,"CHECK REVIEWER ID",IF(OR(A15="",COUNTIF($A$2:$A$19,A15)&lt;&gt;1,LEFT(A15,LEN("2025::jama.2025.11178::"))&lt;&gt;"2025::jama.2025.11178::"),"CHECK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
      </c>
      <c r="H15" s="21" t="inlineStr">
        <is>
          <t>confirmed_issue</t>
        </is>
      </c>
      <c r="I15" s="21" t="inlineStr">
        <is>
          <t>minor_presentation</t>
        </is>
      </c>
      <c r="J15" s="22" t="inlineStr">
        <is>
          <t>unlikely</t>
        </is>
      </c>
      <c r="K15" s="21">
        <f>IF(AND(OR(D15="retain",D15=""),OR(E15="report_internal_inconsistency",E15="plan_material")),"","not_applicable")</f>
        <v/>
      </c>
      <c r="L15" s="22">
        <f>IF(AND(OR(D15="retain",D15=""),E15="protocol_report"),"","not_applicable")</f>
        <v/>
      </c>
      <c r="M15" s="24" t="n"/>
      <c r="N15" s="23" t="n"/>
      <c r="O15" s="23" t="n"/>
      <c r="P15" s="23" t="n"/>
      <c r="Q15" s="23" t="n"/>
      <c r="R15" s="22" t="inlineStr">
        <is>
          <t>Supp4 eTable 3 p8: across all 20 rows with exact P, the z implied by the CI is about 1.94 times the z implied by P (median ratio 1.94); printed P values match what each 'CI' would give if it were est +/- 1 SE (e.g., Pattern 2: 0.151 vs printed .150; Site 3: .070 vs .069). So the eTable 3 intervals are not 95% Wald intervals for the printed P values (likely +/-1 SE intervals, or P from a 1.96-fold SE). The three flagged ratio rows (eTable 4 age and second AA, eTable 5 PEG) reproduce within display rounding. Goes beyond the card on mechanism.</t>
        </is>
      </c>
    </row>
    <row r="16" ht="92" customHeight="1" s="25">
      <c r="A16" s="20" t="inlineStr">
        <is>
          <t>2025::jama.2025.11178::C015</t>
        </is>
      </c>
      <c r="B16" s="20" t="inlineStr">
        <is>
          <t>Within-header three-month subset counts</t>
        </is>
      </c>
      <c r="C16" s="20" t="inlineStr">
        <is>
          <t>Yes: REPORT results p.14 eTable 8 first subgroup header — joi250046supp4_prod_1755300121.15587.pdf; corroborating REPORT p.7 eTable 1 — joi250046supp4_prod_1755300121.15587.pdf, p.13 subset definition — joi250046supp4_prod_1755300121.15587.pdf, and the second/third headers on p.14.</t>
        </is>
      </c>
      <c r="D16" s="21" t="inlineStr">
        <is>
          <t>retain</t>
        </is>
      </c>
      <c r="E16" s="21" t="inlineStr">
        <is>
          <t>statistical_results</t>
        </is>
      </c>
      <c r="F16" s="21" t="inlineStr">
        <is>
          <t>primary_done</t>
        </is>
      </c>
      <c r="G16" s="20">
        <f>IFERROR(IF(LEN(TRIM(CLEAN(SUBSTITUTE(Setup!$B$2,CHAR(160)," "))))=0,"CHECK REVIEWER ID",IF(OR(A16="",COUNTIF($A$2:$A$19,A16)&lt;&gt;1,LEFT(A16,LEN("2025::jama.2025.11178::"))&lt;&gt;"2025::jama.2025.11178::"),"CHECK KEY",IF(OR(AND(NOT(AND(D16="retain",E16="statistical_results")),H16&lt;&gt;"",NOT(EXACT(H16,"not_applicable"))),AND(NOT(AND(D16="retain",E16="statistical_results")),I16&lt;&gt;"",NOT(EXACT(I16,"not_applicable"))),AND(NOT(AND(D16="retain",E16="statistical_results")),J16&lt;&gt;"",NOT(EXACT(J16,"not_applicable"))),AND(NOT(AND(D16="retain",OR(E16="report_internal_inconsistency",E16="plan_material"))),K16&lt;&gt;"",NOT(EXACT(K16,"not_applicable"))),AND(NOT(AND(D16="retain",E16="protocol_report")),L16&lt;&gt;"",NOT(EXACT(L16,"not_applicable")))),"CLEAR INACTIVE VALUES",IF(OR(NOT(OR(EXACT(D16,"retain"),EXACT(D16,"exclude"),EXACT(D16,"discuss"))),NOT(OR(EXACT(E16,"statistical_results"),EXACT(E16,"report_internal_inconsistency"),EXACT(E16,"plan_material"),EXACT(E16,"protocol_report"))),AND(AND(D16="retain",E16="statistical_results"),NOT(OR(EXACT(H16,"confirmed_issue"),EXACT(H16,"probable_issue"),EXACT(H16,"not_issue"),EXACT(H16,"indeterminate")))),AND(AND(D16="retain",E16="statistical_results"),NOT(OR(EXACT(I16,"substantive"),EXACT(I16,"minor_presentation"),EXACT(I16,"indeterminate")))),AND(AND(D16="retain",E16="statistical_results"),J16&lt;&gt;"",NOT(OR(EXACT(J16,"direct"),EXACT(J16,"possible"),EXACT(J16,"unlikely"),EXACT(J16,"unknown")))),AND(AND(D16="retain",OR(E16="report_internal_inconsistency",E16="plan_material")),NOT(OR(EXACT(K16,"substantive_inconsistency"),EXACT(K16,"minor_presentation"),EXACT(K16,"non_inconsistency"),EXACT(K16,"indeterminate")))),AND(AND(D16="retain",E16="protocol_report"),L16&lt;&gt;"",NOT(OR(EXACT(L16,"substantive_difference"),EXACT(L16,"minor_presentation"),EXACT(L16,"version_timing"),EXACT(L16,"non_inconsistency"),EXACT(L16,"indeterminate"))))),"CHECK FIELDS",IF(AND(F16&lt;&gt;"",NOT(OR(EXACT(F16,"no"),EXACT(F16,"primary_done")))),"CHECK COMPLETE",IF(EXACT(F16,"primary_done"),"PRIMARY READY","PRIMARY DRAFT")))))),"CHECK INPUT / KEY")</f>
        <v/>
      </c>
      <c r="H16" s="21" t="inlineStr">
        <is>
          <t>confirmed_issue</t>
        </is>
      </c>
      <c r="I16" s="21" t="inlineStr">
        <is>
          <t>minor_presentation</t>
        </is>
      </c>
      <c r="J16" s="22" t="inlineStr">
        <is>
          <t>unlikely</t>
        </is>
      </c>
      <c r="K16" s="21">
        <f>IF(AND(OR(D16="retain",D16=""),OR(E16="report_internal_inconsistency",E16="plan_material")),"","not_applicable")</f>
        <v/>
      </c>
      <c r="L16" s="22">
        <f>IF(AND(OR(D16="retain",D16=""),E16="protocol_report"),"","not_applicable")</f>
        <v/>
      </c>
      <c r="M16" s="20" t="n"/>
      <c r="N16" s="23" t="n"/>
      <c r="O16" s="23" t="n"/>
      <c r="P16" s="23" t="n"/>
      <c r="Q16" s="23" t="n"/>
      <c r="R16" s="22" t="inlineStr">
        <is>
          <t>Supp4 eTable 8 p14 first header: 'N=454; 366 with at least 1 follow-up; PT=149, HC=153, UC=152 at 3-months'. 149 + 153 + 152 = 454 = N randomized, exceeding 366. These are arm sizes, not 3-month counts; eTable 1 minus the post-enhancement block gives 3-month counts UC 109, PT 94, HC 108 (311). Other two headers are coherent (1487 &lt;= 1670; 858 &lt;= 935). Card agrees.</t>
        </is>
      </c>
    </row>
    <row r="17" ht="92" customHeight="1" s="25">
      <c r="A17" s="24" t="inlineStr">
        <is>
          <t>2025::jama.2025.11178::C016</t>
        </is>
      </c>
      <c r="B17" s="24" t="inlineStr">
        <is>
          <t>Raw-score summary statistic and bounds in eTable 11</t>
        </is>
      </c>
      <c r="C17" s="24" t="inlineStr">
        <is>
          <t>Yes: REPORT results p.15 Additional Unadjusted Data and Analyses — joi250046supp4_prod_1755300121.15587.pdf, p.17 eTable 11 title/header and all 21 rows — joi250046supp4_prod_1755300121.15587.pdf, p.18 note b — joi250046supp4_prod_1755300121.15587.pdf; corroborating REPORT main p.11 PGIC footnotes h/i — jama_debar_2025_oi_250046_1755300121.13587.pdf.</t>
        </is>
      </c>
      <c r="D17" s="21" t="inlineStr">
        <is>
          <t>retain</t>
        </is>
      </c>
      <c r="E17" s="21" t="inlineStr">
        <is>
          <t>statistical_results</t>
        </is>
      </c>
      <c r="F17" s="21" t="inlineStr">
        <is>
          <t>primary_done</t>
        </is>
      </c>
      <c r="G17" s="24">
        <f>IFERROR(IF(LEN(TRIM(CLEAN(SUBSTITUTE(Setup!$B$2,CHAR(160)," "))))=0,"CHECK REVIEWER ID",IF(OR(A17="",COUNTIF($A$2:$A$19,A17)&lt;&gt;1,LEFT(A17,LEN("2025::jama.2025.11178::"))&lt;&gt;"2025::jama.2025.11178::"),"CHECK KEY",IF(OR(AND(NOT(AND(D17="retain",E17="statistical_results")),H17&lt;&gt;"",NOT(EXACT(H17,"not_applicable"))),AND(NOT(AND(D17="retain",E17="statistical_results")),I17&lt;&gt;"",NOT(EXACT(I17,"not_applicable"))),AND(NOT(AND(D17="retain",E17="statistical_results")),J17&lt;&gt;"",NOT(EXACT(J17,"not_applicable"))),AND(NOT(AND(D17="retain",OR(E17="report_internal_inconsistency",E17="plan_material"))),K17&lt;&gt;"",NOT(EXACT(K17,"not_applicable"))),AND(NOT(AND(D17="retain",E17="protocol_report")),L17&lt;&gt;"",NOT(EXACT(L17,"not_applicable")))),"CLEAR INACTIVE VALUES",IF(OR(NOT(OR(EXACT(D17,"retain"),EXACT(D17,"exclude"),EXACT(D17,"discuss"))),NOT(OR(EXACT(E17,"statistical_results"),EXACT(E17,"report_internal_inconsistency"),EXACT(E17,"plan_material"),EXACT(E17,"protocol_report"))),AND(AND(D17="retain",E17="statistical_results"),NOT(OR(EXACT(H17,"confirmed_issue"),EXACT(H17,"probable_issue"),EXACT(H17,"not_issue"),EXACT(H17,"indeterminate")))),AND(AND(D17="retain",E17="statistical_results"),NOT(OR(EXACT(I17,"substantive"),EXACT(I17,"minor_presentation"),EXACT(I17,"indeterminate")))),AND(AND(D17="retain",E17="statistical_results"),J17&lt;&gt;"",NOT(OR(EXACT(J17,"direct"),EXACT(J17,"possible"),EXACT(J17,"unlikely"),EXACT(J17,"unknown")))),AND(AND(D17="retain",OR(E17="report_internal_inconsistency",E17="plan_material")),NOT(OR(EXACT(K17,"substantive_inconsistency"),EXACT(K17,"minor_presentation"),EXACT(K17,"non_inconsistency"),EXACT(K17,"indeterminate")))),AND(AND(D17="retain",E17="protocol_report"),L17&lt;&gt;"",NOT(OR(EXACT(L17,"substantive_difference"),EXACT(L17,"minor_presentation"),EXACT(L17,"version_timing"),EXACT(L17,"non_inconsistency"),EXACT(L17,"indeterminate"))))),"CHECK FIELDS",IF(AND(F17&lt;&gt;"",NOT(OR(EXACT(F17,"no"),EXACT(F17,"primary_done")))),"CHECK COMPLETE",IF(EXACT(F17,"primary_done"),"PRIMARY READY","PRIMARY DRAFT")))))),"CHECK INPUT / KEY")</f>
        <v/>
      </c>
      <c r="H17" s="21" t="inlineStr">
        <is>
          <t>confirmed_issue</t>
        </is>
      </c>
      <c r="I17" s="21" t="inlineStr">
        <is>
          <t>substantive</t>
        </is>
      </c>
      <c r="J17" s="22" t="inlineStr">
        <is>
          <t>direct</t>
        </is>
      </c>
      <c r="K17" s="21">
        <f>IF(AND(OR(D17="retain",D17=""),OR(E17="report_internal_inconsistency",E17="plan_material")),"","not_applicable")</f>
        <v/>
      </c>
      <c r="L17" s="22">
        <f>IF(AND(OR(D17="retain",D17=""),E17="protocol_report"),"","not_applicable")</f>
        <v/>
      </c>
      <c r="M17" s="24" t="n"/>
      <c r="N17" s="23" t="n"/>
      <c r="O17" s="23" t="n"/>
      <c r="P17" s="23" t="n"/>
      <c r="Q17" s="23" t="n"/>
      <c r="R17" s="22" t="inlineStr">
        <is>
          <t>Supp4 p15 calls eTable 11 'unadjusted mean' outcomes; p17 title/header say median (25th, 75th percentile). Most cells (e.g., social role 43.4 (42.8, 44.0)) are far too narrow to be IQRs of T-scores (SD about 7) and behave like means with 95% CIs; two PGIC cells (2.0 (1.0, 3.0); 2.0 (1.0, 2.0)) look like medians/IQRs. Beyond the card: in all 21 rows the three raw columns reproduce the printed MDs only if ordered UC, PT, HC (max deviation &lt;= 0.1), not as labelled PT, HC, UC (deviations 0.6-3.3). Arm labels and statistic type are both wrong.</t>
        </is>
      </c>
    </row>
    <row r="18" ht="92" customHeight="1" s="25">
      <c r="A18" s="20" t="inlineStr">
        <is>
          <t>2025::jama.2025.11178::C017</t>
        </is>
      </c>
      <c r="B18" s="20" t="inlineStr">
        <is>
          <t>Workbook All Observed depression percentage</t>
        </is>
      </c>
      <c r="C18" s="20" t="inlineStr">
        <is>
          <t>Yes: supplied REPORT workbook — joi250046supp5_prod_1755300121.16087.xlsx, worksheet exactly eTable 3, E3, A82, E82, A83, E83, A110. Direct workbook.xml confirms worksheet name and worksheet relationship; direct sheet1.xml/sharedStrings.xml confirms all cells. B82/C82/D82 were also read as count-partition corroboration.</t>
        </is>
      </c>
      <c r="D18" s="21" t="inlineStr">
        <is>
          <t>retain</t>
        </is>
      </c>
      <c r="E18" s="21" t="inlineStr">
        <is>
          <t>statistical_results</t>
        </is>
      </c>
      <c r="F18" s="21" t="inlineStr">
        <is>
          <t>primary_done</t>
        </is>
      </c>
      <c r="G18" s="20">
        <f>IFERROR(IF(LEN(TRIM(CLEAN(SUBSTITUTE(Setup!$B$2,CHAR(160)," "))))=0,"CHECK REVIEWER ID",IF(OR(A18="",COUNTIF($A$2:$A$19,A18)&lt;&gt;1,LEFT(A18,LEN("2025::jama.2025.11178::"))&lt;&gt;"2025::jama.2025.11178::"),"CHECK KEY",IF(OR(AND(NOT(AND(D18="retain",E18="statistical_results")),H18&lt;&gt;"",NOT(EXACT(H18,"not_applicable"))),AND(NOT(AND(D18="retain",E18="statistical_results")),I18&lt;&gt;"",NOT(EXACT(I18,"not_applicable"))),AND(NOT(AND(D18="retain",E18="statistical_results")),J18&lt;&gt;"",NOT(EXACT(J18,"not_applicable"))),AND(NOT(AND(D18="retain",OR(E18="report_internal_inconsistency",E18="plan_material"))),K18&lt;&gt;"",NOT(EXACT(K18,"not_applicable"))),AND(NOT(AND(D18="retain",E18="protocol_report")),L18&lt;&gt;"",NOT(EXACT(L18,"not_applicable")))),"CLEAR INACTIVE VALUES",IF(OR(NOT(OR(EXACT(D18,"retain"),EXACT(D18,"exclude"),EXACT(D18,"discuss"))),NOT(OR(EXACT(E18,"statistical_results"),EXACT(E18,"report_internal_inconsistency"),EXACT(E18,"plan_material"),EXACT(E18,"protocol_report"))),AND(AND(D18="retain",E18="statistical_results"),NOT(OR(EXACT(H18,"confirmed_issue"),EXACT(H18,"probable_issue"),EXACT(H18,"not_issue"),EXACT(H18,"indeterminate")))),AND(AND(D18="retain",E18="statistical_results"),NOT(OR(EXACT(I18,"substantive"),EXACT(I18,"minor_presentation"),EXACT(I18,"indeterminate")))),AND(AND(D18="retain",E18="statistical_results"),J18&lt;&gt;"",NOT(OR(EXACT(J18,"direct"),EXACT(J18,"possible"),EXACT(J18,"unlikely"),EXACT(J18,"unknown")))),AND(AND(D18="retain",OR(E18="report_internal_inconsistency",E18="plan_material")),NOT(OR(EXACT(K18,"substantive_inconsistency"),EXACT(K18,"minor_presentation"),EXACT(K18,"non_inconsistency"),EXACT(K18,"indeterminate")))),AND(AND(D18="retain",E18="protocol_report"),L18&lt;&gt;"",NOT(OR(EXACT(L18,"substantive_difference"),EXACT(L18,"minor_presentation"),EXACT(L18,"version_timing"),EXACT(L18,"non_inconsistency"),EXACT(L18,"indeterminate"))))),"CHECK FIELDS",IF(AND(F18&lt;&gt;"",NOT(OR(EXACT(F18,"no"),EXACT(F18,"primary_done")))),"CHECK COMPLETE",IF(EXACT(F18,"primary_done"),"PRIMARY READY","PRIMARY DRAFT")))))),"CHECK INPUT / KEY")</f>
        <v/>
      </c>
      <c r="H18" s="21" t="inlineStr">
        <is>
          <t>confirmed_issue</t>
        </is>
      </c>
      <c r="I18" s="21" t="inlineStr">
        <is>
          <t>minor_presentation</t>
        </is>
      </c>
      <c r="J18" s="22" t="inlineStr">
        <is>
          <t>unlikely</t>
        </is>
      </c>
      <c r="K18" s="21">
        <f>IF(AND(OR(D18="retain",D18=""),OR(E18="report_internal_inconsistency",E18="plan_material")),"","not_applicable")</f>
        <v/>
      </c>
      <c r="L18" s="22">
        <f>IF(AND(OR(D18="retain",D18=""),E18="protocol_report"),"","not_applicable")</f>
        <v/>
      </c>
      <c r="M18" s="20" t="n"/>
      <c r="N18" s="23" t="n"/>
      <c r="O18" s="23" t="n"/>
      <c r="P18" s="23" t="n"/>
      <c r="Q18" s="23" t="n"/>
      <c r="R18" s="22" t="inlineStr">
        <is>
          <t>Supp5 xlsx sheet eTable 3, E82: 'Current depression (PHQ-8 &gt;=10)' All Observed 711 (73.2); E3 N=1568, E83 missing 2; footnote A110: missing excluded from denominator. 711/1566 = 45.4%. Counts partition correctly (162 + 243 + 711 = 1116 = B82). Percentage wrong; count correct. Card agrees.</t>
        </is>
      </c>
    </row>
    <row r="19" ht="92" customHeight="1" s="25">
      <c r="A19" s="24" t="inlineStr">
        <is>
          <t>2025::jama.2025.11178::C018</t>
        </is>
      </c>
      <c r="B19" s="24" t="inlineStr">
        <is>
          <t>Physical-function omnibus P values and contrast intervals</t>
        </is>
      </c>
      <c r="C19" s="24" t="inlineStr">
        <is>
          <t>Results supplement PDF p17, eTable 11 Physical Functioning 6 months — joi250046supp4_prod_1755300121.15587.pdf (REPORT); Results supplement PDF p17, eTable 11 Physical Functioning 12 months — joi250046supp4_prod_1755300121.15587.pdf (REPORT); Results supplement PDF p17, all other 19 eTable 11 outcome/time rows — joi250046supp4_prod_1755300121.15587.pdf (REPORT, same-display corroboration); Results supplement PDF p18, eTable 11 note b — joi250046supp4_prod_1755300121.15587.pdf (REPORT); Results supplement PDF page 15, Additional Unadjusted Data and Analyses — joi250046supp4_prod_1755300121.15587.pdf (REPORT); Main article PDF p11, Table 3 note c — jama_debar_2025_oi_250046_1755300121.13587.pdf (REPORT, corroboration only); Main article PDF p4, Statistical Analysis — jama_debar_2025_oi_250046_1755300121.13587.pdf (REPORT, corroboration only); The rendered p17 heading is unadjusted between-group mean differences (95%CI), with PT vs UC, HC vs UC and HC vs PT columns and a separately named omnibus P column. No pairwise P value is printed. The comparison does not equate raw medians with fitted means, and does not equate a single pairwise null with the omnibus null</t>
        </is>
      </c>
      <c r="D19" s="21" t="inlineStr">
        <is>
          <t>retain</t>
        </is>
      </c>
      <c r="E19" s="21" t="inlineStr">
        <is>
          <t>statistical_results</t>
        </is>
      </c>
      <c r="F19" s="21" t="inlineStr">
        <is>
          <t>primary_done</t>
        </is>
      </c>
      <c r="G19" s="24">
        <f>IFERROR(IF(LEN(TRIM(CLEAN(SUBSTITUTE(Setup!$B$2,CHAR(160)," "))))=0,"CHECK REVIEWER ID",IF(OR(A19="",COUNTIF($A$2:$A$19,A19)&lt;&gt;1,LEFT(A19,LEN("2025::jama.2025.11178::"))&lt;&gt;"2025::jama.2025.11178::"),"CHECK KEY",IF(OR(AND(NOT(AND(D19="retain",E19="statistical_results")),H19&lt;&gt;"",NOT(EXACT(H19,"not_applicable"))),AND(NOT(AND(D19="retain",E19="statistical_results")),I19&lt;&gt;"",NOT(EXACT(I19,"not_applicable"))),AND(NOT(AND(D19="retain",E19="statistical_results")),J19&lt;&gt;"",NOT(EXACT(J19,"not_applicable"))),AND(NOT(AND(D19="retain",OR(E19="report_internal_inconsistency",E19="plan_material"))),K19&lt;&gt;"",NOT(EXACT(K19,"not_applicable"))),AND(NOT(AND(D19="retain",E19="protocol_report")),L19&lt;&gt;"",NOT(EXACT(L19,"not_applicable")))),"CLEAR INACTIVE VALUES",IF(OR(NOT(OR(EXACT(D19,"retain"),EXACT(D19,"exclude"),EXACT(D19,"discuss"))),NOT(OR(EXACT(E19,"statistical_results"),EXACT(E19,"report_internal_inconsistency"),EXACT(E19,"plan_material"),EXACT(E19,"protocol_report"))),AND(AND(D19="retain",E19="statistical_results"),NOT(OR(EXACT(H19,"confirmed_issue"),EXACT(H19,"probable_issue"),EXACT(H19,"not_issue"),EXACT(H19,"indeterminate")))),AND(AND(D19="retain",E19="statistical_results"),NOT(OR(EXACT(I19,"substantive"),EXACT(I19,"minor_presentation"),EXACT(I19,"indeterminate")))),AND(AND(D19="retain",E19="statistical_results"),J19&lt;&gt;"",NOT(OR(EXACT(J19,"direct"),EXACT(J19,"possible"),EXACT(J19,"unlikely"),EXACT(J19,"unknown")))),AND(AND(D19="retain",OR(E19="report_internal_inconsistency",E19="plan_material")),NOT(OR(EXACT(K19,"substantive_inconsistency"),EXACT(K19,"minor_presentation"),EXACT(K19,"non_inconsistency"),EXACT(K19,"indeterminate")))),AND(AND(D19="retain",E19="protocol_report"),L19&lt;&gt;"",NOT(OR(EXACT(L19,"substantive_difference"),EXACT(L19,"minor_presentation"),EXACT(L19,"version_timing"),EXACT(L19,"non_inconsistency"),EXACT(L19,"indeterminate"))))),"CHECK FIELDS",IF(AND(F19&lt;&gt;"",NOT(OR(EXACT(F19,"no"),EXACT(F19,"primary_done")))),"CHECK COMPLETE",IF(EXACT(F19,"primary_done"),"PRIMARY READY","PRIMARY DRAFT")))))),"CHECK INPUT / KEY")</f>
        <v/>
      </c>
      <c r="H19" s="21" t="inlineStr">
        <is>
          <t>probable_issue</t>
        </is>
      </c>
      <c r="I19" s="21" t="inlineStr">
        <is>
          <t>minor_presentation</t>
        </is>
      </c>
      <c r="J19" s="22" t="inlineStr">
        <is>
          <t>unlikely</t>
        </is>
      </c>
      <c r="K19" s="21">
        <f>IF(AND(OR(D19="retain",D19=""),OR(E19="report_internal_inconsistency",E19="plan_material")),"","not_applicable")</f>
        <v/>
      </c>
      <c r="L19" s="22">
        <f>IF(AND(OR(D19="retain",D19=""),E19="protocol_report"),"","not_applicable")</f>
        <v/>
      </c>
      <c r="M19" s="24" t="n"/>
      <c r="N19" s="23" t="n"/>
      <c r="O19" s="23" t="n"/>
      <c r="P19" s="23" t="n"/>
      <c r="Q19" s="23" t="n"/>
      <c r="R19" s="22" t="inlineStr">
        <is>
          <t>Supp4 eTable 11 p17, physical function: the covariance of the two UC contrasts is identified from the three contrast CIs (Cov = (v1 + v2 - v3)/2), so the 2-df Wald omnibus can be rebuilt without an independence assumption. Reconstructed P = .025 (6 mo; printed .005) and .010 (12 mo; printed .001); over the full rounding box the minimum is about .009 and .003, still above the printed values. 3-month (.18 vs .212) and social role rows reproduce. Both printed and rebuilt P are &lt; .05, so the LSD gate is unchanged. Probable: assumes the omnibus used the same robust covariance as the contrasts. Card agrees.</t>
        </is>
      </c>
    </row>
  </sheetData>
  <autoFilter ref="A1:R19"/>
  <conditionalFormatting sqref="H2:H19">
    <cfRule type="expression" priority="8" dxfId="70">
      <formula>NOT(AND(OR($D2="retain",$D2=""),$E2="statistical_results"))</formula>
    </cfRule>
  </conditionalFormatting>
  <conditionalFormatting sqref="I2:I19">
    <cfRule type="expression" priority="9" dxfId="70">
      <formula>NOT(AND(OR($D2="retain",$D2=""),$E2="statistical_results"))</formula>
    </cfRule>
  </conditionalFormatting>
  <conditionalFormatting sqref="J2:J19">
    <cfRule type="expression" priority="10" dxfId="70">
      <formula>NOT(AND(OR($D2="retain",$D2=""),$E2="statistical_results"))</formula>
    </cfRule>
  </conditionalFormatting>
  <conditionalFormatting sqref="K2:K19">
    <cfRule type="expression" priority="11" dxfId="70">
      <formula>NOT(AND(OR($D2="retain",$D2=""),OR($E2="report_internal_inconsistency",$E2="plan_material")))</formula>
    </cfRule>
  </conditionalFormatting>
  <conditionalFormatting sqref="L2:L19">
    <cfRule type="expression" priority="12" dxfId="70">
      <formula>NOT(AND(OR($D2="retain",$D2=""),$E2="protocol_report"))</formula>
    </cfRule>
  </conditionalFormatting>
  <conditionalFormatting sqref="G2:G19">
    <cfRule type="expression" priority="13" dxfId="71">
      <formula>G2&lt;&gt;"PRIMARY READY"</formula>
    </cfRule>
  </conditionalFormatting>
  <dataValidations count="8">
    <dataValidation sqref="D2:D19" showDropDown="0" showInputMessage="0" showErrorMessage="1" allowBlank="1" errorTitle="Use a listed option" error="Choose an option; G also checks pasted entries." type="list" errorStyle="stop">
      <formula1>"retain,exclude,discuss"</formula1>
    </dataValidation>
    <dataValidation sqref="E2:E19"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9" showDropDown="0" showInputMessage="0" showErrorMessage="1" allowBlank="1" errorTitle="Use a listed option" error="Choose an option; G also checks pasted entries." type="list" errorStyle="stop">
      <formula1>"no,primary_done"</formula1>
    </dataValidation>
    <dataValidation sqref="H2:H19"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9"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9" showDropDown="0" showInputMessage="0" showErrorMessage="1" allowBlank="1" errorTitle="Use a listed option" error="Choose an option; G also checks pasted entries." type="list" errorStyle="stop">
      <formula1>"direct,possible,unlikely,unknown,not_applicable"</formula1>
    </dataValidation>
    <dataValidation sqref="K2:K19"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9"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R7"/>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2025::jama.2025.15185::C001</t>
        </is>
      </c>
      <c r="B2" s="20" t="inlineStr">
        <is>
          <t>PROMIS-29 scalar scoring and direction are not specified</t>
        </is>
      </c>
      <c r="C2" s="20" t="inlineStr">
        <is>
          <t>jama_engelter_2025_oi_250066_1761597796.45511.pdf — p. 3, Secondary Outcomes: domain definition and direction; jama_engelter_2025_oi_250066_1761597796.45511.pdf — p. 6, Secondary Outcomes: single scalar result; joi250066supp3_prod_1761597796.4701.pdf — p. 15, eTable 4, PROMIS 29 row: corroborating scalar and adjusted result; joi250066supp1_prod_1761597796.4601.pdf — p. 70, PROMIS assessment: contextual scale description</t>
        </is>
      </c>
      <c r="D2" s="21" t="inlineStr">
        <is>
          <t>retain</t>
        </is>
      </c>
      <c r="E2" s="21" t="inlineStr">
        <is>
          <t>statistical_results</t>
        </is>
      </c>
      <c r="F2" s="21" t="inlineStr">
        <is>
          <t>primary_done</t>
        </is>
      </c>
      <c r="G2" s="20">
        <f>IFERROR(IF(LEN(TRIM(CLEAN(SUBSTITUTE(Setup!$B$2,CHAR(160)," "))))=0,"CHECK REVIEWER ID",IF(OR(A2="",COUNTIF($A$2:$A$7,A2)&lt;&gt;1,LEFT(A2,LEN("2025::jama.2025.15185::"))&lt;&gt;"2025::jama.2025.15185::"),"CHECK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t="inlineStr">
        <is>
          <t>confirmed_issue</t>
        </is>
      </c>
      <c r="I2" s="21" t="inlineStr">
        <is>
          <t>substantive</t>
        </is>
      </c>
      <c r="J2" s="22" t="inlineStr">
        <is>
          <t>possible</t>
        </is>
      </c>
      <c r="K2" s="21">
        <f>IF(AND(OR(D2="retain",D2=""),OR(E2="report_internal_inconsistency",E2="plan_material")),"","not_applicable")</f>
        <v/>
      </c>
      <c r="L2" s="22">
        <f>IF(AND(OR(D2="retain",D2=""),E2="protocol_report"),"","not_applicable")</f>
        <v/>
      </c>
      <c r="M2" s="20" t="n"/>
      <c r="N2" s="23" t="n"/>
      <c r="O2" s="23" t="n"/>
      <c r="P2" s="23" t="n"/>
      <c r="Q2" s="23" t="n"/>
      <c r="R2" s="22" t="inlineStr">
        <is>
          <t>Main p3: PROMIS-29 has 7 domains (raw 4-20 each), higher scores better in some and worse in others. Main p6 and eTable 4 (supp3 p15) report one PROMIS-29 score (levodopa 66 (14) text, 64.74 (14.33) eTable 4; placebo 65 (14) / 65.11 (13.79)) and MD -0.37 (-3.34 to 2.61). No scoring rule, range or direction for this single score in the article, protocol (p70 v1.4 / OCR) or SAP. A sum of mixed-direction raw domains is not interpretable, and the sign of the MD cannot be read. Text 66 also does not round from 64.74. Card agrees; the text-table mismatch is additional.</t>
        </is>
      </c>
    </row>
    <row r="3" ht="92" customHeight="1" s="25">
      <c r="A3" s="24" t="inlineStr">
        <is>
          <t>2025::jama.2025.15185::C002</t>
        </is>
      </c>
      <c r="B3" s="24" t="inlineStr">
        <is>
          <t>Primary analysis population changes from all randomized participants to survivors</t>
        </is>
      </c>
      <c r="C3" s="24" t="inlineStr">
        <is>
          <t>joi250066supp1_prod_1761597796.4601.pdf — p. 86, §§11.4.1–11.4.2: FAS and primary assignment; joi250066supp1_prod_1761597796.4601.pdf — p. 87, §11.5: missing-data rule; joi250066supp2_prod_1761597796.4701.pdf — p. 4, §3.2 and footnote: deceased participants' contribution; joi250066supp2_prod_1761597796.4701.pdf — p. 6, §4.3: primary/supportive status; joi250066supp2_prod_1761597796.4701.pdf — p. 7, §§4.3.1–4.3.3: primary versus death-inclusive strategy; jama_engelter_2025_oi_250066_1761597796.45511.pdf — p. 4, Statistical Analyses: survivor-primary rule; jama_engelter_2025_oi_250066_1761597796.45511.pdf — p. 5, flow and SAP explanation: participant totals and timing; joi250066supp3_prod_1761597796.4701.pdf — p. 12, population definitions: primary death exclusion; joi250066supp3_prod_1761597796.4701.pdf — p. 13, eTable 2, estimands 1, 3 and 4: primary and death-inclusive results</t>
        </is>
      </c>
      <c r="D3" s="21" t="inlineStr">
        <is>
          <t>retain</t>
        </is>
      </c>
      <c r="E3" s="21" t="inlineStr">
        <is>
          <t>protocol_report</t>
        </is>
      </c>
      <c r="F3" s="21" t="inlineStr">
        <is>
          <t>primary_done</t>
        </is>
      </c>
      <c r="G3" s="24">
        <f>IFERROR(IF(LEN(TRIM(CLEAN(SUBSTITUTE(Setup!$B$2,CHAR(160)," "))))=0,"CHECK REVIEWER ID",IF(OR(A3="",COUNTIF($A$2:$A$7,A3)&lt;&gt;1,LEFT(A3,LEN("2025::jama.2025.15185::"))&lt;&gt;"2025::jama.2025.15185::"),"CHECK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substantive_difference</t>
        </is>
      </c>
      <c r="M3" s="24" t="n"/>
      <c r="N3" s="23" t="n"/>
      <c r="O3" s="23" t="n"/>
      <c r="P3" s="23" t="n"/>
      <c r="Q3" s="23" t="n"/>
      <c r="R3" s="22" t="inlineStr">
        <is>
          <t>Protocol v1.4 (28 Feb 2023) p86 11.4.1: FAS = all randomized, ITT; 11.5: missing data by MI. SAP (signed 27 Sep 2024, after last visit 27 Aug 2024, before database closure 15 Oct 2024) p4 3.2 and footnote: deaths before visit 3 are in the FAS but contribute only to estimand 3 and the composite. Report p4: primary analysis excludes the 28 deaths (11 vs 17); n = 582. Death-inclusive estimands (3, 4, 10) are supportive. Partly disclosed (main p5: SAP differs from protocol in 'statistical terminology'). Card agrees.</t>
        </is>
      </c>
    </row>
    <row r="4" ht="92" customHeight="1" s="25">
      <c r="A4" s="20" t="inlineStr">
        <is>
          <t>2025::jama.2025.15185::C003</t>
        </is>
      </c>
      <c r="B4" s="20" t="inlineStr">
        <is>
          <t>Primary mixed-model terms are absent from the implemented linear model</t>
        </is>
      </c>
      <c r="C4" s="20" t="inlineStr">
        <is>
          <t>joi250066supp1_prod_1761597796.4601.pdf — p. 56, statistical synopsis: final mixed-model summary; joi250066supp1_prod_1761597796.4601.pdf — p. 86, §11.4.2: final primary formula/variance structure; joi250066supp2_prod_1761597796.4701.pdf — p. 10, §5.2: baseline/treatment linear model; jama_engelter_2025_oi_250066_1761597796.45511.pdf — p. 4, Statistical Analyses: reported model; jama_engelter_2025_oi_250066_1761597796.45511.pdf — p. 5, alignment explanation: SAP timing and alignment context; jama_engelter_2025_oi_250066_1761597796.45511.pdf — p. 6, Primary Outcome: affected primary result; joi250066supp5_prod_1761597796.4751.pdf — p. 1, code lines 19–26 and 31–32: explicit implementation and pooling; joi250066supp1_prod_1761597796.4601.pdf — p. 10, earlier synopsis: historical center-term context; joi250066supp1_prod_1761597796.4601.pdf — p. 39, earlier §11.4.2: historical center-term context</t>
        </is>
      </c>
      <c r="D4" s="21" t="inlineStr">
        <is>
          <t>retain</t>
        </is>
      </c>
      <c r="E4" s="21" t="inlineStr">
        <is>
          <t>protocol_report</t>
        </is>
      </c>
      <c r="F4" s="21" t="inlineStr">
        <is>
          <t>primary_done</t>
        </is>
      </c>
      <c r="G4" s="20">
        <f>IFERROR(IF(LEN(TRIM(CLEAN(SUBSTITUTE(Setup!$B$2,CHAR(160)," "))))=0,"CHECK REVIEWER ID",IF(OR(A4="",COUNTIF($A$2:$A$7,A4)&lt;&gt;1,LEFT(A4,LEN("2025::jama.2025.15185::"))&lt;&gt;"2025::jama.2025.15185::"),"CHECK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Protocol v1.4 p56 (synopsis) and p86 11.4.2: mixed model with baseline FMA, treatment and stroke type as fixed effects and a random intercept for center (v1.1 pp10, 39: same without stroke type). SAP p10 5.2, main p4 and code (supp5 lines 22-23: lm(FMA3 ~ baseline + medication), pooled by mice) fit baseline + treatment only. Center (a randomization stratum) and stroke type dropped. Not specifically disclosed. Card agrees.</t>
        </is>
      </c>
    </row>
    <row r="5" ht="92" customHeight="1" s="25">
      <c r="A5" s="24" t="inlineStr">
        <is>
          <t>2025::jama.2025.15185::C004</t>
        </is>
      </c>
      <c r="B5" s="24" t="inlineStr">
        <is>
          <t>Secondary missing-data procedures differ from the SAP rule</t>
        </is>
      </c>
      <c r="C5" s="24" t="inlineStr">
        <is>
          <t>joi250066supp2_prod_1761597796.4701.pdf — p. 5, §4.2: secondary-outcome status; joi250066supp2_prod_1761597796.4701.pdf — p. 11, §6: general imputation rule; jama_engelter_2025_oi_250066_1761597796.45511.pdf — p. 5, secondary methods: reported nonimputation; jama_engelter_2025_oi_250066_1761597796.45511.pdf — p. 6, mRS/PRAI results: affected outcomes; joi250066supp3_prod_1761597796.4701.pdf — p. 7, deviations: mRS death assignment and PRAI exception; joi250066supp3_prod_1761597796.4701.pdf — p. 15, eTable 4: mRS/PRAI results and populations</t>
        </is>
      </c>
      <c r="D5" s="21" t="inlineStr">
        <is>
          <t>retain</t>
        </is>
      </c>
      <c r="E5" s="21" t="inlineStr">
        <is>
          <t>protocol_report</t>
        </is>
      </c>
      <c r="F5" s="21" t="inlineStr">
        <is>
          <t>primary_done</t>
        </is>
      </c>
      <c r="G5" s="24">
        <f>IFERROR(IF(LEN(TRIM(CLEAN(SUBSTITUTE(Setup!$B$2,CHAR(160)," "))))=0,"CHECK REVIEWER ID",IF(OR(A5="",COUNTIF($A$2:$A$7,A5)&lt;&gt;1,LEFT(A5,LEN("2025::jama.2025.15185::"))&lt;&gt;"2025::jama.2025.15185::"),"CHECK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t="inlineStr">
        <is>
          <t>substantive_difference</t>
        </is>
      </c>
      <c r="M5" s="24" t="n"/>
      <c r="N5" s="23" t="n"/>
      <c r="O5" s="23" t="n"/>
      <c r="P5" s="23" t="n"/>
      <c r="Q5" s="23" t="n"/>
      <c r="R5" s="22" t="inlineStr">
        <is>
          <t>SAP p11 section 6: missing secondary outcomes imputed as for the primary (100 MICE imputations); only harm outcomes not imputed. Main p5: mRS and PRAI missing data not imputed; supp3 p7 lists these as SAP deviations (deaths set to mRS 6; PRAI not imputed). eTable 4: mRS n = 596, PRAI n = 546 vs 582 for other secondaries. Disclosed (supp3 p7). Card agrees.</t>
        </is>
      </c>
    </row>
    <row r="6" ht="92" customHeight="1" s="25">
      <c r="A6" s="20" t="inlineStr">
        <is>
          <t>2025::jama.2025.15185::C005</t>
        </is>
      </c>
      <c r="B6" s="20" t="inlineStr">
        <is>
          <t>Planned primary-endpoint supplementary analyses are not identified in the report</t>
        </is>
      </c>
      <c r="C6" s="20" t="inlineStr">
        <is>
          <t>joi250066supp1_prod_1761597796.4601.pdf — p. 86, §§11.4.1 and 11.4.3: primary sensitivities and bounded PP context; joi250066supp2_prod_1761597796.4701.pdf — p. 11, §7: center interaction model; joi250066supp2_prod_1761597796.4701.pdf — p. 12, §7.2: seven-variable subgroup package; joi250066supp2_prod_1761597796.4701.pdf — p. 15, addendum: subgroup directions and median splits; jama_engelter_2025_oi_250066_1761597796.45511.pdf — p. 4, supplementary/post hoc estimands: reported analysis and adherence context; jama_engelter_2025_oi_250066_1761597796.45511.pdf — p. 5, subgroup/center/spline methods: related reported analyses and prespecification statement; jama_engelter_2025_oi_250066_1761597796.45511.pdf — p. 6, primary/sensitivity results: affected primary analysis package; jama_engelter_2025_oi_250066_1761597796.45511.pdf — p. 7, Additional Post Hoc Analyses: baseline analyses; joi250066supp3_prod_1761597796.4701.pdf — p. 1, complete display index: nine eTables and seven eFigures; joi250066supp3_prod_1761597796.4701.pdf — p. 13, eTable 2: eight prespecified estimands; joi250066supp3_prod_1761597796.4701.pdf — p. 14, eTable 3: post hoc estimands; joi250066supp3_prod_1761597796.4701.pdf — p. 18, eTables 7–8: baseline interaction/spline models; joi250066supp3_prod_1761597796.4701.pdf — p. 25, eFigure 5: center graph; joi250066supp3_prod_1761597796.4701.pdf — p. 27, eFigure 7: post hoc forest</t>
        </is>
      </c>
      <c r="D6" s="21" t="inlineStr">
        <is>
          <t>retain</t>
        </is>
      </c>
      <c r="E6" s="21" t="inlineStr">
        <is>
          <t>protocol_report</t>
        </is>
      </c>
      <c r="F6" s="21" t="inlineStr">
        <is>
          <t>primary_done</t>
        </is>
      </c>
      <c r="G6" s="20">
        <f>IFERROR(IF(LEN(TRIM(CLEAN(SUBSTITUTE(Setup!$B$2,CHAR(160)," "))))=0,"CHECK REVIEWER ID",IF(OR(A6="",COUNTIF($A$2:$A$7,A6)&lt;&gt;1,LEFT(A6,LEN("2025::jama.2025.15185::"))&lt;&gt;"2025::jama.2025.15185::"),"CHECK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t="inlineStr">
        <is>
          <t>substantive_difference</t>
        </is>
      </c>
      <c r="M6" s="20" t="n"/>
      <c r="N6" s="23" t="n"/>
      <c r="O6" s="23" t="n"/>
      <c r="P6" s="23" t="n"/>
      <c r="Q6" s="23" t="n"/>
      <c r="R6" s="22" t="inlineStr">
        <is>
          <t>SAP p12 7.2 and addendum pp14-15 (4 Oct 2024): 7 prespecified subgroup interactions (age, sex, distal motor function, cortical dysfunction, SSRI, stroke type, baseline FMA &lt;median vs &gt;=median) in a forest plot; SAP p11: center and treatment-by-center terms in the main model; protocol v1.4 p86 11.4.3: stroke-type interaction and covariate-adjusted sensitivity analyses. None is reported (supp3 index p1; eFigure 7 p27 shows only post hoc PH1-PH3). Report labels the FMA &lt;=35/&gt;35 subgroup and the center plot post hoc, although the plan prespecified a median split (median 34) and the center display. Main p5 says prespecified analyses were performed as outlined. Card agrees.</t>
        </is>
      </c>
    </row>
    <row r="7" ht="92" customHeight="1" s="25">
      <c r="A7" s="24" t="inlineStr">
        <is>
          <t>2025::jama.2025.15185::C006</t>
        </is>
      </c>
      <c r="B7" s="24" t="inlineStr">
        <is>
          <t>Serious-event hierarchy counts do not reconcile with their parent totals</t>
        </is>
      </c>
      <c r="C7" s="24" t="inlineStr">
        <is>
          <t>jama_engelter_2025_oi_250066_1761597796.45511.pdf — p. 6, Table 2, levodopa serious-event parent and all 13 top-level category rows; jama_engelter_2025_oi_250066_1761597796.45511.pdf — p. 6, Table 2, placebo infection parent and all six infection subtype rows; jama_engelter_2025_oi_250066_1761597796.45511.pdf — p. 6, Adverse Events narrative and table notes: corroborating event totals and unit context</t>
        </is>
      </c>
      <c r="D7" s="21" t="inlineStr">
        <is>
          <t>retain</t>
        </is>
      </c>
      <c r="E7" s="21" t="inlineStr">
        <is>
          <t>statistical_results</t>
        </is>
      </c>
      <c r="F7" s="21" t="inlineStr">
        <is>
          <t>primary_done</t>
        </is>
      </c>
      <c r="G7" s="24">
        <f>IFERROR(IF(LEN(TRIM(CLEAN(SUBSTITUTE(Setup!$B$2,CHAR(160)," "))))=0,"CHECK REVIEWER ID",IF(OR(A7="",COUNTIF($A$2:$A$7,A7)&lt;&gt;1,LEFT(A7,LEN("2025::jama.2025.15185::"))&lt;&gt;"2025::jama.2025.15185::"),"CHECK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t="inlineStr">
        <is>
          <t>probable_issue</t>
        </is>
      </c>
      <c r="I7" s="21" t="inlineStr">
        <is>
          <t>minor_presentation</t>
        </is>
      </c>
      <c r="J7" s="22" t="inlineStr">
        <is>
          <t>possible</t>
        </is>
      </c>
      <c r="K7" s="21">
        <f>IF(AND(OR(D7="retain",D7=""),OR(E7="report_internal_inconsistency",E7="plan_material")),"","not_applicable")</f>
        <v/>
      </c>
      <c r="L7" s="22">
        <f>IF(AND(OR(D7="retain",D7=""),E7="protocol_report"),"","not_applicable")</f>
        <v/>
      </c>
      <c r="M7" s="24" t="n"/>
      <c r="N7" s="23" t="n"/>
      <c r="O7" s="23" t="n"/>
      <c r="P7" s="23" t="n"/>
      <c r="Q7" s="23" t="n"/>
      <c r="R7" s="22" t="inlineStr">
        <is>
          <t>Main p6 Table 2 (rendered): levodopa top-level SAE categories sum to 143 vs parent 126; placebo 139 vs 129. Infection subtypes sum to 59 vs 55 (levodopa) and 52 vs 44 (placebo). Stroke (15+1, 18+1) and cardiac (5+5+2, 1+2+0) subtypes reconcile; AEs of interest reconcile (79, 67). No note says an event may count in several categories, and 'Other (none of the above)' implies exclusive coding. Counts are integers, so rounding does not apply; all four comparisons fail, not only the two the card registered.</t>
        </is>
      </c>
    </row>
  </sheetData>
  <autoFilter ref="A1:R7"/>
  <conditionalFormatting sqref="H2:H7">
    <cfRule type="expression" priority="8" dxfId="70">
      <formula>NOT(AND(OR($D2="retain",$D2=""),$E2="statistical_results"))</formula>
    </cfRule>
  </conditionalFormatting>
  <conditionalFormatting sqref="I2:I7">
    <cfRule type="expression" priority="9" dxfId="70">
      <formula>NOT(AND(OR($D2="retain",$D2=""),$E2="statistical_results"))</formula>
    </cfRule>
  </conditionalFormatting>
  <conditionalFormatting sqref="J2:J7">
    <cfRule type="expression" priority="10" dxfId="70">
      <formula>NOT(AND(OR($D2="retain",$D2=""),$E2="statistical_results"))</formula>
    </cfRule>
  </conditionalFormatting>
  <conditionalFormatting sqref="K2:K7">
    <cfRule type="expression" priority="11" dxfId="70">
      <formula>NOT(AND(OR($D2="retain",$D2=""),OR($E2="report_internal_inconsistency",$E2="plan_material")))</formula>
    </cfRule>
  </conditionalFormatting>
  <conditionalFormatting sqref="L2:L7">
    <cfRule type="expression" priority="12" dxfId="70">
      <formula>NOT(AND(OR($D2="retain",$D2=""),$E2="protocol_report"))</formula>
    </cfRule>
  </conditionalFormatting>
  <conditionalFormatting sqref="G2:G7">
    <cfRule type="expression" priority="13" dxfId="71">
      <formula>G2&lt;&gt;"PRIMARY READY"</formula>
    </cfRule>
  </conditionalFormatting>
  <dataValidations count="8">
    <dataValidation sqref="D2:D7" showDropDown="0" showInputMessage="0" showErrorMessage="1" allowBlank="1" errorTitle="Use a listed option" error="Choose an option; G also checks pasted entries." type="list" errorStyle="stop">
      <formula1>"retain,exclude,discuss"</formula1>
    </dataValidation>
    <dataValidation sqref="E2:E7"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7" showDropDown="0" showInputMessage="0" showErrorMessage="1" allowBlank="1" errorTitle="Use a listed option" error="Choose an option; G also checks pasted entries." type="list" errorStyle="stop">
      <formula1>"no,primary_done"</formula1>
    </dataValidation>
    <dataValidation sqref="H2:H7"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7" showDropDown="0" showInputMessage="0" showErrorMessage="1" allowBlank="1" errorTitle="Use a listed option" error="Choose an option; G also checks pasted entries." type="list" errorStyle="stop">
      <formula1>"substantive,minor_presentation,indeterminate,not_applicable"</formula1>
    </dataValidation>
    <dataValidation sqref="J2:J7" showDropDown="0" showInputMessage="0" showErrorMessage="1" allowBlank="1" errorTitle="Use a listed option" error="Choose an option; G also checks pasted entries." type="list" errorStyle="stop">
      <formula1>"direct,possible,unlikely,unknown,not_applicable"</formula1>
    </dataValidation>
    <dataValidation sqref="K2:K7"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7"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R2"/>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2025::jama.2025.15440::C001</t>
        </is>
      </c>
      <c r="B2" s="20" t="inlineStr">
        <is>
          <t>Age-under-75 subgroup power does not reconcile with a reproducing same-table calculation</t>
        </is>
      </c>
      <c r="C2" s="20" t="inlineStr">
        <is>
          <t>joi250068supp1_prod_1760999665.28862.pdf — Protocol, PDF p. 22, Table 4, age &lt;75 row, rightmost “Power for total of 5000, 2p&lt;0.01” cell; all input and other-power comparison cells in the same Table 4. Contextual design support only: joi250068supp1_prod_1760999665.28862.pdf — protocol, PDF p. 20, Table 2, continuity-corrected sample-size heading, and joi250068supp1_prod_1760999665.28862.pdf — protocol, PDF p. 21, Table 3, whole-trial power design.</t>
        </is>
      </c>
      <c r="D2" s="21" t="inlineStr">
        <is>
          <t>retain</t>
        </is>
      </c>
      <c r="E2" s="21" t="inlineStr">
        <is>
          <t>plan_material</t>
        </is>
      </c>
      <c r="F2" s="21" t="inlineStr">
        <is>
          <t>primary_done</t>
        </is>
      </c>
      <c r="G2" s="20">
        <f>IFERROR(IF(LEN(TRIM(CLEAN(SUBSTITUTE(Setup!$B$2,CHAR(160)," "))))=0,"CHECK REVIEWER ID",IF(OR(A2="",COUNTIF($A$2:$A$2,A2)&lt;&gt;1,LEFT(A2,LEN("2025::jama.2025.15440::"))&lt;&gt;"2025::jama.2025.15440::"),"CHECK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t="inlineStr">
        <is>
          <t>minor_presentation</t>
        </is>
      </c>
      <c r="L2" s="22">
        <f>IF(AND(OR(D2="retain",D2=""),E2="protocol_report"),"","not_applicable")</f>
        <v/>
      </c>
      <c r="M2" s="20" t="n"/>
      <c r="N2" s="23" t="n"/>
      <c r="O2" s="23" t="n"/>
      <c r="P2" s="23" t="n"/>
      <c r="Q2" s="23" t="n"/>
      <c r="R2" s="22" t="inlineStr">
        <is>
          <t>Protocol v2.0 Table 4 p22 (OCR and rotated render; text layer garbled): age &lt;75 row (25%, active 2.96%, control 1.18%) prints 34% power at N=5000, 2p&lt;0.01. Inverting the continuity-corrected (Fleiss) sample-size formula gives 28.6%; the same method reproduces the row's other cells (41.8/20.5/52.1 vs 41/20/52) and the 12 sample sizes. The 5000/0.01 column runs 0.5-2 points high in other rows too (e.g., female 72.9 vs 75), so a small method difference may contribute, but the &lt;75 gap (5.4 points) is the largest. Design meaning unchanged (subgroup underpowered either way).</t>
        </is>
      </c>
    </row>
  </sheetData>
  <autoFilter ref="A1:R2"/>
  <conditionalFormatting sqref="H2">
    <cfRule type="expression" priority="8" dxfId="70">
      <formula>NOT(AND(OR($D2="retain",$D2=""),$E2="statistical_results"))</formula>
    </cfRule>
  </conditionalFormatting>
  <conditionalFormatting sqref="I2">
    <cfRule type="expression" priority="9" dxfId="70">
      <formula>NOT(AND(OR($D2="retain",$D2=""),$E2="statistical_results"))</formula>
    </cfRule>
  </conditionalFormatting>
  <conditionalFormatting sqref="J2">
    <cfRule type="expression" priority="10" dxfId="70">
      <formula>NOT(AND(OR($D2="retain",$D2=""),$E2="statistical_results"))</formula>
    </cfRule>
  </conditionalFormatting>
  <conditionalFormatting sqref="K2">
    <cfRule type="expression" priority="11" dxfId="70">
      <formula>NOT(AND(OR($D2="retain",$D2=""),OR($E2="report_internal_inconsistency",$E2="plan_material")))</formula>
    </cfRule>
  </conditionalFormatting>
  <conditionalFormatting sqref="L2">
    <cfRule type="expression" priority="12" dxfId="70">
      <formula>NOT(AND(OR($D2="retain",$D2=""),$E2="protocol_report"))</formula>
    </cfRule>
  </conditionalFormatting>
  <conditionalFormatting sqref="G2">
    <cfRule type="expression" priority="13" dxfId="71">
      <formula>G2&lt;&gt;"PRIMARY READY"</formula>
    </cfRule>
  </conditionalFormatting>
  <dataValidations count="8">
    <dataValidation sqref="D2" showDropDown="0" showInputMessage="0" showErrorMessage="1" allowBlank="1" errorTitle="Use a listed option" error="Choose an option; G also checks pasted entries." type="list" errorStyle="stop">
      <formula1>"retain,exclude,discuss"</formula1>
    </dataValidation>
    <dataValidation sqref="E2"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 showDropDown="0" showInputMessage="0" showErrorMessage="1" allowBlank="1" errorTitle="Use a listed option" error="Choose an option; G also checks pasted entries." type="list" errorStyle="stop">
      <formula1>"no,primary_done"</formula1>
    </dataValidation>
    <dataValidation sqref="H2"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 showDropDown="0" showInputMessage="0" showErrorMessage="1" allowBlank="1" errorTitle="Use a listed option" error="Choose an option; G also checks pasted entries." type="list" errorStyle="stop">
      <formula1>"substantive,minor_presentation,indeterminate,not_applicable"</formula1>
    </dataValidation>
    <dataValidation sqref="J2" showDropDown="0" showInputMessage="0" showErrorMessage="1" allowBlank="1" errorTitle="Use a listed option" error="Choose an option; G also checks pasted entries." type="list" errorStyle="stop">
      <formula1>"direct,possible,unlikely,unknown,not_applicable"</formula1>
    </dataValidation>
    <dataValidation sqref="K2"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R7"/>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2025::jama.2025.16450::C001</t>
        </is>
      </c>
      <c r="B2" s="20" t="inlineStr">
        <is>
          <t>Moderate-hyperglycemia qualification pathway differs across report and plan descriptions</t>
        </is>
      </c>
      <c r="C2" s="20" t="inlineStr">
        <is>
          <t>jama_ambalavanan_2025_oi_250072_1761000786.6838.pdf — Main PDF p. 1, abstract; jama_ambalavanan_2025_oi_250072_1761000786.6838.pdf — main PDF p. 3, Outcomes; jama_ambalavanan_2025_oi_250072_1761000786.6838.pdf — main PDF p. 6, Safety Outcomes; joi250072supp4_prod_1761000786.6988.pdf — results PDF p. 5, eTable 3 hyperglycemia; joi250072supp2_prod_1761000786.6938.pdf — manual PDF p. 39, moderate, severe and life-threatening hyperglycemia narrative; joi250072supp2_prod_1761000786.6938.pdf — manual PDF p. 59, Appendix A hyperglycemia row; joi250072supp3_prod_1761000786.6988.pdf — SAP PDF p. 11, §3.2.4.1.</t>
        </is>
      </c>
      <c r="D2" s="21" t="inlineStr">
        <is>
          <t>retain</t>
        </is>
      </c>
      <c r="E2" s="21" t="inlineStr">
        <is>
          <t>protocol_report</t>
        </is>
      </c>
      <c r="F2" s="21" t="inlineStr">
        <is>
          <t>primary_done</t>
        </is>
      </c>
      <c r="G2" s="20">
        <f>IFERROR(IF(LEN(TRIM(CLEAN(SUBSTITUTE(Setup!$B$2,CHAR(160)," "))))=0,"CHECK REVIEWER ID",IF(OR(A2="",COUNTIF($A$2:$A$7,A2)&lt;&gt;1,LEFT(A2,LEN("2025::jama.2025.16450::"))&lt;&gt;"2025::jama.2025.16450::"),"CHECK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substantive_difference</t>
        </is>
      </c>
      <c r="M2" s="20" t="n"/>
      <c r="N2" s="23" t="n"/>
      <c r="O2" s="23" t="n"/>
      <c r="P2" s="23" t="n"/>
      <c r="Q2" s="23" t="n"/>
      <c r="R2" s="22" t="inlineStr">
        <is>
          <t>Moderate hyperglycemia: article p3 and Manual ch.7 p39 = 120-180 mg/dL on 2 consecutive determinations &gt;=6 h apart OR &gt;2 determinations within 24 h with no intervening normal value. SAP §3.2.4.1 p11 = 120-180 on two determinations &gt;=6 h apart (no second pathway); Manual Appendix A toxicity table p59 = 2 consecutive determinations &gt;=6 h apart (no second pathway). Article p3 also defines severe as simply &gt;180 mg/dL, whereas SAP/manual require 2 determinations or insulin. Definition behind the main safety finding (66.7% vs 49.8%, RR 1.33) differs from the SAP.</t>
        </is>
      </c>
    </row>
    <row r="3" ht="92" customHeight="1" s="25">
      <c r="A3" s="24" t="inlineStr">
        <is>
          <t>2025::jama.2025.16450::C002</t>
        </is>
      </c>
      <c r="B3" s="24" t="inlineStr">
        <is>
          <t>Reported BPD-severity contrasts differ from the planned ordinal model</t>
        </is>
      </c>
      <c r="C3" s="24" t="inlineStr">
        <is>
          <t>jama_ambalavanan_2025_oi_250072_1761000786.6838.pdf — Main PDF p. 3, secondary/exploratory BPD outcomes; jama_ambalavanan_2025_oi_250072_1761000786.6838.pdf — main PDF p. 8, Table 3 severity rows and footnote a; joi250072supp1_prod_1761000786.68881.pdf — protocol PDF p. 21, ordered severity outcomes; joi250072supp1_prod_1761000786.68881.pdf — protocol PDF p. 25, §5.1; joi250072supp3_prod_1761000786.6988.pdf — SAP PDF p. 32, pragmatic ordinal outcome; joi250072supp3_prod_1761000786.6988.pdf — SAP PDF p. 33, pragmatic coding; joi250072supp3_prod_1761000786.6988.pdf — SAP PDF p. 34, NIH ordinal outcome; joi250072supp3_prod_1761000786.6988.pdf — SAP PDF p. 35, NIH coding; joi250072supp3_prod_1761000786.6988.pdf — SAP PDF p. 39, §9.5.</t>
        </is>
      </c>
      <c r="D3" s="21" t="inlineStr">
        <is>
          <t>retain</t>
        </is>
      </c>
      <c r="E3" s="21" t="inlineStr">
        <is>
          <t>protocol_report</t>
        </is>
      </c>
      <c r="F3" s="21" t="inlineStr">
        <is>
          <t>primary_done</t>
        </is>
      </c>
      <c r="G3" s="24">
        <f>IFERROR(IF(LEN(TRIM(CLEAN(SUBSTITUTE(Setup!$B$2,CHAR(160)," "))))=0,"CHECK REVIEWER ID",IF(OR(A3="",COUNTIF($A$2:$A$7,A3)&lt;&gt;1,LEFT(A3,LEN("2025::jama.2025.16450::"))&lt;&gt;"2025::jama.2025.16450::"),"CHECK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substantive_difference</t>
        </is>
      </c>
      <c r="M3" s="24" t="n"/>
      <c r="N3" s="23" t="n"/>
      <c r="O3" s="23" t="n"/>
      <c r="P3" s="23" t="n"/>
      <c r="Q3" s="23" t="n"/>
      <c r="R3" s="22" t="inlineStr">
        <is>
          <t>Protocol §5.1 p25 and SAP §9.5 p39: ordinal outcomes (BPD severity explicitly) by proportional odds models, with partial proportional odds or Mantel-Haenszel mean score test if PO fails; generalized logit reserved for nominal outcomes. Article Table 3 p8 footnote a: BPD severity (pragmatic and NIH) analyzed by generalized logit, category-vs-no-BPD ORs. No statement that PO assumption failed. Not disclosed as a change.</t>
        </is>
      </c>
    </row>
    <row r="4" ht="92" customHeight="1" s="25">
      <c r="A4" s="20" t="inlineStr">
        <is>
          <t>2025::jama.2025.16450::C003</t>
        </is>
      </c>
      <c r="B4" s="20" t="inlineStr">
        <is>
          <t>Prespecified primary-analysis outputs are absent or displayed with different definitions</t>
        </is>
      </c>
      <c r="C4" s="20" t="inlineStr">
        <is>
          <t>joi250072supp1_prod_1761000786.68881.pdf — Protocol PDF p. 25, §5.1 treatment-received analyses; joi250072supp3_prod_1761000786.6988.pdf — SAP PDF p. 22, §5 population definitions; joi250072supp3_prod_1761000786.6988.pdf — SAP PDF p. 29, §7.7 interactions; joi250072supp3_prod_1761000786.6988.pdf — SAP PDF p. 36, §9.3 response coding; joi250072supp3_prod_1761000786.6988.pdf — SAP PDF p. 37, coding and sample model; joi250072supp3_prod_1761000786.6988.pdf — SAP PDF p. 38, §§9.4.1–9.4.2; jama_ambalavanan_2025_oi_250072_1761000786.6838.pdf — main PDF p. 3, statistical analysis; jama_ambalavanan_2025_oi_250072_1761000786.6838.pdf — main PDF p. 4, Figure 1 and footnotes f/j; jama_ambalavanan_2025_oi_250072_1761000786.6838.pdf — main PDF p. 7, Table 2 and sensitivity/subgroup text; jama_ambalavanan_2025_oi_250072_1761000786.6838.pdf — main PDF p. 9, Figure 2, caption and footnote a; joi250072supp4_prod_1761000786.6988.pdf — results PDF p. 2, eTable 1. The absence comparison covers all main PDF pages 1–11 and all results PDF pages 1–16, including all eight supplementary tables, rather than only these displayed anchors.</t>
        </is>
      </c>
      <c r="D4" s="21" t="inlineStr">
        <is>
          <t>retain</t>
        </is>
      </c>
      <c r="E4" s="21" t="inlineStr">
        <is>
          <t>protocol_report</t>
        </is>
      </c>
      <c r="F4" s="21" t="inlineStr">
        <is>
          <t>primary_done</t>
        </is>
      </c>
      <c r="G4" s="20">
        <f>IFERROR(IF(LEN(TRIM(CLEAN(SUBSTITUTE(Setup!$B$2,CHAR(160)," "))))=0,"CHECK REVIEWER ID",IF(OR(A4="",COUNTIF($A$2:$A$7,A4)&lt;&gt;1,LEFT(A4,LEN("2025::jama.2025.16450::"))&lt;&gt;"2025::jama.2025.16450::"),"CHECK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SAP §9.4.1 p38: primary analysis replicated in mITT, PP and SAF (as-treated); §9.4.2: model adding baseline BPD predictors (birth weight, sex, race/ethnicity) and imbalanced covariates; §7.7 p29: interactions of treatment with site/center, randomization GA stratum, race, sex in the primary robust Poisson model; protocol §5.1 p25: prespecified analyses by treatment received. Article Table 2 p7 reports ITT, ITT-excluding-untreated and PP only, all by randomized arm; no SAF or covariate-adjusted model; Figure 2 p9 models survival without BPD (favorable outcome) using actual GA, no site interaction.</t>
        </is>
      </c>
    </row>
    <row r="5" ht="92" customHeight="1" s="25">
      <c r="A5" s="24" t="inlineStr">
        <is>
          <t>2025::jama.2025.16450::C004</t>
        </is>
      </c>
      <c r="B5" s="24" t="inlineStr">
        <is>
          <t>Historical Grade 3 BPD count and percentage do not reconcile in one protocol cell</t>
        </is>
      </c>
      <c r="C5" s="24" t="inlineStr">
        <is>
          <t>joi250072supp1_prod_1761000786.68881.pdf — Protocol PDF p. 12, Table 2, NICHD BPD Workshop Grading 2018: Grade 3 surfactant cell, combination comparator, Grade 3-or-death, Death, No BPD, Grade 1 and Grade 2.</t>
        </is>
      </c>
      <c r="D5" s="21" t="inlineStr">
        <is>
          <t>exclude</t>
        </is>
      </c>
      <c r="E5" s="21" t="inlineStr">
        <is>
          <t>plan_material</t>
        </is>
      </c>
      <c r="F5" s="21" t="inlineStr">
        <is>
          <t>primary_done</t>
        </is>
      </c>
      <c r="G5" s="24">
        <f>IFERROR(IF(LEN(TRIM(CLEAN(SUBSTITUTE(Setup!$B$2,CHAR(160)," "))))=0,"CHECK REVIEWER ID",IF(OR(A5="",COUNTIF($A$2:$A$7,A5)&lt;&gt;1,LEFT(A5,LEN("2025::jama.2025.16450::"))&lt;&gt;"2025::jama.2025.16450::"),"CHECK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inlineStr">
        <is>
          <t>Protocol Table 2 p12 (historical cohort data in the background): surfactant Grade 3 printed '20% (31/294)'; 31/294 = 10.5%. Grade 3 or death 91/294 minus deaths 31 = 60, and 60/294 = 20.4%, and 85+41+77+60+31 = 294, so the numerator is a typo for 60. Real slip, but it is in historical background data, not a design element of this trial (sample size uses NRN GDB rates, p25-26), so excluded.</t>
        </is>
      </c>
    </row>
    <row r="6" ht="92" customHeight="1" s="25">
      <c r="A6" s="20" t="inlineStr">
        <is>
          <t>2025::jama.2025.16450::C005</t>
        </is>
      </c>
      <c r="B6" s="20" t="inlineStr">
        <is>
          <t>One nasal-cannula factor cell differs from the reproducible table relationship</t>
        </is>
      </c>
      <c r="C6" s="20" t="inlineStr">
        <is>
          <t>joi250072supp2_prod_1761000786.6938.pdf — Manual PDF p. 152, Appendix J Table 1: 0.125 LPM/1⁄8 LPM by 2.5 kg cell, all other 143 factor cells and nearest-input instructions; joi250072supp2_prod_1761000786.6938.pdf — manual PDF p. 154, Table 2: factor 4 and factor 5 at 100% oxygen.</t>
        </is>
      </c>
      <c r="D6" s="21" t="inlineStr">
        <is>
          <t>retain</t>
        </is>
      </c>
      <c r="E6" s="21" t="inlineStr">
        <is>
          <t>plan_material</t>
        </is>
      </c>
      <c r="F6" s="21" t="inlineStr">
        <is>
          <t>primary_done</t>
        </is>
      </c>
      <c r="G6" s="20">
        <f>IFERROR(IF(LEN(TRIM(CLEAN(SUBSTITUTE(Setup!$B$2,CHAR(160)," "))))=0,"CHECK REVIEWER ID",IF(OR(A6="",COUNTIF($A$2:$A$7,A6)&lt;&gt;1,LEFT(A6,LEN("2025::jama.2025.16450::"))&lt;&gt;"2025::jama.2025.16450::"),"CHECK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t="inlineStr">
        <is>
          <t>minor_presentation</t>
        </is>
      </c>
      <c r="L6" s="22">
        <f>IF(AND(OR(D6="retain",D6=""),E6="protocol_report"),"","not_applicable")</f>
        <v/>
      </c>
      <c r="M6" s="20" t="n"/>
      <c r="N6" s="23" t="n"/>
      <c r="O6" s="23" t="n"/>
      <c r="P6" s="23" t="n"/>
      <c r="Q6" s="23" t="n"/>
      <c r="R6" s="22" t="inlineStr">
        <is>
          <t>GDB Manual Appendix J Table 1 p152 (rendered and checked): factor = min(100, 100 x flow/weight) reproduces the table except in the 0.125 LPM row: 2.5 kg printed 4 (computed 5.0) and 4 kg printed 4 (computed 3.1); 1.0 kg prints 12 for 12.5. Table 2 p154 gives effective FiO2 24% vs 25% at 100% O2 for factor 4 vs 5. Real slip in the conversion table used to define physiologic BPD, but both affected values sit far below the 27-30% thresholds, so classification is unaffected.</t>
        </is>
      </c>
    </row>
    <row r="7" ht="92" customHeight="1" s="25">
      <c r="A7" s="24" t="inlineStr">
        <is>
          <t>2025::jama.2025.16450::C006</t>
        </is>
      </c>
      <c r="B7" s="24" t="inlineStr">
        <is>
          <t>Sparse intervals described as exact reproduce a log-Wald pattern</t>
        </is>
      </c>
      <c r="C7" s="24" t="inlineStr">
        <is>
          <t>joi250072supp4_prod_1761000786.6988.pdf — Results PDF p. 5, eTable 3: AE endotracheal tube blockage, AE prolonged hypoxemia/bradycardia, SAE endotracheal tube blockage, SAE prolonged hypoxemia/bradycardia; joi250072supp4_prod_1761000786.6988.pdf — results PDF p. 6, eTable 3: SAE hyperglycemia, early-onset sepsis, late-onset sepsis and footnote b; joi250072supp4_prod_1761000786.6988.pdf — results PDF p. 7, eTable 4: PDA managed with surgery/cardiac catheterization; joi250072supp4_prod_1761000786.6988.pdf — results PDF p. 8, eTable 4 footnote b and nonmissing-denominator definition.</t>
        </is>
      </c>
      <c r="D7" s="21" t="inlineStr">
        <is>
          <t>retain</t>
        </is>
      </c>
      <c r="E7" s="21" t="inlineStr">
        <is>
          <t>statistical_results</t>
        </is>
      </c>
      <c r="F7" s="21" t="inlineStr">
        <is>
          <t>primary_done</t>
        </is>
      </c>
      <c r="G7" s="24">
        <f>IFERROR(IF(LEN(TRIM(CLEAN(SUBSTITUTE(Setup!$B$2,CHAR(160)," "))))=0,"CHECK REVIEWER ID",IF(OR(A7="",COUNTIF($A$2:$A$7,A7)&lt;&gt;1,LEFT(A7,LEN("2025::jama.2025.16450::"))&lt;&gt;"2025::jama.2025.16450::"),"CHECK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t="inlineStr">
        <is>
          <t>confirmed_issue</t>
        </is>
      </c>
      <c r="I7" s="21" t="inlineStr">
        <is>
          <t>minor_presentation</t>
        </is>
      </c>
      <c r="J7" s="22" t="inlineStr">
        <is>
          <t>possible</t>
        </is>
      </c>
      <c r="K7" s="21">
        <f>IF(AND(OR(D7="retain",D7=""),OR(E7="report_internal_inconsistency",E7="plan_material")),"","not_applicable")</f>
        <v/>
      </c>
      <c r="L7" s="22">
        <f>IF(AND(OR(D7="retain",D7=""),E7="protocol_report"),"","not_applicable")</f>
        <v/>
      </c>
      <c r="M7" s="24" t="n"/>
      <c r="N7" s="23" t="n"/>
      <c r="O7" s="23" t="n"/>
      <c r="P7" s="23" t="n"/>
      <c r="Q7" s="23" t="n"/>
      <c r="R7" s="22" t="inlineStr">
        <is>
          <t>eTable 3 p5-6 and eTable 4 p7-8 footnote b: crude ORs 'with exact 95% CIs'. All 8 marked rows reproduce log-Wald intervals, not exact (Fisher conditional) ones: e.g., PDA surgery 5/319 vs 3/308: printed 1.62 (0.38-6.83); Wald 0.384-6.833; exact 0.312-10.51. SAE ETT 1 vs 1: printed 0.06-15.66; Wald 0.061-15.61; exact 0.012-76.5. Method label wrong; intervals narrower than exact. All include 1, so no inference changes.</t>
        </is>
      </c>
    </row>
  </sheetData>
  <autoFilter ref="A1:R7"/>
  <conditionalFormatting sqref="H2:H7">
    <cfRule type="expression" priority="8" dxfId="70">
      <formula>NOT(AND(OR($D2="retain",$D2=""),$E2="statistical_results"))</formula>
    </cfRule>
  </conditionalFormatting>
  <conditionalFormatting sqref="I2:I7">
    <cfRule type="expression" priority="9" dxfId="70">
      <formula>NOT(AND(OR($D2="retain",$D2=""),$E2="statistical_results"))</formula>
    </cfRule>
  </conditionalFormatting>
  <conditionalFormatting sqref="J2:J7">
    <cfRule type="expression" priority="10" dxfId="70">
      <formula>NOT(AND(OR($D2="retain",$D2=""),$E2="statistical_results"))</formula>
    </cfRule>
  </conditionalFormatting>
  <conditionalFormatting sqref="K2:K7">
    <cfRule type="expression" priority="11" dxfId="70">
      <formula>NOT(AND(OR($D2="retain",$D2=""),OR($E2="report_internal_inconsistency",$E2="plan_material")))</formula>
    </cfRule>
  </conditionalFormatting>
  <conditionalFormatting sqref="L2:L7">
    <cfRule type="expression" priority="12" dxfId="70">
      <formula>NOT(AND(OR($D2="retain",$D2=""),$E2="protocol_report"))</formula>
    </cfRule>
  </conditionalFormatting>
  <conditionalFormatting sqref="G2:G7">
    <cfRule type="expression" priority="13" dxfId="71">
      <formula>G2&lt;&gt;"PRIMARY READY"</formula>
    </cfRule>
  </conditionalFormatting>
  <dataValidations count="8">
    <dataValidation sqref="D2:D7" showDropDown="0" showInputMessage="0" showErrorMessage="1" allowBlank="1" errorTitle="Use a listed option" error="Choose an option; G also checks pasted entries." type="list" errorStyle="stop">
      <formula1>"retain,exclude,discuss"</formula1>
    </dataValidation>
    <dataValidation sqref="E2:E7"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7" showDropDown="0" showInputMessage="0" showErrorMessage="1" allowBlank="1" errorTitle="Use a listed option" error="Choose an option; G also checks pasted entries." type="list" errorStyle="stop">
      <formula1>"no,primary_done"</formula1>
    </dataValidation>
    <dataValidation sqref="H2:H7"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7" showDropDown="0" showInputMessage="0" showErrorMessage="1" allowBlank="1" errorTitle="Use a listed option" error="Choose an option; G also checks pasted entries." type="list" errorStyle="stop">
      <formula1>"substantive,minor_presentation,indeterminate,not_applicable"</formula1>
    </dataValidation>
    <dataValidation sqref="J2:J7" showDropDown="0" showInputMessage="0" showErrorMessage="1" allowBlank="1" errorTitle="Use a listed option" error="Choose an option; G also checks pasted entries." type="list" errorStyle="stop">
      <formula1>"direct,possible,unlikely,unknown,not_applicable"</formula1>
    </dataValidation>
    <dataValidation sqref="K2:K7"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7"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R14"/>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2025::jama.2025.19563::C001</t>
        </is>
      </c>
      <c r="B2" s="20" t="inlineStr">
        <is>
          <t>Added diabetes-range HbA1c primary-composite disqualifier</t>
        </is>
      </c>
      <c r="C2" s="20" t="inlineStr">
        <is>
          <t>joi250084supp1_prod_1765403089.61351.pdf — DOC-002 p6 synopsis; joi250084supp1_prod_1765403089.61351.pdf — p15 §3.2; joi250084supp1_prod_1765403089.61351.pdf — p86 incident-diabetes SAP-change row; jama_mathioudakis_2025_oi_250084_1765403089.60451.pdf — main p3 Outcomes; jama_mathioudakis_2025_oi_250084_1765403089.60451.pdf — p4 Primary Analysis; joi250084supp2_prod_1765403089.61751.pdf — DOC-003 p29 eTable13 method begins; joi250084supp2_prod_1765403089.61751.pdf — p30 method continuation; joi250084supp2_prod_1765403089.61751.pdf — p56 eTable13</t>
        </is>
      </c>
      <c r="D2" s="21" t="inlineStr">
        <is>
          <t>retain</t>
        </is>
      </c>
      <c r="E2" s="21" t="inlineStr">
        <is>
          <t>protocol_report</t>
        </is>
      </c>
      <c r="F2" s="21" t="inlineStr">
        <is>
          <t>primary_done</t>
        </is>
      </c>
      <c r="G2" s="20">
        <f>IFERROR(IF(LEN(TRIM(CLEAN(SUBSTITUTE(Setup!$B$2,CHAR(160)," "))))=0,"CHECK REVIEWER ID",IF(OR(A2="",COUNTIF($A$2:$A$14,A2)&lt;&gt;1,LEFT(A2,LEN("2025::jama.2025.19563::"))&lt;&gt;"2025::jama.2025.19563::"),"CHECK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substantive_difference</t>
        </is>
      </c>
      <c r="M2" s="20" t="n"/>
      <c r="N2" s="23" t="n"/>
      <c r="O2" s="23" t="n"/>
      <c r="P2" s="23" t="n"/>
      <c r="Q2" s="23" t="n"/>
      <c r="R2" s="22" t="inlineStr">
        <is>
          <t>Protocol synopsis p6 and §3.2 p15: primary endpoint = any of &gt;=5% weight loss, &gt;=4% weight loss + &gt;=150 min/wk PA, or &gt;=0.2% HbA1c reduction. Article p1/p3/p4: composite additionally requires maintaining HbA1c &lt;6.5% throughout. Disclosed in the 'Summary of Changes to SAP' (supp1 p86: incident diabetes 'was not prespecified' as failure) and eTable 13 (15 participants with diabetes-range HbA1c). The article presents it as the primary outcome without labeling the added condition as post hoc.</t>
        </is>
      </c>
    </row>
    <row r="3" ht="92" customHeight="1" s="25">
      <c r="A3" s="24" t="inlineStr">
        <is>
          <t>2025::jama.2025.19563::C002</t>
        </is>
      </c>
      <c r="B3" s="24" t="inlineStr">
        <is>
          <t>Primary PA window and endpoint-specific mapping</t>
        </is>
      </c>
      <c r="C3" s="24" t="inlineStr">
        <is>
          <t>joi250084supp1_prod_1765403089.61351.pdf — DOC-002 p6 synopsis; joi250084supp1_prod_1765403089.61351.pdf — p15 §3.2; joi250084supp1_prod_1765403089.61351.pdf — p80 version 1.4 amendment begins; joi250084supp1_prod_1765403089.61351.pdf — p81 continuation; jama_mathioudakis_2025_oi_250084_1765403089.60451.pdf — main p3 primary branch; jama_mathioudakis_2025_oi_250084_1765403089.60451.pdf — p7 Figure2; joi250084supp2_prod_1765403089.61751.pdf — DOC-003 p13 Aggregation; joi250084supp2_prod_1765403089.61751.pdf — p49 postbaseline assessments</t>
        </is>
      </c>
      <c r="D3" s="21" t="inlineStr">
        <is>
          <t>retain</t>
        </is>
      </c>
      <c r="E3" s="21" t="inlineStr">
        <is>
          <t>protocol_report</t>
        </is>
      </c>
      <c r="F3" s="21" t="inlineStr">
        <is>
          <t>primary_done</t>
        </is>
      </c>
      <c r="G3" s="24">
        <f>IFERROR(IF(LEN(TRIM(CLEAN(SUBSTITUTE(Setup!$B$2,CHAR(160)," "))))=0,"CHECK REVIEWER ID",IF(OR(A3="",COUNTIF($A$2:$A$14,A3)&lt;&gt;1,LEFT(A3,LEN("2025::jama.2025.19563::"))&lt;&gt;"2025::jama.2025.19563::"),"CHECK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substantive_difference</t>
        </is>
      </c>
      <c r="M3" s="24" t="n"/>
      <c r="N3" s="23" t="n"/>
      <c r="O3" s="23" t="n"/>
      <c r="P3" s="23" t="n"/>
      <c r="Q3" s="23" t="n"/>
      <c r="R3" s="22" t="inlineStr">
        <is>
          <t>Protocol p6 and §3.2 p15 (post-amendment 1.4 text): PA branch = average &gt;=150 min/wk over months 6-11 from monthly actigraphy. Supp2 p13: weekly MVPA summed over all valid periods and divided by available periods 'maximum of 11 post-baseline visits', i.e., averaged 'throughout the 12-month follow-up period'. Article p3/Figure 3 do not state a 6-11 window. Not listed in the SAP-change table (p86-87).</t>
        </is>
      </c>
    </row>
    <row r="4" ht="92" customHeight="1" s="25">
      <c r="A4" s="20" t="inlineStr">
        <is>
          <t>2025::jama.2025.19563::C003</t>
        </is>
      </c>
      <c r="B4" s="20" t="inlineStr">
        <is>
          <t>Primary HbA1c branch restricted to baseline subset</t>
        </is>
      </c>
      <c r="C4" s="20" t="inlineStr">
        <is>
          <t>joi250084supp1_prod_1765403089.61351.pdf — DOC-002 p15 original §3.2; joi250084supp1_prod_1765403089.61351.pdf — p80 version 1.4 modification begins; joi250084supp1_prod_1765403089.61351.pdf — p81 subset and eligibility continuation; jama_mathioudakis_2025_oi_250084_1765403089.60451.pdf — main p3 Outcomes; jama_mathioudakis_2025_oi_250084_1765403089.60451.pdf — p7 Figure2 row/footnote</t>
        </is>
      </c>
      <c r="D4" s="21" t="inlineStr">
        <is>
          <t>exclude</t>
        </is>
      </c>
      <c r="E4" s="21" t="inlineStr">
        <is>
          <t>protocol_report</t>
        </is>
      </c>
      <c r="F4" s="21" t="inlineStr">
        <is>
          <t>primary_done</t>
        </is>
      </c>
      <c r="G4" s="20">
        <f>IFERROR(IF(LEN(TRIM(CLEAN(SUBSTITUTE(Setup!$B$2,CHAR(160)," "))))=0,"CHECK REVIEWER ID",IF(OR(A4="",COUNTIF($A$2:$A$14,A4)&lt;&gt;1,LEFT(A4,LEN("2025::jama.2025.19563::"))&lt;&gt;"2025::jama.2025.19563::"),"CHECK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inlineStr">
        <is>
          <t>The original §3.2 HbA1c branch had no baseline restriction, but protocol amendment v1.4 (28 Mar 2022, supp1 pp80-81) limited the HbA1c-change measure to baseline HbA1c 5.7-6.4% (and changed stratification). Article p3 and Figure 2 footnote c (n=130/130) implement exactly this amended definition. Report agrees with the operative amended plan; the dated sequence is documented, so no plan-report difference remains.</t>
        </is>
      </c>
    </row>
    <row r="5" ht="92" customHeight="1" s="25">
      <c r="A5" s="24" t="inlineStr">
        <is>
          <t>2025::jama.2025.19563::C004</t>
        </is>
      </c>
      <c r="B5" s="24" t="inlineStr">
        <is>
          <t>Primary exclusions replaced by all-randomized failure assignment</t>
        </is>
      </c>
      <c r="C5" s="24" t="inlineStr">
        <is>
          <t>joi250084supp1_prod_1765403089.61351.pdf — DOC-002 p37 §9.3; joi250084supp1_prod_1765403089.61351.pdf — p86 first SAP-change row; jama_mathioudakis_2025_oi_250084_1765403089.60451.pdf — main p4 primary methods/results; jama_mathioudakis_2025_oi_250084_1765403089.60451.pdf — p5 Figure1; joi250084supp2_prod_1765403089.61751.pdf — DOC-003 p27 primary cohort; joi250084supp2_prod_1765403089.61751.pdf — p50 eTable8c</t>
        </is>
      </c>
      <c r="D5" s="21" t="inlineStr">
        <is>
          <t>retain</t>
        </is>
      </c>
      <c r="E5" s="21" t="inlineStr">
        <is>
          <t>protocol_report</t>
        </is>
      </c>
      <c r="F5" s="21" t="inlineStr">
        <is>
          <t>primary_done</t>
        </is>
      </c>
      <c r="G5" s="24">
        <f>IFERROR(IF(LEN(TRIM(CLEAN(SUBSTITUTE(Setup!$B$2,CHAR(160)," "))))=0,"CHECK REVIEWER ID",IF(OR(A5="",COUNTIF($A$2:$A$14,A5)&lt;&gt;1,LEFT(A5,LEN("2025::jama.2025.19563::"))&lt;&gt;"2025::jama.2025.19563::"),"CHECK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t="inlineStr">
        <is>
          <t>substantive_difference</t>
        </is>
      </c>
      <c r="M5" s="24" t="n"/>
      <c r="N5" s="23" t="n"/>
      <c r="O5" s="23" t="n"/>
      <c r="P5" s="23" t="n"/>
      <c r="Q5" s="23" t="n"/>
      <c r="R5" s="22" t="inlineStr">
        <is>
          <t>Protocol §9.3 p37: effectiveness analyses exclude participants who withdraw or withdraw consent. Report p4: all 368 randomized analyzed, missing 12-month visit (26 AI, 29 human) classified as failure. Disclosed in supp1 p86 SAP-change table ('Primary analysis on population excluding those who withdrew or lacked 12-month data' changed to all randomized with failures). Disclosed.</t>
        </is>
      </c>
    </row>
    <row r="6" ht="92" customHeight="1" s="25">
      <c r="A6" s="20" t="inlineStr">
        <is>
          <t>2025::jama.2025.19563::C005</t>
        </is>
      </c>
      <c r="B6" s="20" t="inlineStr">
        <is>
          <t>Clustered logistic primary model replaced by binomial RD regression</t>
        </is>
      </c>
      <c r="C6" s="20" t="inlineStr">
        <is>
          <t>joi250084supp1_prod_1765403089.61351.pdf — DOC-002 p37 §9.4.1; joi250084supp1_prod_1765403089.61351.pdf — p38 §9.4.7; joi250084supp1_prod_1765403089.61351.pdf — p86 model change; jama_mathioudakis_2025_oi_250084_1765403089.60451.pdf — main p4 primary model and sensitivity 5; joi250084supp2_prod_1765403089.61751.pdf — DOC-003 p31 cluster methods; joi250084supp2_prod_1765403089.61751.pdf — p62 eTables19a–b</t>
        </is>
      </c>
      <c r="D6" s="21" t="inlineStr">
        <is>
          <t>retain</t>
        </is>
      </c>
      <c r="E6" s="21" t="inlineStr">
        <is>
          <t>protocol_report</t>
        </is>
      </c>
      <c r="F6" s="21" t="inlineStr">
        <is>
          <t>primary_done</t>
        </is>
      </c>
      <c r="G6" s="20">
        <f>IFERROR(IF(LEN(TRIM(CLEAN(SUBSTITUTE(Setup!$B$2,CHAR(160)," "))))=0,"CHECK REVIEWER ID",IF(OR(A6="",COUNTIF($A$2:$A$14,A6)&lt;&gt;1,LEFT(A6,LEN("2025::jama.2025.19563::"))&lt;&gt;"2025::jama.2025.19563::"),"CHECK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t="inlineStr">
        <is>
          <t>substantive_difference</t>
        </is>
      </c>
      <c r="M6" s="20" t="n"/>
      <c r="N6" s="23" t="n"/>
      <c r="O6" s="23" t="n"/>
      <c r="P6" s="23" t="n"/>
      <c r="Q6" s="23" t="n"/>
      <c r="R6" s="22" t="inlineStr">
        <is>
          <t>Protocol §9.4.1/§9.4.7-8 pp37-38: mixed-effects logistic regression for binary primary and secondary outcomes (site effects). Report p4: unadjusted binomial regression for the risk difference; clustering only in post hoc cluster-robust sensitivity analyses (eTable 19a-b). Disclosed in supp1 p86 change table.</t>
        </is>
      </c>
    </row>
    <row r="7" ht="92" customHeight="1" s="25">
      <c r="A7" s="24" t="inlineStr">
        <is>
          <t>2025::jama.2025.19563::C006</t>
        </is>
      </c>
      <c r="B7" s="24" t="inlineStr">
        <is>
          <t>Primary PA missing-data procedure and linked sensitivity replaced</t>
        </is>
      </c>
      <c r="C7" s="24" t="inlineStr">
        <is>
          <t>joi250084supp1_prod_1765403089.61351.pdf — DOC-002 p38 §9.4.2; joi250084supp1_prod_1765403089.61351.pdf — p39 §9.4.8 continuation; joi250084supp1_prod_1765403089.61351.pdf — p86 missing-PA change; jama_mathioudakis_2025_oi_250084_1765403089.60451.pdf — main p4 sensitivities; joi250084supp2_prod_1765403089.61751.pdf — DOC-003 p13 PA processing; joi250084supp2_prod_1765403089.61751.pdf — p30 eTables16–18 descriptions; joi250084supp2_prod_1765403089.61751.pdf — p49 eTable8b; joi250084supp2_prod_1765403089.61751.pdf — p59 MI sensitivity; joi250084supp2_prod_1765403089.61751.pdf — p60 MNAR sensitivity; joi250084supp2_prod_1765403089.61751.pdf — p61 two PA sensitivities</t>
        </is>
      </c>
      <c r="D7" s="21" t="inlineStr">
        <is>
          <t>retain</t>
        </is>
      </c>
      <c r="E7" s="21" t="inlineStr">
        <is>
          <t>protocol_report</t>
        </is>
      </c>
      <c r="F7" s="21" t="inlineStr">
        <is>
          <t>primary_done</t>
        </is>
      </c>
      <c r="G7" s="24">
        <f>IFERROR(IF(LEN(TRIM(CLEAN(SUBSTITUTE(Setup!$B$2,CHAR(160)," "))))=0,"CHECK REVIEWER ID",IF(OR(A7="",COUNTIF($A$2:$A$14,A7)&lt;&gt;1,LEFT(A7,LEN("2025::jama.2025.19563::"))&lt;&gt;"2025::jama.2025.19563::"),"CHECK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t="inlineStr">
        <is>
          <t>substantive_difference</t>
        </is>
      </c>
      <c r="M7" s="24" t="n"/>
      <c r="N7" s="23" t="n"/>
      <c r="O7" s="23" t="n"/>
      <c r="P7" s="23" t="n"/>
      <c r="Q7" s="23" t="n"/>
      <c r="R7" s="22" t="inlineStr">
        <is>
          <t>Protocol §9.4.2 p38 and §9.4.8 p39: if &gt;5% of PA data missing, primary analysis uses multiple imputation, with a complete-case sensitivity analysis (100% PA data). Report: missing actigraphy weeks assigned 0 min (supp2 p13, eTable 8b p49, missingness 9.3%-35.1% by month); sensitivity analyses are best-case/all-attain PA (eTable 18a-b) and MI of missing 12-month outcomes (eTable 16), not the planned ones. Disclosed in supp1 p86.</t>
        </is>
      </c>
    </row>
    <row r="8" ht="92" customHeight="1" s="25">
      <c r="A8" s="20" t="inlineStr">
        <is>
          <t>2025::jama.2025.19563::C007</t>
        </is>
      </c>
      <c r="B8" s="20" t="inlineStr">
        <is>
          <t>Program-completer analysis replaced by complete-data/no-medication cohort</t>
        </is>
      </c>
      <c r="C8" s="20" t="inlineStr">
        <is>
          <t>joi250084supp1_prod_1765403089.61351.pdf — DOC-002 p16 §3.3 completion criteria; joi250084supp1_prod_1765403089.61351.pdf — p37 §9.3; joi250084supp1_prod_1765403089.61351.pdf — p86 PP change starts; joi250084supp1_prod_1765403089.61351.pdf — p87 continuation; jama_mathioudakis_2025_oi_250084_1765403089.60451.pdf — main p4 restricted analysis; jama_mathioudakis_2025_oi_250084_1765403089.60451.pdf — p9 Figure4; joi250084supp2_prod_1765403089.61751.pdf — DOC-003 p27 cohort definition; joi250084supp2_prod_1765403089.61751.pdf — p58 eTable15</t>
        </is>
      </c>
      <c r="D8" s="21" t="inlineStr">
        <is>
          <t>retain</t>
        </is>
      </c>
      <c r="E8" s="21" t="inlineStr">
        <is>
          <t>protocol_report</t>
        </is>
      </c>
      <c r="F8" s="21" t="inlineStr">
        <is>
          <t>primary_done</t>
        </is>
      </c>
      <c r="G8" s="20">
        <f>IFERROR(IF(LEN(TRIM(CLEAN(SUBSTITUTE(Setup!$B$2,CHAR(160)," "))))=0,"CHECK REVIEWER ID",IF(OR(A8="",COUNTIF($A$2:$A$14,A8)&lt;&gt;1,LEFT(A8,LEN("2025::jama.2025.19563::"))&lt;&gt;"2025::jama.2025.19563::"),"CHECK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t="inlineStr">
        <is>
          <t>substantive_difference</t>
        </is>
      </c>
      <c r="M8" s="20" t="n"/>
      <c r="N8" s="23" t="n"/>
      <c r="O8" s="23" t="n"/>
      <c r="P8" s="23" t="n"/>
      <c r="Q8" s="23" t="n"/>
      <c r="R8" s="22" t="inlineStr">
        <is>
          <t>Protocol §3.3 p16 and §9.3 p37: per-protocol analysis among program completers (CDC engagement definition). Report p4, Figure 1, eTable 15: 'restricted analysis' in participants with 12-month data who did not start prohibited medications (151 + 149 = 300). Program completers (117 + 93 = 210) are a different set. Disclosed in supp1 pp86-87.</t>
        </is>
      </c>
    </row>
    <row r="9" ht="92" customHeight="1" s="25">
      <c r="A9" s="24" t="inlineStr">
        <is>
          <t>2025::jama.2025.19563::C008</t>
        </is>
      </c>
      <c r="B9" s="24" t="inlineStr">
        <is>
          <t>Recruitment-pool portal percentages and counts</t>
        </is>
      </c>
      <c r="C9" s="24" t="inlineStr">
        <is>
          <t>joi250084supp1_prod_1765403089.61351.pdf — DOC-002 p18, Table 1 and §5.5.1 paragraph; joi250084supp1_prod_1765403089.61351.pdf — DOC-002 p18 Table1 Johns Hopkins: 13,910/21,346 (56%); joi250084supp1_prod_1765403089.61351.pdf — DOC-002 p18 Table1 Reading: 4,892/8,751 (60%); joi250084supp1_prod_1765403089.61351.pdf — DOC-002 p18 §5.5.1 paragraph: 13,910/21,410 (56%)</t>
        </is>
      </c>
      <c r="D9" s="21" t="inlineStr">
        <is>
          <t>exclude</t>
        </is>
      </c>
      <c r="E9" s="21" t="inlineStr">
        <is>
          <t>plan_material</t>
        </is>
      </c>
      <c r="F9" s="21" t="inlineStr">
        <is>
          <t>primary_done</t>
        </is>
      </c>
      <c r="G9" s="24">
        <f>IFERROR(IF(LEN(TRIM(CLEAN(SUBSTITUTE(Setup!$B$2,CHAR(160)," "))))=0,"CHECK REVIEWER ID",IF(OR(A9="",COUNTIF($A$2:$A$14,A9)&lt;&gt;1,LEFT(A9,LEN("2025::jama.2025.19563::"))&lt;&gt;"2025::jama.2025.19563::"),"CHECK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f>IF(AND(OR(D9="retain",D9=""),E9="protocol_report"),"","not_applicable")</f>
        <v/>
      </c>
      <c r="M9" s="24" t="n"/>
      <c r="N9" s="23" t="n"/>
      <c r="O9" s="23" t="n"/>
      <c r="P9" s="23" t="n"/>
      <c r="Q9" s="23" t="n"/>
      <c r="R9" s="22" t="inlineStr">
        <is>
          <t>Protocol §5.5.1 p18 (OCR): 13,910/21,346 printed 56% (computed 65.2%); text 13,910/21,410 printed 56% (65.0%); Reading 4,892/8,751 printed 60% (55.9%). Errors are real (and 21,410 vs 21,346 differ), but they concern the EMR recruitment pool in a feasibility paragraph, not a statistical design element used by the reported analysis. Excluded.</t>
        </is>
      </c>
    </row>
    <row r="10" ht="92" customHeight="1" s="25">
      <c r="A10" s="20" t="inlineStr">
        <is>
          <t>2025::jama.2025.19563::C009</t>
        </is>
      </c>
      <c r="B10" s="20" t="inlineStr">
        <is>
          <t>Interpolated PA vector and printed summary inputs</t>
        </is>
      </c>
      <c r="C10" s="20" t="inlineStr">
        <is>
          <t>joi250084supp2_prod_1765403089.61751.pdf — DOC-003 p13 preprocessing/calculation; joi250084supp2_prod_1765403089.61751.pdf — p15 activity summary loop; joi250084supp2_prod_1765403089.61751.pdf — p16 bout loop</t>
        </is>
      </c>
      <c r="D10" s="21" t="inlineStr">
        <is>
          <t>retain</t>
        </is>
      </c>
      <c r="E10" s="21" t="inlineStr">
        <is>
          <t>statistical_results</t>
        </is>
      </c>
      <c r="F10" s="21" t="inlineStr">
        <is>
          <t>primary_done</t>
        </is>
      </c>
      <c r="G10" s="20">
        <f>IFERROR(IF(LEN(TRIM(CLEAN(SUBSTITUTE(Setup!$B$2,CHAR(160)," "))))=0,"CHECK REVIEWER ID",IF(OR(A10="",COUNTIF($A$2:$A$14,A10)&lt;&gt;1,LEFT(A10,LEN("2025::jama.2025.19563::"))&lt;&gt;"2025::jama.2025.19563::"),"CHECK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t="inlineStr">
        <is>
          <t>indeterminate</t>
        </is>
      </c>
      <c r="I10" s="21" t="inlineStr">
        <is>
          <t>indeterminate</t>
        </is>
      </c>
      <c r="J10" s="22" t="inlineStr">
        <is>
          <t>possible</t>
        </is>
      </c>
      <c r="K10" s="21">
        <f>IF(AND(OR(D10="retain",D10=""),OR(E10="report_internal_inconsistency",E10="plan_material")),"","not_applicable")</f>
        <v/>
      </c>
      <c r="L10" s="22">
        <f>IF(AND(OR(D10="retain",D10=""),E10="protocol_report"),"","not_applicable")</f>
        <v/>
      </c>
      <c r="M10" s="20" t="n"/>
      <c r="N10" s="23" t="n"/>
      <c r="O10" s="23" t="n"/>
      <c r="P10" s="23" t="n"/>
      <c r="Q10" s="23" t="n"/>
      <c r="R10" s="22" t="inlineStr">
        <is>
          <t>Supp2 p13 says missing data within valid days were imputed by interpolation, and p14-16 give 'the R code that was used'. In both loops the code computes ac_imp &lt;- impute_missing_data(...) but passes the raw ac to activity_stats() and BoutsOfPA(); ac_imp is never used. Whether the arctools functions impute internally cannot be checked from the supplied material (package not available to me), so the effect is indeterminate. Also noted: the three BoutsOfPA calls pass no threshold, so the 2185/2859/3941 bout outputs would be identical.</t>
        </is>
      </c>
    </row>
    <row r="11" ht="92" customHeight="1" s="25">
      <c r="A11" s="24" t="inlineStr">
        <is>
          <t>2025::jama.2025.19563::C010</t>
        </is>
      </c>
      <c r="B11" s="24" t="inlineStr">
        <is>
          <t>PA averaging denominator after zero assignment</t>
        </is>
      </c>
      <c r="C11" s="24" t="inlineStr">
        <is>
          <t>joi250084supp2_prod_1765403089.61751.pdf — DOC-003 p13 Aggregation/compliance; joi250084supp2_prod_1765403089.61751.pdf — p30 eTable18a method; joi250084supp2_prod_1765403089.61751.pdf — p49 eTable8b zero assignment</t>
        </is>
      </c>
      <c r="D11" s="21" t="inlineStr">
        <is>
          <t>retain</t>
        </is>
      </c>
      <c r="E11" s="21" t="inlineStr">
        <is>
          <t>statistical_results</t>
        </is>
      </c>
      <c r="F11" s="21" t="inlineStr">
        <is>
          <t>primary_done</t>
        </is>
      </c>
      <c r="G11" s="24">
        <f>IFERROR(IF(LEN(TRIM(CLEAN(SUBSTITUTE(Setup!$B$2,CHAR(160)," "))))=0,"CHECK REVIEWER ID",IF(OR(A11="",COUNTIF($A$2:$A$14,A11)&lt;&gt;1,LEFT(A11,LEN("2025::jama.2025.19563::"))&lt;&gt;"2025::jama.2025.19563::"),"CHECK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t="inlineStr">
        <is>
          <t>indeterminate</t>
        </is>
      </c>
      <c r="I11" s="21" t="inlineStr">
        <is>
          <t>indeterminate</t>
        </is>
      </c>
      <c r="J11" s="22" t="inlineStr">
        <is>
          <t>possible</t>
        </is>
      </c>
      <c r="K11" s="21">
        <f>IF(AND(OR(D11="retain",D11=""),OR(E11="report_internal_inconsistency",E11="plan_material")),"","not_applicable")</f>
        <v/>
      </c>
      <c r="L11" s="22">
        <f>IF(AND(OR(D11="retain",D11=""),E11="protocol_report"),"","not_applicable")</f>
        <v/>
      </c>
      <c r="M11" s="24" t="n"/>
      <c r="N11" s="23" t="n"/>
      <c r="O11" s="23" t="n"/>
      <c r="P11" s="23" t="n"/>
      <c r="Q11" s="23" t="n"/>
      <c r="R11" s="22" t="inlineStr">
        <is>
          <t>Supp2 p13: average weekly MVPA = MVPA summed over valid wear periods divided by 'the number of available wear periods (maximum of 11)'; same page and eTable 8b p49 / eTable 18a p30: noncompliant or non-wear weeks are assigned 0 minutes. Zeros add nothing to the sum, so the zero rule matters only if those weeks enter the denominator; the text does not say they do. Either reading is possible; the description is ambiguous rather than demonstrably wrong.</t>
        </is>
      </c>
    </row>
    <row r="12" ht="92" customHeight="1" s="25">
      <c r="A12" s="20" t="inlineStr">
        <is>
          <t>2025::jama.2025.19563::C011</t>
        </is>
      </c>
      <c r="B12" s="20" t="inlineStr">
        <is>
          <t>Two AI-version exposure percentages</t>
        </is>
      </c>
      <c r="C12" s="20" t="inlineStr">
        <is>
          <t>joi250084supp2_prod_1765403089.61751.pdf — DOC-003 p37 eTable1b; joi250084supp2_prod_1765403089.61751.pdf — p27 primary cohort; joi250084supp2_prod_1765403089.61751.pdf — p41 randomized AI N=183; joi250084supp2_prod_1765403089.61751.pdf — p34 primary forest denominator; joi250084supp2_prod_1765403089.61751.pdf — DOC-003 p37 eTable1b version 11.100.131, September 2023; joi250084supp2_prod_1765403089.61751.pdf — DOC-003 p37 eTable1b version 122.100.407, December 2024</t>
        </is>
      </c>
      <c r="D12" s="21" t="inlineStr">
        <is>
          <t>retain</t>
        </is>
      </c>
      <c r="E12" s="21" t="inlineStr">
        <is>
          <t>statistical_results</t>
        </is>
      </c>
      <c r="F12" s="21" t="inlineStr">
        <is>
          <t>primary_done</t>
        </is>
      </c>
      <c r="G12" s="20">
        <f>IFERROR(IF(LEN(TRIM(CLEAN(SUBSTITUTE(Setup!$B$2,CHAR(160)," "))))=0,"CHECK REVIEWER ID",IF(OR(A12="",COUNTIF($A$2:$A$14,A12)&lt;&gt;1,LEFT(A12,LEN("2025::jama.2025.19563::"))&lt;&gt;"2025::jama.2025.19563::"),"CHECK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t="inlineStr">
        <is>
          <t>confirmed_issue</t>
        </is>
      </c>
      <c r="I12" s="21" t="inlineStr">
        <is>
          <t>minor_presentation</t>
        </is>
      </c>
      <c r="J12" s="22" t="inlineStr">
        <is>
          <t>unlikely</t>
        </is>
      </c>
      <c r="K12" s="21">
        <f>IF(AND(OR(D12="retain",D12=""),OR(E12="report_internal_inconsistency",E12="plan_material")),"","not_applicable")</f>
        <v/>
      </c>
      <c r="L12" s="22">
        <f>IF(AND(OR(D12="retain",D12=""),E12="protocol_report"),"","not_applicable")</f>
        <v/>
      </c>
      <c r="M12" s="20" t="n"/>
      <c r="N12" s="23" t="n"/>
      <c r="O12" s="23" t="n"/>
      <c r="P12" s="23" t="n"/>
      <c r="Q12" s="23" t="n"/>
      <c r="R12" s="22" t="inlineStr">
        <is>
          <t>eTable 1b p37: versions 11.100.131 (Sep 2023) and 122.100.407 (Dec 2024) each '5 (5)' with header '% of Primary Analysis population assigned to AI-DPP' (N=183). 5/183 = 2.7%. The other seven rows reproduce with N=183 (58=32%, 102=56%, 109=60%, 103=56%, 99=54%, 105=57%, 104=57%).</t>
        </is>
      </c>
    </row>
    <row r="13" ht="92" customHeight="1" s="25">
      <c r="A13" s="24" t="inlineStr">
        <is>
          <t>2025::jama.2025.19563::C012</t>
        </is>
      </c>
      <c r="B13" s="24" t="inlineStr">
        <is>
          <t>Baseline HbA1c-subgroup categorical P-value mapping</t>
        </is>
      </c>
      <c r="C13" s="24" t="inlineStr">
        <is>
          <t>joi250084supp2_prod_1765403089.61751.pdf — DOC-003 p44 eTable6 counts; joi250084supp2_prod_1765403089.61751.pdf — p45 footnote 1 P values; joi250084supp2_prod_1765403089.61751.pdf — p29 eTable6 method index; joi250084supp2_prod_1765403089.61751.pdf — p28 main baseline-method pointer; joi250084supp1_prod_1765403089.61351.pdf — DOC-002 p37 general categorical baseline tests; joi250084supp2_prod_1765403089.61751.pdf — DOC-003 p44 eTable6 site rows, 79/164 and 29/96; joi250084supp2_prod_1765403089.61751.pdf — DOC-003 p45 footnote 1 site P=.024; joi250084supp2_prod_1765403089.61751.pdf — DOC-003 p44 eTable6 all four ethnicity rows; joi250084supp2_prod_1765403089.61751.pdf — DOC-003 p45 footnote 1 ethnicity P=.018</t>
        </is>
      </c>
      <c r="D13" s="21" t="inlineStr">
        <is>
          <t>retain</t>
        </is>
      </c>
      <c r="E13" s="21" t="inlineStr">
        <is>
          <t>statistical_results</t>
        </is>
      </c>
      <c r="F13" s="21" t="inlineStr">
        <is>
          <t>primary_done</t>
        </is>
      </c>
      <c r="G13" s="24">
        <f>IFERROR(IF(LEN(TRIM(CLEAN(SUBSTITUTE(Setup!$B$2,CHAR(160)," "))))=0,"CHECK REVIEWER ID",IF(OR(A13="",COUNTIF($A$2:$A$14,A13)&lt;&gt;1,LEFT(A13,LEN("2025::jama.2025.19563::"))&lt;&gt;"2025::jama.2025.19563::"),"CHECK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t="inlineStr">
        <is>
          <t>probable_issue</t>
        </is>
      </c>
      <c r="I13" s="21" t="inlineStr">
        <is>
          <t>minor_presentation</t>
        </is>
      </c>
      <c r="J13" s="22" t="inlineStr">
        <is>
          <t>unlikely</t>
        </is>
      </c>
      <c r="K13" s="21">
        <f>IF(AND(OR(D13="retain",D13=""),OR(E13="report_internal_inconsistency",E13="plan_material")),"","not_applicable")</f>
        <v/>
      </c>
      <c r="L13" s="22">
        <f>IF(AND(OR(D13="retain",D13=""),E13="protocol_report"),"","not_applicable")</f>
        <v/>
      </c>
      <c r="M13" s="24" t="n"/>
      <c r="N13" s="23" t="n"/>
      <c r="O13" s="23" t="n"/>
      <c r="P13" s="23" t="n"/>
      <c r="Q13" s="23" t="n"/>
      <c r="R13" s="22" t="inlineStr">
        <is>
          <t>eTable 6 p44-45 (baseline HbA1c &lt;5.7% vs 5.7-6.4%): footnote says site P=.024 and ethnicity P=.018. From the printed counts: site 79/108 vs 164/260: chi-square P=0.063 (Yates 0.082), Fisher 0.070; ethnicity (4 categories) chi-square 0.064, Fisher 0.055; known-ethnicity 2x2 chi-square 0.035, Fisher 0.044. None reproduces .024 or .018. Footnote 2 (age P=.014 'between study groups') also appears carried over from the randomized-arm table.</t>
        </is>
      </c>
    </row>
    <row r="14" ht="92" customHeight="1" s="25">
      <c r="A14" s="20" t="inlineStr">
        <is>
          <t>2025::jama.2025.19563::C013</t>
        </is>
      </c>
      <c r="B14" s="20" t="inlineStr">
        <is>
          <t>MI-pooled risks and displayed risk-difference mapping</t>
        </is>
      </c>
      <c r="C14" s="20" t="inlineStr">
        <is>
          <t>joi250084supp2_prod_1765403089.61751.pdf — DOC-003 p59 eTable16; joi250084supp2_prod_1765403089.61751.pdf — p30 MI methods; joi250084supp1_prod_1765403089.61351.pdf — DOC-002 p88 MICE method</t>
        </is>
      </c>
      <c r="D14" s="21" t="inlineStr">
        <is>
          <t>retain</t>
        </is>
      </c>
      <c r="E14" s="21" t="inlineStr">
        <is>
          <t>statistical_results</t>
        </is>
      </c>
      <c r="F14" s="21" t="inlineStr">
        <is>
          <t>primary_done</t>
        </is>
      </c>
      <c r="G14" s="20">
        <f>IFERROR(IF(LEN(TRIM(CLEAN(SUBSTITUTE(Setup!$B$2,CHAR(160)," "))))=0,"CHECK REVIEWER ID",IF(OR(A14="",COUNTIF($A$2:$A$14,A14)&lt;&gt;1,LEFT(A14,LEN("2025::jama.2025.19563::"))&lt;&gt;"2025::jama.2025.19563::"),"CHECK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t="inlineStr">
        <is>
          <t>probable_issue</t>
        </is>
      </c>
      <c r="I14" s="21" t="inlineStr">
        <is>
          <t>substantive</t>
        </is>
      </c>
      <c r="J14" s="22" t="inlineStr">
        <is>
          <t>possible</t>
        </is>
      </c>
      <c r="K14" s="21">
        <f>IF(AND(OR(D14="retain",D14=""),OR(E14="report_internal_inconsistency",E14="plan_material")),"","not_applicable")</f>
        <v/>
      </c>
      <c r="L14" s="22">
        <f>IF(AND(OR(D14="retain",D14=""),E14="protocol_report"),"","not_applicable")</f>
        <v/>
      </c>
      <c r="M14" s="20" t="n"/>
      <c r="N14" s="23" t="n"/>
      <c r="O14" s="23" t="n"/>
      <c r="P14" s="23" t="n"/>
      <c r="Q14" s="23" t="n"/>
      <c r="R14" s="22" t="inlineStr">
        <is>
          <t>eTable 16 p59: MI-pooled achievement 32.2% (AI) vs 31.9% (human) but RD -1.1 (one-sided 95% CI -11.5). Rubin's-rule pooling is linear, so the pooled RD of an unadjusted difference should be 32.2-31.9 = +0.3. Sign and size disagree. An adjusted RD within each imputation could differ, but the table and methods (supp1 p88, supp2 p30) describe no outcome-model covariates. NI conclusion unchanged (-11.5 &gt; -15).</t>
        </is>
      </c>
    </row>
  </sheetData>
  <autoFilter ref="A1:R14"/>
  <conditionalFormatting sqref="H2:H14">
    <cfRule type="expression" priority="8" dxfId="70">
      <formula>NOT(AND(OR($D2="retain",$D2=""),$E2="statistical_results"))</formula>
    </cfRule>
  </conditionalFormatting>
  <conditionalFormatting sqref="I2:I14">
    <cfRule type="expression" priority="9" dxfId="70">
      <formula>NOT(AND(OR($D2="retain",$D2=""),$E2="statistical_results"))</formula>
    </cfRule>
  </conditionalFormatting>
  <conditionalFormatting sqref="J2:J14">
    <cfRule type="expression" priority="10" dxfId="70">
      <formula>NOT(AND(OR($D2="retain",$D2=""),$E2="statistical_results"))</formula>
    </cfRule>
  </conditionalFormatting>
  <conditionalFormatting sqref="K2:K14">
    <cfRule type="expression" priority="11" dxfId="70">
      <formula>NOT(AND(OR($D2="retain",$D2=""),OR($E2="report_internal_inconsistency",$E2="plan_material")))</formula>
    </cfRule>
  </conditionalFormatting>
  <conditionalFormatting sqref="L2:L14">
    <cfRule type="expression" priority="12" dxfId="70">
      <formula>NOT(AND(OR($D2="retain",$D2=""),$E2="protocol_report"))</formula>
    </cfRule>
  </conditionalFormatting>
  <conditionalFormatting sqref="G2:G14">
    <cfRule type="expression" priority="13" dxfId="71">
      <formula>G2&lt;&gt;"PRIMARY READY"</formula>
    </cfRule>
  </conditionalFormatting>
  <dataValidations count="8">
    <dataValidation sqref="D2:D14" showDropDown="0" showInputMessage="0" showErrorMessage="1" allowBlank="1" errorTitle="Use a listed option" error="Choose an option; G also checks pasted entries." type="list" errorStyle="stop">
      <formula1>"retain,exclude,discuss"</formula1>
    </dataValidation>
    <dataValidation sqref="E2:E14"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4" showDropDown="0" showInputMessage="0" showErrorMessage="1" allowBlank="1" errorTitle="Use a listed option" error="Choose an option; G also checks pasted entries." type="list" errorStyle="stop">
      <formula1>"no,primary_done"</formula1>
    </dataValidation>
    <dataValidation sqref="H2:H14"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4"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4" showDropDown="0" showInputMessage="0" showErrorMessage="1" allowBlank="1" errorTitle="Use a listed option" error="Choose an option; G also checks pasted entries." type="list" errorStyle="stop">
      <formula1>"direct,possible,unlikely,unknown,not_applicable"</formula1>
    </dataValidation>
    <dataValidation sqref="K2:K14"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4"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R8"/>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2025::jama.2025.19843::C001</t>
        </is>
      </c>
      <c r="B2" s="20" t="inlineStr">
        <is>
          <t>Primary adjustment covariate descriptions do not reconcile</t>
        </is>
      </c>
      <c r="C2" s="20" t="inlineStr">
        <is>
          <t>jama_combes_2025_oi_250087_1766516490.94011.pdf — main PDF p.2; jama_combes_2025_oi_250087_1766516490.94011.pdf — main PDF p.3; jama_combes_2025_oi_250087_1766516490.94011.pdf — main PDF p.6; joi250087supp2_prod_1766516490.96511.pdf — SAP PDF p.6, corroboration only</t>
        </is>
      </c>
      <c r="D2" s="21" t="inlineStr">
        <is>
          <t>retain</t>
        </is>
      </c>
      <c r="E2" s="21" t="inlineStr">
        <is>
          <t>statistical_results</t>
        </is>
      </c>
      <c r="F2" s="21" t="inlineStr">
        <is>
          <t>primary_done</t>
        </is>
      </c>
      <c r="G2" s="20">
        <f>IFERROR(IF(LEN(TRIM(CLEAN(SUBSTITUTE(Setup!$B$2,CHAR(160)," "))))=0,"CHECK REVIEWER ID",IF(OR(A2="",COUNTIF($A$2:$A$8,A2)&lt;&gt;1,LEFT(A2,LEN("2025::jama.2025.19843::"))&lt;&gt;"2025::jama.2025.19843::"),"CHECK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t="inlineStr">
        <is>
          <t>confirmed_issue</t>
        </is>
      </c>
      <c r="I2" s="21" t="inlineStr">
        <is>
          <t>minor_presentation</t>
        </is>
      </c>
      <c r="J2" s="22" t="inlineStr">
        <is>
          <t>possible</t>
        </is>
      </c>
      <c r="K2" s="21">
        <f>IF(AND(OR(D2="retain",D2=""),OR(E2="report_internal_inconsistency",E2="plan_material")),"","not_applicable")</f>
        <v/>
      </c>
      <c r="L2" s="22">
        <f>IF(AND(OR(D2="retain",D2=""),E2="protocol_report"),"","not_applicable")</f>
        <v/>
      </c>
      <c r="M2" s="20" t="n"/>
      <c r="N2" s="23" t="n"/>
      <c r="O2" s="23" t="n"/>
      <c r="P2" s="23" t="n"/>
      <c r="Q2" s="23" t="n"/>
      <c r="R2" s="22" t="inlineStr">
        <is>
          <t>Article p3: 'The primary analysis was adjusted on minimization stratification factors', which p2 identifies as cardiogenic-shock etiology and center. Table 2 footnote c p6: Fine-Gray model 'adjusted for cardiogenic shock etiology' only. SAP p6 (OCR) specifies etiology only. The report contradicts itself on whether center is in the model behind sHR 1.02 (0.74-1.39); the estimate itself is clear.</t>
        </is>
      </c>
    </row>
    <row r="3" ht="92" customHeight="1" s="25">
      <c r="A3" s="24" t="inlineStr">
        <is>
          <t>2025::jama.2025.19843::C002</t>
        </is>
      </c>
      <c r="B3" s="24" t="inlineStr">
        <is>
          <t>Organ-failure threshold differs between SAP and report</t>
        </is>
      </c>
      <c r="C3" s="24" t="inlineStr">
        <is>
          <t>joi250087supp2_prod_1766516490.96511.pdf — sap PDF p.4; joi250087supp2_prod_1766516490.96511.pdf — sap PDF p.7; jama_combes_2025_oi_250087_1766516490.94011.pdf — main PDF p.3; joi250087supp3_prod_1766516490.97011.pdf — results PDF p.5; joi250087supp3_prod_1766516490.97011.pdf — results PDF p.12</t>
        </is>
      </c>
      <c r="D3" s="21" t="inlineStr">
        <is>
          <t>retain</t>
        </is>
      </c>
      <c r="E3" s="21" t="inlineStr">
        <is>
          <t>protocol_report</t>
        </is>
      </c>
      <c r="F3" s="21" t="inlineStr">
        <is>
          <t>primary_done</t>
        </is>
      </c>
      <c r="G3" s="24">
        <f>IFERROR(IF(LEN(TRIM(CLEAN(SUBSTITUTE(Setup!$B$2,CHAR(160)," "))))=0,"CHECK REVIEWER ID",IF(OR(A3="",COUNTIF($A$2:$A$8,A3)&lt;&gt;1,LEFT(A3,LEN("2025::jama.2025.19843::"))&lt;&gt;"2025::jama.2025.19843::"),"CHECK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substantive_difference</t>
        </is>
      </c>
      <c r="M3" s="24" t="n"/>
      <c r="N3" s="23" t="n"/>
      <c r="O3" s="23" t="n"/>
      <c r="P3" s="23" t="n"/>
      <c r="Q3" s="23" t="n"/>
      <c r="R3" s="22" t="inlineStr">
        <is>
          <t>SAP §2.2 p4 and §3.6 p7 (OCR): organ failure = SOFA score &gt;2 in at least one of six organ systems. Article p3: days alive without organ failure = SOFA 0-1 for each component, i.e., failure at component score &gt;=2; eTable 3 footnote (supp3 p6): cardiovascular failure-free = cardiovascular SOFA &lt;2. Protocol p14-15 gives no threshold. Threshold differs by one point.</t>
        </is>
      </c>
    </row>
    <row r="4" ht="92" customHeight="1" s="25">
      <c r="A4" s="20" t="inlineStr">
        <is>
          <t>2025::jama.2025.19843::C003</t>
        </is>
      </c>
      <c r="B4" s="20" t="inlineStr">
        <is>
          <t>Planned day-60 free-day results are absent from supplied reports</t>
        </is>
      </c>
      <c r="C4" s="20" t="inlineStr">
        <is>
          <t>Every repeated protocol endpoint occurrence: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SAP: joi250087supp2_prod_1766516490.96511.pdf — sap PDF p.4; joi250087supp2_prod_1766516490.96511.pdf — sap PDF p.7; joi250087supp2_prod_1766516490.96511.pdf — sap PDF p.8. REPORT: jama_combes_2025_oi_250087_1766516490.94011.pdf — main PDF p.1; jama_combes_2025_oi_250087_1766516490.94011.pdf — main PDF p.3; jama_combes_2025_oi_250087_1766516490.94011.pdf — main PDF p.6; joi250087supp3_prod_1766516490.97011.pdf — results PDF p.5</t>
        </is>
      </c>
      <c r="D4" s="21" t="inlineStr">
        <is>
          <t>retain</t>
        </is>
      </c>
      <c r="E4" s="21" t="inlineStr">
        <is>
          <t>protocol_report</t>
        </is>
      </c>
      <c r="F4" s="21" t="inlineStr">
        <is>
          <t>primary_done</t>
        </is>
      </c>
      <c r="G4" s="20">
        <f>IFERROR(IF(LEN(TRIM(CLEAN(SUBSTITUTE(Setup!$B$2,CHAR(160)," "))))=0,"CHECK REVIEWER ID",IF(OR(A4="",COUNTIF($A$2:$A$8,A4)&lt;&gt;1,LEFT(A4,LEN("2025::jama.2025.19843::"))&lt;&gt;"2025::jama.2025.19843::"),"CHECK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SAP p4/p7-8 and protocol p14-15: ECMO-free days between inclusion and D30/D60 and ventilator-free days to D30 and D60. Report: Table 2 p6 gives ECMO-free days by day 30 only; eTable 3 p5 gives MV-free days by day 30 only; no D60 free-day results in the article or supplement.</t>
        </is>
      </c>
    </row>
    <row r="5" ht="92" customHeight="1" s="25">
      <c r="A5" s="24" t="inlineStr">
        <is>
          <t>2025::jama.2025.19843::C004</t>
        </is>
      </c>
      <c r="B5" s="24" t="inlineStr">
        <is>
          <t>Planned hierarchical LV-function composite differs from reported LVEF contrast</t>
        </is>
      </c>
      <c r="C5" s="24" t="inlineStr">
        <is>
          <t>Protocol context, every occurrence: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joi250087supp2_prod_1766516490.96511.pdf — SAP PDF p.8, Left Ventricular Function; jama_combes_2025_oi_250087_1766516490.94011.pdf — main PDF p.3; joi250087supp3_prod_1766516490.97011.pdf — results PDF p.5; joi250087supp3_prod_1766516490.97011.pdf — results PDF p.6</t>
        </is>
      </c>
      <c r="D5" s="21" t="inlineStr">
        <is>
          <t>retain</t>
        </is>
      </c>
      <c r="E5" s="21" t="inlineStr">
        <is>
          <t>protocol_report</t>
        </is>
      </c>
      <c r="F5" s="21" t="inlineStr">
        <is>
          <t>primary_done</t>
        </is>
      </c>
      <c r="G5" s="24">
        <f>IFERROR(IF(LEN(TRIM(CLEAN(SUBSTITUTE(Setup!$B$2,CHAR(160)," "))))=0,"CHECK REVIEWER ID",IF(OR(A5="",COUNTIF($A$2:$A$8,A5)&lt;&gt;1,LEFT(A5,LEN("2025::jama.2025.19843::"))&lt;&gt;"2025::jama.2025.19843::"),"CHECK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t="inlineStr">
        <is>
          <t>substantive_difference</t>
        </is>
      </c>
      <c r="M5" s="24" t="n"/>
      <c r="N5" s="23" t="n"/>
      <c r="O5" s="23" t="n"/>
      <c r="P5" s="23" t="n"/>
      <c r="Q5" s="23" t="n"/>
      <c r="R5" s="22" t="inlineStr">
        <is>
          <t>SAP p8 (OCR): LV function compared by Global Net Benefit on a hierarchical composite (death, heart transplant, LVEF improvement &gt;30%) with bootstrap CI. Report eTable 3 p5: median LVEF 45 vs 40%, difference 5 (-0 to 10), with last pre-death LVEF carried for patients who died (footnote a). No net-benefit result anywhere.</t>
        </is>
      </c>
    </row>
    <row r="6" ht="92" customHeight="1" s="25">
      <c r="A6" s="20" t="inlineStr">
        <is>
          <t>2025::jama.2025.19843::C005</t>
        </is>
      </c>
      <c r="B6" s="20" t="inlineStr">
        <is>
          <t>Dialysis membership differs across MACE definitions</t>
        </is>
      </c>
      <c r="C6" s="20" t="inlineStr">
        <is>
          <t>Every repeated protocol composite occurrence: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SAP: joi250087supp2_prod_1766516490.96511.pdf — sap PDF p.4; joi250087supp2_prod_1766516490.96511.pdf — sap PDF p.7. Main: jama_combes_2025_oi_250087_1766516490.94011.pdf — main PDF p.3. Results contents, component rows and figure: joi250087supp3_prod_1766516490.97011.pdf — results PDF p.1; joi250087supp3_prod_1766516490.97011.pdf — results PDF p.5; joi250087supp3_prod_1766516490.97011.pdf — results PDF p.6; joi250087supp3_prod_1766516490.97011.pdf — results PDF p.13</t>
        </is>
      </c>
      <c r="D6" s="21" t="inlineStr">
        <is>
          <t>retain</t>
        </is>
      </c>
      <c r="E6" s="21" t="inlineStr">
        <is>
          <t>protocol_report</t>
        </is>
      </c>
      <c r="F6" s="21" t="inlineStr">
        <is>
          <t>primary_done</t>
        </is>
      </c>
      <c r="G6" s="20">
        <f>IFERROR(IF(LEN(TRIM(CLEAN(SUBSTITUTE(Setup!$B$2,CHAR(160)," "))))=0,"CHECK REVIEWER ID",IF(OR(A6="",COUNTIF($A$2:$A$8,A6)&lt;&gt;1,LEFT(A6,LEN("2025::jama.2025.19843::"))&lt;&gt;"2025::jama.2025.19843::"),"CHECK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t="inlineStr">
        <is>
          <t>substantive_difference</t>
        </is>
      </c>
      <c r="M6" s="20" t="n"/>
      <c r="N6" s="23" t="n"/>
      <c r="O6" s="23" t="n"/>
      <c r="P6" s="23" t="n"/>
      <c r="Q6" s="23" t="n"/>
      <c r="R6" s="22" t="inlineStr">
        <is>
          <t>Protocol p14-15 and article p3: MACE includes dialysis. SAP p4/p7 and eFigure 4 title (supp3 p13): MACE = death, transplant, LVAD, stroke, HF rehospitalization (no dialysis). eTable 3 p5 lists 'Dialysis by day 30' as a MACE component (29 vs 38), but the 30-day MACE totals are 35 vs 36; 38 placebo dialysis events exceed the 36 MACE total, so the reported totals cannot include dialysis. The report's stated definition differs from the composite actually tabulated.</t>
        </is>
      </c>
    </row>
    <row r="7" ht="92" customHeight="1" s="25">
      <c r="A7" s="24" t="inlineStr">
        <is>
          <t>2025::jama.2025.19843::C006</t>
        </is>
      </c>
      <c r="B7" s="24" t="inlineStr">
        <is>
          <t>Planned post-arrest subgroup differs from reported predefined other-etiology subgroup</t>
        </is>
      </c>
      <c r="C7" s="24" t="inlineStr">
        <is>
          <t>Every repeated endpoint/subgroup prescription: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joi250087supp1_prod_1766516490.96011.pdf — Protocol PDF p.107, allocation/minimization. Complete SAP boundary: joi250087supp2_prod_1766516490.96511.pdf — sap PDF p.1; joi250087supp2_prod_1766516490.96511.pdf — sap PDF p.2; joi250087supp2_prod_1766516490.96511.pdf — sap PDF p.3; joi250087supp2_prod_1766516490.96511.pdf — sap PDF p.4; joi250087supp2_prod_1766516490.96511.pdf — sap PDF p.5; joi250087supp2_prod_1766516490.96511.pdf — sap PDF p.6; joi250087supp2_prod_1766516490.96511.pdf — sap PDF p.7; joi250087supp2_prod_1766516490.96511.pdf — sap PDF p.8; joi250087supp2_prod_1766516490.96511.pdf — sap PDF p.9. REPORT: jama_combes_2025_oi_250087_1766516490.94011.pdf — main PDF p.4; jama_combes_2025_oi_250087_1766516490.94011.pdf — main PDF p.7; joi250087supp3_prod_1766516490.97011.pdf — results PDF p.9; joi250087supp3_prod_1766516490.97011.pdf — results PDF p.18</t>
        </is>
      </c>
      <c r="D7" s="21" t="inlineStr">
        <is>
          <t>retain</t>
        </is>
      </c>
      <c r="E7" s="21" t="inlineStr">
        <is>
          <t>protocol_report</t>
        </is>
      </c>
      <c r="F7" s="21" t="inlineStr">
        <is>
          <t>primary_done</t>
        </is>
      </c>
      <c r="G7" s="24">
        <f>IFERROR(IF(LEN(TRIM(CLEAN(SUBSTITUTE(Setup!$B$2,CHAR(160)," "))))=0,"CHECK REVIEWER ID",IF(OR(A7="",COUNTIF($A$2:$A$8,A7)&lt;&gt;1,LEFT(A7,LEN("2025::jama.2025.19843::"))&lt;&gt;"2025::jama.2025.19843::"),"CHECK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t="inlineStr">
        <is>
          <t>substantive_difference</t>
        </is>
      </c>
      <c r="M7" s="24" t="n"/>
      <c r="N7" s="23" t="n"/>
      <c r="O7" s="23" t="n"/>
      <c r="P7" s="23" t="n"/>
      <c r="Q7" s="23" t="n"/>
      <c r="R7" s="22" t="inlineStr">
        <is>
          <t>Protocol p14-15 (v1.1; same in later versions): primary and secondary endpoints in predefined subgroups AMI, myocarditis, post-cardiac surgery and post-cardiac arrest. SAP has no subgroup section. Article p4 and Figure 3 p7: 'predefined subgroups (ie, minimization stratification factor)': AMI, myocarditis, postcardiotomy, Other; cardiac arrest is folded into Other (eTable 6: 5 vs 1 patients). No post-arrest subgroup result.</t>
        </is>
      </c>
    </row>
    <row r="8" ht="92" customHeight="1" s="25">
      <c r="A8" s="20" t="inlineStr">
        <is>
          <t>2025::jama.2025.19843::C007</t>
        </is>
      </c>
      <c r="B8" s="20" t="inlineStr">
        <is>
          <t>Planned adjusted key-secondary analyses lack supplied outputs</t>
        </is>
      </c>
      <c r="C8" s="20" t="inlineStr">
        <is>
          <t>Every protocol adjusted-analysis occurrence: joi250087supp1_prod_1766516490.96011.pdf — protocol PDF p.35; joi250087supp1_prod_1766516490.96011.pdf — protocol PDF p.37; joi250087supp1_prod_1766516490.96011.pdf — protocol PDF p.81; joi250087supp1_prod_1766516490.96011.pdf — protocol PDF p.82; joi250087supp1_prod_1766516490.96011.pdf — protocol PDF p.83; joi250087supp1_prod_1766516490.96011.pdf — protocol PDF p.84; joi250087supp1_prod_1766516490.96011.pdf — protocol PDF p.127; joi250087supp1_prod_1766516490.96011.pdf — protocol PDF p.128; joi250087supp1_prod_1766516490.96011.pdf — protocol PDF p.129; joi250087supp1_prod_1766516490.96011.pdf — protocol PDF p.130. SAP model prescriptions: joi250087supp2_prod_1766516490.96511.pdf — sap PDF p.7; joi250087supp2_prod_1766516490.96511.pdf — sap PDF p.8; joi250087supp2_prod_1766516490.96511.pdf — sap PDF p.9. Main abstract/methods/tables: jama_combes_2025_oi_250087_1766516490.94011.pdf — main PDF p.1; jama_combes_2025_oi_250087_1766516490.94011.pdf — main PDF p.4; jama_combes_2025_oi_250087_1766516490.94011.pdf — main PDF p.6; jama_combes_2025_oi_250087_1766516490.94011.pdf — main PDF p.7. Results and retained contextual displays: joi250087supp3_prod_1766516490.97011.pdf — results PDF p.5; joi250087supp3_prod_1766516490.97011.pdf — results PDF p.6; joi250087supp3_prod_1766516490.97011.pdf — results PDF p.11; joi250087supp3_prod_1766516490.97011.pdf — results PDF p.13; joi250087supp3_prod_1766516490.97011.pdf — results PDF p.16; joi250087supp3_prod_1766516490.97011.pdf — results PDF p.17</t>
        </is>
      </c>
      <c r="D8" s="21" t="inlineStr">
        <is>
          <t>retain</t>
        </is>
      </c>
      <c r="E8" s="21" t="inlineStr">
        <is>
          <t>protocol_report</t>
        </is>
      </c>
      <c r="F8" s="21" t="inlineStr">
        <is>
          <t>primary_done</t>
        </is>
      </c>
      <c r="G8" s="20">
        <f>IFERROR(IF(LEN(TRIM(CLEAN(SUBSTITUTE(Setup!$B$2,CHAR(160)," "))))=0,"CHECK REVIEWER ID",IF(OR(A8="",COUNTIF($A$2:$A$8,A8)&lt;&gt;1,LEFT(A8,LEN("2025::jama.2025.19843::"))&lt;&gt;"2025::jama.2025.19843::"),"CHECK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t="inlineStr">
        <is>
          <t>substantive_difference</t>
        </is>
      </c>
      <c r="M8" s="20" t="n"/>
      <c r="N8" s="23" t="n"/>
      <c r="O8" s="23" t="n"/>
      <c r="P8" s="23" t="n"/>
      <c r="Q8" s="23" t="n"/>
      <c r="R8" s="22" t="inlineStr">
        <is>
          <t>SAP §3.6 pp7-8: each secondary outcome to be tested (log-rank/Wilcoxon) and analyzed with a model adjusted for cardiogenic-shock etiology (Cox for mortality, ICU/hospital stay, MACE; general linear model for free days). Report: Table 2 p6 and eTable 3 give unadjusted RRs and bootstrap median/mean differences, P values omitted 'because of multiple testing concerns' (except abstract P for ECMO duration, ICU stay, 60-day mortality); no etiology-adjusted secondary estimates.</t>
        </is>
      </c>
    </row>
  </sheetData>
  <autoFilter ref="A1:R8"/>
  <conditionalFormatting sqref="H2:H8">
    <cfRule type="expression" priority="8" dxfId="70">
      <formula>NOT(AND(OR($D2="retain",$D2=""),$E2="statistical_results"))</formula>
    </cfRule>
  </conditionalFormatting>
  <conditionalFormatting sqref="I2:I8">
    <cfRule type="expression" priority="9" dxfId="70">
      <formula>NOT(AND(OR($D2="retain",$D2=""),$E2="statistical_results"))</formula>
    </cfRule>
  </conditionalFormatting>
  <conditionalFormatting sqref="J2:J8">
    <cfRule type="expression" priority="10" dxfId="70">
      <formula>NOT(AND(OR($D2="retain",$D2=""),$E2="statistical_results"))</formula>
    </cfRule>
  </conditionalFormatting>
  <conditionalFormatting sqref="K2:K8">
    <cfRule type="expression" priority="11" dxfId="70">
      <formula>NOT(AND(OR($D2="retain",$D2=""),OR($E2="report_internal_inconsistency",$E2="plan_material")))</formula>
    </cfRule>
  </conditionalFormatting>
  <conditionalFormatting sqref="L2:L8">
    <cfRule type="expression" priority="12" dxfId="70">
      <formula>NOT(AND(OR($D2="retain",$D2=""),$E2="protocol_report"))</formula>
    </cfRule>
  </conditionalFormatting>
  <conditionalFormatting sqref="G2:G8">
    <cfRule type="expression" priority="13" dxfId="71">
      <formula>G2&lt;&gt;"PRIMARY READY"</formula>
    </cfRule>
  </conditionalFormatting>
  <dataValidations count="8">
    <dataValidation sqref="D2:D8" showDropDown="0" showInputMessage="0" showErrorMessage="1" allowBlank="1" errorTitle="Use a listed option" error="Choose an option; G also checks pasted entries." type="list" errorStyle="stop">
      <formula1>"retain,exclude,discuss"</formula1>
    </dataValidation>
    <dataValidation sqref="E2:E8"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8" showDropDown="0" showInputMessage="0" showErrorMessage="1" allowBlank="1" errorTitle="Use a listed option" error="Choose an option; G also checks pasted entries." type="list" errorStyle="stop">
      <formula1>"no,primary_done"</formula1>
    </dataValidation>
    <dataValidation sqref="H2:H8"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8" showDropDown="0" showInputMessage="0" showErrorMessage="1" allowBlank="1" errorTitle="Use a listed option" error="Choose an option; G also checks pasted entries." type="list" errorStyle="stop">
      <formula1>"substantive,minor_presentation,indeterminate,not_applicable"</formula1>
    </dataValidation>
    <dataValidation sqref="J2:J8" showDropDown="0" showInputMessage="0" showErrorMessage="1" allowBlank="1" errorTitle="Use a listed option" error="Choose an option; G also checks pasted entries." type="list" errorStyle="stop">
      <formula1>"direct,possible,unlikely,unknown,not_applicable"</formula1>
    </dataValidation>
    <dataValidation sqref="K2:K8"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8"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20"/>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2025::jama.2025.20765::C001</t>
        </is>
      </c>
      <c r="B2" s="20" t="inlineStr">
        <is>
          <t>Protocol SMS totals and frequency schedules do not reconcile</t>
        </is>
      </c>
      <c r="C2" s="20" t="inlineStr">
        <is>
          <t>jama_zahid_2025_oi_250093_1768590553.08463.pdf — DOC-001 — PDF p. 1, abstract intervention; REPORT; jama_zahid_2025_oi_250093_1768590553.08463.pdf — DOC-001 — PDF p. 3, Trial Intervention; REPORT; joi250093supp1_prod_1768590553.08963.pdf — DOC-002 — PDF p. 16, lines386–390, earlier-component dose paragraph; PLAN; joi250093supp1_prod_1768590553.08963.pdf — DOC-002 — PDF p. 53, lines1526–1530, later-component dose paragraph; PLAN; joi250093supp1_prod_1768590553.08963.pdf — DOC-002 — PDF p. 77, change note; PLAN; joi250093supp1_prod_1768590553.08963.pdf — DOC-002 — PDF p. 80, lines2532–2536, SAP dose; PLAN</t>
        </is>
      </c>
      <c r="D2" s="21" t="inlineStr">
        <is>
          <t>retain</t>
        </is>
      </c>
      <c r="E2" s="21" t="inlineStr">
        <is>
          <t>protocol_report</t>
        </is>
      </c>
      <c r="F2" s="21" t="inlineStr">
        <is>
          <t>primary_done</t>
        </is>
      </c>
      <c r="G2" s="20">
        <f>IFERROR(IF(LEN(TRIM(CLEAN(SUBSTITUTE(Setup!$B$2,CHAR(160)," "))))=0,"CHECK REVIEWER ID",IF(OR(A2="",COUNTIF($A$2:$A$20,A2)&lt;&gt;1,LEFT(A2,LEN("2025::jama.2025.20765::"))&lt;&gt;"2025::jama.2025.20765::"),"CHECK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substantive_difference</t>
        </is>
      </c>
      <c r="M2" s="20" t="n"/>
      <c r="N2" s="23" t="n"/>
      <c r="O2" s="23" t="n"/>
      <c r="P2" s="23" t="n"/>
      <c r="Q2" s="23" t="n"/>
      <c r="R2" s="22" t="inlineStr">
        <is>
          <t>Supplement 1 (text layer font-encoded; OCR): protocol v4.0 p16: 178 SMS, 4-5/day months 1-2, 2-3/day months 3-4, 1-2/week months 5-6. Protocol v6.0 (latest) p53: 134 SMS but 4-5/day months 1-2, 1-2/day months 3-4, 1/week months 5-6, a schedule that cannot total 134 (months 1-2 alone &gt;=240). SAP p80: 3-4/day month 1, ... 1/month last four months. Article p1/p3: 134 messages, 100 in month 1, 30 in month 2, 4 monthly. Report matches the SAP, not the latest protocol schedule.</t>
        </is>
      </c>
    </row>
    <row r="3" ht="92" customHeight="1" s="25">
      <c r="A3" s="24" t="inlineStr">
        <is>
          <t>2025::jama.2025.20765::C002</t>
        </is>
      </c>
      <c r="B3" s="24" t="inlineStr">
        <is>
          <t>Operational eligibility criteria differ from the plan list</t>
        </is>
      </c>
      <c r="C3" s="24" t="inlineStr">
        <is>
          <t>jama_zahid_2025_oi_250093_1768590553.08463.pdf — DOC-001 — PDF p. 2, eligibility paragraph; REPORT; jama_zahid_2025_oi_250093_1768590553.08463.pdf — DOC-001 — PDF p. 4, Figure1 exclusions; REPORT; joi250093supp1_prod_1768590553.08963.pdf — DOC-002 — PDF p. 11, lines235–255 complete participant lists; PLAN; joi250093supp1_prod_1768590553.08963.pdf — DOC-002 — PDF p. 49, lines1375–1395 complete participant lists; PLAN; joi250093supp2_prod_1768590553.09463.pdf — DOC-003 — PDF p. 3, eTable1 smoking and SMS-reader reasons; REPORT</t>
        </is>
      </c>
      <c r="D3" s="21" t="inlineStr">
        <is>
          <t>retain</t>
        </is>
      </c>
      <c r="E3" s="21" t="inlineStr">
        <is>
          <t>protocol_report</t>
        </is>
      </c>
      <c r="F3" s="21" t="inlineStr">
        <is>
          <t>primary_done</t>
        </is>
      </c>
      <c r="G3" s="24">
        <f>IFERROR(IF(LEN(TRIM(CLEAN(SUBSTITUTE(Setup!$B$2,CHAR(160)," "))))=0,"CHECK REVIEWER ID",IF(OR(A3="",COUNTIF($A$2:$A$20,A3)&lt;&gt;1,LEFT(A3,LEN("2025::jama.2025.20765::"))&lt;&gt;"2025::jama.2025.20765::"),"CHECK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substantive_difference</t>
        </is>
      </c>
      <c r="M3" s="24" t="n"/>
      <c r="N3" s="23" t="n"/>
      <c r="O3" s="23" t="n"/>
      <c r="P3" s="23" t="n"/>
      <c r="Q3" s="23" t="n"/>
      <c r="R3" s="22" t="inlineStr">
        <is>
          <t>Protocol v4.0 p11 and v6.0 p49 (OCR): include current daily smokers OR those who 'have only stopped or reduced smoking (less than daily) since diagnosed with TB'; exclusions: &lt;15 y, retreatment/MDR/miliary/extrapulmonary TB, current pharmacotherapy, unable to consent. Article p2: daily smoking (&gt;=1 puff on &gt;=25 of last 30 days) required; Figure 1 p4 and eTable 1 also exclude 'cannot read and no one at home can read SMS' (236) and 'not current smoker' (7069). The recent-quitter route is absent and a literacy criterion is added.</t>
        </is>
      </c>
    </row>
    <row r="4" ht="92" customHeight="1" s="25">
      <c r="A4" s="20" t="inlineStr">
        <is>
          <t>2025::jama.2025.20765::C003</t>
        </is>
      </c>
      <c r="B4" s="20" t="inlineStr">
        <is>
          <t>Prospective quit-date and reminder calendar differ from the report</t>
        </is>
      </c>
      <c r="C4" s="20" t="inlineStr">
        <is>
          <t>jama_zahid_2025_oi_250093_1768590553.08463.pdf — DOC-001 — PDF p. 3, Trial Outcomes and Trial Intervention; REPORT; joi250093supp1_prod_1768590553.08963.pdf — DOC-002 — PDF p. 101, enrollment Q(−8)/Tx(+1), message6 and footnotes; PLAN; joi250093supp1_prod_1768590553.08963.pdf — DOC-002 — PDF p. 103, Q(−1)/Tx(+8) and quit transition; PLAN; joi250093supp1_prod_1768590553.08963.pdf — DOC-002 — PDF p. 104, quit-date ordinal label and messages39–44; PLAN; joi250093supp1_prod_1768590553.08963.pdf — DOC-002 — PDF p. 109, messages129–134 and follow-up phase; PLAN</t>
        </is>
      </c>
      <c r="D4" s="21" t="inlineStr">
        <is>
          <t>retain</t>
        </is>
      </c>
      <c r="E4" s="21" t="inlineStr">
        <is>
          <t>protocol_report</t>
        </is>
      </c>
      <c r="F4" s="21" t="inlineStr">
        <is>
          <t>primary_done</t>
        </is>
      </c>
      <c r="G4" s="20">
        <f>IFERROR(IF(LEN(TRIM(CLEAN(SUBSTITUTE(Setup!$B$2,CHAR(160)," "))))=0,"CHECK REVIEWER ID",IF(OR(A4="",COUNTIF($A$2:$A$20,A4)&lt;&gt;1,LEFT(A4,LEN("2025::jama.2025.20765::"))&lt;&gt;"2025::jama.2025.20765::"),"CHECK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SMS log in Supplement 1 pp101-104 (OCR): enrollment is Q(-8); message 6 on day 2 sets a quit date '7 days from today'; message 40 'Today is your QUIT DATE' on the 8th day since joining. Article p3: quit date 'set 5 days after enrollment'. The quit date anchors the continuous-abstinence definition ('since the quit date').</t>
        </is>
      </c>
    </row>
    <row r="5" ht="92" customHeight="1" s="25">
      <c r="A5" s="24" t="inlineStr">
        <is>
          <t>2025::jama.2025.20765::C004</t>
        </is>
      </c>
      <c r="B5" s="24" t="inlineStr">
        <is>
          <t>Primary cotinine verification lacks a planned-to-reported criterion crosswalk</t>
        </is>
      </c>
      <c r="C5" s="24" t="inlineStr">
        <is>
          <t>jama_zahid_2025_oi_250093_1768590553.08463.pdf — DOC-001 — PDF p. 3, Trial Outcomes cotinine verification; REPORT; joi250093supp1_prod_1768590553.08963.pdf — DOC-002 — PDF p. 8, lines158–161 primary endpoint; PLAN; joi250093supp1_prod_1768590553.08963.pdf — DOC-002 — PDF p. 47, lines1298–1301 primary endpoint; PLAN; joi250093supp1_prod_1768590553.08963.pdf — DOC-002 — PDF p. 84, lines2661–2665 SAP primary endpoint; PLAN</t>
        </is>
      </c>
      <c r="D5" s="21" t="inlineStr">
        <is>
          <t>retain</t>
        </is>
      </c>
      <c r="E5" s="21" t="inlineStr">
        <is>
          <t>protocol_report</t>
        </is>
      </c>
      <c r="F5" s="21" t="inlineStr">
        <is>
          <t>primary_done</t>
        </is>
      </c>
      <c r="G5" s="24">
        <f>IFERROR(IF(LEN(TRIM(CLEAN(SUBSTITUTE(Setup!$B$2,CHAR(160)," "))))=0,"CHECK REVIEWER ID",IF(OR(A5="",COUNTIF($A$2:$A$20,A5)&lt;&gt;1,LEFT(A5,LEN("2025::jama.2025.20765::"))&lt;&gt;"2025::jama.2025.20765::"),"CHECK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t="inlineStr">
        <is>
          <t>substantive_difference</t>
        </is>
      </c>
      <c r="M5" s="24" t="n"/>
      <c r="N5" s="23" t="n"/>
      <c r="O5" s="23" t="n"/>
      <c r="P5" s="23" t="n"/>
      <c r="Q5" s="23" t="n"/>
      <c r="R5" s="22" t="inlineStr">
        <is>
          <t>Protocol v4.0 p8, v6.0 p47 and SAP p84 (OCR): smokeless-tobacco users verified with NicAlert urine strips, level &lt;3 (about 100-200 ng/mL cotinine) = abstinent. Article p3: a rapid cotinine test cassette (Hangzhou AllTest) with a negative result = abstinent. Different device and decision threshold for verifying the primary outcome in concomitant smokeless users (58 at baseline). Not disclosed as a change.</t>
        </is>
      </c>
    </row>
    <row r="6" ht="92" customHeight="1" s="25">
      <c r="A6" s="20" t="inlineStr">
        <is>
          <t>2025::jama.2025.20765::C005</t>
        </is>
      </c>
      <c r="B6" s="20" t="inlineStr">
        <is>
          <t>Primary model changes from protocol Poisson/log link to SAP/report logistic</t>
        </is>
      </c>
      <c r="C6" s="20" t="inlineStr">
        <is>
          <t>jama_zahid_2025_oi_250093_1768590553.08463.pdf — DOC-001 — PDF p. 3, Statistical Analysis; REPORT; joi250093supp1_prod_1768590553.08963.pdf — DOC-002 — PDF p. 28, lines759–764 statistical-analysis paragraph; PLAN; joi250093supp1_prod_1768590553.08963.pdf — DOC-002 — PDF p. 66, lines2011–2016 statistical-analysis paragraph; PLAN; joi250093supp1_prod_1768590553.08963.pdf — DOC-002 — PDF p. 77, change note; PLAN; joi250093supp1_prod_1768590553.08963.pdf — DOC-002 — PDF p. 91, lines2884–2889 primary model; PLAN; joi250093supp1_prod_1768590553.08963.pdf — DOC-002 — PDF p. 92, lines2919–2926 adjusted model; PLAN</t>
        </is>
      </c>
      <c r="D6" s="21" t="inlineStr">
        <is>
          <t>retain</t>
        </is>
      </c>
      <c r="E6" s="21" t="inlineStr">
        <is>
          <t>protocol_report</t>
        </is>
      </c>
      <c r="F6" s="21" t="inlineStr">
        <is>
          <t>primary_done</t>
        </is>
      </c>
      <c r="G6" s="20">
        <f>IFERROR(IF(LEN(TRIM(CLEAN(SUBSTITUTE(Setup!$B$2,CHAR(160)," "))))=0,"CHECK REVIEWER ID",IF(OR(A6="",COUNTIF($A$2:$A$20,A6)&lt;&gt;1,LEFT(A6,LEN("2025::jama.2025.20765::"))&lt;&gt;"2025::jama.2025.20765::"),"CHECK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t="inlineStr">
        <is>
          <t>substantive_difference</t>
        </is>
      </c>
      <c r="M6" s="20" t="n"/>
      <c r="N6" s="23" t="n"/>
      <c r="O6" s="23" t="n"/>
      <c r="P6" s="23" t="n"/>
      <c r="Q6" s="23" t="n"/>
      <c r="R6" s="22" t="inlineStr">
        <is>
          <t>Protocol v4.0 §11.2.2 p28 and v6.0 §28.2.2 p66 (OCR): GLMM with log link, Poisson distribution, cluster random intercept, crude and adjusted RRs. SAP p91-92 and article p3: mixed-effects logistic regression with site random effect, results expressed as RR. The change log (p77) does not mention the model change. Report follows the SAP.</t>
        </is>
      </c>
    </row>
    <row r="7" ht="92" customHeight="1" s="25">
      <c r="A7" s="24" t="inlineStr">
        <is>
          <t>2025::jama.2025.20765::C006</t>
        </is>
      </c>
      <c r="B7" s="24" t="inlineStr">
        <is>
          <t>Risk-ratio derivation from stated logistic analysis is unclear</t>
        </is>
      </c>
      <c r="C7" s="24" t="inlineStr">
        <is>
          <t>jama_zahid_2025_oi_250093_1768590553.08463.pdf — DOC-001 — PDF p. 3, Statistical Analysis categorical model; REPORT; jama_zahid_2025_oi_250093_1768590553.08463.pdf — DOC-001 — PDF p. 6, Table2 RR columns and notea; REPORT; joi250093supp2_prod_1768590553.09463.pdf — DOC-003 — PDF p. 11, eTable7 relative-risk row; REPORT; joi250093supp2_prod_1768590553.09463.pdf — DOC-003 — PDF p. 13, eTable9 RR columns; REPORT; joi250093supp2_prod_1768590553.09463.pdf — DOC-003 — PDF p. 14, eTable9 notee; REPORT</t>
        </is>
      </c>
      <c r="D7" s="21" t="inlineStr">
        <is>
          <t>retain</t>
        </is>
      </c>
      <c r="E7" s="21" t="inlineStr">
        <is>
          <t>statistical_results</t>
        </is>
      </c>
      <c r="F7" s="21" t="inlineStr">
        <is>
          <t>primary_done</t>
        </is>
      </c>
      <c r="G7" s="24">
        <f>IFERROR(IF(LEN(TRIM(CLEAN(SUBSTITUTE(Setup!$B$2,CHAR(160)," "))))=0,"CHECK REVIEWER ID",IF(OR(A7="",COUNTIF($A$2:$A$20,A7)&lt;&gt;1,LEFT(A7,LEN("2025::jama.2025.20765::"))&lt;&gt;"2025::jama.2025.20765::"),"CHECK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t="inlineStr">
        <is>
          <t>confirmed_issue</t>
        </is>
      </c>
      <c r="I7" s="21" t="inlineStr">
        <is>
          <t>substantive</t>
        </is>
      </c>
      <c r="J7" s="22" t="inlineStr">
        <is>
          <t>direct</t>
        </is>
      </c>
      <c r="K7" s="21">
        <f>IF(AND(OR(D7="retain",D7=""),OR(E7="report_internal_inconsistency",E7="plan_material")),"","not_applicable")</f>
        <v/>
      </c>
      <c r="L7" s="22">
        <f>IF(AND(OR(D7="retain",D7=""),E7="protocol_report"),"","not_applicable")</f>
        <v/>
      </c>
      <c r="M7" s="24" t="n"/>
      <c r="N7" s="23" t="n"/>
      <c r="O7" s="23" t="n"/>
      <c r="P7" s="23" t="n"/>
      <c r="Q7" s="23" t="n"/>
      <c r="R7" s="22" t="inlineStr">
        <is>
          <t>Methods p3: mixed-effects logistic regression; Table 2 p6 reports 'Crude RR'. Crude risk ratios from the printed counts do not match: primary 300/720 vs 55/360 = 2.73 (Wald 2.11-3.53) vs printed crude RR 3.0 (2.0-4.9); TB success 643/720 vs 308/360 = 1.04 vs printed 1.2 (0.9-1.6); eTable 9 TB success 92.5% vs 92.5% = 1.00 vs printed crude RR 1.1. Also eTable 8 'All' unadjusted RR 2.890 (1.983-4.709) differs from Table 2 crude ITT 3.0 (2.0-4.9) but equals the PP row 2.9 (2.0-4.7). How RRs were derived from a logit model is not stated.</t>
        </is>
      </c>
    </row>
    <row r="8" ht="92" customHeight="1" s="25">
      <c r="A8" s="20" t="inlineStr">
        <is>
          <t>2025::jama.2025.20765::C007</t>
        </is>
      </c>
      <c r="B8" s="20" t="inlineStr">
        <is>
          <t>Planned tobacco-use-form adjustment has no reported primary counterpart</t>
        </is>
      </c>
      <c r="C8" s="20" t="inlineStr">
        <is>
          <t>jama_zahid_2025_oi_250093_1768590553.08463.pdf — DOC-001 — PDF p. 3, finite post hoc fixed-effect list; REPORT; jama_zahid_2025_oi_250093_1768590553.08463.pdf — DOC-001 — PDF p. 4, Primary Outcome adjusted analysis; REPORT; jama_zahid_2025_oi_250093_1768590553.08463.pdf — DOC-001 — PDF p. 6, Table2 notea; REPORT; joi250093supp1_prod_1768590553.08963.pdf — DOC-002 — PDF p. 92, lines2919–2926 fully adjusted models; PLAN; joi250093supp2_prod_1768590553.09463.pdf — DOC-003 — PDF p. 14, eTable9 notee; REPORT</t>
        </is>
      </c>
      <c r="D8" s="21" t="inlineStr">
        <is>
          <t>retain</t>
        </is>
      </c>
      <c r="E8" s="21" t="inlineStr">
        <is>
          <t>protocol_report</t>
        </is>
      </c>
      <c r="F8" s="21" t="inlineStr">
        <is>
          <t>primary_done</t>
        </is>
      </c>
      <c r="G8" s="20">
        <f>IFERROR(IF(LEN(TRIM(CLEAN(SUBSTITUTE(Setup!$B$2,CHAR(160)," "))))=0,"CHECK REVIEWER ID",IF(OR(A8="",COUNTIF($A$2:$A$20,A8)&lt;&gt;1,LEFT(A8,LEN("2025::jama.2025.20765::"))&lt;&gt;"2025::jama.2025.20765::"),"CHECK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t="inlineStr">
        <is>
          <t>substantive_difference</t>
        </is>
      </c>
      <c r="M8" s="20" t="n"/>
      <c r="N8" s="23" t="n"/>
      <c r="O8" s="23" t="n"/>
      <c r="P8" s="23" t="n"/>
      <c r="Q8" s="23" t="n"/>
      <c r="R8" s="22" t="inlineStr">
        <is>
          <t>SAP §36 p92 (OCR): fully adjusted model includes tobacco use form plus baseline characteristics (education, smoking duration). Article p3/p4 and Table 2 footnote a: adjusted RR 3.2 adjusted for age, sex, education, occupation, smoking duration, 'selected post hoc'; no tobacco-use-form term (despite smokeless use 6.9% vs 2.2% imbalance). Disclosed as post hoc covariate selection.</t>
        </is>
      </c>
    </row>
    <row r="9" ht="92" customHeight="1" s="25">
      <c r="A9" s="24" t="inlineStr">
        <is>
          <t>2025::jama.2025.20765::C008</t>
        </is>
      </c>
      <c r="B9" s="24" t="inlineStr">
        <is>
          <t>CO&lt;6 sensitivity results appear under a primary-outcome status label</t>
        </is>
      </c>
      <c r="C9" s="24" t="inlineStr">
        <is>
          <t>jama_zahid_2025_oi_250093_1768590553.08463.pdf — DOC-001 — PDF p. 3, primaryCO&lt;10 and posthocCO&lt;6 sensitivity; REPORT; jama_zahid_2025_oi_250093_1768590553.08463.pdf — DOC-001 — PDF p. 6, Table2 Primary outcome block, both CO&lt;6 ITT and PP rows; REPORT; joi250093supp1_prod_1768590553.08963.pdf — DOC-002 — PDF p. 84, lines2653–2669 primary endpoint; PLAN; joi250093supp2_prod_1768590553.09463.pdf — DOC-003 — PDF p. 13, eTable9 Primary outcomes CO&lt;6row; REPORT</t>
        </is>
      </c>
      <c r="D9" s="21" t="inlineStr">
        <is>
          <t>retain</t>
        </is>
      </c>
      <c r="E9" s="21" t="inlineStr">
        <is>
          <t>protocol_report</t>
        </is>
      </c>
      <c r="F9" s="21" t="inlineStr">
        <is>
          <t>primary_done</t>
        </is>
      </c>
      <c r="G9" s="24">
        <f>IFERROR(IF(LEN(TRIM(CLEAN(SUBSTITUTE(Setup!$B$2,CHAR(160)," "))))=0,"CHECK REVIEWER ID",IF(OR(A9="",COUNTIF($A$2:$A$20,A9)&lt;&gt;1,LEFT(A9,LEN("2025::jama.2025.20765::"))&lt;&gt;"2025::jama.2025.20765::"),"CHECK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t="inlineStr">
        <is>
          <t>minor_presentation</t>
        </is>
      </c>
      <c r="M9" s="24" t="n"/>
      <c r="N9" s="23" t="n"/>
      <c r="O9" s="23" t="n"/>
      <c r="P9" s="23" t="n"/>
      <c r="Q9" s="23" t="n"/>
      <c r="R9" s="22" t="inlineStr">
        <is>
          <t>SAP p84 primary: CO &lt;10 ppm. Article p3-4: CO &lt;6 ppm is a post hoc sensitivity analysis (disclosed). Table 2 p6 and eTable 9 p13 list the CO&lt;6 ITT and PP rows inside the 'Primary outcome' block. The analysis is unplanned and disclosed; the table heading groups it with the primary outcome, which a reader can resolve from the text. Disclosed.</t>
        </is>
      </c>
    </row>
    <row r="10" ht="92" customHeight="1" s="25">
      <c r="A10" s="20" t="inlineStr">
        <is>
          <t>2025::jama.2025.20765::C009</t>
        </is>
      </c>
      <c r="B10" s="20" t="inlineStr">
        <is>
          <t>Primary missing-outcome handling differs between protocol and SAP/report</t>
        </is>
      </c>
      <c r="C10" s="20" t="inlineStr">
        <is>
          <t>jama_zahid_2025_oi_250093_1768590553.08463.pdf — DOC-001 — PDF p. 3, missing-primary-outcome paragraph; REPORT; jama_zahid_2025_oi_250093_1768590553.08463.pdf — DOC-001 — PDF p. 4, Figure1 attrition and analysis totals; REPORT; joi250093supp1_prod_1768590553.08963.pdf — DOC-002 — PDF p. 28, lines759–764 separately headed Statistical analysis; PLAN; joi250093supp1_prod_1768590553.08963.pdf — DOC-002 — PDF p. 66, lines2012–2016 separately headed Statistical analysis; PLAN; joi250093supp1_prod_1768590553.08963.pdf — DOC-002 — PDF p. 91, lines2890–2892 ITT and Russell Standard; PLAN</t>
        </is>
      </c>
      <c r="D10" s="21" t="inlineStr">
        <is>
          <t>retain</t>
        </is>
      </c>
      <c r="E10" s="21" t="inlineStr">
        <is>
          <t>protocol_report</t>
        </is>
      </c>
      <c r="F10" s="21" t="inlineStr">
        <is>
          <t>primary_done</t>
        </is>
      </c>
      <c r="G10" s="20">
        <f>IFERROR(IF(LEN(TRIM(CLEAN(SUBSTITUTE(Setup!$B$2,CHAR(160)," "))))=0,"CHECK REVIEWER ID",IF(OR(A10="",COUNTIF($A$2:$A$20,A10)&lt;&gt;1,LEFT(A10,LEN("2025::jama.2025.20765::"))&lt;&gt;"2025::jama.2025.20765::"),"CHECK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t="inlineStr">
        <is>
          <t>substantive_difference</t>
        </is>
      </c>
      <c r="M10" s="20" t="n"/>
      <c r="N10" s="23" t="n"/>
      <c r="O10" s="23" t="n"/>
      <c r="P10" s="23" t="n"/>
      <c r="Q10" s="23" t="n"/>
      <c r="R10" s="22" t="inlineStr">
        <is>
          <t>Protocol v4.0 p28 and v6.0 p66 (OCR): outcomes 'primarily analysed in a missing-at-random architecture' with GLMMs. SAP p91 and article p3: ITT with all missing primary outcomes counted as smoking (Russell Standard), plus complete-case analysis. 95/1080 (8.8%) missing, including 52 deaths.</t>
        </is>
      </c>
    </row>
    <row r="11" ht="92" customHeight="1" s="25">
      <c r="A11" s="24" t="inlineStr">
        <is>
          <t>2025::jama.2025.20765::C010</t>
        </is>
      </c>
      <c r="B11" s="24" t="inlineStr">
        <is>
          <t>Prespecified gender-specific primary analyses are not reported</t>
        </is>
      </c>
      <c r="C11" s="24" t="inlineStr">
        <is>
          <t>jama_zahid_2025_oi_250093_1768590553.08463.pdf — DOC-001 — PDF p. 3, prespecified subgroup list; REPORT; jama_zahid_2025_oi_250093_1768590553.08463.pdf — DOC-001 — PDF p. 5, subgroup consistency narrative; REPORT; joi250093supp1_prod_1768590553.08963.pdf — DOC-002 — PDF p. 92, lines2936–2939 subgroup analysis introduction; PLAN; joi250093supp1_prod_1768590553.08963.pdf — DOC-002 — PDF p. 93, lines2940–2952, gender and interval disclosure; PLAN; joi250093supp1_prod_1768590553.08963.pdf — DOC-002 — PDF p. 99, Gender Male/Female table shell; PLAN; joi250093supp2_prod_1768590553.09463.pdf — DOC-003 — PDF p. 12, complete eTable8; REPORT</t>
        </is>
      </c>
      <c r="D11" s="21" t="inlineStr">
        <is>
          <t>retain</t>
        </is>
      </c>
      <c r="E11" s="21" t="inlineStr">
        <is>
          <t>protocol_report</t>
        </is>
      </c>
      <c r="F11" s="21" t="inlineStr">
        <is>
          <t>primary_done</t>
        </is>
      </c>
      <c r="G11" s="24">
        <f>IFERROR(IF(LEN(TRIM(CLEAN(SUBSTITUTE(Setup!$B$2,CHAR(160)," "))))=0,"CHECK REVIEWER ID",IF(OR(A11="",COUNTIF($A$2:$A$20,A11)&lt;&gt;1,LEFT(A11,LEN("2025::jama.2025.20765::"))&lt;&gt;"2025::jama.2025.20765::"),"CHECK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t="inlineStr">
        <is>
          <t>substantive_difference</t>
        </is>
      </c>
      <c r="M11" s="24" t="n"/>
      <c r="N11" s="23" t="n"/>
      <c r="O11" s="23" t="n"/>
      <c r="P11" s="23" t="n"/>
      <c r="Q11" s="23" t="n"/>
      <c r="R11" s="22" t="inlineStr">
        <is>
          <t>SAP §38 pp92-93 and shell p99 (OCR): subgroups include gender (male vs female). Article p3 lists prespecified subgroups age, education, employment, smoking duration; eTable 8 p12 has no gender row (but adds 'Reading SMS'). No gender subgroup result anywhere. Only 37 women enrolled, which may explain omission, but no reason is given.</t>
        </is>
      </c>
    </row>
    <row r="12" ht="92" customHeight="1" s="25">
      <c r="A12" s="20" t="inlineStr">
        <is>
          <t>2025::jama.2025.20765::C011</t>
        </is>
      </c>
      <c r="B12" s="20" t="inlineStr">
        <is>
          <t>Current primary-data attrition assumptions differ</t>
        </is>
      </c>
      <c r="C12" s="20" t="inlineStr">
        <is>
          <t>jama_zahid_2025_oi_250093_1768590553.08463.pdf — DOC-001 — PDF p. 3, sample-size20%attrition; REPORT; joi250093supp1_prod_1768590553.08963.pdf — DOC-002 — PDF p. 48, lines1344–1347 primary-data10%; PLAN; joi250093supp1_prod_1768590553.08963.pdf — DOC-002 — PDF p. 62, lines1861–1863 primary-data10%; PLAN; joi250093supp1_prod_1768590553.08963.pdf — DOC-002 — PDF p. 63, lines1894–1898 Phase3 20%calculation; PLAN; joi250093supp1_prod_1768590553.08963.pdf — DOC-002 — PDF p. 64, lines1936–1938 Phase4 contextual20%calculation; PLAN; joi250093supp1_prod_1768590553.08963.pdf — DOC-002 — PDF p. 77, sample-sizeamendment; PLAN; joi250093supp1_prod_1768590553.08963.pdf — DOC-002 — PDF p. 83, lines2624–2638 SAP20%; PLAN</t>
        </is>
      </c>
      <c r="D12" s="21" t="inlineStr">
        <is>
          <t>exclude</t>
        </is>
      </c>
      <c r="E12" s="21" t="inlineStr">
        <is>
          <t>protocol_report</t>
        </is>
      </c>
      <c r="F12" s="21" t="inlineStr">
        <is>
          <t>primary_done</t>
        </is>
      </c>
      <c r="G12" s="20">
        <f>IFERROR(IF(LEN(TRIM(CLEAN(SUBSTITUTE(Setup!$B$2,CHAR(160)," "))))=0,"CHECK REVIEWER ID",IF(OR(A12="",COUNTIF($A$2:$A$20,A12)&lt;&gt;1,LEFT(A12,LEN("2025::jama.2025.20765::"))&lt;&gt;"2025::jama.2025.20765::"),"CHECK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f>IF(AND(OR(D12="retain",D12=""),OR(E12="report_internal_inconsistency",E12="plan_material")),"","not_applicable")</f>
        <v/>
      </c>
      <c r="L12" s="22">
        <f>IF(AND(OR(D12="retain",D12=""),E12="protocol_report"),"","not_applicable")</f>
        <v/>
      </c>
      <c r="M12" s="20" t="n"/>
      <c r="N12" s="23" t="n"/>
      <c r="O12" s="23" t="n"/>
      <c r="P12" s="23" t="n"/>
      <c r="Q12" s="23" t="n"/>
      <c r="R12" s="22" t="inlineStr">
        <is>
          <t>Protocol v6.0 p48 and p62 (OCR) state 10% missing primary data for the whole multi-phase study (2,716 participants), but the Phase 3 calculation in the same protocol (p63) uses 20% attrition (587 to 704), as do the SAP (p83) and the article (p3). For Phase 3, plan and report agree; the 10% is a stale overall figure inside the plan (2,716 = 1080 + 1620 + 16 is itself built from 20%-inflated phase totals).</t>
        </is>
      </c>
    </row>
    <row r="13" ht="92" customHeight="1" s="25">
      <c r="A13" s="24" t="inlineStr">
        <is>
          <t>2025::jama.2025.20765::C012</t>
        </is>
      </c>
      <c r="B13" s="24" t="inlineStr">
        <is>
          <t>All-cause mortality percentage is attributed to TB-specific mortality</t>
        </is>
      </c>
      <c r="C13" s="24" t="inlineStr">
        <is>
          <t>jama_zahid_2025_oi_250093_1768590553.08463.pdf — DOC-001 — PDF p. 1, 1080randomized,corroboratingdenominator; REPORT; jama_zahid_2025_oi_250093_1768590553.08463.pdf — DOC-001 — PDF p. 4, Figure1 death25/27 and1080enrolled; REPORT; jama_zahid_2025_oi_250093_1768590553.08463.pdf — DOC-001 — PDF p. 5, TBcause32/52; REPORT; jama_zahid_2025_oi_250093_1768590553.08463.pdf — DOC-001 — PDF p. 6, Table2 deaths25/720and27/360; REPORT; jama_zahid_2025_oi_250093_1768590553.08463.pdf — DOC-001 — PDF p. 8, discussion4.8%diedofTB; REPORT; joi250093supp2_prod_1768590553.09463.pdf — DOC-003 — PDF p. 6, eTable4 total52 andTB32; REPORT</t>
        </is>
      </c>
      <c r="D13" s="21" t="inlineStr">
        <is>
          <t>retain</t>
        </is>
      </c>
      <c r="E13" s="21" t="inlineStr">
        <is>
          <t>statistical_results</t>
        </is>
      </c>
      <c r="F13" s="21" t="inlineStr">
        <is>
          <t>primary_done</t>
        </is>
      </c>
      <c r="G13" s="24">
        <f>IFERROR(IF(LEN(TRIM(CLEAN(SUBSTITUTE(Setup!$B$2,CHAR(160)," "))))=0,"CHECK REVIEWER ID",IF(OR(A13="",COUNTIF($A$2:$A$20,A13)&lt;&gt;1,LEFT(A13,LEN("2025::jama.2025.20765::"))&lt;&gt;"2025::jama.2025.20765::"),"CHECK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t="inlineStr">
        <is>
          <t>confirmed_issue</t>
        </is>
      </c>
      <c r="I13" s="21" t="inlineStr">
        <is>
          <t>substantive</t>
        </is>
      </c>
      <c r="J13" s="22" t="inlineStr">
        <is>
          <t>possible</t>
        </is>
      </c>
      <c r="K13" s="21">
        <f>IF(AND(OR(D13="retain",D13=""),OR(E13="report_internal_inconsistency",E13="plan_material")),"","not_applicable")</f>
        <v/>
      </c>
      <c r="L13" s="22">
        <f>IF(AND(OR(D13="retain",D13=""),E13="protocol_report"),"","not_applicable")</f>
        <v/>
      </c>
      <c r="M13" s="24" t="n"/>
      <c r="N13" s="23" t="n"/>
      <c r="O13" s="23" t="n"/>
      <c r="P13" s="23" t="n"/>
      <c r="Q13" s="23" t="n"/>
      <c r="R13" s="22" t="inlineStr">
        <is>
          <t>E changed to statistical_results (numerical misattribution). Discussion p8: '4.8% of the trial participants died of TB within 6 months'. Deaths from all causes were 52/1080 = 4.8%; TB deaths were 32/1080 = 3.0% (eTable 4 p6: 32 TB deaths; article p5: 61.5% [32/52]). The all-cause figure is presented as TB-specific mortality and used to compare with a prior trial.</t>
        </is>
      </c>
    </row>
    <row r="14" ht="92" customHeight="1" s="25">
      <c r="A14" s="20" t="inlineStr">
        <is>
          <t>2025::jama.2025.20765::C013</t>
        </is>
      </c>
      <c r="B14" s="20" t="inlineStr">
        <is>
          <t>Adverse-event narrative reverses two any-symptom arm directions</t>
        </is>
      </c>
      <c r="C14" s="20" t="inlineStr">
        <is>
          <t>jama_zahid_2025_oi_250093_1768590553.08463.pdf — DOC-001 — PDF p. 5, Adverse Events ordered percentages and summarysentence; REPORT; joi250093supp2_prod_1768590553.09463.pdf — DOC-003 — PDF p. 15, eTable10 irritability/anxiety severity rows; REPORT</t>
        </is>
      </c>
      <c r="D14" s="21" t="inlineStr">
        <is>
          <t>retain</t>
        </is>
      </c>
      <c r="E14" s="21" t="inlineStr">
        <is>
          <t>statistical_results</t>
        </is>
      </c>
      <c r="F14" s="21" t="inlineStr">
        <is>
          <t>primary_done</t>
        </is>
      </c>
      <c r="G14" s="20">
        <f>IFERROR(IF(LEN(TRIM(CLEAN(SUBSTITUTE(Setup!$B$2,CHAR(160)," "))))=0,"CHECK REVIEWER ID",IF(OR(A14="",COUNTIF($A$2:$A$20,A14)&lt;&gt;1,LEFT(A14,LEN("2025::jama.2025.20765::"))&lt;&gt;"2025::jama.2025.20765::"),"CHECK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t="inlineStr">
        <is>
          <t>confirmed_issue</t>
        </is>
      </c>
      <c r="I14" s="21" t="inlineStr">
        <is>
          <t>minor_presentation</t>
        </is>
      </c>
      <c r="J14" s="22" t="inlineStr">
        <is>
          <t>unlikely</t>
        </is>
      </c>
      <c r="K14" s="21">
        <f>IF(AND(OR(D14="retain",D14=""),OR(E14="report_internal_inconsistency",E14="plan_material")),"","not_applicable")</f>
        <v/>
      </c>
      <c r="L14" s="22">
        <f>IF(AND(OR(D14="retain",D14=""),E14="protocol_report"),"","not_applicable")</f>
        <v/>
      </c>
      <c r="M14" s="20" t="n"/>
      <c r="N14" s="23" t="n"/>
      <c r="O14" s="23" t="n"/>
      <c r="P14" s="23" t="n"/>
      <c r="Q14" s="23" t="n"/>
      <c r="R14" s="22" t="inlineStr">
        <is>
          <t>Article p5 lists any-symptom prevalences irritability 40.5% vs 43.4% and anxiety 33.3% vs 36.8% (mHealth vs usual care), then says 'dry mouth, irritability, and anxiety were more common in the mHealth group'. For irritability and anxiety any-symptom prevalence is lower with mHealth; eTable 10 p15 shows the significant chi-square reflects more moderate/severe grades (irritability 15.5% vs 8.4%; anxiety 9.3% vs 3.9%). Epigastric pain differed significantly in the other direction and is not mentioned.</t>
        </is>
      </c>
    </row>
    <row r="15" ht="92" customHeight="1" s="25">
      <c r="A15" s="24" t="inlineStr">
        <is>
          <t>2025::jama.2025.20765::C014</t>
        </is>
      </c>
      <c r="B15" s="24" t="inlineStr">
        <is>
          <t>Fourteen interval rows do not reproduce a rule fitting other display rows</t>
        </is>
      </c>
      <c r="C15" s="24" t="inlineStr">
        <is>
          <t>jama_zahid_2025_oi_250093_1768590553.08463.pdf — DOC-001 — PDF p. 6, Table2CO10PPadjusted,CO6PPcrude/adjusted,self-reportadjusted; REPORT; joi250093supp2_prod_1768590553.09463.pdf — DOC-003 — PDF p. 12, eTable8All,age≥40,primary,secondary,active,dependent,smoking&lt;24,readingNo; REPORT; joi250093supp2_prod_1768590553.09463.pdf — DOC-003 — PDF p. 13, eTable9CO10crude/adjusted; REPORT; joi250093supp2_prod_1768590553.09463.pdf — DOC-003 — PDF p. 14, population/adjustmentnotes; REPORT</t>
        </is>
      </c>
      <c r="D15" s="21" t="inlineStr">
        <is>
          <t>retain</t>
        </is>
      </c>
      <c r="E15" s="21" t="inlineStr">
        <is>
          <t>statistical_results</t>
        </is>
      </c>
      <c r="F15" s="21" t="inlineStr">
        <is>
          <t>primary_done</t>
        </is>
      </c>
      <c r="G15" s="24">
        <f>IFERROR(IF(LEN(TRIM(CLEAN(SUBSTITUTE(Setup!$B$2,CHAR(160)," "))))=0,"CHECK REVIEWER ID",IF(OR(A15="",COUNTIF($A$2:$A$20,A15)&lt;&gt;1,LEFT(A15,LEN("2025::jama.2025.20765::"))&lt;&gt;"2025::jama.2025.20765::"),"CHECK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
      </c>
      <c r="H15" s="21" t="inlineStr">
        <is>
          <t>indeterminate</t>
        </is>
      </c>
      <c r="I15" s="21" t="inlineStr">
        <is>
          <t>indeterminate</t>
        </is>
      </c>
      <c r="J15" s="22" t="inlineStr">
        <is>
          <t>possible</t>
        </is>
      </c>
      <c r="K15" s="21">
        <f>IF(AND(OR(D15="retain",D15=""),OR(E15="report_internal_inconsistency",E15="plan_material")),"","not_applicable")</f>
        <v/>
      </c>
      <c r="L15" s="22">
        <f>IF(AND(OR(D15="retain",D15=""),E15="protocol_report"),"","not_applicable")</f>
        <v/>
      </c>
      <c r="M15" s="24" t="n"/>
      <c r="N15" s="23" t="n"/>
      <c r="O15" s="23" t="n"/>
      <c r="P15" s="23" t="n"/>
      <c r="Q15" s="23" t="n"/>
      <c r="R15" s="22" t="inlineStr">
        <is>
          <t>Ratio estimates vs geometric midpoint of their CIs (r/p20765.R): some rows are log-symmetric (eTable 8 age &lt;40: 2.672 vs 2.674; Table 2 self-report crude 2.7 vs 2.72), many are not (eTable 8 All 2.890 vs 3.056; age &gt;=40 2.953 vs 3.229; dependent 2.587 vs 2.302; eTable 9 CO&lt;10 crude 2.9 vs 3.39; Table 2 CO&lt;6 PP adjusted 3.8 vs 4.21). Asymmetric intervals can arise from legitimate methods (e.g., converted OR intervals, profile likelihood), and the interval method is not stated, so inconsistency cannot be established. Also noted: Table 2 self-report adjusted CI printed '1.9 to 42' (typo for 4.2).</t>
        </is>
      </c>
    </row>
    <row r="16" ht="92" customHeight="1" s="25">
      <c r="A16" s="20" t="inlineStr">
        <is>
          <t>2025::jama.2025.20765::C015</t>
        </is>
      </c>
      <c r="B16" s="20" t="inlineStr">
        <is>
          <t>Latest protocol and SAP prescribe different failure windows</t>
        </is>
      </c>
      <c r="C16" s="20" t="inlineStr">
        <is>
          <t>joi250093supp1_prod_1768590553.08963.pdf — DOC-002 — PDF p. 9, lines179–180 month-5 definition, explicitly headed V6.0; PLAN; joi250093supp1_prod_1768590553.08963.pdf — DOC-002 — PDF p. 47, lines1319–1320month6definition; PLAN; joi250093supp1_prod_1768590553.08963.pdf — DOC-002 — PDF p. 77, lines2413–2415 explicit5→6amendment; PLAN; joi250093supp1_prod_1768590553.08963.pdf — DOC-002 — PDF p. 85, lines2685–2686SAPmonth5; PLAN; jama_zahid_2025_oi_250093_1768590553.08463.pdf — DOC-001 — PDF p. 1, key-secondaryfailureproportions; REPORT; jama_zahid_2025_oi_250093_1768590553.08463.pdf — DOC-001 — PDF p. 3, outcomedetailpointer; REPORT; jama_zahid_2025_oi_250093_1768590553.08463.pdf — DOC-001 — PDF p. 6, Table2failure1/720versus2/360; REPORT</t>
        </is>
      </c>
      <c r="D16" s="21" t="inlineStr">
        <is>
          <t>retain</t>
        </is>
      </c>
      <c r="E16" s="21" t="inlineStr">
        <is>
          <t>plan_material</t>
        </is>
      </c>
      <c r="F16" s="21" t="inlineStr">
        <is>
          <t>primary_done</t>
        </is>
      </c>
      <c r="G16" s="20">
        <f>IFERROR(IF(LEN(TRIM(CLEAN(SUBSTITUTE(Setup!$B$2,CHAR(160)," "))))=0,"CHECK REVIEWER ID",IF(OR(A16="",COUNTIF($A$2:$A$20,A16)&lt;&gt;1,LEFT(A16,LEN("2025::jama.2025.20765::"))&lt;&gt;"2025::jama.2025.20765::"),"CHECK KEY",IF(OR(AND(NOT(AND(D16="retain",E16="statistical_results")),H16&lt;&gt;"",NOT(EXACT(H16,"not_applicable"))),AND(NOT(AND(D16="retain",E16="statistical_results")),I16&lt;&gt;"",NOT(EXACT(I16,"not_applicable"))),AND(NOT(AND(D16="retain",E16="statistical_results")),J16&lt;&gt;"",NOT(EXACT(J16,"not_applicable"))),AND(NOT(AND(D16="retain",OR(E16="report_internal_inconsistency",E16="plan_material"))),K16&lt;&gt;"",NOT(EXACT(K16,"not_applicable"))),AND(NOT(AND(D16="retain",E16="protocol_report")),L16&lt;&gt;"",NOT(EXACT(L16,"not_applicable")))),"CLEAR INACTIVE VALUES",IF(OR(NOT(OR(EXACT(D16,"retain"),EXACT(D16,"exclude"),EXACT(D16,"discuss"))),NOT(OR(EXACT(E16,"statistical_results"),EXACT(E16,"report_internal_inconsistency"),EXACT(E16,"plan_material"),EXACT(E16,"protocol_report"))),AND(AND(D16="retain",E16="statistical_results"),NOT(OR(EXACT(H16,"confirmed_issue"),EXACT(H16,"probable_issue"),EXACT(H16,"not_issue"),EXACT(H16,"indeterminate")))),AND(AND(D16="retain",E16="statistical_results"),NOT(OR(EXACT(I16,"substantive"),EXACT(I16,"minor_presentation"),EXACT(I16,"indeterminate")))),AND(AND(D16="retain",E16="statistical_results"),J16&lt;&gt;"",NOT(OR(EXACT(J16,"direct"),EXACT(J16,"possible"),EXACT(J16,"unlikely"),EXACT(J16,"unknown")))),AND(AND(D16="retain",OR(E16="report_internal_inconsistency",E16="plan_material")),NOT(OR(EXACT(K16,"substantive_inconsistency"),EXACT(K16,"minor_presentation"),EXACT(K16,"non_inconsistency"),EXACT(K16,"indeterminate")))),AND(AND(D16="retain",E16="protocol_report"),L16&lt;&gt;"",NOT(OR(EXACT(L16,"substantive_difference"),EXACT(L16,"minor_presentation"),EXACT(L16,"version_timing"),EXACT(L16,"non_inconsistency"),EXACT(L16,"indeterminate"))))),"CHECK FIELDS",IF(AND(F16&lt;&gt;"",NOT(OR(EXACT(F16,"no"),EXACT(F16,"primary_done")))),"CHECK COMPLETE",IF(EXACT(F16,"primary_done"),"PRIMARY READY","PRIMARY DRAFT")))))),"CHECK INPUT / KEY")</f>
        <v/>
      </c>
      <c r="H16" s="21">
        <f>IF(AND(OR(D16="retain",D16=""),E16="statistical_results"),"","not_applicable")</f>
        <v/>
      </c>
      <c r="I16" s="21">
        <f>IF(AND(OR(D16="retain",D16=""),E16="statistical_results"),"","not_applicable")</f>
        <v/>
      </c>
      <c r="J16" s="22">
        <f>IF(AND(OR(D16="retain",D16=""),E16="statistical_results"),"","not_applicable")</f>
        <v/>
      </c>
      <c r="K16" s="21" t="inlineStr">
        <is>
          <t>substantive_inconsistency</t>
        </is>
      </c>
      <c r="L16" s="22">
        <f>IF(AND(OR(D16="retain",D16=""),E16="protocol_report"),"","not_applicable")</f>
        <v/>
      </c>
      <c r="M16" s="20" t="n"/>
      <c r="N16" s="23" t="n"/>
      <c r="O16" s="23" t="n"/>
      <c r="P16" s="23" t="n"/>
      <c r="Q16" s="23" t="n"/>
      <c r="R16" s="22" t="inlineStr">
        <is>
          <t>Treatment failure: protocol v4.0 p9 = smear-positive at month 5 or later; protocol v6.0 (latest) p47 = month 6 or later; change log p77 records the 5 to 6 correction; SAP p85 (which cites protocol v6.0) = month 5. The latest protocol and the SAP define the secondary outcome differently. Also, the v4.0 pages carry a running header 'V6.0 07.03.25', which confuses version identification. Report (1/720 vs 2/360) does not state which definition was used.</t>
        </is>
      </c>
    </row>
    <row r="17" ht="92" customHeight="1" s="25">
      <c r="A17" s="24" t="inlineStr">
        <is>
          <t>2025::jama.2025.20765::C016</t>
        </is>
      </c>
      <c r="B17" s="24" t="inlineStr">
        <is>
          <t>Current Phase 3 power statements retain different cluster allocations</t>
        </is>
      </c>
      <c r="C17" s="24" t="inlineStr">
        <is>
          <t>joi250093supp1_prod_1768590553.08963.pdf — DOC-002 — PDF p. 48, lines1348–1353poweroverview; PLAN; joi250093supp1_prod_1768590553.08963.pdf — DOC-002 — PDF p. 63, lines1886–1907Phase3power/allocation; PLAN; joi250093supp1_prod_1768590553.08963.pdf — DOC-002 — PDF p. 64, Phase4allocationcontext; PLAN; joi250093supp1_prod_1768590553.08963.pdf — DOC-002 — PDF p. 65, lines1958–1963repeatedpowerparagraph; PLAN; joi250093supp1_prod_1768590553.08963.pdf — DOC-002 — PDF p. 77, lines2416–2424allocationamendment; PLAN; joi250093supp1_prod_1768590553.08963.pdf — DOC-002 — PDF p. 83, lines2629–2642SAPallocation; PLAN</t>
        </is>
      </c>
      <c r="D17" s="21" t="inlineStr">
        <is>
          <t>retain</t>
        </is>
      </c>
      <c r="E17" s="21" t="inlineStr">
        <is>
          <t>plan_material</t>
        </is>
      </c>
      <c r="F17" s="21" t="inlineStr">
        <is>
          <t>primary_done</t>
        </is>
      </c>
      <c r="G17" s="24">
        <f>IFERROR(IF(LEN(TRIM(CLEAN(SUBSTITUTE(Setup!$B$2,CHAR(160)," "))))=0,"CHECK REVIEWER ID",IF(OR(A17="",COUNTIF($A$2:$A$20,A17)&lt;&gt;1,LEFT(A17,LEN("2025::jama.2025.20765::"))&lt;&gt;"2025::jama.2025.20765::"),"CHECK KEY",IF(OR(AND(NOT(AND(D17="retain",E17="statistical_results")),H17&lt;&gt;"",NOT(EXACT(H17,"not_applicable"))),AND(NOT(AND(D17="retain",E17="statistical_results")),I17&lt;&gt;"",NOT(EXACT(I17,"not_applicable"))),AND(NOT(AND(D17="retain",E17="statistical_results")),J17&lt;&gt;"",NOT(EXACT(J17,"not_applicable"))),AND(NOT(AND(D17="retain",OR(E17="report_internal_inconsistency",E17="plan_material"))),K17&lt;&gt;"",NOT(EXACT(K17,"not_applicable"))),AND(NOT(AND(D17="retain",E17="protocol_report")),L17&lt;&gt;"",NOT(EXACT(L17,"not_applicable")))),"CLEAR INACTIVE VALUES",IF(OR(NOT(OR(EXACT(D17,"retain"),EXACT(D17,"exclude"),EXACT(D17,"discuss"))),NOT(OR(EXACT(E17,"statistical_results"),EXACT(E17,"report_internal_inconsistency"),EXACT(E17,"plan_material"),EXACT(E17,"protocol_report"))),AND(AND(D17="retain",E17="statistical_results"),NOT(OR(EXACT(H17,"confirmed_issue"),EXACT(H17,"probable_issue"),EXACT(H17,"not_issue"),EXACT(H17,"indeterminate")))),AND(AND(D17="retain",E17="statistical_results"),NOT(OR(EXACT(I17,"substantive"),EXACT(I17,"minor_presentation"),EXACT(I17,"indeterminate")))),AND(AND(D17="retain",E17="statistical_results"),J17&lt;&gt;"",NOT(OR(EXACT(J17,"direct"),EXACT(J17,"possible"),EXACT(J17,"unlikely"),EXACT(J17,"unknown")))),AND(AND(D17="retain",OR(E17="report_internal_inconsistency",E17="plan_material")),NOT(OR(EXACT(K17,"substantive_inconsistency"),EXACT(K17,"minor_presentation"),EXACT(K17,"non_inconsistency"),EXACT(K17,"indeterminate")))),AND(AND(D17="retain",E17="protocol_report"),L17&lt;&gt;"",NOT(OR(EXACT(L17,"substantive_difference"),EXACT(L17,"minor_presentation"),EXACT(L17,"version_timing"),EXACT(L17,"non_inconsistency"),EXACT(L17,"indeterminate"))))),"CHECK FIELDS",IF(AND(F17&lt;&gt;"",NOT(OR(EXACT(F17,"no"),EXACT(F17,"primary_done")))),"CHECK COMPLETE",IF(EXACT(F17,"primary_done"),"PRIMARY READY","PRIMARY DRAFT")))))),"CHECK INPUT / KEY")</f>
        <v/>
      </c>
      <c r="H17" s="21">
        <f>IF(AND(OR(D17="retain",D17=""),E17="statistical_results"),"","not_applicable")</f>
        <v/>
      </c>
      <c r="I17" s="21">
        <f>IF(AND(OR(D17="retain",D17=""),E17="statistical_results"),"","not_applicable")</f>
        <v/>
      </c>
      <c r="J17" s="22">
        <f>IF(AND(OR(D17="retain",D17=""),E17="statistical_results"),"","not_applicable")</f>
        <v/>
      </c>
      <c r="K17" s="21" t="inlineStr">
        <is>
          <t>minor_presentation</t>
        </is>
      </c>
      <c r="L17" s="22">
        <f>IF(AND(OR(D17="retain",D17=""),E17="protocol_report"),"","not_applicable")</f>
        <v/>
      </c>
      <c r="M17" s="24" t="n"/>
      <c r="N17" s="23" t="n"/>
      <c r="O17" s="23" t="n"/>
      <c r="P17" s="23" t="n"/>
      <c r="Q17" s="23" t="n"/>
      <c r="R17" s="22" t="inlineStr">
        <is>
          <t>Protocol v6.0: overview p48 and Phase 3 calculation p63 use 18 intervention vs 9 control clusters; the repeated power paragraph p65 still says 16 vs 8 (and 20 per arm for Phase 4 vs 18 at p64); the change log p77 says v6 increased from 16+8 to 18+9; SAP p83 uses 27 clusters 2:1. Stale paragraph; the operative design (18:9) is clear.</t>
        </is>
      </c>
    </row>
    <row r="18" ht="92" customHeight="1" s="25">
      <c r="A18" s="20" t="inlineStr">
        <is>
          <t>2025::jama.2025.20765::C017</t>
        </is>
      </c>
      <c r="B18" s="20" t="inlineStr">
        <is>
          <t>Two cause-of-death percentages do not reconcile within eTable 4</t>
        </is>
      </c>
      <c r="C18" s="20" t="inlineStr">
        <is>
          <t>joi250093supp2_prod_1768590553.09463.pdf — DOC-003 — PDF p. 6, eTable4usual-careDruguser,Severepneumonia,Totaldeaths; REPORT</t>
        </is>
      </c>
      <c r="D18" s="21" t="inlineStr">
        <is>
          <t>retain</t>
        </is>
      </c>
      <c r="E18" s="21" t="inlineStr">
        <is>
          <t>statistical_results</t>
        </is>
      </c>
      <c r="F18" s="21" t="inlineStr">
        <is>
          <t>primary_done</t>
        </is>
      </c>
      <c r="G18" s="20">
        <f>IFERROR(IF(LEN(TRIM(CLEAN(SUBSTITUTE(Setup!$B$2,CHAR(160)," "))))=0,"CHECK REVIEWER ID",IF(OR(A18="",COUNTIF($A$2:$A$20,A18)&lt;&gt;1,LEFT(A18,LEN("2025::jama.2025.20765::"))&lt;&gt;"2025::jama.2025.20765::"),"CHECK KEY",IF(OR(AND(NOT(AND(D18="retain",E18="statistical_results")),H18&lt;&gt;"",NOT(EXACT(H18,"not_applicable"))),AND(NOT(AND(D18="retain",E18="statistical_results")),I18&lt;&gt;"",NOT(EXACT(I18,"not_applicable"))),AND(NOT(AND(D18="retain",E18="statistical_results")),J18&lt;&gt;"",NOT(EXACT(J18,"not_applicable"))),AND(NOT(AND(D18="retain",OR(E18="report_internal_inconsistency",E18="plan_material"))),K18&lt;&gt;"",NOT(EXACT(K18,"not_applicable"))),AND(NOT(AND(D18="retain",E18="protocol_report")),L18&lt;&gt;"",NOT(EXACT(L18,"not_applicable")))),"CLEAR INACTIVE VALUES",IF(OR(NOT(OR(EXACT(D18,"retain"),EXACT(D18,"exclude"),EXACT(D18,"discuss"))),NOT(OR(EXACT(E18,"statistical_results"),EXACT(E18,"report_internal_inconsistency"),EXACT(E18,"plan_material"),EXACT(E18,"protocol_report"))),AND(AND(D18="retain",E18="statistical_results"),NOT(OR(EXACT(H18,"confirmed_issue"),EXACT(H18,"probable_issue"),EXACT(H18,"not_issue"),EXACT(H18,"indeterminate")))),AND(AND(D18="retain",E18="statistical_results"),NOT(OR(EXACT(I18,"substantive"),EXACT(I18,"minor_presentation"),EXACT(I18,"indeterminate")))),AND(AND(D18="retain",E18="statistical_results"),J18&lt;&gt;"",NOT(OR(EXACT(J18,"direct"),EXACT(J18,"possible"),EXACT(J18,"unlikely"),EXACT(J18,"unknown")))),AND(AND(D18="retain",OR(E18="report_internal_inconsistency",E18="plan_material")),NOT(OR(EXACT(K18,"substantive_inconsistency"),EXACT(K18,"minor_presentation"),EXACT(K18,"non_inconsistency"),EXACT(K18,"indeterminate")))),AND(AND(D18="retain",E18="protocol_report"),L18&lt;&gt;"",NOT(OR(EXACT(L18,"substantive_difference"),EXACT(L18,"minor_presentation"),EXACT(L18,"version_timing"),EXACT(L18,"non_inconsistency"),EXACT(L18,"indeterminate"))))),"CHECK FIELDS",IF(AND(F18&lt;&gt;"",NOT(OR(EXACT(F18,"no"),EXACT(F18,"primary_done")))),"CHECK COMPLETE",IF(EXACT(F18,"primary_done"),"PRIMARY READY","PRIMARY DRAFT")))))),"CHECK INPUT / KEY")</f>
        <v/>
      </c>
      <c r="H18" s="21" t="inlineStr">
        <is>
          <t>confirmed_issue</t>
        </is>
      </c>
      <c r="I18" s="21" t="inlineStr">
        <is>
          <t>minor_presentation</t>
        </is>
      </c>
      <c r="J18" s="22" t="inlineStr">
        <is>
          <t>unlikely</t>
        </is>
      </c>
      <c r="K18" s="21">
        <f>IF(AND(OR(D18="retain",D18=""),OR(E18="report_internal_inconsistency",E18="plan_material")),"","not_applicable")</f>
        <v/>
      </c>
      <c r="L18" s="22">
        <f>IF(AND(OR(D18="retain",D18=""),E18="protocol_report"),"","not_applicable")</f>
        <v/>
      </c>
      <c r="M18" s="20" t="n"/>
      <c r="N18" s="23" t="n"/>
      <c r="O18" s="23" t="n"/>
      <c r="P18" s="23" t="n"/>
      <c r="Q18" s="23" t="n"/>
      <c r="R18" s="22" t="inlineStr">
        <is>
          <t>eTable 4 p6 (rendered): usual-care column 'Drug user 1 (7.4%)' and 'Severe pneumonia 1 (7.4%)'; 1/27 = 3.7%, as printed for 'History of fall' 1 (3.7%) in the same column. Overall column also has small slips: cancer 3/52 printed 5.7% (5.8%), heart attack 8/52 printed 15.2% (15.4%).</t>
        </is>
      </c>
    </row>
    <row r="19" ht="92" customHeight="1" s="25">
      <c r="A19" s="24" t="inlineStr">
        <is>
          <t>2025::jama.2025.20765::C018</t>
        </is>
      </c>
      <c r="B19" s="24" t="inlineStr">
        <is>
          <t>Site 2008 death count and percentage do not reproduce the table denominator</t>
        </is>
      </c>
      <c r="C19" s="24" t="inlineStr">
        <is>
          <t>joi250093supp2_prod_1768590553.09463.pdf — DOC-003 — PDF p. 9, eTable6Controlsite2008cell5(7.5),otherdeathrows; REPORT; joi250093supp2_prod_1768590553.09463.pdf — DOC-003 — PDF p. 8, eTable5site2008recruitmentandITT40,observed35; REPORT</t>
        </is>
      </c>
      <c r="D19" s="21" t="inlineStr">
        <is>
          <t>retain</t>
        </is>
      </c>
      <c r="E19" s="21" t="inlineStr">
        <is>
          <t>statistical_results</t>
        </is>
      </c>
      <c r="F19" s="21" t="inlineStr">
        <is>
          <t>primary_done</t>
        </is>
      </c>
      <c r="G19" s="24">
        <f>IFERROR(IF(LEN(TRIM(CLEAN(SUBSTITUTE(Setup!$B$2,CHAR(160)," "))))=0,"CHECK REVIEWER ID",IF(OR(A19="",COUNTIF($A$2:$A$20,A19)&lt;&gt;1,LEFT(A19,LEN("2025::jama.2025.20765::"))&lt;&gt;"2025::jama.2025.20765::"),"CHECK KEY",IF(OR(AND(NOT(AND(D19="retain",E19="statistical_results")),H19&lt;&gt;"",NOT(EXACT(H19,"not_applicable"))),AND(NOT(AND(D19="retain",E19="statistical_results")),I19&lt;&gt;"",NOT(EXACT(I19,"not_applicable"))),AND(NOT(AND(D19="retain",E19="statistical_results")),J19&lt;&gt;"",NOT(EXACT(J19,"not_applicable"))),AND(NOT(AND(D19="retain",OR(E19="report_internal_inconsistency",E19="plan_material"))),K19&lt;&gt;"",NOT(EXACT(K19,"not_applicable"))),AND(NOT(AND(D19="retain",E19="protocol_report")),L19&lt;&gt;"",NOT(EXACT(L19,"not_applicable")))),"CLEAR INACTIVE VALUES",IF(OR(NOT(OR(EXACT(D19,"retain"),EXACT(D19,"exclude"),EXACT(D19,"discuss"))),NOT(OR(EXACT(E19,"statistical_results"),EXACT(E19,"report_internal_inconsistency"),EXACT(E19,"plan_material"),EXACT(E19,"protocol_report"))),AND(AND(D19="retain",E19="statistical_results"),NOT(OR(EXACT(H19,"confirmed_issue"),EXACT(H19,"probable_issue"),EXACT(H19,"not_issue"),EXACT(H19,"indeterminate")))),AND(AND(D19="retain",E19="statistical_results"),NOT(OR(EXACT(I19,"substantive"),EXACT(I19,"minor_presentation"),EXACT(I19,"indeterminate")))),AND(AND(D19="retain",E19="statistical_results"),J19&lt;&gt;"",NOT(OR(EXACT(J19,"direct"),EXACT(J19,"possible"),EXACT(J19,"unlikely"),EXACT(J19,"unknown")))),AND(AND(D19="retain",OR(E19="report_internal_inconsistency",E19="plan_material")),NOT(OR(EXACT(K19,"substantive_inconsistency"),EXACT(K19,"minor_presentation"),EXACT(K19,"non_inconsistency"),EXACT(K19,"indeterminate")))),AND(AND(D19="retain",E19="protocol_report"),L19&lt;&gt;"",NOT(OR(EXACT(L19,"substantive_difference"),EXACT(L19,"minor_presentation"),EXACT(L19,"version_timing"),EXACT(L19,"non_inconsistency"),EXACT(L19,"indeterminate"))))),"CHECK FIELDS",IF(AND(F19&lt;&gt;"",NOT(OR(EXACT(F19,"no"),EXACT(F19,"primary_done")))),"CHECK COMPLETE",IF(EXACT(F19,"primary_done"),"PRIMARY READY","PRIMARY DRAFT")))))),"CHECK INPUT / KEY")</f>
        <v/>
      </c>
      <c r="H19" s="21" t="inlineStr">
        <is>
          <t>confirmed_issue</t>
        </is>
      </c>
      <c r="I19" s="21" t="inlineStr">
        <is>
          <t>minor_presentation</t>
        </is>
      </c>
      <c r="J19" s="22" t="inlineStr">
        <is>
          <t>unlikely</t>
        </is>
      </c>
      <c r="K19" s="21">
        <f>IF(AND(OR(D19="retain",D19=""),OR(E19="report_internal_inconsistency",E19="plan_material")),"","not_applicable")</f>
        <v/>
      </c>
      <c r="L19" s="22">
        <f>IF(AND(OR(D19="retain",D19=""),E19="protocol_report"),"","not_applicable")</f>
        <v/>
      </c>
      <c r="M19" s="24" t="n"/>
      <c r="N19" s="23" t="n"/>
      <c r="O19" s="23" t="n"/>
      <c r="P19" s="23" t="n"/>
      <c r="Q19" s="23" t="n"/>
      <c r="R19" s="22" t="inlineStr">
        <is>
          <t>eTable 6 p9 (rendered): control site 2008 deaths '5 (7.5)'; every cluster has 40 participants (eTable 5 p8), so 5/40 = 12.5% (7.5% = 3/40). Control deaths sum to 27 only with 5, so the count is right and the percentage wrong.</t>
        </is>
      </c>
    </row>
    <row r="20" ht="92" customHeight="1" s="25">
      <c r="A20" s="20" t="inlineStr">
        <is>
          <t>2025::jama.2025.20765::C019</t>
        </is>
      </c>
      <c r="B20" s="20" t="inlineStr">
        <is>
          <t>Treatment-failure absolute difference has the opposite signed contrast</t>
        </is>
      </c>
      <c r="C20" s="20" t="inlineStr">
        <is>
          <t>joi250093supp2_prod_1768590553.09463.pdf — DOC-003 — PDF p. 13, eTable9TreatmentFailuresabsolute-difference0.5andarmrisks; REPORT; joi250093supp2_prod_1768590553.09463.pdf — DOC-003 — PDF p. 14, notebAbsolute difference; REPORT</t>
        </is>
      </c>
      <c r="D20" s="21" t="inlineStr">
        <is>
          <t>retain</t>
        </is>
      </c>
      <c r="E20" s="21" t="inlineStr">
        <is>
          <t>statistical_results</t>
        </is>
      </c>
      <c r="F20" s="21" t="inlineStr">
        <is>
          <t>primary_done</t>
        </is>
      </c>
      <c r="G20" s="20">
        <f>IFERROR(IF(LEN(TRIM(CLEAN(SUBSTITUTE(Setup!$B$2,CHAR(160)," "))))=0,"CHECK REVIEWER ID",IF(OR(A20="",COUNTIF($A$2:$A$20,A20)&lt;&gt;1,LEFT(A20,LEN("2025::jama.2025.20765::"))&lt;&gt;"2025::jama.2025.20765::"),"CHECK KEY",IF(OR(AND(NOT(AND(D20="retain",E20="statistical_results")),H20&lt;&gt;"",NOT(EXACT(H20,"not_applicable"))),AND(NOT(AND(D20="retain",E20="statistical_results")),I20&lt;&gt;"",NOT(EXACT(I20,"not_applicable"))),AND(NOT(AND(D20="retain",E20="statistical_results")),J20&lt;&gt;"",NOT(EXACT(J20,"not_applicable"))),AND(NOT(AND(D20="retain",OR(E20="report_internal_inconsistency",E20="plan_material"))),K20&lt;&gt;"",NOT(EXACT(K20,"not_applicable"))),AND(NOT(AND(D20="retain",E20="protocol_report")),L20&lt;&gt;"",NOT(EXACT(L20,"not_applicable")))),"CLEAR INACTIVE VALUES",IF(OR(NOT(OR(EXACT(D20,"retain"),EXACT(D20,"exclude"),EXACT(D20,"discuss"))),NOT(OR(EXACT(E20,"statistical_results"),EXACT(E20,"report_internal_inconsistency"),EXACT(E20,"plan_material"),EXACT(E20,"protocol_report"))),AND(AND(D20="retain",E20="statistical_results"),NOT(OR(EXACT(H20,"confirmed_issue"),EXACT(H20,"probable_issue"),EXACT(H20,"not_issue"),EXACT(H20,"indeterminate")))),AND(AND(D20="retain",E20="statistical_results"),NOT(OR(EXACT(I20,"substantive"),EXACT(I20,"minor_presentation"),EXACT(I20,"indeterminate")))),AND(AND(D20="retain",E20="statistical_results"),J20&lt;&gt;"",NOT(OR(EXACT(J20,"direct"),EXACT(J20,"possible"),EXACT(J20,"unlikely"),EXACT(J20,"unknown")))),AND(AND(D20="retain",OR(E20="report_internal_inconsistency",E20="plan_material")),NOT(OR(EXACT(K20,"substantive_inconsistency"),EXACT(K20,"minor_presentation"),EXACT(K20,"non_inconsistency"),EXACT(K20,"indeterminate")))),AND(AND(D20="retain",E20="protocol_report"),L20&lt;&gt;"",NOT(OR(EXACT(L20,"substantive_difference"),EXACT(L20,"minor_presentation"),EXACT(L20,"version_timing"),EXACT(L20,"non_inconsistency"),EXACT(L20,"indeterminate"))))),"CHECK FIELDS",IF(AND(F20&lt;&gt;"",NOT(OR(EXACT(F20,"no"),EXACT(F20,"primary_done")))),"CHECK COMPLETE",IF(EXACT(F20,"primary_done"),"PRIMARY READY","PRIMARY DRAFT")))))),"CHECK INPUT / KEY")</f>
        <v/>
      </c>
      <c r="H20" s="21" t="inlineStr">
        <is>
          <t>confirmed_issue</t>
        </is>
      </c>
      <c r="I20" s="21" t="inlineStr">
        <is>
          <t>minor_presentation</t>
        </is>
      </c>
      <c r="J20" s="22" t="inlineStr">
        <is>
          <t>possible</t>
        </is>
      </c>
      <c r="K20" s="21">
        <f>IF(AND(OR(D20="retain",D20=""),OR(E20="report_internal_inconsistency",E20="plan_material")),"","not_applicable")</f>
        <v/>
      </c>
      <c r="L20" s="22">
        <f>IF(AND(OR(D20="retain",D20=""),E20="protocol_report"),"","not_applicable")</f>
        <v/>
      </c>
      <c r="M20" s="20" t="n"/>
      <c r="N20" s="23" t="n"/>
      <c r="O20" s="23" t="n"/>
      <c r="P20" s="23" t="n"/>
      <c r="Q20" s="23" t="n"/>
      <c r="R20" s="22" t="inlineStr">
        <is>
          <t>eTable 9 p13: treatment failures 1/695 (0.1%) vs 2/333 (0.6%), absolute difference printed 0.5 (-0.4 to 1.3); other rows are mHealth minus usual care (e.g., 43.2 - 16.5 = 26.7), so this should be about -0.5. Same reversal in main Table 2 p6: death 3.5 vs 7.5 printed '4 (1.0 to 7.1)' and treatment failure 0.1 vs 0.5 printed '0.4 (-0.4 to 1.2)'.</t>
        </is>
      </c>
    </row>
  </sheetData>
  <autoFilter ref="A1:R20"/>
  <conditionalFormatting sqref="H2:H20">
    <cfRule type="expression" priority="8" dxfId="70">
      <formula>NOT(AND(OR($D2="retain",$D2=""),$E2="statistical_results"))</formula>
    </cfRule>
  </conditionalFormatting>
  <conditionalFormatting sqref="I2:I20">
    <cfRule type="expression" priority="9" dxfId="70">
      <formula>NOT(AND(OR($D2="retain",$D2=""),$E2="statistical_results"))</formula>
    </cfRule>
  </conditionalFormatting>
  <conditionalFormatting sqref="J2:J20">
    <cfRule type="expression" priority="10" dxfId="70">
      <formula>NOT(AND(OR($D2="retain",$D2=""),$E2="statistical_results"))</formula>
    </cfRule>
  </conditionalFormatting>
  <conditionalFormatting sqref="K2:K20">
    <cfRule type="expression" priority="11" dxfId="70">
      <formula>NOT(AND(OR($D2="retain",$D2=""),OR($E2="report_internal_inconsistency",$E2="plan_material")))</formula>
    </cfRule>
  </conditionalFormatting>
  <conditionalFormatting sqref="L2:L20">
    <cfRule type="expression" priority="12" dxfId="70">
      <formula>NOT(AND(OR($D2="retain",$D2=""),$E2="protocol_report"))</formula>
    </cfRule>
  </conditionalFormatting>
  <conditionalFormatting sqref="G2:G20">
    <cfRule type="expression" priority="13" dxfId="71">
      <formula>G2&lt;&gt;"PRIMARY READY"</formula>
    </cfRule>
  </conditionalFormatting>
  <dataValidations count="8">
    <dataValidation sqref="D2:D20" showDropDown="0" showInputMessage="0" showErrorMessage="1" allowBlank="1" errorTitle="Use a listed option" error="Choose an option; G also checks pasted entries." type="list" errorStyle="stop">
      <formula1>"retain,exclude,discuss"</formula1>
    </dataValidation>
    <dataValidation sqref="E2:E20"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20" showDropDown="0" showInputMessage="0" showErrorMessage="1" allowBlank="1" errorTitle="Use a listed option" error="Choose an option; G also checks pasted entries." type="list" errorStyle="stop">
      <formula1>"no,primary_done"</formula1>
    </dataValidation>
    <dataValidation sqref="H2:H20"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20" showDropDown="0" showInputMessage="0" showErrorMessage="1" allowBlank="1" errorTitle="Use a listed option" error="Choose an option; G also checks pasted entries." type="list" errorStyle="stop">
      <formula1>"substantive,minor_presentation,indeterminate,not_applicable"</formula1>
    </dataValidation>
    <dataValidation sqref="J2:J20" showDropDown="0" showInputMessage="0" showErrorMessage="1" allowBlank="1" errorTitle="Use a listed option" error="Choose an option; G also checks pasted entries." type="list" errorStyle="stop">
      <formula1>"direct,possible,unlikely,unknown,not_applicable"</formula1>
    </dataValidation>
    <dataValidation sqref="K2:K20"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20"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R15"/>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2025::jama.2025.24175::C001</t>
        </is>
      </c>
      <c r="B2" s="20" t="inlineStr">
        <is>
          <t>Primary mean/Welch versus responder/Fisher specification</t>
        </is>
      </c>
      <c r="C2" s="20" t="inlineStr">
        <is>
          <t>PLAN joi250116supp1_prod_1771885794.26255.pdf — DOC-002 p.7 synopsis, joi250116supp1_prod_1771885794.26255.pdf — p.24 primary endpoint/death rule, joi250116supp1_prod_1771885794.26255.pdf — p.25 corresponding day-15 mean, joi250116supp1_prod_1771885794.26255.pdf — p.27 Welch analysis, joi250116supp1_prod_1771885794.26255.pdf — p.66 SAP responder/death rule, joi250116supp1_prod_1771885794.26255.pdf — p.67 Fisher analysis, joi250116supp1_prod_1771885794.26255.pdf — p.68 day-15 construction, joi250116supp1_prod_1771885794.26255.pdf — p.69 day-15 responder continuation; REPORT jama_giamarellosbourboulis_2025_oi_250116_1771885794.23757.pdf — DOC-001 p.3 endpoint, jama_giamarellosbourboulis_2025_oi_250116_1771885794.23757.pdf — p.5 imputation/secondary definition, jama_giamarellosbourboulis_2025_oi_250116_1771885794.23757.pdf — p.6 Table 2 and statistical analyses.</t>
        </is>
      </c>
      <c r="D2" s="21" t="inlineStr">
        <is>
          <t>retain</t>
        </is>
      </c>
      <c r="E2" s="21" t="inlineStr">
        <is>
          <t>protocol_report</t>
        </is>
      </c>
      <c r="F2" s="21" t="inlineStr">
        <is>
          <t>primary_done</t>
        </is>
      </c>
      <c r="G2" s="20">
        <f>IFERROR(IF(LEN(TRIM(CLEAN(SUBSTITUTE(Setup!$B$2,CHAR(160)," "))))=0,"CHECK REVIEWER ID",IF(OR(A2="",COUNTIF($A$2:$A$15,A2)&lt;&gt;1,LEFT(A2,LEN("2025::jama.2025.24175::"))&lt;&gt;"2025::jama.2025.24175::"),"CHECK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substantive_difference</t>
        </is>
      </c>
      <c r="M2" s="20" t="n"/>
      <c r="N2" s="23" t="n"/>
      <c r="O2" s="23" t="n"/>
      <c r="P2" s="23" t="n"/>
      <c r="Q2" s="23" t="n"/>
      <c r="R2" s="22" t="inlineStr">
        <is>
          <t>Protocol v1.0 (Dec 2020) synopsis p7, endpoints p24, analysis p27 (OCR; text layer encoded): primary = comparative difference in mean total SOFA to day 9, Welch t-test; deaths use mean SOFA until death. SAP v2.0 (18 May 2024) pp66-67 and article p3/p6: responder endpoint (&gt;=1.4-point decrease), Fisher exact test, deaths imputed as SOFA 24. Report follows the SAP, which is dated after last follow-up (29 Apr 2024, article p6).</t>
        </is>
      </c>
    </row>
    <row r="3" ht="92" customHeight="1" s="25">
      <c r="A3" s="24" t="inlineStr">
        <is>
          <t>2025::jama.2025.24175::C002</t>
        </is>
      </c>
      <c r="B3" s="24" t="inlineStr">
        <is>
          <t>Home-discharge versus ICU-discharge carry-forward eligibility</t>
        </is>
      </c>
      <c r="C3" s="24" t="inlineStr">
        <is>
          <t>PLAN joi250116supp1_prod_1771885794.26255.pdf — DOC-002 p.66; REPORT jama_giamarellosbourboulis_2025_oi_250116_1771885794.23757.pdf — DOC-001 p.3 daily ICU observation, jama_giamarellosbourboulis_2025_oi_250116_1771885794.23757.pdf — p.5 home-discharge rule, jama_giamarellosbourboulis_2025_oi_250116_1771885794.23757.pdf — p.6 ICU-discharge result, joi250116supp2_prod_1771885794.27755.pdf — DOC-003 p.20 eTable 8, joi250116supp2_prod_1771885794.27755.pdf — p.46 sensitivity population.</t>
        </is>
      </c>
      <c r="D3" s="21" t="inlineStr">
        <is>
          <t>retain</t>
        </is>
      </c>
      <c r="E3" s="21" t="inlineStr">
        <is>
          <t>protocol_report</t>
        </is>
      </c>
      <c r="F3" s="21" t="inlineStr">
        <is>
          <t>primary_done</t>
        </is>
      </c>
      <c r="G3" s="24">
        <f>IFERROR(IF(LEN(TRIM(CLEAN(SUBSTITUTE(Setup!$B$2,CHAR(160)," "))))=0,"CHECK REVIEWER ID",IF(OR(A3="",COUNTIF($A$2:$A$15,A3)&lt;&gt;1,LEFT(A3,LEN("2025::jama.2025.24175::"))&lt;&gt;"2025::jama.2025.24175::"),"CHECK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indeterminate</t>
        </is>
      </c>
      <c r="M3" s="24" t="n"/>
      <c r="N3" s="23" t="n"/>
      <c r="O3" s="23" t="n"/>
      <c r="P3" s="23" t="n"/>
      <c r="Q3" s="23" t="n"/>
      <c r="R3" s="22" t="inlineStr">
        <is>
          <t>SAP p66: last SOFA carried forward for patients 'discharged home' before day 9 (and lost to follow-up). Article p5 restates the home-discharge rule, but p6 says 8.3% had scores carried forward 'because of ICU discharge earlier than day 9' (eTable 8), and the sensitivity analysis excludes patients discharged before day 9. Applied trigger (ICU discharge) differs from the planned and stated trigger (home discharge).</t>
        </is>
      </c>
    </row>
    <row r="4" ht="92" customHeight="1" s="25">
      <c r="A4" s="20" t="inlineStr">
        <is>
          <t>2025::jama.2025.24175::C003</t>
        </is>
      </c>
      <c r="B4" s="20" t="inlineStr">
        <is>
          <t>Infection and omics outcome-status pattern</t>
        </is>
      </c>
      <c r="C4" s="20" t="inlineStr">
        <is>
          <t>PLAN joi250116supp1_prod_1771885794.26255.pdf — DOC-002 p.7 synopsis, joi250116supp1_prod_1771885794.26255.pdf — p.25 detailed hierarchy, joi250116supp1_prod_1771885794.26255.pdf — p.27 infection test hierarchy, joi250116supp1_prod_1771885794.26255.pdf — p.57 resolution appendix, joi250116supp1_prod_1771885794.26255.pdf — p.70 SAP infection; REPORT jama_giamarellosbourboulis_2025_oi_250116_1771885794.23757.pdf — DOC-001 p.5 prespecified secondary endpoints, jama_giamarellosbourboulis_2025_oi_250116_1771885794.23757.pdf — p.6 main secondary table, jama_giamarellosbourboulis_2025_oi_250116_1771885794.23757.pdf — p.7 sixth secondary result.</t>
        </is>
      </c>
      <c r="D4" s="21" t="inlineStr">
        <is>
          <t>retain</t>
        </is>
      </c>
      <c r="E4" s="21" t="inlineStr">
        <is>
          <t>protocol_report</t>
        </is>
      </c>
      <c r="F4" s="21" t="inlineStr">
        <is>
          <t>primary_done</t>
        </is>
      </c>
      <c r="G4" s="20">
        <f>IFERROR(IF(LEN(TRIM(CLEAN(SUBSTITUTE(Setup!$B$2,CHAR(160)," "))))=0,"CHECK REVIEWER ID",IF(OR(A4="",COUNTIF($A$2:$A$15,A4)&lt;&gt;1,LEFT(A4,LEN("2025::jama.2025.24175::"))&lt;&gt;"2025::jama.2025.24175::"),"CHECK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Protocol p25: infection resolution and omics biomarkers are exploratory endpoints (synopsis p7 lists the omics under secondary). SAP pp68-70 lists infection resolution among secondary analyses; article p5 counts infection resolution by day 15 as the sixth prespecified secondary endpoint and reports it in Table 2 (OR 0.59, P=.02); omics endpoints are not mentioned. Outcome-status change relative to the protocol.</t>
        </is>
      </c>
    </row>
    <row r="5" ht="92" customHeight="1" s="25">
      <c r="A5" s="24" t="inlineStr">
        <is>
          <t>2025::jama.2025.24175::C004</t>
        </is>
      </c>
      <c r="B5" s="24" t="inlineStr">
        <is>
          <t>Immune-reversal endpoint window, composite and ascertainment</t>
        </is>
      </c>
      <c r="C5" s="24" t="inlineStr">
        <is>
          <t>PLAN joi250116supp1_prod_1771885794.26255.pdf — DOC-002 p.25, joi250116supp1_prod_1771885794.26255.pdf — p.69, joi250116supp1_prod_1771885794.26255.pdf — p.70 continuation; REPORT jama_giamarellosbourboulis_2025_oi_250116_1771885794.23757.pdf — DOC-001 p.5 definition, jama_giamarellosbourboulis_2025_oi_250116_1771885794.23757.pdf — p.6 Table 2/footnote, jama_giamarellosbourboulis_2025_oi_250116_1771885794.23757.pdf — p.7 by-day-28 result, joi250116supp2_prod_1771885794.27755.pdf — DOC-003 p.50 eFigure 6.</t>
        </is>
      </c>
      <c r="D5" s="21" t="inlineStr">
        <is>
          <t>retain</t>
        </is>
      </c>
      <c r="E5" s="21" t="inlineStr">
        <is>
          <t>protocol_report</t>
        </is>
      </c>
      <c r="F5" s="21" t="inlineStr">
        <is>
          <t>primary_done</t>
        </is>
      </c>
      <c r="G5" s="24">
        <f>IFERROR(IF(LEN(TRIM(CLEAN(SUBSTITUTE(Setup!$B$2,CHAR(160)," "))))=0,"CHECK REVIEWER ID",IF(OR(A5="",COUNTIF($A$2:$A$15,A5)&lt;&gt;1,LEFT(A5,LEN("2025::jama.2025.24175::"))&lt;&gt;"2025::jama.2025.24175::"),"CHECK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t="inlineStr">
        <is>
          <t>substantive_difference</t>
        </is>
      </c>
      <c r="M5" s="24" t="n"/>
      <c r="N5" s="23" t="n"/>
      <c r="O5" s="23" t="n"/>
      <c r="P5" s="23" t="n"/>
      <c r="Q5" s="23" t="n"/>
      <c r="R5" s="22" t="inlineStr">
        <is>
          <t>Protocol p25 and SAP pp69-70: reversal of immune dysfunction censored at day 15; MALS = ferritin decrease &gt;=15% by day 15; immunoparalysis = HLA-DR &gt;8000 (protocol also ferritin &lt;4420); deaths count as non-reversal. Article p5-7, Table 2 footnote b: reversal 'by day 28', must persist over subsequent draws, &gt;=2 serial draws required, evaluated in a subset of 125 patients (59 vs 66).</t>
        </is>
      </c>
    </row>
    <row r="6" ht="92" customHeight="1" s="25">
      <c r="A6" s="20" t="inlineStr">
        <is>
          <t>2025::jama.2025.24175::C005</t>
        </is>
      </c>
      <c r="B6" s="20" t="inlineStr">
        <is>
          <t>Continuous versus binary primary-outcome power basis</t>
        </is>
      </c>
      <c r="C6" s="20" t="inlineStr">
        <is>
          <t>PLAN joi250116supp1_prod_1771885794.26255.pdf — DOC-002 p.25 power introduction, joi250116supp1_prod_1771885794.26255.pdf — p.26 calculation; REPORT jama_giamarellosbourboulis_2025_oi_250116_1771885794.23757.pdf — DOC-001 p.5 Sample Size Calculation. The complete supplied SAP pp.63–72 has no revised binary power calculation.</t>
        </is>
      </c>
      <c r="D6" s="21" t="inlineStr">
        <is>
          <t>retain</t>
        </is>
      </c>
      <c r="E6" s="21" t="inlineStr">
        <is>
          <t>protocol_report</t>
        </is>
      </c>
      <c r="F6" s="21" t="inlineStr">
        <is>
          <t>primary_done</t>
        </is>
      </c>
      <c r="G6" s="20">
        <f>IFERROR(IF(LEN(TRIM(CLEAN(SUBSTITUTE(Setup!$B$2,CHAR(160)," "))))=0,"CHECK REVIEWER ID",IF(OR(A6="",COUNTIF($A$2:$A$15,A6)&lt;&gt;1,LEFT(A6,LEN("2025::jama.2025.24175::"))&lt;&gt;"2025::jama.2025.24175::"),"CHECK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t="inlineStr">
        <is>
          <t>substantive_difference</t>
        </is>
      </c>
      <c r="M6" s="20" t="n"/>
      <c r="N6" s="23" t="n"/>
      <c r="O6" s="23" t="n"/>
      <c r="P6" s="23" t="n"/>
      <c r="Q6" s="23" t="n"/>
      <c r="R6" s="22" t="inlineStr">
        <is>
          <t>Protocol pp25-26 (OCR): power for a 1.4-point difference in mean SOFA, SD 3.2, two-sided t-test, 90% power. Article p5: powered for responder proportions 40% vs 20%, 117 per group, 280 with 15% dropout. The SAP (pp63-72) contains no binary power calculation. Recomputed: t-test 1.4/3.2 at 90% gives 111 per group; two proportions 40% vs 20% gives 108 per group (power.prop.test, no continuity correction).</t>
        </is>
      </c>
    </row>
    <row r="7" ht="92" customHeight="1" s="25">
      <c r="A7" s="24" t="inlineStr">
        <is>
          <t>2025::jama.2025.24175::C006</t>
        </is>
      </c>
      <c r="B7" s="24" t="inlineStr">
        <is>
          <t>Binary planned versus ordinal reported infection analysis</t>
        </is>
      </c>
      <c r="C7" s="24" t="inlineStr">
        <is>
          <t>PLAN joi250116supp1_prod_1771885794.26255.pdf — DOC-002 p.27 Fisher/Mantel–Haenszel infection analysis, joi250116supp1_prod_1771885794.26255.pdf — p.70 binary resolved/not-resolved SAP analysis; REPORT jama_giamarellosbourboulis_2025_oi_250116_1771885794.23757.pdf — DOC-001 p.6 Table 2/statistical analysis/SAP-following statement, jama_giamarellosbourboulis_2025_oi_250116_1771885794.23757.pdf — p.7 ordinal result, joi250116supp2_prod_1771885794.27755.pdf — DOC-003 p.49 four-state figure.</t>
        </is>
      </c>
      <c r="D7" s="21" t="inlineStr">
        <is>
          <t>retain</t>
        </is>
      </c>
      <c r="E7" s="21" t="inlineStr">
        <is>
          <t>protocol_report</t>
        </is>
      </c>
      <c r="F7" s="21" t="inlineStr">
        <is>
          <t>primary_done</t>
        </is>
      </c>
      <c r="G7" s="24">
        <f>IFERROR(IF(LEN(TRIM(CLEAN(SUBSTITUTE(Setup!$B$2,CHAR(160)," "))))=0,"CHECK REVIEWER ID",IF(OR(A7="",COUNTIF($A$2:$A$15,A7)&lt;&gt;1,LEFT(A7,LEN("2025::jama.2025.24175::"))&lt;&gt;"2025::jama.2025.24175::"),"CHECK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t="inlineStr">
        <is>
          <t>substantive_difference</t>
        </is>
      </c>
      <c r="M7" s="24" t="n"/>
      <c r="N7" s="23" t="n"/>
      <c r="O7" s="23" t="n"/>
      <c r="P7" s="23" t="n"/>
      <c r="Q7" s="23" t="n"/>
      <c r="R7" s="22" t="inlineStr">
        <is>
          <t>Protocol p27 and SAP p70: infection resolution analyzed as binary (resolved vs not) by Fisher exact test with Mantel-Haenszel OR, also by infection type and immune stratum. Article p6-7: 4-category ordinal regression (resolved, intermediate, failure, superinfection), OR 0.59 (0.38-0.91) for worse outcome, while p6 says all secondary end points were compared by Fisher exact test and all analyses followed the SAP.</t>
        </is>
      </c>
    </row>
    <row r="8" ht="92" customHeight="1" s="25">
      <c r="A8" s="20" t="inlineStr">
        <is>
          <t>2025::jama.2025.24175::C007</t>
        </is>
      </c>
      <c r="B8" s="20" t="inlineStr">
        <is>
          <t>Prespecified primary and key-secondary analysis families not located</t>
        </is>
      </c>
      <c r="C8" s="20" t="inlineStr">
        <is>
          <t>PLAN joi250116supp1_prod_1771885794.26255.pdf — DOC-002 p.67 immune-state response homogeneity, joi250116supp1_prod_1771885794.26255.pdf — p.68 survivor secondary means and 28-day immune-state mortality, joi250116supp1_prod_1771885794.26255.pdf — p.71 severity/homogeneity and antibiotics, joi250116supp1_prod_1771885794.26255.pdf — p.72 antibiotic-primary continuation; REPORT jama_giamarellosbourboulis_2025_oi_250116_1771885794.23757.pdf — DOC-001 p.5 endpoint definitions, jama_giamarellosbourboulis_2025_oi_250116_1771885794.23757.pdf — p.6 methods/results, jama_giamarellosbourboulis_2025_oi_250116_1771885794.23757.pdf — p.7 response/mortality/post hoc results, jama_giamarellosbourboulis_2025_oi_250116_1771885794.23757.pdf — p.8 interaction continuation, joi250116supp2_prod_1771885794.27755.pdf — DOC-003 p.16 antibiotic footnote, joi250116supp2_prod_1771885794.27755.pdf — p.21 primary model, joi250116supp2_prod_1771885794.27755.pdf — p.22 immune response, joi250116supp2_prod_1771885794.27755.pdf — p.23 subset baseline, joi250116supp2_prod_1771885794.27755.pdf — p.24 subset baseline continuation, joi250116supp2_prod_1771885794.27755.pdf — p.47 overall mortality, joi250116supp2_prod_1771885794.27755.pdf — p.51 primary severity, joi250116supp2_prod_1771885794.27755.pdf — p.52 28-day severity, joi250116supp2_prod_1771885794.27755.pdf — p.53 90-day severity, with absence assessed against complete DOC-001 pp.1–12 and DOC-003 pp.1–54 result maps and source-linked text.</t>
        </is>
      </c>
      <c r="D8" s="21" t="inlineStr">
        <is>
          <t>retain</t>
        </is>
      </c>
      <c r="E8" s="21" t="inlineStr">
        <is>
          <t>protocol_report</t>
        </is>
      </c>
      <c r="F8" s="21" t="inlineStr">
        <is>
          <t>primary_done</t>
        </is>
      </c>
      <c r="G8" s="20">
        <f>IFERROR(IF(LEN(TRIM(CLEAN(SUBSTITUTE(Setup!$B$2,CHAR(160)," "))))=0,"CHECK REVIEWER ID",IF(OR(A8="",COUNTIF($A$2:$A$15,A8)&lt;&gt;1,LEFT(A8,LEN("2025::jama.2025.24175::"))&lt;&gt;"2025::jama.2025.24175::"),"CHECK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t="inlineStr">
        <is>
          <t>substantive_difference</t>
        </is>
      </c>
      <c r="M8" s="20" t="n"/>
      <c r="N8" s="23" t="n"/>
      <c r="O8" s="23" t="n"/>
      <c r="P8" s="23" t="n"/>
      <c r="Q8" s="23" t="n"/>
      <c r="R8" s="22" t="inlineStr">
        <is>
          <t>SAP pp67-72 (OCR): Breslow-Day/Tarone homogeneity tests across immune states and severity subgroups; survivor-only mean SOFA t-tests by immune state (days 9 and 15); 28- and 90-day mortality by immune state; separate primary-endpoint analysis by appropriate vs inappropriate antibiotics. None found in the article or the 54-page supplement (searched for Breslow, Tarone, survivors, appropriate antibiotics; checked eTable/eFigure list).</t>
        </is>
      </c>
    </row>
    <row r="9" ht="92" customHeight="1" s="25">
      <c r="A9" s="24" t="inlineStr">
        <is>
          <t>2025::jama.2025.24175::C008</t>
        </is>
      </c>
      <c r="B9" s="24" t="inlineStr">
        <is>
          <t>Unadjusted day-15 immunoparalysis odds ratio does not reconcile with its counts</t>
        </is>
      </c>
      <c r="C9" s="24" t="inlineStr">
        <is>
          <t>joi250116supp2_prod_1771885794.27755.pdf — physical PDF p.22, eTable 10, final day-15 immunoparalysis row and all three companion rows.</t>
        </is>
      </c>
      <c r="D9" s="21" t="inlineStr">
        <is>
          <t>retain</t>
        </is>
      </c>
      <c r="E9" s="21" t="inlineStr">
        <is>
          <t>statistical_results</t>
        </is>
      </c>
      <c r="F9" s="21" t="inlineStr">
        <is>
          <t>primary_done</t>
        </is>
      </c>
      <c r="G9" s="24">
        <f>IFERROR(IF(LEN(TRIM(CLEAN(SUBSTITUTE(Setup!$B$2,CHAR(160)," "))))=0,"CHECK REVIEWER ID",IF(OR(A9="",COUNTIF($A$2:$A$15,A9)&lt;&gt;1,LEFT(A9,LEN("2025::jama.2025.24175::"))&lt;&gt;"2025::jama.2025.24175::"),"CHECK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t="inlineStr">
        <is>
          <t>confirmed_issue</t>
        </is>
      </c>
      <c r="I9" s="21" t="inlineStr">
        <is>
          <t>minor_presentation</t>
        </is>
      </c>
      <c r="J9" s="22" t="inlineStr">
        <is>
          <t>possible</t>
        </is>
      </c>
      <c r="K9" s="21">
        <f>IF(AND(OR(D9="retain",D9=""),OR(E9="report_internal_inconsistency",E9="plan_material")),"","not_applicable")</f>
        <v/>
      </c>
      <c r="L9" s="22">
        <f>IF(AND(OR(D9="retain",D9=""),E9="protocol_report"),"","not_applicable")</f>
        <v/>
      </c>
      <c r="M9" s="24" t="n"/>
      <c r="N9" s="23" t="n"/>
      <c r="O9" s="23" t="n"/>
      <c r="P9" s="23" t="n"/>
      <c r="Q9" s="23" t="n"/>
      <c r="R9" s="22" t="inlineStr">
        <is>
          <t>eTable 10 p22: day-15 immunoparalysis 40/106 vs 29/122, OR printed 1.194 (1.09 to 3.45). Crude OR = (40/66)/(29/93) = 1.94 (Fisher conditional 1.94); geometric midpoint of the printed CI = 1.94. Transposed digits (1.944 printed as 1.194); the printed point lies at the edge of its own CI.</t>
        </is>
      </c>
    </row>
    <row r="10" ht="92" customHeight="1" s="25">
      <c r="A10" s="20" t="inlineStr">
        <is>
          <t>2025::jama.2025.24175::C009</t>
        </is>
      </c>
      <c r="B10" s="20" t="inlineStr">
        <is>
          <t>MALS number-needed-to-harm direction does not reconcile with patient risks</t>
        </is>
      </c>
      <c r="C10" s="20" t="inlineStr">
        <is>
          <t>joi250116supp2_prod_1771885794.27755.pdf — physical PDF p.27, eTable 13, MALS Any SAE row; joi250116supp2_prod_1771885794.27755.pdf — physical PDF p.44, eTable 15, MALS NNH1 and induce-harm definition. Definition support: joi250116supp2_prod_1771885794.27755.pdf — physical PDF p.29, eTable 13 footnote a.</t>
        </is>
      </c>
      <c r="D10" s="21" t="inlineStr">
        <is>
          <t>retain</t>
        </is>
      </c>
      <c r="E10" s="21" t="inlineStr">
        <is>
          <t>statistical_results</t>
        </is>
      </c>
      <c r="F10" s="21" t="inlineStr">
        <is>
          <t>primary_done</t>
        </is>
      </c>
      <c r="G10" s="20">
        <f>IFERROR(IF(LEN(TRIM(CLEAN(SUBSTITUTE(Setup!$B$2,CHAR(160)," "))))=0,"CHECK REVIEWER ID",IF(OR(A10="",COUNTIF($A$2:$A$15,A10)&lt;&gt;1,LEFT(A10,LEN("2025::jama.2025.24175::"))&lt;&gt;"2025::jama.2025.24175::"),"CHECK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t="inlineStr">
        <is>
          <t>confirmed_issue</t>
        </is>
      </c>
      <c r="I10" s="21" t="inlineStr">
        <is>
          <t>substantive</t>
        </is>
      </c>
      <c r="J10" s="22" t="inlineStr">
        <is>
          <t>possible</t>
        </is>
      </c>
      <c r="K10" s="21">
        <f>IF(AND(OR(D10="retain",D10=""),OR(E10="report_internal_inconsistency",E10="plan_material")),"","not_applicable")</f>
        <v/>
      </c>
      <c r="L10" s="22">
        <f>IF(AND(OR(D10="retain",D10=""),E10="protocol_report"),"","not_applicable")</f>
        <v/>
      </c>
      <c r="M10" s="20" t="n"/>
      <c r="N10" s="23" t="n"/>
      <c r="O10" s="23" t="n"/>
      <c r="P10" s="23" t="n"/>
      <c r="Q10" s="23" t="n"/>
      <c r="R10" s="22" t="inlineStr">
        <is>
          <t>eTable 13 p27: MALS any serious TEAE 20/25 (80.0%) anakinra vs 21/23 (91.3%) placebo. eTable 15 p44 reports 'number needed to treat to induce at least 1 serious TEAE (NNH1)' = 8.8 (3.2 to 10.0). Risk is lower with anakinra: RD -11.3 points, 1/RD = -8.8, i.e., a number needed to benefit, not to harm.</t>
        </is>
      </c>
    </row>
    <row r="11" ht="92" customHeight="1" s="25">
      <c r="A11" s="24" t="inlineStr">
        <is>
          <t>2025::jama.2025.24175::C010</t>
        </is>
      </c>
      <c r="B11" s="24" t="inlineStr">
        <is>
          <t>Finite NNH1 intervals versus nonsignificant source-specified safety comparisons</t>
        </is>
      </c>
      <c r="C11" s="24" t="inlineStr">
        <is>
          <t>joi250116supp2_prod_1771885794.27755.pdf — physical PDF p.27, eTable 13, MALS and immunoparalysis Any SAE patient rows; joi250116supp2_prod_1771885794.27755.pdf — physical PDF p.44, eTable 15, both NNH1 intervals. Patient-count support: joi250116supp2_prod_1771885794.27755.pdf — physical PDF p.29, footnote a. Test corroboration: jama_giamarellosbourboulis_2025_oi_250116_1771885794.23757.pdf — physical PDF p.6, significance and SAP-following statements; joi250116supp1_prod_1771885794.26255.pdf — physical PDF p.70, SAP Safety and two-sided significance specification.</t>
        </is>
      </c>
      <c r="D11" s="21" t="inlineStr">
        <is>
          <t>retain</t>
        </is>
      </c>
      <c r="E11" s="21" t="inlineStr">
        <is>
          <t>statistical_results</t>
        </is>
      </c>
      <c r="F11" s="21" t="inlineStr">
        <is>
          <t>primary_done</t>
        </is>
      </c>
      <c r="G11" s="24">
        <f>IFERROR(IF(LEN(TRIM(CLEAN(SUBSTITUTE(Setup!$B$2,CHAR(160)," "))))=0,"CHECK REVIEWER ID",IF(OR(A11="",COUNTIF($A$2:$A$15,A11)&lt;&gt;1,LEFT(A11,LEN("2025::jama.2025.24175::"))&lt;&gt;"2025::jama.2025.24175::"),"CHECK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t="inlineStr">
        <is>
          <t>confirmed_issue</t>
        </is>
      </c>
      <c r="I11" s="21" t="inlineStr">
        <is>
          <t>substantive</t>
        </is>
      </c>
      <c r="J11" s="22" t="inlineStr">
        <is>
          <t>possible</t>
        </is>
      </c>
      <c r="K11" s="21">
        <f>IF(AND(OR(D11="retain",D11=""),OR(E11="report_internal_inconsistency",E11="plan_material")),"","not_applicable")</f>
        <v/>
      </c>
      <c r="L11" s="22">
        <f>IF(AND(OR(D11="retain",D11=""),E11="protocol_report"),"","not_applicable")</f>
        <v/>
      </c>
      <c r="M11" s="24" t="n"/>
      <c r="N11" s="23" t="n"/>
      <c r="O11" s="23" t="n"/>
      <c r="P11" s="23" t="n"/>
      <c r="Q11" s="23" t="n"/>
      <c r="R11" s="22" t="inlineStr">
        <is>
          <t>eTable 15 p44 gives finite NNH1 intervals for comparisons that are not significant: MALS 8.8 (3.2 to 10.0) for 20/25 vs 21/23 (RD -11.3, 95% CI -30.8 to 8.2; Fisher P=.42); immunoparalysis 47.6 (9.9 to 55.8) for 96/106 vs 108/122 (RD 2.0, 95% CI -5.9 to 10.0; Fisher P=.67). When the RD CI includes 0, the NNT/NNH interval must pass through infinity (e.g., NNH 10.0 to infinity and NNTB 17 to infinity). Total NNH1 200 (-14.1 to 1220) is also not a valid construction.</t>
        </is>
      </c>
    </row>
    <row r="12" ht="92" customHeight="1" s="25">
      <c r="A12" s="20" t="inlineStr">
        <is>
          <t>2025::jama.2025.24175::C011</t>
        </is>
      </c>
      <c r="B12" s="20" t="inlineStr">
        <is>
          <t>Five subgroup P values do not reproduce under the companion-row test</t>
        </is>
      </c>
      <c r="C12" s="20" t="inlineStr">
        <is>
          <t>joi250116supp2_prod_1771885794.27755.pdf — physical PDF p.51, eFigure 7 panel A, primary response, APACHE II≥25, CCI≥5 and SOFA≥10 rows; joi250116supp2_prod_1771885794.27755.pdf — physical PDF p.52, eFigure 8 panel A, 28-day mortality, SOFA≥10 row; joi250116supp2_prod_1771885794.27755.pdf — physical PDF p.53, eFigure 9 panel A, 90-day mortality, SOFA≥10 row. Each page's remaining panel-A rows supplies companion evidence. Corroborating methods: jama_giamarellosbourboulis_2025_oi_250116_1771885794.23757.pdf — physical PDF p.6.</t>
        </is>
      </c>
      <c r="D12" s="21" t="inlineStr">
        <is>
          <t>retain</t>
        </is>
      </c>
      <c r="E12" s="21" t="inlineStr">
        <is>
          <t>statistical_results</t>
        </is>
      </c>
      <c r="F12" s="21" t="inlineStr">
        <is>
          <t>primary_done</t>
        </is>
      </c>
      <c r="G12" s="20">
        <f>IFERROR(IF(LEN(TRIM(CLEAN(SUBSTITUTE(Setup!$B$2,CHAR(160)," "))))=0,"CHECK REVIEWER ID",IF(OR(A12="",COUNTIF($A$2:$A$15,A12)&lt;&gt;1,LEFT(A12,LEN("2025::jama.2025.24175::"))&lt;&gt;"2025::jama.2025.24175::"),"CHECK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t="inlineStr">
        <is>
          <t>probable_issue</t>
        </is>
      </c>
      <c r="I12" s="21" t="inlineStr">
        <is>
          <t>minor_presentation</t>
        </is>
      </c>
      <c r="J12" s="22" t="inlineStr">
        <is>
          <t>unlikely</t>
        </is>
      </c>
      <c r="K12" s="21">
        <f>IF(AND(OR(D12="retain",D12=""),OR(E12="report_internal_inconsistency",E12="plan_material")),"","not_applicable")</f>
        <v/>
      </c>
      <c r="L12" s="22">
        <f>IF(AND(OR(D12="retain",D12=""),E12="protocol_report"),"","not_applicable")</f>
        <v/>
      </c>
      <c r="M12" s="20" t="n"/>
      <c r="N12" s="23" t="n"/>
      <c r="O12" s="23" t="n"/>
      <c r="P12" s="23" t="n"/>
      <c r="Q12" s="23" t="n"/>
      <c r="R12" s="22" t="inlineStr">
        <is>
          <t>eFigures 7-9 panel A (supp2 pp51-53, rendered): Fisher exact tests on the printed counts reproduce 13 of 18 P values exactly (e.g., .475, .083, .472, .231, .721, .045), but not five: eFig7 APACHE&gt;=25 printed .439 (Fisher .303), CCI&gt;=5 .003 (&lt;.001), SOFA&gt;=10 .035 (.007); eFig8 SOFA&gt;=10 .045 (.034); eFig9 SOFA&gt;=10 .209 (.147). No other standard test (chi-square, Yates) reproduces them either. Qualitative conclusions unchanged.</t>
        </is>
      </c>
    </row>
    <row r="13" ht="92" customHeight="1" s="25">
      <c r="A13" s="24" t="inlineStr">
        <is>
          <t>2025::jama.2025.24175::C012</t>
        </is>
      </c>
      <c r="B13" s="24" t="inlineStr">
        <is>
          <t>Repeated APACHE coefficient does not reproduce the companion interval construction</t>
        </is>
      </c>
      <c r="C13" s="24" t="inlineStr">
        <is>
          <t>joi250116supp2_prod_1771885794.27755.pdf — physical PDF p.51, eFigure 7 panel B, APACHE II≥25 main-effect row and five companions; joi250116supp2_prod_1771885794.27755.pdf — physical PDF p.52, eFigure 8 panel B, corresponding row and five companions.</t>
        </is>
      </c>
      <c r="D13" s="21" t="inlineStr">
        <is>
          <t>retain</t>
        </is>
      </c>
      <c r="E13" s="21" t="inlineStr">
        <is>
          <t>statistical_results</t>
        </is>
      </c>
      <c r="F13" s="21" t="inlineStr">
        <is>
          <t>primary_done</t>
        </is>
      </c>
      <c r="G13" s="24">
        <f>IFERROR(IF(LEN(TRIM(CLEAN(SUBSTITUTE(Setup!$B$2,CHAR(160)," "))))=0,"CHECK REVIEWER ID",IF(OR(A13="",COUNTIF($A$2:$A$15,A13)&lt;&gt;1,LEFT(A13,LEN("2025::jama.2025.24175::"))&lt;&gt;"2025::jama.2025.24175::"),"CHECK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t="inlineStr">
        <is>
          <t>confirmed_issue</t>
        </is>
      </c>
      <c r="I13" s="21" t="inlineStr">
        <is>
          <t>minor_presentation</t>
        </is>
      </c>
      <c r="J13" s="22" t="inlineStr">
        <is>
          <t>unlikely</t>
        </is>
      </c>
      <c r="K13" s="21">
        <f>IF(AND(OR(D13="retain",D13=""),OR(E13="report_internal_inconsistency",E13="plan_material")),"","not_applicable")</f>
        <v/>
      </c>
      <c r="L13" s="22">
        <f>IF(AND(OR(D13="retain",D13=""),E13="protocol_report"),"","not_applicable")</f>
        <v/>
      </c>
      <c r="M13" s="24" t="n"/>
      <c r="N13" s="23" t="n"/>
      <c r="O13" s="23" t="n"/>
      <c r="P13" s="23" t="n"/>
      <c r="Q13" s="23" t="n"/>
      <c r="R13" s="22" t="inlineStr">
        <is>
          <t>eFigures 7 and 8 panel B: 'APACHE II &gt;=25' OR 0.47 (95% CI 0.30-1.62), P=.70. The CI's geometric midpoint is 0.70; with that CI, OR 0.47 implies P=0.08 and OR 0.70 implies P=0.40. The other five rows reproduce (e.g., CCI&gt;=5 0.22 [0.09-0.53] midpoint 0.22, P .001; SOFA&gt;=10 0.56 [0.27-1.19], P .13). The row is internally inconsistent.</t>
        </is>
      </c>
    </row>
    <row r="14" ht="92" customHeight="1" s="25">
      <c r="A14" s="20" t="inlineStr">
        <is>
          <t>2025::jama.2025.24175::C013</t>
        </is>
      </c>
      <c r="B14" s="20" t="inlineStr">
        <is>
          <t>Complete six-row output has unresolved attribution to two outcomes</t>
        </is>
      </c>
      <c r="C14" s="20" t="inlineStr">
        <is>
          <t>joi250116supp2_prod_1771885794.27755.pdf — physical PDF p.51, eFigure 7 complete panel B and primary-response caption; joi250116supp2_prod_1771885794.27755.pdf — physical PDF p.52, eFigure 8 complete panel B and 28-day-mortality caption. Narrative corroboration: jama_giamarellosbourboulis_2025_oi_250116_1771885794.23757.pdf — physical PDF p.7, Post Hoc and Subgroup Analyses opening; jama_giamarellosbourboulis_2025_oi_250116_1771885794.23757.pdf — physical PDF p.8, interaction continuation.</t>
        </is>
      </c>
      <c r="D14" s="21" t="inlineStr">
        <is>
          <t>retain</t>
        </is>
      </c>
      <c r="E14" s="21" t="inlineStr">
        <is>
          <t>statistical_results</t>
        </is>
      </c>
      <c r="F14" s="21" t="inlineStr">
        <is>
          <t>primary_done</t>
        </is>
      </c>
      <c r="G14" s="20">
        <f>IFERROR(IF(LEN(TRIM(CLEAN(SUBSTITUTE(Setup!$B$2,CHAR(160)," "))))=0,"CHECK REVIEWER ID",IF(OR(A14="",COUNTIF($A$2:$A$15,A14)&lt;&gt;1,LEFT(A14,LEN("2025::jama.2025.24175::"))&lt;&gt;"2025::jama.2025.24175::"),"CHECK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t="inlineStr">
        <is>
          <t>confirmed_issue</t>
        </is>
      </c>
      <c r="I14" s="21" t="inlineStr">
        <is>
          <t>substantive</t>
        </is>
      </c>
      <c r="J14" s="22" t="inlineStr">
        <is>
          <t>direct</t>
        </is>
      </c>
      <c r="K14" s="21">
        <f>IF(AND(OR(D14="retain",D14=""),OR(E14="report_internal_inconsistency",E14="plan_material")),"","not_applicable")</f>
        <v/>
      </c>
      <c r="L14" s="22">
        <f>IF(AND(OR(D14="retain",D14=""),E14="protocol_report"),"","not_applicable")</f>
        <v/>
      </c>
      <c r="M14" s="20" t="n"/>
      <c r="N14" s="23" t="n"/>
      <c r="O14" s="23" t="n"/>
      <c r="P14" s="23" t="n"/>
      <c r="Q14" s="23" t="n"/>
      <c r="R14" s="22" t="inlineStr">
        <is>
          <t>E changed to statistical_results (one numerical output attributed to two outcomes). eFigure 7 panel B (primary endpoint interactions) and eFigure 8 panel B (28-day mortality interactions) are identical in all six rows (e.g., CCI&gt;=5 x treatment 5.79 [2.34-15.05], P&lt;.0001; SOFA&gt;=10 x treatment 3.08 [1.37-6.96], P=.007). Article p7-8 reports significant CCI and SOFA interactions for both outcomes from these panels. Panel A data differ between the two outcomes (e.g., CCI&gt;=5 OR 5.80 for response vs 0.42 for death), so identical interaction models are implausible.</t>
        </is>
      </c>
    </row>
    <row r="15" ht="92" customHeight="1" s="25">
      <c r="A15" s="24" t="inlineStr">
        <is>
          <t>2025::jama.2025.24175::C014</t>
        </is>
      </c>
      <c r="B15" s="24" t="inlineStr">
        <is>
          <t>90-day APACHE-treatment point lies outside its stated confidence interval</t>
        </is>
      </c>
      <c r="C15" s="24" t="inlineStr">
        <is>
          <t>joi250116supp2_prod_1771885794.27755.pdf — physical PDF p.53, eFigure 9 panel B, APACHE II≥25×precision-immunotherapy row and 90-day-mortality caption.</t>
        </is>
      </c>
      <c r="D15" s="21" t="inlineStr">
        <is>
          <t>retain</t>
        </is>
      </c>
      <c r="E15" s="21" t="inlineStr">
        <is>
          <t>statistical_results</t>
        </is>
      </c>
      <c r="F15" s="21" t="inlineStr">
        <is>
          <t>primary_done</t>
        </is>
      </c>
      <c r="G15" s="24">
        <f>IFERROR(IF(LEN(TRIM(CLEAN(SUBSTITUTE(Setup!$B$2,CHAR(160)," "))))=0,"CHECK REVIEWER ID",IF(OR(A15="",COUNTIF($A$2:$A$15,A15)&lt;&gt;1,LEFT(A15,LEN("2025::jama.2025.24175::"))&lt;&gt;"2025::jama.2025.24175::"),"CHECK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
      </c>
      <c r="H15" s="21" t="inlineStr">
        <is>
          <t>confirmed_issue</t>
        </is>
      </c>
      <c r="I15" s="21" t="inlineStr">
        <is>
          <t>minor_presentation</t>
        </is>
      </c>
      <c r="J15" s="22" t="inlineStr">
        <is>
          <t>possible</t>
        </is>
      </c>
      <c r="K15" s="21">
        <f>IF(AND(OR(D15="retain",D15=""),OR(E15="report_internal_inconsistency",E15="plan_material")),"","not_applicable")</f>
        <v/>
      </c>
      <c r="L15" s="22">
        <f>IF(AND(OR(D15="retain",D15=""),E15="protocol_report"),"","not_applicable")</f>
        <v/>
      </c>
      <c r="M15" s="24" t="n"/>
      <c r="N15" s="23" t="n"/>
      <c r="O15" s="23" t="n"/>
      <c r="P15" s="23" t="n"/>
      <c r="Q15" s="23" t="n"/>
      <c r="R15" s="22" t="inlineStr">
        <is>
          <t>eFigure 9 panel B (90-day mortality): 'APACHE II &gt;=25 x Precision Immunotherapy' OR 0.11 (95% CI 0.36-3.42), P=.86. The point lies outside its CI; the geometric midpoint is 1.11, which gives P=0.86 with that CI. Likely 1.11 printed as 0.11.</t>
        </is>
      </c>
    </row>
  </sheetData>
  <autoFilter ref="A1:R15"/>
  <conditionalFormatting sqref="H2:H15">
    <cfRule type="expression" priority="8" dxfId="70">
      <formula>NOT(AND(OR($D2="retain",$D2=""),$E2="statistical_results"))</formula>
    </cfRule>
  </conditionalFormatting>
  <conditionalFormatting sqref="I2:I15">
    <cfRule type="expression" priority="9" dxfId="70">
      <formula>NOT(AND(OR($D2="retain",$D2=""),$E2="statistical_results"))</formula>
    </cfRule>
  </conditionalFormatting>
  <conditionalFormatting sqref="J2:J15">
    <cfRule type="expression" priority="10" dxfId="70">
      <formula>NOT(AND(OR($D2="retain",$D2=""),$E2="statistical_results"))</formula>
    </cfRule>
  </conditionalFormatting>
  <conditionalFormatting sqref="K2:K15">
    <cfRule type="expression" priority="11" dxfId="70">
      <formula>NOT(AND(OR($D2="retain",$D2=""),OR($E2="report_internal_inconsistency",$E2="plan_material")))</formula>
    </cfRule>
  </conditionalFormatting>
  <conditionalFormatting sqref="L2:L15">
    <cfRule type="expression" priority="12" dxfId="70">
      <formula>NOT(AND(OR($D2="retain",$D2=""),$E2="protocol_report"))</formula>
    </cfRule>
  </conditionalFormatting>
  <conditionalFormatting sqref="G2:G15">
    <cfRule type="expression" priority="13" dxfId="71">
      <formula>G2&lt;&gt;"PRIMARY READY"</formula>
    </cfRule>
  </conditionalFormatting>
  <dataValidations count="8">
    <dataValidation sqref="D2:D15" showDropDown="0" showInputMessage="0" showErrorMessage="1" allowBlank="1" errorTitle="Use a listed option" error="Choose an option; G also checks pasted entries." type="list" errorStyle="stop">
      <formula1>"retain,exclude,discuss"</formula1>
    </dataValidation>
    <dataValidation sqref="E2:E15"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5" showDropDown="0" showInputMessage="0" showErrorMessage="1" allowBlank="1" errorTitle="Use a listed option" error="Choose an option; G also checks pasted entries." type="list" errorStyle="stop">
      <formula1>"no,primary_done"</formula1>
    </dataValidation>
    <dataValidation sqref="H2:H15"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5"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5" showDropDown="0" showInputMessage="0" showErrorMessage="1" allowBlank="1" errorTitle="Use a listed option" error="Choose an option; G also checks pasted entries." type="list" errorStyle="stop">
      <formula1>"direct,possible,unlikely,unknown,not_applicable"</formula1>
    </dataValidation>
    <dataValidation sqref="K2:K15"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5"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R14"/>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2025::jama.2025.4390::C001</t>
        </is>
      </c>
      <c r="B2" s="20" t="inlineStr">
        <is>
          <t>Figure 3 primary and subgroup rate quantity/scale</t>
        </is>
      </c>
      <c r="C2" s="20" t="inlineStr">
        <is>
          <t>REPORT jama_garrison_2025_oi_250019_1749674951.29054.pdf — physical PDF p. 9; REPORT jama_garrison_2025_oi_250019_1749674951.29054.pdf — physical PDF p. 8; REPORT jama_garrison_2025_oi_250019_1749674951.29054.pdf — physical PDF p. 1; REPORT jama_garrison_2025_oi_250019_1749674951.29054.pdf — physical PDF p. 2; REPORT jama_garrison_2025_oi_250019_1749674951.29054.pdf — physical PDF p. 6</t>
        </is>
      </c>
      <c r="D2" s="21" t="inlineStr">
        <is>
          <t>retain</t>
        </is>
      </c>
      <c r="E2" s="21" t="inlineStr">
        <is>
          <t>statistical_results</t>
        </is>
      </c>
      <c r="F2" s="21" t="inlineStr">
        <is>
          <t>primary_done</t>
        </is>
      </c>
      <c r="G2" s="20">
        <f>IFERROR(IF(LEN(TRIM(CLEAN(SUBSTITUTE(Setup!$B$2,CHAR(160)," "))))=0,"CHECK REVIEWER ID",IF(OR(A2="",COUNTIF($A$2:$A$14,A2)&lt;&gt;1,LEFT(A2,LEN("2025::jama.2025.4390::"))&lt;&gt;"2025::jama.2025.4390::"),"CHECK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t="inlineStr">
        <is>
          <t>confirmed_issue</t>
        </is>
      </c>
      <c r="I2" s="21" t="inlineStr">
        <is>
          <t>minor_presentation</t>
        </is>
      </c>
      <c r="J2" s="22" t="inlineStr">
        <is>
          <t>possible</t>
        </is>
      </c>
      <c r="K2" s="21">
        <f>IF(AND(OR(D2="retain",D2=""),OR(E2="report_internal_inconsistency",E2="plan_material")),"","not_applicable")</f>
        <v/>
      </c>
      <c r="L2" s="22">
        <f>IF(AND(OR(D2="retain",D2=""),E2="protocol_report"),"","not_applicable")</f>
        <v/>
      </c>
      <c r="M2" s="20" t="n"/>
      <c r="N2" s="23" t="n"/>
      <c r="O2" s="23" t="n"/>
      <c r="P2" s="23" t="n"/>
      <c r="Q2" s="23" t="n"/>
      <c r="R2" s="22" t="inlineStr">
        <is>
          <t>Figure 3 p9 columns headed 'Rate per 100 patient-years' print 71.0 and 71.0 for all patients (and 30.5/30.4 for men, etc.), whereas Table 2 p8 rates are 2.30 and 2.44. The printed values are total patient-years in hundreds: 163/71.0 = 2.30 and 173/71.0 = 2.44; men 80/30.5 = 2.62. Column label is wrong for all subgroup rows; HRs unaffected. Note: the supplied article PDF carries prior highlight annotations on these cells (see summary).</t>
        </is>
      </c>
    </row>
    <row r="3" ht="92" customHeight="1" s="25">
      <c r="A3" s="24" t="inlineStr">
        <is>
          <t>2025::jama.2025.4390::C002</t>
        </is>
      </c>
      <c r="B3" s="24" t="inlineStr">
        <is>
          <t>Utilization endpoint restriction</t>
        </is>
      </c>
      <c r="C3" s="24" t="inlineStr">
        <is>
          <t>PLAN joi250019supp1_prod_1749674951.29554.pdf — physical PDF p. 3; PLAN joi250019supp2_prod_1749674951.30054.pdf — physical PDF p. 2; PLAN joi250019supp2_prod_1749674951.30054.pdf — physical PDF p. 4; REPORT jama_garrison_2025_oi_250019_1749674951.29054.pdf — physical PDF p. 1; REPORT jama_garrison_2025_oi_250019_1749674951.29054.pdf — physical PDF p. 3; REPORT jama_garrison_2025_oi_250019_1749674951.29054.pdf — physical PDF p. 8; REPORT joi250019supp3_prod_1749674951.30054.pdf — physical PDF p. 15</t>
        </is>
      </c>
      <c r="D3" s="21" t="inlineStr">
        <is>
          <t>retain</t>
        </is>
      </c>
      <c r="E3" s="21" t="inlineStr">
        <is>
          <t>protocol_report</t>
        </is>
      </c>
      <c r="F3" s="21" t="inlineStr">
        <is>
          <t>primary_done</t>
        </is>
      </c>
      <c r="G3" s="24">
        <f>IFERROR(IF(LEN(TRIM(CLEAN(SUBSTITUTE(Setup!$B$2,CHAR(160)," "))))=0,"CHECK REVIEWER ID",IF(OR(A3="",COUNTIF($A$2:$A$14,A3)&lt;&gt;1,LEFT(A3,LEN("2025::jama.2025.4390::"))&lt;&gt;"2025::jama.2025.4390::"),"CHECK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substantive_difference</t>
        </is>
      </c>
      <c r="M3" s="24" t="n"/>
      <c r="N3" s="23" t="n"/>
      <c r="O3" s="23" t="n"/>
      <c r="P3" s="23" t="n"/>
      <c r="Q3" s="23" t="n"/>
      <c r="R3" s="22" t="inlineStr">
        <is>
          <t>Protocol (May 2016) p3: secondary 'all-cause hospital admission'; SAP (Dec 2021) p2/p4: 'all-cause hospitalization / ED visit'. Article p3/p8: 'all-cause unplanned hospitalization/ED visit'; eAppendix Section 3 p15 defines 'unplanned' and excludes elective admissions and procedures. The 'unplanned' restriction is not in either plan and is not among the disclosed outcome changes (eAppendix Section 5 p21).</t>
        </is>
      </c>
    </row>
    <row r="4" ht="92" customHeight="1" s="25">
      <c r="A4" s="20" t="inlineStr">
        <is>
          <t>2025::jama.2025.4390::C003</t>
        </is>
      </c>
      <c r="B4" s="20" t="inlineStr">
        <is>
          <t>Adaptive diuretic decision time/population</t>
        </is>
      </c>
      <c r="C4" s="20" t="inlineStr">
        <is>
          <t>PLAN joi250019supp1_prod_1749674951.29554.pdf — physical PDF p. 4; REPORT jama_garrison_2025_oi_250019_1749674951.29054.pdf — physical PDF p. 2</t>
        </is>
      </c>
      <c r="D4" s="21" t="inlineStr">
        <is>
          <t>retain</t>
        </is>
      </c>
      <c r="E4" s="21" t="inlineStr">
        <is>
          <t>protocol_report</t>
        </is>
      </c>
      <c r="F4" s="21" t="inlineStr">
        <is>
          <t>primary_done</t>
        </is>
      </c>
      <c r="G4" s="20">
        <f>IFERROR(IF(LEN(TRIM(CLEAN(SUBSTITUTE(Setup!$B$2,CHAR(160)," "))))=0,"CHECK REVIEWER ID",IF(OR(A4="",COUNTIF($A$2:$A$14,A4)&lt;&gt;1,LEFT(A4,LEN("2025::jama.2025.4390::"))&lt;&gt;"2025::jama.2025.4390::"),"CHECK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version_timing</t>
        </is>
      </c>
      <c r="M4" s="20" t="n"/>
      <c r="N4" s="23" t="n"/>
      <c r="O4" s="23" t="n"/>
      <c r="P4" s="23" t="n"/>
      <c r="Q4" s="23" t="n"/>
      <c r="R4" s="22" t="inlineStr">
        <is>
          <t>Original protocol p4: after 200 diuretic-only patients enrolled, analyze 6-week compliance to allocation for all BP meds among bedtime-allocated patients; exclude further diuretic-only enrollment if diuretic compliance is worse. Article p2: 'predefined interim assessment of 6-month adherence to bedtime diuretic use in participants taking monotherapy', citing the published protocol (ref 20), which is not supplied. Amendment log (supp1 pp5-18) records no change.</t>
        </is>
      </c>
    </row>
    <row r="5" ht="92" customHeight="1" s="25">
      <c r="A5" s="24" t="inlineStr">
        <is>
          <t>2025::jama.2025.4390::C004</t>
        </is>
      </c>
      <c r="B5" s="24" t="inlineStr">
        <is>
          <t>Allocation specification</t>
        </is>
      </c>
      <c r="C5" s="24" t="inlineStr">
        <is>
          <t>PLAN joi250019supp1_prod_1749674951.29554.pdf — physical PDF p. 4; REPORT jama_garrison_2025_oi_250019_1749674951.29054.pdf — physical PDF p. 3; REPORT jama_garrison_2025_oi_250019_1749674951.29054.pdf — physical PDF p. 7; PLAN joi250019supp2_prod_1749674951.30054.pdf — physical PDF p. 4</t>
        </is>
      </c>
      <c r="D5" s="21" t="inlineStr">
        <is>
          <t>retain</t>
        </is>
      </c>
      <c r="E5" s="21" t="inlineStr">
        <is>
          <t>protocol_report</t>
        </is>
      </c>
      <c r="F5" s="21" t="inlineStr">
        <is>
          <t>primary_done</t>
        </is>
      </c>
      <c r="G5" s="24">
        <f>IFERROR(IF(LEN(TRIM(CLEAN(SUBSTITUTE(Setup!$B$2,CHAR(160)," "))))=0,"CHECK REVIEWER ID",IF(OR(A5="",COUNTIF($A$2:$A$14,A5)&lt;&gt;1,LEFT(A5,LEN("2025::jama.2025.4390::"))&lt;&gt;"2025::jama.2025.4390::"),"CHECK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t="inlineStr">
        <is>
          <t>substantive_difference</t>
        </is>
      </c>
      <c r="M5" s="24" t="n"/>
      <c r="N5" s="23" t="n"/>
      <c r="O5" s="23" t="n"/>
      <c r="P5" s="23" t="n"/>
      <c r="Q5" s="23" t="n"/>
      <c r="R5" s="22" t="inlineStr">
        <is>
          <t>Original protocol p4: allocation 'via a simple randomization - no stratification or blocking'. Article p3: permuted blocks of 10 or 12, stratified by province. The supplied amendment log has no randomization change; the final published protocol is cited but not supplied.</t>
        </is>
      </c>
    </row>
    <row r="6" ht="92" customHeight="1" s="25">
      <c r="A6" s="20" t="inlineStr">
        <is>
          <t>2025::jama.2025.4390::C005</t>
        </is>
      </c>
      <c r="B6" s="20" t="inlineStr">
        <is>
          <t>LTC medication-control criterion</t>
        </is>
      </c>
      <c r="C6" s="20" t="inlineStr">
        <is>
          <t>PLAN joi250019supp2_prod_1749674951.30054.pdf — physical PDF p. 2; REPORT jama_garrison_2025_oi_250019_1749674951.29054.pdf — physical PDF p. 3; REPORT jama_garrison_2025_oi_250019_1749674951.29054.pdf — physical PDF p. 8; REPORT joi250019supp3_prod_1749674951.30054.pdf — physical PDF p. 16</t>
        </is>
      </c>
      <c r="D6" s="21" t="inlineStr">
        <is>
          <t>retain</t>
        </is>
      </c>
      <c r="E6" s="21" t="inlineStr">
        <is>
          <t>protocol_report</t>
        </is>
      </c>
      <c r="F6" s="21" t="inlineStr">
        <is>
          <t>primary_done</t>
        </is>
      </c>
      <c r="G6" s="20">
        <f>IFERROR(IF(LEN(TRIM(CLEAN(SUBSTITUTE(Setup!$B$2,CHAR(160)," "))))=0,"CHECK REVIEWER ID",IF(OR(A6="",COUNTIF($A$2:$A$14,A6)&lt;&gt;1,LEFT(A6,LEN("2025::jama.2025.4390::"))&lt;&gt;"2025::jama.2025.4390::"),"CHECK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t="inlineStr">
        <is>
          <t>substantive_difference</t>
        </is>
      </c>
      <c r="M6" s="20" t="n"/>
      <c r="N6" s="23" t="n"/>
      <c r="O6" s="23" t="n"/>
      <c r="P6" s="23" t="n"/>
      <c r="Q6" s="23" t="n"/>
      <c r="R6" s="22" t="inlineStr">
        <is>
          <t>SAP p2: 'Long-term care (LTC) admission (i.e., to nursing home or assisted living facility)'. Article p3/Table 2 footnote g: nursing home admission = 'admission to a group living facility where participants no longer have control of their own medication timing'; eAppendix p16 counts moves from self-administering assisted living to higher care as admission. Assisted-living admission with retained medication control would count under the SAP but not under the report.</t>
        </is>
      </c>
    </row>
    <row r="7" ht="92" customHeight="1" s="25">
      <c r="A7" s="24" t="inlineStr">
        <is>
          <t>2025::jama.2025.4390::C006</t>
        </is>
      </c>
      <c r="B7" s="24" t="inlineStr">
        <is>
          <t>Versioned health/glaucoma outcome hierarchy</t>
        </is>
      </c>
      <c r="C7" s="24" t="inlineStr">
        <is>
          <t>PLAN joi250019supp1_prod_1749674951.29554.pdf — physical PDF p. 3; PLAN joi250019supp2_prod_1749674951.30054.pdf — physical PDF p. 2; PLAN joi250019supp2_prod_1749674951.30054.pdf — physical PDF p. 3; REPORT jama_garrison_2025_oi_250019_1749674951.29054.pdf — physical PDF p. 3; REPORT jama_garrison_2025_oi_250019_1749674951.29054.pdf — physical PDF p. 7; REPORT jama_garrison_2025_oi_250019_1749674951.29054.pdf — physical PDF p. 8; REPORT joi250019supp3_prod_1749674951.30054.pdf — physical PDF p. 21</t>
        </is>
      </c>
      <c r="D7" s="21" t="inlineStr">
        <is>
          <t>exclude</t>
        </is>
      </c>
      <c r="E7" s="21" t="inlineStr">
        <is>
          <t>protocol_report</t>
        </is>
      </c>
      <c r="F7" s="21" t="inlineStr">
        <is>
          <t>primary_done</t>
        </is>
      </c>
      <c r="G7" s="24">
        <f>IFERROR(IF(LEN(TRIM(CLEAN(SUBSTITUTE(Setup!$B$2,CHAR(160)," "))))=0,"CHECK REVIEWER ID",IF(OR(A7="",COUNTIF($A$2:$A$14,A7)&lt;&gt;1,LEFT(A7,LEN("2025::jama.2025.4390::"))&lt;&gt;"2025::jama.2025.4390::"),"CHECK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inlineStr">
        <is>
          <t>The 2016 protocol listed EQ-5D quality of life as secondary and new glaucoma as a safety outcome; the SAP (written before the interim analysis, Dec 2021, investigators blinded) lists new glaucoma as secondary and the EQ-5D overall health score as exploratory, exactly as the article reports (p3, p7). The article and eAppendix Section 5 p21 disclose that these outcome changes were made while blinded. Report matches the operative pre-unblinding plan.</t>
        </is>
      </c>
    </row>
    <row r="8" ht="92" customHeight="1" s="25">
      <c r="A8" s="20" t="inlineStr">
        <is>
          <t>2025::jama.2025.4390::C007</t>
        </is>
      </c>
      <c r="B8" s="20" t="inlineStr">
        <is>
          <t>Vision recall reference and aggregation</t>
        </is>
      </c>
      <c r="C8" s="20" t="inlineStr">
        <is>
          <t>PLAN joi250019supp1_prod_1749674951.29554.pdf — physical PDF p. 3; PLAN joi250019supp2_prod_1749674951.30054.pdf — physical PDF p. 2; REPORT jama_garrison_2025_oi_250019_1749674951.29054.pdf — physical PDF p. 3; REPORT jama_garrison_2025_oi_250019_1749674951.29054.pdf — physical PDF p. 8</t>
        </is>
      </c>
      <c r="D8" s="21" t="inlineStr">
        <is>
          <t>exclude</t>
        </is>
      </c>
      <c r="E8" s="21" t="inlineStr">
        <is>
          <t>protocol_report</t>
        </is>
      </c>
      <c r="F8" s="21" t="inlineStr">
        <is>
          <t>primary_done</t>
        </is>
      </c>
      <c r="G8" s="20">
        <f>IFERROR(IF(LEN(TRIM(CLEAN(SUBSTITUTE(Setup!$B$2,CHAR(160)," "))))=0,"CHECK REVIEWER ID",IF(OR(A8="",COUNTIF($A$2:$A$14,A8)&lt;&gt;1,LEFT(A8,LEN("2025::jama.2025.4390::"))&lt;&gt;"2025::jama.2025.4390::"),"CHECK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inlineStr">
        <is>
          <t>2016 protocol p3: self-reported worsening of vision 'since study start'. SAP p2 (pre-interim, Dec 2021): 'much worse' vs last follow-up at any point, or 'slightly worse' on 2 or more occasions; the article p3 and Table 2 footnote d use exactly the SAP definition. Report follows the operative pre-unblinding plan.</t>
        </is>
      </c>
    </row>
    <row r="9" ht="92" customHeight="1" s="25">
      <c r="A9" s="24" t="inlineStr">
        <is>
          <t>2025::jama.2025.4390::C008</t>
        </is>
      </c>
      <c r="B9" s="24" t="inlineStr">
        <is>
          <t>Six medication-class subgroup prespecification axes</t>
        </is>
      </c>
      <c r="C9" s="24" t="inlineStr">
        <is>
          <t>PLAN joi250019supp2_prod_1749674951.30054.pdf — physical PDF p. 6; REPORT jama_garrison_2025_oi_250019_1749674951.29054.pdf — physical PDF p. 6; REPORT jama_garrison_2025_oi_250019_1749674951.29054.pdf — physical PDF p. 9</t>
        </is>
      </c>
      <c r="D9" s="21" t="inlineStr">
        <is>
          <t>retain</t>
        </is>
      </c>
      <c r="E9" s="21" t="inlineStr">
        <is>
          <t>protocol_report</t>
        </is>
      </c>
      <c r="F9" s="21" t="inlineStr">
        <is>
          <t>primary_done</t>
        </is>
      </c>
      <c r="G9" s="24">
        <f>IFERROR(IF(LEN(TRIM(CLEAN(SUBSTITUTE(Setup!$B$2,CHAR(160)," "))))=0,"CHECK REVIEWER ID",IF(OR(A9="",COUNTIF($A$2:$A$14,A9)&lt;&gt;1,LEFT(A9,LEN("2025::jama.2025.4390::"))&lt;&gt;"2025::jama.2025.4390::"),"CHECK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t="inlineStr">
        <is>
          <t>substantive_difference</t>
        </is>
      </c>
      <c r="M9" s="24" t="n"/>
      <c r="N9" s="23" t="n"/>
      <c r="O9" s="23" t="n"/>
      <c r="P9" s="23" t="n"/>
      <c r="Q9" s="23" t="n"/>
      <c r="R9" s="22" t="inlineStr">
        <is>
          <t>SAP p6 (rendered): subgroups = age &gt;=75, sex, frail, polypharmacy, overall health &lt;=75, resistant hypertension, CHF, diabetes, CAD, stroke/TIA, sleep apnea, CKD, sedentary. Article Figure 3 p9 shows these plus six medication-class subgroups (ACEI, ARB, beta-blocker, CCB, diuretic, combination), and p6 says results were consistent 'for all predefined subgroups (Figure 3)'. The SAP calls itself the only version.</t>
        </is>
      </c>
    </row>
    <row r="10" ht="92" customHeight="1" s="25">
      <c r="A10" s="20" t="inlineStr">
        <is>
          <t>2025::jama.2025.4390::C009</t>
        </is>
      </c>
      <c r="B10" s="20" t="inlineStr">
        <is>
          <t>Planned within-arm withdrawal sensitivity contrast</t>
        </is>
      </c>
      <c r="C10" s="20" t="inlineStr">
        <is>
          <t>PLAN joi250019supp2_prod_1749674951.30054.pdf — physical PDF p. 6; REPORT joi250019supp3_prod_1749674951.30054.pdf — physical PDF p. 33; REPORT joi250019supp3_prod_1749674951.30054.pdf — physical PDF p. 34; REPORT joi250019supp3_prod_1749674951.30054.pdf — physical PDF p. 35; REPORT joi250019supp3_prod_1749674951.30054.pdf — physical PDF p. 36; REPORT joi250019supp3_prod_1749674951.30054.pdf — physical PDF p. 37; REPORT joi250019supp3_prod_1749674951.30054.pdf — physical PDF p. 38; REPORT joi250019supp3_prod_1749674951.30054.pdf — physical PDF p. 39; REPORT joi250019supp3_prod_1749674951.30054.pdf — physical PDF p. 40</t>
        </is>
      </c>
      <c r="D10" s="21" t="inlineStr">
        <is>
          <t>retain</t>
        </is>
      </c>
      <c r="E10" s="21" t="inlineStr">
        <is>
          <t>protocol_report</t>
        </is>
      </c>
      <c r="F10" s="21" t="inlineStr">
        <is>
          <t>primary_done</t>
        </is>
      </c>
      <c r="G10" s="20">
        <f>IFERROR(IF(LEN(TRIM(CLEAN(SUBSTITUTE(Setup!$B$2,CHAR(160)," "))))=0,"CHECK REVIEWER ID",IF(OR(A10="",COUNTIF($A$2:$A$14,A10)&lt;&gt;1,LEFT(A10,LEN("2025::jama.2025.4390::"))&lt;&gt;"2025::jama.2025.4390::"),"CHECK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t="inlineStr">
        <is>
          <t>substantive_difference</t>
        </is>
      </c>
      <c r="M10" s="20" t="n"/>
      <c r="N10" s="23" t="n"/>
      <c r="O10" s="23" t="n"/>
      <c r="P10" s="23" t="n"/>
      <c r="Q10" s="23" t="n"/>
      <c r="R10" s="22" t="inlineStr">
        <is>
          <t>SAP p6: present 'according to treatment group' baseline characteristics of those censored by withdrawal/loss vs those not censored, compared by Fisher exact test. eTable 4 pp33-36 compares completers vs dropouts pooled across arms; eTable 5 pp37-40 compares arms among the 101 lost to all follow-up. Neither gives the within-arm censored vs not-censored comparison.</t>
        </is>
      </c>
    </row>
    <row r="11" ht="92" customHeight="1" s="25">
      <c r="A11" s="24" t="inlineStr">
        <is>
          <t>2025::jama.2025.4390::C010</t>
        </is>
      </c>
      <c r="B11" s="24" t="inlineStr">
        <is>
          <t>eTable 4 chronotype test reproduction</t>
        </is>
      </c>
      <c r="C11" s="24" t="inlineStr">
        <is>
          <t>REPORT joi250019supp3_prod_1749674951.30054.pdf — physical PDF p. 33; REPORT joi250019supp3_prod_1749674951.30054.pdf — physical PDF p. 34; REPORT joi250019supp3_prod_1749674951.30054.pdf — physical PDF p. 35; REPORT joi250019supp3_prod_1749674951.30054.pdf — physical PDF p. 36</t>
        </is>
      </c>
      <c r="D11" s="21" t="inlineStr">
        <is>
          <t>retain</t>
        </is>
      </c>
      <c r="E11" s="21" t="inlineStr">
        <is>
          <t>statistical_results</t>
        </is>
      </c>
      <c r="F11" s="21" t="inlineStr">
        <is>
          <t>primary_done</t>
        </is>
      </c>
      <c r="G11" s="24">
        <f>IFERROR(IF(LEN(TRIM(CLEAN(SUBSTITUTE(Setup!$B$2,CHAR(160)," "))))=0,"CHECK REVIEWER ID",IF(OR(A11="",COUNTIF($A$2:$A$14,A11)&lt;&gt;1,LEFT(A11,LEN("2025::jama.2025.4390::"))&lt;&gt;"2025::jama.2025.4390::"),"CHECK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t="inlineStr">
        <is>
          <t>probable_issue</t>
        </is>
      </c>
      <c r="I11" s="21" t="inlineStr">
        <is>
          <t>minor_presentation</t>
        </is>
      </c>
      <c r="J11" s="22" t="inlineStr">
        <is>
          <t>unlikely</t>
        </is>
      </c>
      <c r="K11" s="21">
        <f>IF(AND(OR(D11="retain",D11=""),OR(E11="report_internal_inconsistency",E11="plan_material")),"","not_applicable")</f>
        <v/>
      </c>
      <c r="L11" s="22">
        <f>IF(AND(OR(D11="retain",D11=""),E11="protocol_report"),"","not_applicable")</f>
        <v/>
      </c>
      <c r="M11" s="24" t="n"/>
      <c r="N11" s="23" t="n"/>
      <c r="O11" s="23" t="n"/>
      <c r="P11" s="23" t="n"/>
      <c r="Q11" s="23" t="n"/>
      <c r="R11" s="22" t="inlineStr">
        <is>
          <t>eTable 4 p33: chronotype 1388/818/520 (completers) vs 352/154/125 (dropouts), P printed 0.09. Pearson chi-square on these counts gives P=0.018; the same test reproduces companion rows (sex P=0.105, printed 0.11; education &lt;0.001).</t>
        </is>
      </c>
    </row>
    <row r="12" ht="92" customHeight="1" s="25">
      <c r="A12" s="20" t="inlineStr">
        <is>
          <t>2025::jama.2025.4390::C011</t>
        </is>
      </c>
      <c r="B12" s="20" t="inlineStr">
        <is>
          <t>eTable 5 ethnicity totals</t>
        </is>
      </c>
      <c r="C12" s="20" t="inlineStr">
        <is>
          <t>REPORT joi250019supp3_prod_1749674951.30054.pdf — physical PDF p. 37; REPORT joi250019supp3_prod_1749674951.30054.pdf — physical PDF p. 40</t>
        </is>
      </c>
      <c r="D12" s="21" t="inlineStr">
        <is>
          <t>retain</t>
        </is>
      </c>
      <c r="E12" s="21" t="inlineStr">
        <is>
          <t>statistical_results</t>
        </is>
      </c>
      <c r="F12" s="21" t="inlineStr">
        <is>
          <t>primary_done</t>
        </is>
      </c>
      <c r="G12" s="20">
        <f>IFERROR(IF(LEN(TRIM(CLEAN(SUBSTITUTE(Setup!$B$2,CHAR(160)," "))))=0,"CHECK REVIEWER ID",IF(OR(A12="",COUNTIF($A$2:$A$14,A12)&lt;&gt;1,LEFT(A12,LEN("2025::jama.2025.4390::"))&lt;&gt;"2025::jama.2025.4390::"),"CHECK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t="inlineStr">
        <is>
          <t>confirmed_issue</t>
        </is>
      </c>
      <c r="I12" s="21" t="inlineStr">
        <is>
          <t>minor_presentation</t>
        </is>
      </c>
      <c r="J12" s="22" t="inlineStr">
        <is>
          <t>unlikely</t>
        </is>
      </c>
      <c r="K12" s="21">
        <f>IF(AND(OR(D12="retain",D12=""),OR(E12="report_internal_inconsistency",E12="plan_material")),"","not_applicable")</f>
        <v/>
      </c>
      <c r="L12" s="22">
        <f>IF(AND(OR(D12="retain",D12=""),E12="protocol_report"),"","not_applicable")</f>
        <v/>
      </c>
      <c r="M12" s="20" t="n"/>
      <c r="N12" s="23" t="n"/>
      <c r="O12" s="23" t="n"/>
      <c r="P12" s="23" t="n"/>
      <c r="Q12" s="23" t="n"/>
      <c r="R12" s="22" t="inlineStr">
        <is>
          <t>eTable 5 p37: ethnicity 'Other' row 40 (90.9) / 53 (93.0) repeats the White/Caucasian row; categories then sum to 85 (n=44) and 111 (n=57). The Other row is a copy error. Note: the supplied PDF has prior highlight annotations on these cells.</t>
        </is>
      </c>
    </row>
    <row r="13" ht="92" customHeight="1" s="25">
      <c r="A13" s="24" t="inlineStr">
        <is>
          <t>2025::jama.2025.4390::C012</t>
        </is>
      </c>
      <c r="B13" s="24" t="inlineStr">
        <is>
          <t>Identical medication tables, differing P values</t>
        </is>
      </c>
      <c r="C13" s="24" t="inlineStr">
        <is>
          <t>REPORT joi250019supp3_prod_1749674951.30054.pdf — physical PDF p. 39; REPORT joi250019supp3_prod_1749674951.30054.pdf — physical PDF p. 37; REPORT joi250019supp3_prod_1749674951.30054.pdf — physical PDF p. 40</t>
        </is>
      </c>
      <c r="D13" s="21" t="inlineStr">
        <is>
          <t>retain</t>
        </is>
      </c>
      <c r="E13" s="21" t="inlineStr">
        <is>
          <t>statistical_results</t>
        </is>
      </c>
      <c r="F13" s="21" t="inlineStr">
        <is>
          <t>primary_done</t>
        </is>
      </c>
      <c r="G13" s="24">
        <f>IFERROR(IF(LEN(TRIM(CLEAN(SUBSTITUTE(Setup!$B$2,CHAR(160)," "))))=0,"CHECK REVIEWER ID",IF(OR(A13="",COUNTIF($A$2:$A$14,A13)&lt;&gt;1,LEFT(A13,LEN("2025::jama.2025.4390::"))&lt;&gt;"2025::jama.2025.4390::"),"CHECK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t="inlineStr">
        <is>
          <t>confirmed_issue</t>
        </is>
      </c>
      <c r="I13" s="21" t="inlineStr">
        <is>
          <t>minor_presentation</t>
        </is>
      </c>
      <c r="J13" s="22" t="inlineStr">
        <is>
          <t>unlikely</t>
        </is>
      </c>
      <c r="K13" s="21">
        <f>IF(AND(OR(D13="retain",D13=""),OR(E13="report_internal_inconsistency",E13="plan_material")),"","not_applicable")</f>
        <v/>
      </c>
      <c r="L13" s="22">
        <f>IF(AND(OR(D13="retain",D13=""),E13="protocol_report"),"","not_applicable")</f>
        <v/>
      </c>
      <c r="M13" s="24" t="n"/>
      <c r="N13" s="23" t="n"/>
      <c r="O13" s="23" t="n"/>
      <c r="P13" s="23" t="n"/>
      <c r="Q13" s="23" t="n"/>
      <c r="R13" s="22" t="inlineStr">
        <is>
          <t>eTable 5 p39: 'Diuretic 9 (20.5) vs 16 (28.1), P=0.34' and 'Combination BP med 9 (20.5) vs 16 (28.1), P=0.38'. Identical counts with different P values. Pearson chi-square on 9/44 vs 16/57 gives 0.379 (matches 0.38); Yates 0.52, Fisher 0.49 (none give 0.34). One row's counts were probably copied from the other. Prior highlight annotations present in the supplied PDF.</t>
        </is>
      </c>
    </row>
    <row r="14" ht="92" customHeight="1" s="25">
      <c r="A14" s="20" t="inlineStr">
        <is>
          <t>2025::jama.2025.4390::C013</t>
        </is>
      </c>
      <c r="B14" s="20" t="inlineStr">
        <is>
          <t>ARB bedtime Other Reason fraction</t>
        </is>
      </c>
      <c r="C14" s="20" t="inlineStr">
        <is>
          <t>REPORT joi250019supp3_prod_1749674951.30054.pdf — physical PDF p. 46; REPORT joi250019supp3_prod_1749674951.30054.pdf — physical PDF p. 45; REPORT joi250019supp3_prod_1749674951.30054.pdf — physical PDF p. 48</t>
        </is>
      </c>
      <c r="D14" s="21" t="inlineStr">
        <is>
          <t>retain</t>
        </is>
      </c>
      <c r="E14" s="21" t="inlineStr">
        <is>
          <t>statistical_results</t>
        </is>
      </c>
      <c r="F14" s="21" t="inlineStr">
        <is>
          <t>primary_done</t>
        </is>
      </c>
      <c r="G14" s="20">
        <f>IFERROR(IF(LEN(TRIM(CLEAN(SUBSTITUTE(Setup!$B$2,CHAR(160)," "))))=0,"CHECK REVIEWER ID",IF(OR(A14="",COUNTIF($A$2:$A$14,A14)&lt;&gt;1,LEFT(A14,LEN("2025::jama.2025.4390::"))&lt;&gt;"2025::jama.2025.4390::"),"CHECK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t="inlineStr">
        <is>
          <t>confirmed_issue</t>
        </is>
      </c>
      <c r="I14" s="21" t="inlineStr">
        <is>
          <t>minor_presentation</t>
        </is>
      </c>
      <c r="J14" s="22" t="inlineStr">
        <is>
          <t>unlikely</t>
        </is>
      </c>
      <c r="K14" s="21">
        <f>IF(AND(OR(D14="retain",D14=""),OR(E14="report_internal_inconsistency",E14="plan_material")),"","not_applicable")</f>
        <v/>
      </c>
      <c r="L14" s="22">
        <f>IF(AND(OR(D14="retain",D14=""),E14="protocol_report"),"","not_applicable")</f>
        <v/>
      </c>
      <c r="M14" s="20" t="n"/>
      <c r="N14" s="23" t="n"/>
      <c r="O14" s="23" t="n"/>
      <c r="P14" s="23" t="n"/>
      <c r="Q14" s="23" t="n"/>
      <c r="R14" s="22" t="inlineStr">
        <is>
          <t>eTable 8 p46: ARB bedtime 'Other Reason/Cannot Remember 1/37 (7.7%)'; 1/37 = 2.7%. Adjacent cells reproduce (ACEI PM 2/38 = 5.3%; CCB PM 2/26 = 7.7%).</t>
        </is>
      </c>
    </row>
  </sheetData>
  <autoFilter ref="A1:R14"/>
  <conditionalFormatting sqref="H2:H14">
    <cfRule type="expression" priority="8" dxfId="70">
      <formula>NOT(AND(OR($D2="retain",$D2=""),$E2="statistical_results"))</formula>
    </cfRule>
  </conditionalFormatting>
  <conditionalFormatting sqref="I2:I14">
    <cfRule type="expression" priority="9" dxfId="70">
      <formula>NOT(AND(OR($D2="retain",$D2=""),$E2="statistical_results"))</formula>
    </cfRule>
  </conditionalFormatting>
  <conditionalFormatting sqref="J2:J14">
    <cfRule type="expression" priority="10" dxfId="70">
      <formula>NOT(AND(OR($D2="retain",$D2=""),$E2="statistical_results"))</formula>
    </cfRule>
  </conditionalFormatting>
  <conditionalFormatting sqref="K2:K14">
    <cfRule type="expression" priority="11" dxfId="70">
      <formula>NOT(AND(OR($D2="retain",$D2=""),OR($E2="report_internal_inconsistency",$E2="plan_material")))</formula>
    </cfRule>
  </conditionalFormatting>
  <conditionalFormatting sqref="L2:L14">
    <cfRule type="expression" priority="12" dxfId="70">
      <formula>NOT(AND(OR($D2="retain",$D2=""),$E2="protocol_report"))</formula>
    </cfRule>
  </conditionalFormatting>
  <conditionalFormatting sqref="G2:G14">
    <cfRule type="expression" priority="13" dxfId="71">
      <formula>G2&lt;&gt;"PRIMARY READY"</formula>
    </cfRule>
  </conditionalFormatting>
  <dataValidations count="8">
    <dataValidation sqref="D2:D14" showDropDown="0" showInputMessage="0" showErrorMessage="1" allowBlank="1" errorTitle="Use a listed option" error="Choose an option; G also checks pasted entries." type="list" errorStyle="stop">
      <formula1>"retain,exclude,discuss"</formula1>
    </dataValidation>
    <dataValidation sqref="E2:E14"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4" showDropDown="0" showInputMessage="0" showErrorMessage="1" allowBlank="1" errorTitle="Use a listed option" error="Choose an option; G also checks pasted entries." type="list" errorStyle="stop">
      <formula1>"no,primary_done"</formula1>
    </dataValidation>
    <dataValidation sqref="H2:H14"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4"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4" showDropDown="0" showInputMessage="0" showErrorMessage="1" allowBlank="1" errorTitle="Use a listed option" error="Choose an option; G also checks pasted entries." type="list" errorStyle="stop">
      <formula1>"direct,possible,unlikely,unknown,not_applicable"</formula1>
    </dataValidation>
    <dataValidation sqref="K2:K14"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4"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R5"/>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2025::jama.2025.7583::C001</t>
        </is>
      </c>
      <c r="B2" s="20" t="inlineStr">
        <is>
          <t>Planned complication comparison has no supplied comparative result</t>
        </is>
      </c>
      <c r="C2" s="20" t="inlineStr">
        <is>
          <t>PLAN joi250033supp1_prod_1750956987.76581.pdf — p. 50, secondary-endpoint analysis; PLAN joi250033supp5_prod_1750956987.78281.pdf — p. 4, section 2.2, joi250033supp5_prod_1750956987.78281.pdf — p. 7, section 3.6 fifth bullet. REPORT jama_shotar_2025_oi_250033_1750956987.75881.pdf — p. 1, abstract, jama_shotar_2025_oi_250033_1750956987.75881.pdf — p. 3, Secondary End Points/Statistical Analysis, jama_shotar_2025_oi_250033_1750956987.75881.pdf — p. 6, Table 2 complication rows, footnote j and narrative, jama_shotar_2025_oi_250033_1750956987.75881.pdf — p. 7, complication narrative. REPORT joi250033supp4_prod_1750956987.77981.pdf — p. 12, eTable 3, joi250033supp4_prod_1750956987.77981.pdf — p. 13, eTable 3 continuation.</t>
        </is>
      </c>
      <c r="D2" s="21" t="inlineStr">
        <is>
          <t>retain</t>
        </is>
      </c>
      <c r="E2" s="21" t="inlineStr">
        <is>
          <t>protocol_report</t>
        </is>
      </c>
      <c r="F2" s="21" t="inlineStr">
        <is>
          <t>primary_done</t>
        </is>
      </c>
      <c r="G2" s="20">
        <f>IFERROR(IF(LEN(TRIM(CLEAN(SUBSTITUTE(Setup!$B$2,CHAR(160)," "))))=0,"CHECK REVIEWER ID",IF(OR(A2="",COUNTIF($A$2:$A$5,A2)&lt;&gt;1,LEFT(A2,LEN("2025::jama.2025.7583::"))&lt;&gt;"2025::jama.2025.7583::"),"CHECK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minor_presentation</t>
        </is>
      </c>
      <c r="M2" s="20" t="n"/>
      <c r="N2" s="23" t="n"/>
      <c r="O2" s="23" t="n"/>
      <c r="P2" s="23" t="n"/>
      <c r="Q2" s="23" t="n"/>
      <c r="R2" s="22" t="inlineStr">
        <is>
          <t>Protocol p50 and SAP §3.6 p7: minor and major embolization complications 'will be compared between the two treatment groups using Chi-square test or Fisher exact test'. Report (p1, p3, Table 2 p6-7, eTable 3 p12) gives complication counts for the embolization group only (major 1/171, minor 3/171); no comparison. Because these are procedure-related complications, the control group has structural zeros, so the planned test would be uninformative.</t>
        </is>
      </c>
    </row>
    <row r="3" ht="92" customHeight="1" s="25">
      <c r="A3" s="24" t="inlineStr">
        <is>
          <t>2025::jama.2025.7583::C002</t>
        </is>
      </c>
      <c r="B3" s="24" t="inlineStr">
        <is>
          <t>Strict versus inclusive primary recurrence boundary</t>
        </is>
      </c>
      <c r="C3" s="24" t="inlineStr">
        <is>
          <t>PLAN joi250033supp5_prod_1750956987.78281.pdf — p. 3, section 2.1 first bullet. PLAN joi250033supp1_prod_1750956987.76581.pdf — p. 7, synopsis, joi250033supp1_prod_1750956987.76581.pdf — p. 16, section 4.1.1 primary endpoint, joi250033supp1_prod_1750956987.76581.pdf — p. 21, both follow-up recurrence definitions, joi250033supp1_prod_1750956987.76581.pdf — p. 31, section 8.1. REPORT jama_shotar_2025_oi_250033_1750956987.75881.pdf — p. 3, End Points. REPORT joi250033supp4_prod_1750956987.77981.pdf — p. 11, eTable 2 criteria 1 and 1a, joi250033supp4_prod_1750956987.77981.pdf — p. 15, EMPROTECT primary endpoint.</t>
        </is>
      </c>
      <c r="D3" s="21" t="inlineStr">
        <is>
          <t>retain</t>
        </is>
      </c>
      <c r="E3" s="21" t="inlineStr">
        <is>
          <t>protocol_report</t>
        </is>
      </c>
      <c r="F3" s="21" t="inlineStr">
        <is>
          <t>primary_done</t>
        </is>
      </c>
      <c r="G3" s="24">
        <f>IFERROR(IF(LEN(TRIM(CLEAN(SUBSTITUTE(Setup!$B$2,CHAR(160)," "))))=0,"CHECK REVIEWER ID",IF(OR(A3="",COUNTIF($A$2:$A$5,A3)&lt;&gt;1,LEFT(A3,LEN("2025::jama.2025.7583::"))&lt;&gt;"2025::jama.2025.7583::"),"CHECK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minor_presentation</t>
        </is>
      </c>
      <c r="M3" s="24" t="n"/>
      <c r="N3" s="23" t="n"/>
      <c r="O3" s="23" t="n"/>
      <c r="P3" s="23" t="n"/>
      <c r="Q3" s="23" t="n"/>
      <c r="R3" s="22" t="inlineStr">
        <is>
          <t>Primary recurrence criterion 1: protocol synopsis p7, §4.1.1 p16, p21, §8.1 p31 = midline shift &gt;=5 mm; final SAP v2 (20 Mar 2024) §2.1 p3 = midline shift &gt;5 mm. Article p3 and eTable 2 p11 use &gt;=5 mm (11 vs 17 events by this criterion). The report follows the protocol and differs from the final SAP at the 5-mm boundary.</t>
        </is>
      </c>
    </row>
    <row r="4" ht="92" customHeight="1" s="25">
      <c r="A4" s="20" t="inlineStr">
        <is>
          <t>2025::jama.2025.7583::C003</t>
        </is>
      </c>
      <c r="B4" s="20" t="inlineStr">
        <is>
          <t>Disclosed cause-restricted death amendment in primary composite</t>
        </is>
      </c>
      <c r="C4" s="20" t="inlineStr">
        <is>
          <t>PLAN joi250033supp1_prod_1750956987.76581.pdf — p. 48, interim analysis, joi250033supp1_prod_1750956987.76581.pdf — p. 49, final primary analysis. PLAN joi250033supp5_prod_1750956987.78281.pdf — p. 5, interim analysis, joi250033supp5_prod_1750956987.78281.pdf — p. 6, final analysis, joi250033supp5_prod_1750956987.78281.pdf — p. 8, version-change table. REPORT jama_shotar_2025_oi_250033_1750956987.75881.pdf — p. 3, Statistical Analysis, jama_shotar_2025_oi_250033_1750956987.75881.pdf — p. 4, Figure 1, jama_shotar_2025_oi_250033_1750956987.75881.pdf — p. 5, Primary End Point narrative, jama_shotar_2025_oi_250033_1750956987.75881.pdf — p. 6, Table 2. REPORT joi250033supp4_prod_1750956987.77981.pdf — p. 5, imputation methods, joi250033supp4_prod_1750956987.77981.pdf — p. 9, no-imputation sensitivity footnote, joi250033supp4_prod_1750956987.77981.pdf — p. 11, recurrence/death criteria.</t>
        </is>
      </c>
      <c r="D4" s="21" t="inlineStr">
        <is>
          <t>retain</t>
        </is>
      </c>
      <c r="E4" s="21" t="inlineStr">
        <is>
          <t>protocol_report</t>
        </is>
      </c>
      <c r="F4" s="21" t="inlineStr">
        <is>
          <t>primary_done</t>
        </is>
      </c>
      <c r="G4" s="20">
        <f>IFERROR(IF(LEN(TRIM(CLEAN(SUBSTITUTE(Setup!$B$2,CHAR(160)," "))))=0,"CHECK REVIEWER ID",IF(OR(A4="",COUNTIF($A$2:$A$5,A4)&lt;&gt;1,LEFT(A4,LEN("2025::jama.2025.7583::"))&lt;&gt;"2025::jama.2025.7583::"),"CHECK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Protocol pp48-49 and SAP interim section p5: patients who died without recurrence are counted as failures (recurrences). SAP v2 (28 Feb 2024, after last follow-up 2 Nov 2023, before final database lock) change table p8: only deaths from neurological or undetermined cause count. Article p3, Figure 1, Table 2: 2 vs 1 such deaths counted; 3 vs 8 deaths from other causes were imputed. Disclosed in the SAP version table, not in the article.</t>
        </is>
      </c>
    </row>
    <row r="5" ht="92" customHeight="1" s="25">
      <c r="A5" s="24" t="inlineStr">
        <is>
          <t>2025::jama.2025.7583::C004</t>
        </is>
      </c>
      <c r="B5" s="24" t="inlineStr">
        <is>
          <t>Midline-shift samples exceed stated unilateral populations</t>
        </is>
      </c>
      <c r="C5" s="24" t="inlineStr">
        <is>
          <t>REPORT jama_shotar_2025_oi_250033_1750956987.75881.pdf — physical p. 5, Table 1 headers, Unilateral CSDH row, Midline shift row and continuation footnote d. Physical p. 5 is printed journal p. 131; evidence links use physical pagination.</t>
        </is>
      </c>
      <c r="D5" s="21" t="inlineStr">
        <is>
          <t>retain</t>
        </is>
      </c>
      <c r="E5" s="21" t="inlineStr">
        <is>
          <t>statistical_results</t>
        </is>
      </c>
      <c r="F5" s="21" t="inlineStr">
        <is>
          <t>primary_done</t>
        </is>
      </c>
      <c r="G5" s="24">
        <f>IFERROR(IF(LEN(TRIM(CLEAN(SUBSTITUTE(Setup!$B$2,CHAR(160)," "))))=0,"CHECK REVIEWER ID",IF(OR(A5="",COUNTIF($A$2:$A$5,A5)&lt;&gt;1,LEFT(A5,LEN("2025::jama.2025.7583::"))&lt;&gt;"2025::jama.2025.7583::"),"CHECK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t="inlineStr">
        <is>
          <t>confirmed_issue</t>
        </is>
      </c>
      <c r="I5" s="21" t="inlineStr">
        <is>
          <t>minor_presentation</t>
        </is>
      </c>
      <c r="J5" s="22" t="inlineStr">
        <is>
          <t>unlikely</t>
        </is>
      </c>
      <c r="K5" s="21">
        <f>IF(AND(OR(D5="retain",D5=""),OR(E5="report_internal_inconsistency",E5="plan_material")),"","not_applicable")</f>
        <v/>
      </c>
      <c r="L5" s="22">
        <f>IF(AND(OR(D5="retain",D5=""),E5="protocol_report"),"","not_applicable")</f>
        <v/>
      </c>
      <c r="M5" s="24" t="n"/>
      <c r="N5" s="23" t="n"/>
      <c r="O5" s="23" t="n"/>
      <c r="P5" s="23" t="n"/>
      <c r="Q5" s="23" t="n"/>
      <c r="R5" s="22" t="inlineStr">
        <is>
          <t>Table 1 p5: midline shift median 10 (7-13) [n=161] and 10.5 (7-14) [n=161], with footnote d 'Data provided for unilateral CSDH only'; but unilateral CSDH counts are 127 and 130 (and unilateral thickness n=122). 161 exceeds the unilateral populations, so either the footnote or the n is wrong.</t>
        </is>
      </c>
    </row>
  </sheetData>
  <autoFilter ref="A1:R5"/>
  <conditionalFormatting sqref="H2:H5">
    <cfRule type="expression" priority="8" dxfId="70">
      <formula>NOT(AND(OR($D2="retain",$D2=""),$E2="statistical_results"))</formula>
    </cfRule>
  </conditionalFormatting>
  <conditionalFormatting sqref="I2:I5">
    <cfRule type="expression" priority="9" dxfId="70">
      <formula>NOT(AND(OR($D2="retain",$D2=""),$E2="statistical_results"))</formula>
    </cfRule>
  </conditionalFormatting>
  <conditionalFormatting sqref="J2:J5">
    <cfRule type="expression" priority="10" dxfId="70">
      <formula>NOT(AND(OR($D2="retain",$D2=""),$E2="statistical_results"))</formula>
    </cfRule>
  </conditionalFormatting>
  <conditionalFormatting sqref="K2:K5">
    <cfRule type="expression" priority="11" dxfId="70">
      <formula>NOT(AND(OR($D2="retain",$D2=""),OR($E2="report_internal_inconsistency",$E2="plan_material")))</formula>
    </cfRule>
  </conditionalFormatting>
  <conditionalFormatting sqref="L2:L5">
    <cfRule type="expression" priority="12" dxfId="70">
      <formula>NOT(AND(OR($D2="retain",$D2=""),$E2="protocol_report"))</formula>
    </cfRule>
  </conditionalFormatting>
  <conditionalFormatting sqref="G2:G5">
    <cfRule type="expression" priority="13" dxfId="71">
      <formula>G2&lt;&gt;"PRIMARY READY"</formula>
    </cfRule>
  </conditionalFormatting>
  <dataValidations count="8">
    <dataValidation sqref="D2:D5" showDropDown="0" showInputMessage="0" showErrorMessage="1" allowBlank="1" errorTitle="Use a listed option" error="Choose an option; G also checks pasted entries." type="list" errorStyle="stop">
      <formula1>"retain,exclude,discuss"</formula1>
    </dataValidation>
    <dataValidation sqref="E2:E5"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5" showDropDown="0" showInputMessage="0" showErrorMessage="1" allowBlank="1" errorTitle="Use a listed option" error="Choose an option; G also checks pasted entries." type="list" errorStyle="stop">
      <formula1>"no,primary_done"</formula1>
    </dataValidation>
    <dataValidation sqref="H2:H5"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5" showDropDown="0" showInputMessage="0" showErrorMessage="1" allowBlank="1" errorTitle="Use a listed option" error="Choose an option; G also checks pasted entries." type="list" errorStyle="stop">
      <formula1>"substantive,minor_presentation,indeterminate,not_applicable"</formula1>
    </dataValidation>
    <dataValidation sqref="J2:J5" showDropDown="0" showInputMessage="0" showErrorMessage="1" allowBlank="1" errorTitle="Use a listed option" error="Choose an option; G also checks pasted entries." type="list" errorStyle="stop">
      <formula1>"direct,possible,unlikely,unknown,not_applicable"</formula1>
    </dataValidation>
    <dataValidation sqref="K2:K5"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5"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R4"/>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2025::jama.2025.7710::C001</t>
        </is>
      </c>
      <c r="B2" s="20" t="inlineStr">
        <is>
          <t>Planned prognostic-adjusted primary result is not identified</t>
        </is>
      </c>
      <c r="C2" s="20" t="inlineStr">
        <is>
          <t>PLAN joi250034supp1_prod_1750956984.09018.pdf — protocol p.20, §13.2; joi250034supp2_prod_1750956984.11521.pdf — SAP p.12, §3.2, joi250034supp2_prod_1750956984.11521.pdf — SAP p.13, §3.9, and joi250034supp2_prod_1750956984.11521.pdf — SAP p.26, Table 12. REPORT jama_kumar_2025_oi_250034_1750956984.08518.pdf — main p.3, Statistical Analysis, jama_kumar_2025_oi_250034_1750956984.08518.pdf — main p.6, primary/sensitivity paragraph, jama_kumar_2025_oi_250034_1750956984.08518.pdf — main p.7, Table 3, jama_kumar_2025_oi_250034_1750956984.08518.pdf — main p.8, Figure 2/Table 4, and joi250034supp3_prod_1750956984.12018.pdf — results p.2, eTable 1. All main pp.1–11 and results-supplement pp.1–6 were inspected for the output. joi250034supp2_prod_1750956984.11521.pdf — SAP p.4 supplies blinded-development context only.</t>
        </is>
      </c>
      <c r="D2" s="21" t="inlineStr">
        <is>
          <t>retain</t>
        </is>
      </c>
      <c r="E2" s="21" t="inlineStr">
        <is>
          <t>protocol_report</t>
        </is>
      </c>
      <c r="F2" s="21" t="inlineStr">
        <is>
          <t>primary_done</t>
        </is>
      </c>
      <c r="G2" s="20">
        <f>IFERROR(IF(LEN(TRIM(CLEAN(SUBSTITUTE(Setup!$B$2,CHAR(160)," "))))=0,"CHECK REVIEWER ID",IF(OR(A2="",COUNTIF($A$2:$A$4,A2)&lt;&gt;1,LEFT(A2,LEN("2025::jama.2025.7710::"))&lt;&gt;"2025::jama.2025.7710::"),"CHECK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substantive_difference</t>
        </is>
      </c>
      <c r="M2" s="20" t="n"/>
      <c r="N2" s="23" t="n"/>
      <c r="O2" s="23" t="n"/>
      <c r="P2" s="23" t="n"/>
      <c r="Q2" s="23" t="n"/>
      <c r="R2" s="22" t="inlineStr">
        <is>
          <t>Protocol §13.2 p20 and SAP §3.2 p12, §3.9 p13, Table 12 shell p26: secondary analysis of the primary outcome adjusted for prognostic factors (SGA, pre-eclampsia, mode of previous delivery, fetal anomaly) by log-binomial/robust Poisson regression. Article p3 says this was undertaken, but no prognostic-adjusted estimate appears in the article (pp1-11) or results supplement (eTable 1 p2 gives only imputation/cord-pH-adjusted models).</t>
        </is>
      </c>
    </row>
    <row r="3" ht="92" customHeight="1" s="25">
      <c r="A3" s="24" t="inlineStr">
        <is>
          <t>2025::jama.2025.7710::C002</t>
        </is>
      </c>
      <c r="B3" s="24" t="inlineStr">
        <is>
          <t>Planned component multiplicity adjustment differs from reported rule</t>
        </is>
      </c>
      <c r="C3" s="24" t="inlineStr">
        <is>
          <t>PLAN joi250034supp1_prod_1750956984.09018.pdf — protocol p.20, §13.2, with contextual continuation joi250034supp1_prod_1750956984.09018.pdf — p.21; joi250034supp2_prod_1750956984.11521.pdf — SAP p.12, §3.2, and joi250034supp2_prod_1750956984.11521.pdf — SAP p.25, Table 11 adjusted-P column. REPORT jama_kumar_2025_oi_250034_1750956984.08518.pdf — main p.3, outcome/interpretation paragraphs, jama_kumar_2025_oi_250034_1750956984.08518.pdf — main p.4, no-adjustment statement, and jama_kumar_2025_oi_250034_1750956984.08518.pdf — main p.7, Table 3, every component P-value row.</t>
        </is>
      </c>
      <c r="D3" s="21" t="inlineStr">
        <is>
          <t>retain</t>
        </is>
      </c>
      <c r="E3" s="21" t="inlineStr">
        <is>
          <t>protocol_report</t>
        </is>
      </c>
      <c r="F3" s="21" t="inlineStr">
        <is>
          <t>primary_done</t>
        </is>
      </c>
      <c r="G3" s="24">
        <f>IFERROR(IF(LEN(TRIM(CLEAN(SUBSTITUTE(Setup!$B$2,CHAR(160)," "))))=0,"CHECK REVIEWER ID",IF(OR(A3="",COUNTIF($A$2:$A$4,A3)&lt;&gt;1,LEFT(A3,LEN("2025::jama.2025.7710::"))&lt;&gt;"2025::jama.2025.7710::"),"CHECK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substantive_difference</t>
        </is>
      </c>
      <c r="M3" s="24" t="n"/>
      <c r="N3" s="23" t="n"/>
      <c r="O3" s="23" t="n"/>
      <c r="P3" s="23" t="n"/>
      <c r="Q3" s="23" t="n"/>
      <c r="R3" s="22" t="inlineStr">
        <is>
          <t>Protocol §13.2 p20: P values for the ten primary-composite components adjusted by Benjamini-Hochberg; SAP Table 11 p25 includes an 'Adjusted P-values (Benjamini-Hochberg)' column. Article p4: 'There was no adjustment for multiple testing'; Table 3 p7 gives unadjusted P values only. Not explained as a change.</t>
        </is>
      </c>
    </row>
    <row r="4" ht="92" customHeight="1" s="25">
      <c r="A4" s="20" t="inlineStr">
        <is>
          <t>2025::jama.2025.7710::C003</t>
        </is>
      </c>
      <c r="B4" s="20" t="inlineStr">
        <is>
          <t>Prior-cesarean subgroup history window differs from protocol</t>
        </is>
      </c>
      <c r="C4" s="20" t="inlineStr">
        <is>
          <t>PLAN comparator joi250034supp1_prod_1750956984.09018.pdf — protocol p.17, §8 subgroup 4. REPORT jama_kumar_2025_oi_250034_1750956984.08518.pdf — main p.4, prespecified-subgroup paragraph, jama_kumar_2025_oi_250034_1750956984.08518.pdf — main p.7, repeated subgroup-results description, and jama_kumar_2025_oi_250034_1750956984.08518.pdf — main p.8, Figure 2 preceding-pregnancy-cesarean family/caption. Corroborating PLAN joi250034supp2_prod_1750956984.11521.pdf — SAP p.14, §3.11, joi250034supp2_prod_1750956984.11521.pdf — SAP p.29, Table 15, and joi250034supp2_prod_1750956984.11521.pdf — SAP p.4, revision history/blinded-preparation declaration. Additional timing/process context: jama_kumar_2025_oi_250034_1750956984.08518.pdf — main p.3, prespecification-before-lock statement and joi250034supp1_prod_1750956984.09018.pdf — protocol p.22, §15.3 amendment process.</t>
        </is>
      </c>
      <c r="D4" s="21" t="inlineStr">
        <is>
          <t>retain</t>
        </is>
      </c>
      <c r="E4" s="21" t="inlineStr">
        <is>
          <t>protocol_report</t>
        </is>
      </c>
      <c r="F4" s="21" t="inlineStr">
        <is>
          <t>primary_done</t>
        </is>
      </c>
      <c r="G4" s="20">
        <f>IFERROR(IF(LEN(TRIM(CLEAN(SUBSTITUTE(Setup!$B$2,CHAR(160)," "))))=0,"CHECK REVIEWER ID",IF(OR(A4="",COUNTIF($A$2:$A$4,A4)&lt;&gt;1,LEFT(A4,LEN("2025::jama.2025.7710::"))&lt;&gt;"2025::jama.2025.7710::"),"CHECK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Protocol §8 p17: subgroup '(4) one or more previous CS'. SAP §3.11 p14 (finalized 25 Oct 2024): 'Method of delivery for previous pregnancy CS'. Article p4 and Figure 2 p8: 'cesarean delivery in preceding pregnancy'. A woman with an earlier but not the immediately preceding cesarean is in the protocol subgroup but not the reported one. Report follows the SAP, finalized after last follow-up (26 Jul 2024).</t>
        </is>
      </c>
    </row>
  </sheetData>
  <autoFilter ref="A1:R4"/>
  <conditionalFormatting sqref="H2:H4">
    <cfRule type="expression" priority="8" dxfId="70">
      <formula>NOT(AND(OR($D2="retain",$D2=""),$E2="statistical_results"))</formula>
    </cfRule>
  </conditionalFormatting>
  <conditionalFormatting sqref="I2:I4">
    <cfRule type="expression" priority="9" dxfId="70">
      <formula>NOT(AND(OR($D2="retain",$D2=""),$E2="statistical_results"))</formula>
    </cfRule>
  </conditionalFormatting>
  <conditionalFormatting sqref="J2:J4">
    <cfRule type="expression" priority="10" dxfId="70">
      <formula>NOT(AND(OR($D2="retain",$D2=""),$E2="statistical_results"))</formula>
    </cfRule>
  </conditionalFormatting>
  <conditionalFormatting sqref="K2:K4">
    <cfRule type="expression" priority="11" dxfId="70">
      <formula>NOT(AND(OR($D2="retain",$D2=""),OR($E2="report_internal_inconsistency",$E2="plan_material")))</formula>
    </cfRule>
  </conditionalFormatting>
  <conditionalFormatting sqref="L2:L4">
    <cfRule type="expression" priority="12" dxfId="70">
      <formula>NOT(AND(OR($D2="retain",$D2=""),$E2="protocol_report"))</formula>
    </cfRule>
  </conditionalFormatting>
  <conditionalFormatting sqref="G2:G4">
    <cfRule type="expression" priority="13" dxfId="71">
      <formula>G2&lt;&gt;"PRIMARY READY"</formula>
    </cfRule>
  </conditionalFormatting>
  <dataValidations count="8">
    <dataValidation sqref="D2:D4" showDropDown="0" showInputMessage="0" showErrorMessage="1" allowBlank="1" errorTitle="Use a listed option" error="Choose an option; G also checks pasted entries." type="list" errorStyle="stop">
      <formula1>"retain,exclude,discuss"</formula1>
    </dataValidation>
    <dataValidation sqref="E2:E4"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4" showDropDown="0" showInputMessage="0" showErrorMessage="1" allowBlank="1" errorTitle="Use a listed option" error="Choose an option; G also checks pasted entries." type="list" errorStyle="stop">
      <formula1>"no,primary_done"</formula1>
    </dataValidation>
    <dataValidation sqref="H2:H4"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4" showDropDown="0" showInputMessage="0" showErrorMessage="1" allowBlank="1" errorTitle="Use a listed option" error="Choose an option; G also checks pasted entries." type="list" errorStyle="stop">
      <formula1>"substantive,minor_presentation,indeterminate,not_applicable"</formula1>
    </dataValidation>
    <dataValidation sqref="J2:J4" showDropDown="0" showInputMessage="0" showErrorMessage="1" allowBlank="1" errorTitle="Use a listed option" error="Choose an option; G also checks pasted entries." type="list" errorStyle="stop">
      <formula1>"direct,possible,unlikely,unknown,not_applicable"</formula1>
    </dataValidation>
    <dataValidation sqref="K2:K4"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4"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R4"/>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2025::jama.2025.9110::C001</t>
        </is>
      </c>
      <c r="B2" s="20" t="inlineStr">
        <is>
          <t>Planned ventilation Cox analysis replaced by a tobit mean contrast</t>
        </is>
      </c>
      <c r="C2" s="20" t="inlineStr">
        <is>
          <t>REPORT jama_summers_2025_oi_250040_1753124024.36498.pdf — main article p. 1, abstract ventilation effect; REPORT jama_summers_2025_oi_250040_1753124024.36498.pdf — main article p. 4, SAP-concordance statement; REPORT jama_summers_2025_oi_250040_1753124024.36498.pdf — main article p. 5, repeated ventilation mean contrast; REPORT jama_summers_2025_oi_250040_1753124024.36498.pdf — main article p. 7, Table 2 ventilation row; PLAN joi250040supp1_prod_1753124024.37199.pdf — protocol p. 21, lines 679–684; PLAN joi250040supp2_prod_1753124024.37799.pdf — SAP p. 18, lines 416–431; PLAN joi250040supp2_prod_1753124024.37799.pdf — SAP p. 28, Table 1 ventilation analysis; REPORT joi250040supp3_prod_1753124024.38098.pdf — results supplement p. 4, Duration of invasive ventilation; REPORT joi250040supp3_prod_1753124024.38098.pdf — results supplement p. 6, metobit/margins</t>
        </is>
      </c>
      <c r="D2" s="21" t="inlineStr">
        <is>
          <t>retain</t>
        </is>
      </c>
      <c r="E2" s="21" t="inlineStr">
        <is>
          <t>protocol_report</t>
        </is>
      </c>
      <c r="F2" s="21" t="inlineStr">
        <is>
          <t>primary_done</t>
        </is>
      </c>
      <c r="G2" s="20">
        <f>IFERROR(IF(LEN(TRIM(CLEAN(SUBSTITUTE(Setup!$B$2,CHAR(160)," "))))=0,"CHECK REVIEWER ID",IF(OR(A2="",COUNTIF($A$2:$A$4,A2)&lt;&gt;1,LEFT(A2,LEN("2025::jama.2025.9110::"))&lt;&gt;"2025::jama.2025.9110::"),"CHECK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substantive_difference</t>
        </is>
      </c>
      <c r="M2" s="20" t="n"/>
      <c r="N2" s="23" t="n"/>
      <c r="O2" s="23" t="n"/>
      <c r="P2" s="23" t="n"/>
      <c r="Q2" s="23" t="n"/>
      <c r="R2" s="22" t="inlineStr">
        <is>
          <t>Protocol p21 (OCR) and SAP p18 and Table 1 p28 (OCR; text layer encoded): duration of invasive ventilation analysed as time to liberation by Cox regression (cause-specific HR, death censored, stratified by ICU). Article p1/p5 and Table 2 p7: difference in mean duration 6.8 h (95% CI -3.0 to 16.5) from a tobit mixed model; results supplement eMethods p4 discloses that it was treated as a lower-bounded continuous response 'rather than as a time-to-event outcome as stated in the published statistical analysis plan'. The article p4 nevertheless says all analyses followed the SAP. Disclosed in the supplement only.</t>
        </is>
      </c>
    </row>
    <row r="3" ht="92" customHeight="1" s="25">
      <c r="A3" s="24" t="inlineStr">
        <is>
          <t>2025::jama.2025.9110::C002</t>
        </is>
      </c>
      <c r="B3" s="24" t="inlineStr">
        <is>
          <t>Printed ICU confidence interval and P value have different null-status readings</t>
        </is>
      </c>
      <c r="C3" s="24" t="inlineStr">
        <is>
          <t>REPORT jama_summers_2025_oi_250040_1753124024.36498.pdf — main article p. 1, abstract ICU-discharge interval; REPORT jama_summers_2025_oi_250040_1753124024.36498.pdf — main article p. 4, two-sided testing and threshold; REPORT jama_summers_2025_oi_250040_1753124024.36498.pdf — main article p. 5, secondary-outcome ICU interval; REPORT jama_summers_2025_oi_250040_1753124024.36498.pdf — main article p. 7, Table 2 ICU row and footnote b</t>
        </is>
      </c>
      <c r="D3" s="21" t="inlineStr">
        <is>
          <t>exclude</t>
        </is>
      </c>
      <c r="E3" s="21" t="inlineStr">
        <is>
          <t>statistical_results</t>
        </is>
      </c>
      <c r="F3" s="21" t="inlineStr">
        <is>
          <t>primary_done</t>
        </is>
      </c>
      <c r="G3" s="24">
        <f>IFERROR(IF(LEN(TRIM(CLEAN(SUBSTITUTE(Setup!$B$2,CHAR(160)," "))))=0,"CHECK REVIEWER ID",IF(OR(A3="",COUNTIF($A$2:$A$4,A3)&lt;&gt;1,LEFT(A3,LEN("2025::jama.2025.9110::"))&lt;&gt;"2025::jama.2025.9110::"),"CHECK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inlineStr">
        <is>
          <t>ICU duration cause-specific HR 0.93 (95% CI 0.88-1.00), P=.04 (abstract p1, p5, Table 2 p7). The upper limit printed as 1.00 is a rounded value; varying the printed estimate and limits over their rounding intervals gives CI-implied P from 0.009 to 0.057 (point values: 0.026), which includes .04. The apparent conflict is explained by display rounding.</t>
        </is>
      </c>
    </row>
    <row r="4" ht="92" customHeight="1" s="25">
      <c r="A4" s="20" t="inlineStr">
        <is>
          <t>2025::jama.2025.9110::C003</t>
        </is>
      </c>
      <c r="B4" s="20" t="inlineStr">
        <is>
          <t>Original primary-power correlation assumptions differ between SAP and report</t>
        </is>
      </c>
      <c r="C4" s="20" t="inlineStr">
        <is>
          <t>REPORT jama_summers_2025_oi_250040_1753124024.36498.pdf — main article p. 3, original sample-size rationale begins; REPORT jama_summers_2025_oi_250040_1753124024.36498.pdf — main article p. 4, correlation assumptions and continuation; PLAN joi250040supp2_prod_1753124024.37799.pdf — SAP p. 13, lines 301–308; PLAN joi250040supp2_prod_1753124024.37799.pdf — SAP p. 14, lines 309–321; Corroborating PLAN joi250040supp1_prod_1753124024.37199.pdf — protocol p. 20, lines 651–665</t>
        </is>
      </c>
      <c r="D4" s="21" t="inlineStr">
        <is>
          <t>retain</t>
        </is>
      </c>
      <c r="E4" s="21" t="inlineStr">
        <is>
          <t>protocol_report</t>
        </is>
      </c>
      <c r="F4" s="21" t="inlineStr">
        <is>
          <t>primary_done</t>
        </is>
      </c>
      <c r="G4" s="20">
        <f>IFERROR(IF(LEN(TRIM(CLEAN(SUBSTITUTE(Setup!$B$2,CHAR(160)," "))))=0,"CHECK REVIEWER ID",IF(OR(A4="",COUNTIF($A$2:$A$4,A4)&lt;&gt;1,LEFT(A4,LEN("2025::jama.2025.9110::"))&lt;&gt;"2025::jama.2025.9110::"),"CHECK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SAP pp13-14 (OCR): exchangeable correlation, ICC 0.02 (range 0.001-0.1), 8 clusters of mean 160 patients per 3-month period, 60-65 per cluster-period giving 90% power for a 1-day mean difference; 2560 inflated 15% to ~3000. Article pp3-4: 80% power with cluster-period size &gt;=60 and 90% with &gt;=80, within-period ICC 0.01-0.05 (base 0.02), cluster autocorrelation 0.64-0.96 (base 0.8). Both disclose the post hoc recognition of 4 clusters per sequence. Correlation assumptions and the power/size pairing differ.</t>
        </is>
      </c>
    </row>
  </sheetData>
  <autoFilter ref="A1:R4"/>
  <conditionalFormatting sqref="H2:H4">
    <cfRule type="expression" priority="8" dxfId="70">
      <formula>NOT(AND(OR($D2="retain",$D2=""),$E2="statistical_results"))</formula>
    </cfRule>
  </conditionalFormatting>
  <conditionalFormatting sqref="I2:I4">
    <cfRule type="expression" priority="9" dxfId="70">
      <formula>NOT(AND(OR($D2="retain",$D2=""),$E2="statistical_results"))</formula>
    </cfRule>
  </conditionalFormatting>
  <conditionalFormatting sqref="J2:J4">
    <cfRule type="expression" priority="10" dxfId="70">
      <formula>NOT(AND(OR($D2="retain",$D2=""),$E2="statistical_results"))</formula>
    </cfRule>
  </conditionalFormatting>
  <conditionalFormatting sqref="K2:K4">
    <cfRule type="expression" priority="11" dxfId="70">
      <formula>NOT(AND(OR($D2="retain",$D2=""),OR($E2="report_internal_inconsistency",$E2="plan_material")))</formula>
    </cfRule>
  </conditionalFormatting>
  <conditionalFormatting sqref="L2:L4">
    <cfRule type="expression" priority="12" dxfId="70">
      <formula>NOT(AND(OR($D2="retain",$D2=""),$E2="protocol_report"))</formula>
    </cfRule>
  </conditionalFormatting>
  <conditionalFormatting sqref="G2:G4">
    <cfRule type="expression" priority="13" dxfId="71">
      <formula>G2&lt;&gt;"PRIMARY READY"</formula>
    </cfRule>
  </conditionalFormatting>
  <dataValidations count="8">
    <dataValidation sqref="D2:D4" showDropDown="0" showInputMessage="0" showErrorMessage="1" allowBlank="1" errorTitle="Use a listed option" error="Choose an option; G also checks pasted entries." type="list" errorStyle="stop">
      <formula1>"retain,exclude,discuss"</formula1>
    </dataValidation>
    <dataValidation sqref="E2:E4"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4" showDropDown="0" showInputMessage="0" showErrorMessage="1" allowBlank="1" errorTitle="Use a listed option" error="Choose an option; G also checks pasted entries." type="list" errorStyle="stop">
      <formula1>"no,primary_done"</formula1>
    </dataValidation>
    <dataValidation sqref="H2:H4"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4" showDropDown="0" showInputMessage="0" showErrorMessage="1" allowBlank="1" errorTitle="Use a listed option" error="Choose an option; G also checks pasted entries." type="list" errorStyle="stop">
      <formula1>"substantive,minor_presentation,indeterminate,not_applicable"</formula1>
    </dataValidation>
    <dataValidation sqref="J2:J4" showDropDown="0" showInputMessage="0" showErrorMessage="1" allowBlank="1" errorTitle="Use a listed option" error="Choose an option; G also checks pasted entries." type="list" errorStyle="stop">
      <formula1>"direct,possible,unlikely,unknown,not_applicable"</formula1>
    </dataValidation>
    <dataValidation sqref="K2:K4"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4"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R6"/>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2025::jama.2025.9663::C001</t>
        </is>
      </c>
      <c r="B2" s="20" t="inlineStr">
        <is>
          <t>Missing stratification-only primary-outcome analysis</t>
        </is>
      </c>
      <c r="C2" s="20" t="inlineStr">
        <is>
          <t>PLAN original protocol: joi250042supp1_prod_1753377747.92525.pdf — p. 30, §4.2.2; PLAN final protocol: joi250042supp1_prod_1753377747.92525.pdf — p. 70, §4.2.2; REPORT model description: jama_martin_2025_oi_250042_1753377747.91025.pdf — p. 3, Statistical Analysis; REPORT narrative effects: jama_martin_2025_oi_250042_1753377747.91025.pdf — p. 6, Primary and Secondary Outcomes; REPORT tabulated effects and adjustment sets: jama_martin_2025_oi_250042_1753377747.91025.pdf — p. 8, Table 2 and footnotes a/b; PLAN alternative specification: joi250042supp1_prod_1753377747.92525.pdf — p. 126, §5.3.1, joi250042supp1_prod_1753377747.92525.pdf — p. 127, continuation, and joi250042supp1_prod_1753377747.92525.pdf — p. 136, SAP changes</t>
        </is>
      </c>
      <c r="D2" s="21" t="inlineStr">
        <is>
          <t>retain</t>
        </is>
      </c>
      <c r="E2" s="21" t="inlineStr">
        <is>
          <t>protocol_report</t>
        </is>
      </c>
      <c r="F2" s="21" t="inlineStr">
        <is>
          <t>primary_done</t>
        </is>
      </c>
      <c r="G2" s="20">
        <f>IFERROR(IF(LEN(TRIM(CLEAN(SUBSTITUTE(Setup!$B$2,CHAR(160)," "))))=0,"CHECK REVIEWER ID",IF(OR(A2="",COUNTIF($A$2:$A$6,A2)&lt;&gt;1,LEFT(A2,LEN("2025::jama.2025.9663::"))&lt;&gt;"2025::jama.2025.9663::"),"CHECK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indeterminate</t>
        </is>
      </c>
      <c r="M2" s="20" t="n"/>
      <c r="N2" s="23" t="n"/>
      <c r="O2" s="23" t="n"/>
      <c r="P2" s="23" t="n"/>
      <c r="Q2" s="23" t="n"/>
      <c r="R2" s="22" t="inlineStr">
        <is>
          <t>Protocol v1.1 §4.2.2 p30 and v1.8 (Oct 2024) p70 (OCR): primary outcome analysed 'both adjusted only for site, HIE, acute brain pathologies...' (stratification variables) and adjusted for baseline covariates. Article p3/p6 and Table 2 p8 report the covariate-adjusted analysis (RD 0.7, -0.7 to 2.0) and an unadjusted RD (0.5, -1.0 to 2.0), but no stratification-only analysis. SAP v1.1 §5.3.1 pp126-127 specifies only the covariate-adjusted model, so the governing analysis document does not require it.</t>
        </is>
      </c>
    </row>
    <row r="3" ht="92" customHeight="1" s="25">
      <c r="A3" s="24" t="inlineStr">
        <is>
          <t>2025::jama.2025.9663::C002</t>
        </is>
      </c>
      <c r="B3" s="24" t="inlineStr">
        <is>
          <t>Retained protocol stay test versus SAP/report stay method</t>
        </is>
      </c>
      <c r="C3" s="24" t="inlineStr">
        <is>
          <t>PLAN original protocol: joi250042supp1_prod_1753377747.92525.pdf — p. 30, §4.2.2; PLAN final protocol: joi250042supp1_prod_1753377747.92525.pdf — p. 70, §4.2.2, and joi250042supp1_prod_1753377747.92525.pdf — p. 71, continuation; PLAN original SAP: joi250042supp1_prod_1753377747.92525.pdf — p. 104, §5.3.2; PLAN final SAP: joi250042supp1_prod_1753377747.92525.pdf — p. 128, §5.3.4; REPORT methods: jama_martin_2025_oi_250042_1753377747.91025.pdf — p. 3, Statistical Analysis; REPORT stay results: jama_martin_2025_oi_250042_1753377747.91025.pdf — p. 8, Table 2; PLAN amendment context: joi250042supp1_prod_1753377747.92525.pdf — p. 136, SAP changes</t>
        </is>
      </c>
      <c r="D3" s="21" t="inlineStr">
        <is>
          <t>retain</t>
        </is>
      </c>
      <c r="E3" s="21" t="inlineStr">
        <is>
          <t>protocol_report</t>
        </is>
      </c>
      <c r="F3" s="21" t="inlineStr">
        <is>
          <t>primary_done</t>
        </is>
      </c>
      <c r="G3" s="24">
        <f>IFERROR(IF(LEN(TRIM(CLEAN(SUBSTITUTE(Setup!$B$2,CHAR(160)," "))))=0,"CHECK REVIEWER ID",IF(OR(A3="",COUNTIF($A$2:$A$6,A3)&lt;&gt;1,LEFT(A3,LEN("2025::jama.2025.9663::"))&lt;&gt;"2025::jama.2025.9663::"),"CHECK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substantive_difference</t>
        </is>
      </c>
      <c r="M3" s="24" t="n"/>
      <c r="N3" s="23" t="n"/>
      <c r="O3" s="23" t="n"/>
      <c r="P3" s="23" t="n"/>
      <c r="Q3" s="23" t="n"/>
      <c r="R3" s="22" t="inlineStr">
        <is>
          <t>Protocol v1.1 p30 and v1.8 (14 Oct 2024) pp70-71: ICU and hospital stay analysed by Wilcoxon rank-sum tests stratified by survival status. SAP v1.0 p104 and v1.1 p128: Fine-Gray proportional hazards among survivors with death as competing risk. Article p3 and Table 2 p8: Fine-Gray sHR. Report follows the SAP but differs from the current protocol.</t>
        </is>
      </c>
    </row>
    <row r="4" ht="92" customHeight="1" s="25">
      <c r="A4" s="20" t="inlineStr">
        <is>
          <t>2025::jama.2025.9663::C003</t>
        </is>
      </c>
      <c r="B4" s="20" t="inlineStr">
        <is>
          <t>SAP all-outcome MICE versus reported selected predictors and stay censoring</t>
        </is>
      </c>
      <c r="C4" s="20" t="inlineStr">
        <is>
          <t>PLAN final SAP: joi250042supp1_prod_1753377747.92525.pdf — p. 131, §7 start, and joi250042supp1_prod_1753377747.92525.pdf — p. 132, §7 continuation; REPORT imputation description: jama_martin_2025_oi_250042_1753377747.91025.pdf — p. 3, imputation paragraph; REPORT effects and duration exception: jama_martin_2025_oi_250042_1753377747.91025.pdf — p. 8, all imputed Table 2 outcomes and footnote b; REPORT complete outcome-specific model/auxiliary rows and baseline footnote: joi250042supp2_prod_1753377747.93025.pdf — p. 24, eTable 7, every row and footnote a; REPORT missing ICU/hospital duration handling: joi250042supp2_prod_1753377747.93025.pdf — p. 24, duration rows and footnote e; PLAN amendment context: joi250042supp1_prod_1753377747.92525.pdf — p. 136, expanded missing-data description</t>
        </is>
      </c>
      <c r="D4" s="21" t="inlineStr">
        <is>
          <t>retain</t>
        </is>
      </c>
      <c r="E4" s="21" t="inlineStr">
        <is>
          <t>protocol_report</t>
        </is>
      </c>
      <c r="F4" s="21" t="inlineStr">
        <is>
          <t>primary_done</t>
        </is>
      </c>
      <c r="G4" s="20">
        <f>IFERROR(IF(LEN(TRIM(CLEAN(SUBSTITUTE(Setup!$B$2,CHAR(160)," "))))=0,"CHECK REVIEWER ID",IF(OR(A4="",COUNTIF($A$2:$A$6,A4)&lt;&gt;1,LEFT(A4,LEN("2025::jama.2025.9663::"))&lt;&gt;"2025::jama.2025.9663::"),"CHECK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SAP v1.1 §7 pp131-132: MICE with each imputation model including all baseline variables used in adjusted models and all outcome variables; 20 imputations. Article p3: MICE 'incorporating at least the primary outcome as an auxiliary variable'; eTable 7 p24: outcome-specific auxiliary sets (e.g., 1-y mortality: none; 60-d mortality: 90-d and 1-y mortality), and ICU/hospital durations not imputed but censored at 1 hour/1 day after randomization (about 10% missing).</t>
        </is>
      </c>
    </row>
    <row r="5" ht="92" customHeight="1" s="25">
      <c r="A5" s="24" t="inlineStr">
        <is>
          <t>2025::jama.2025.9663::C004</t>
        </is>
      </c>
      <c r="B5" s="24" t="inlineStr">
        <is>
          <t>Hospital missing-duration censoring at one hour versus one day</t>
        </is>
      </c>
      <c r="C5" s="24" t="inlineStr">
        <is>
          <t>REPORT hospital effect and censoring definition: jama_martin_2025_oi_250042_1753377747.91025.pdf — p. 8, Table 2 acute-hospital stay row and footnote b; REPORT hospital missing count and outcome-specific censoring definition: joi250042supp2_prod_1753377747.93025.pdf — p. 24, eTable 7 acute-hospital duration row and footnote e</t>
        </is>
      </c>
      <c r="D5" s="21" t="inlineStr">
        <is>
          <t>retain</t>
        </is>
      </c>
      <c r="E5" s="21" t="inlineStr">
        <is>
          <t>statistical_results</t>
        </is>
      </c>
      <c r="F5" s="21" t="inlineStr">
        <is>
          <t>primary_done</t>
        </is>
      </c>
      <c r="G5" s="24">
        <f>IFERROR(IF(LEN(TRIM(CLEAN(SUBSTITUTE(Setup!$B$2,CHAR(160)," "))))=0,"CHECK REVIEWER ID",IF(OR(A5="",COUNTIF($A$2:$A$6,A5)&lt;&gt;1,LEFT(A5,LEN("2025::jama.2025.9663::"))&lt;&gt;"2025::jama.2025.9663::"),"CHECK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t="inlineStr">
        <is>
          <t>confirmed_issue</t>
        </is>
      </c>
      <c r="I5" s="21" t="inlineStr">
        <is>
          <t>minor_presentation</t>
        </is>
      </c>
      <c r="J5" s="22" t="inlineStr">
        <is>
          <t>unlikely</t>
        </is>
      </c>
      <c r="K5" s="21">
        <f>IF(AND(OR(D5="retain",D5=""),OR(E5="report_internal_inconsistency",E5="plan_material")),"","not_applicable")</f>
        <v/>
      </c>
      <c r="L5" s="22">
        <f>IF(AND(OR(D5="retain",D5=""),E5="protocol_report"),"","not_applicable")</f>
        <v/>
      </c>
      <c r="M5" s="24" t="n"/>
      <c r="N5" s="23" t="n"/>
      <c r="O5" s="23" t="n"/>
      <c r="P5" s="23" t="n"/>
      <c r="Q5" s="23" t="n"/>
      <c r="R5" s="22" t="inlineStr">
        <is>
          <t>Table 2 footnote b p8: patients with missing time to discharge (ICU and acute hospital stay) 'censored 1 hour after randomization'. eTable 7 footnote e p24: missing ICU duration censored at 1 hour but missing hospital duration censored at 1 day. Two different rules stated for hospital stay (1677 patients missing).</t>
        </is>
      </c>
    </row>
    <row r="6" ht="92" customHeight="1" s="25">
      <c r="A6" s="20" t="inlineStr">
        <is>
          <t>2025::jama.2025.9663::C005</t>
        </is>
      </c>
      <c r="B6" s="20" t="inlineStr">
        <is>
          <t>Pilot adherence numerator and progression direction</t>
        </is>
      </c>
      <c r="C6" s="20" t="inlineStr">
        <is>
          <t>PLAN original SAP numerator and thresholds: joi250042supp1_prod_1753377747.92525.pdf — p. 95, Table 1 and footnote; PLAN original SAP adherence definition: joi250042supp1_prod_1753377747.92525.pdf — p. 98, §3.2.2 continuation; PLAN final SAP repeated numerator and thresholds: joi250042supp1_prod_1753377747.92525.pdf — p. 118, Table 1 and footnote; PLAN final protocol adherence definition: joi250042supp1_prod_1753377747.92525.pdf — p. 69, Table 2 adherence footnote; PLAN decision consequences: joi250042supp1_prod_1753377747.92525.pdf — p. 70, §4.2.1, joi250042supp1_prod_1753377747.92525.pdf — p. 96, original SAP pilot continuation, and joi250042supp1_prod_1753377747.92525.pdf — p. 119, final SAP pilot continuation</t>
        </is>
      </c>
      <c r="D6" s="21" t="inlineStr">
        <is>
          <t>retain</t>
        </is>
      </c>
      <c r="E6" s="21" t="inlineStr">
        <is>
          <t>plan_material</t>
        </is>
      </c>
      <c r="F6" s="21" t="inlineStr">
        <is>
          <t>primary_done</t>
        </is>
      </c>
      <c r="G6" s="20">
        <f>IFERROR(IF(LEN(TRIM(CLEAN(SUBSTITUTE(Setup!$B$2,CHAR(160)," "))))=0,"CHECK REVIEWER ID",IF(OR(A6="",COUNTIF($A$2:$A$6,A6)&lt;&gt;1,LEFT(A6,LEN("2025::jama.2025.9663::"))&lt;&gt;"2025::jama.2025.9663::"),"CHECK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t="inlineStr">
        <is>
          <t>minor_presentation</t>
        </is>
      </c>
      <c r="L6" s="22">
        <f>IF(AND(OR(D6="retain",D6=""),E6="protocol_report"),"","not_applicable")</f>
        <v/>
      </c>
      <c r="M6" s="20" t="n"/>
      <c r="N6" s="23" t="n"/>
      <c r="O6" s="23" t="n"/>
      <c r="P6" s="23" t="n"/>
      <c r="Q6" s="23" t="n"/>
      <c r="R6" s="22" t="inlineStr">
        <is>
          <t>Internal-pilot progression table (original SAP p95, final SAP p118): treatment adherence green &gt;=75% of cases, red &lt;50%; the footnote defines the percentage as patients in the conservative arm 'with one or more adjudicated protocol deviation', i.e., non-adherence, which inverts the thresholds. SAP §3.2.2 (p98) defines adherence as no protocol deviation, and protocol v1.8 Table 2 footnote (p69) defines adherence as adjustments per protocol. Intended meaning (adherence) is clear from the other passages.</t>
        </is>
      </c>
    </row>
  </sheetData>
  <autoFilter ref="A1:R6"/>
  <conditionalFormatting sqref="H2:H6">
    <cfRule type="expression" priority="8" dxfId="70">
      <formula>NOT(AND(OR($D2="retain",$D2=""),$E2="statistical_results"))</formula>
    </cfRule>
  </conditionalFormatting>
  <conditionalFormatting sqref="I2:I6">
    <cfRule type="expression" priority="9" dxfId="70">
      <formula>NOT(AND(OR($D2="retain",$D2=""),$E2="statistical_results"))</formula>
    </cfRule>
  </conditionalFormatting>
  <conditionalFormatting sqref="J2:J6">
    <cfRule type="expression" priority="10" dxfId="70">
      <formula>NOT(AND(OR($D2="retain",$D2=""),$E2="statistical_results"))</formula>
    </cfRule>
  </conditionalFormatting>
  <conditionalFormatting sqref="K2:K6">
    <cfRule type="expression" priority="11" dxfId="70">
      <formula>NOT(AND(OR($D2="retain",$D2=""),OR($E2="report_internal_inconsistency",$E2="plan_material")))</formula>
    </cfRule>
  </conditionalFormatting>
  <conditionalFormatting sqref="L2:L6">
    <cfRule type="expression" priority="12" dxfId="70">
      <formula>NOT(AND(OR($D2="retain",$D2=""),$E2="protocol_report"))</formula>
    </cfRule>
  </conditionalFormatting>
  <conditionalFormatting sqref="G2:G6">
    <cfRule type="expression" priority="13" dxfId="71">
      <formula>G2&lt;&gt;"PRIMARY READY"</formula>
    </cfRule>
  </conditionalFormatting>
  <dataValidations count="8">
    <dataValidation sqref="D2:D6" showDropDown="0" showInputMessage="0" showErrorMessage="1" allowBlank="1" errorTitle="Use a listed option" error="Choose an option; G also checks pasted entries." type="list" errorStyle="stop">
      <formula1>"retain,exclude,discuss"</formula1>
    </dataValidation>
    <dataValidation sqref="E2:E6"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6" showDropDown="0" showInputMessage="0" showErrorMessage="1" allowBlank="1" errorTitle="Use a listed option" error="Choose an option; G also checks pasted entries." type="list" errorStyle="stop">
      <formula1>"no,primary_done"</formula1>
    </dataValidation>
    <dataValidation sqref="H2:H6"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6" showDropDown="0" showInputMessage="0" showErrorMessage="1" allowBlank="1" errorTitle="Use a listed option" error="Choose an option; G also checks pasted entries." type="list" errorStyle="stop">
      <formula1>"substantive,minor_presentation,indeterminate,not_applicable"</formula1>
    </dataValidation>
    <dataValidation sqref="J2:J6" showDropDown="0" showInputMessage="0" showErrorMessage="1" allowBlank="1" errorTitle="Use a listed option" error="Choose an option; G also checks pasted entries." type="list" errorStyle="stop">
      <formula1>"direct,possible,unlikely,unknown,not_applicable"</formula1>
    </dataValidation>
    <dataValidation sqref="K2:K6"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6"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56"/>
  <sheetViews>
    <sheetView showGridLines="0"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style="14" min="1" max="1"/>
    <col width="30" customWidth="1" style="14" min="2" max="2"/>
    <col width="40" customWidth="1" style="14" min="3" max="3"/>
    <col width="96" customWidth="1" style="14" min="4" max="4"/>
    <col width="28" customWidth="1" style="14" min="5" max="5"/>
  </cols>
  <sheetData>
    <row r="1" ht="42" customFormat="1" customHeight="1" s="14">
      <c r="A1" s="15" t="inlineStr">
        <is>
          <t>Field name</t>
        </is>
      </c>
      <c r="B1" s="15" t="inlineStr">
        <is>
          <t>Option / value</t>
        </is>
      </c>
      <c r="C1" s="15" t="inlineStr">
        <is>
          <t>Requirement / scope</t>
        </is>
      </c>
      <c r="D1" s="15" t="inlineStr">
        <is>
          <t>Explanation and example</t>
        </is>
      </c>
      <c r="E1" s="15" t="inlineStr">
        <is>
          <t>Internal key</t>
        </is>
      </c>
    </row>
    <row r="2" ht="100" customFormat="1" customHeight="1" s="14">
      <c r="A2" s="16" t="inlineStr">
        <is>
          <t>Working method</t>
        </is>
      </c>
      <c r="B2" s="16" t="inlineStr">
        <is>
          <t>GUIDE</t>
        </is>
      </c>
      <c r="C2" s="16" t="inlineStr">
        <is>
          <t>Independent primary</t>
        </is>
      </c>
      <c r="D2" s="16" t="inlineStr">
        <is>
          <t>Blank means no answer, never inherited. Clear obsolete literal answers after branch changes. not_applicable means inactive.</t>
        </is>
      </c>
      <c r="E2" s="16" t="n"/>
    </row>
    <row r="3" ht="100" customFormat="1" customHeight="1" s="14">
      <c r="A3" s="17" t="inlineStr">
        <is>
          <t>Required judgments</t>
        </is>
      </c>
      <c r="B3" s="17" t="inlineStr">
        <is>
          <t>GUIDE</t>
        </is>
      </c>
      <c r="C3" s="17" t="inlineStr">
        <is>
          <t>Retain only</t>
        </is>
      </c>
      <c r="D3" s="17" t="inlineStr">
        <is>
          <t>statistical_results: issue + substantiveness; report_internal_inconsistency or plan_material: internalStatus. protocol_report: no extra required judgment; interpretation is optional.</t>
        </is>
      </c>
      <c r="E3" s="17" t="n"/>
    </row>
    <row r="4" ht="100" customFormat="1" customHeight="1" s="14">
      <c r="A4" s="16" t="inlineStr">
        <is>
          <t>How to read this Codebook</t>
        </is>
      </c>
      <c r="B4" s="16" t="n"/>
      <c r="C4" s="16" t="n"/>
      <c r="D4" s="16" t="n"/>
      <c r="E4" s="16" t="n"/>
    </row>
    <row r="5" ht="100" customFormat="1" customHeight="1" s="14">
      <c r="A5" s="17" t="inlineStr">
        <is>
          <t>1  |  Common decisions and optional notes</t>
        </is>
      </c>
      <c r="B5" s="17" t="n"/>
      <c r="C5" s="17" t="n"/>
      <c r="D5" s="17" t="n"/>
      <c r="E5" s="17" t="n"/>
    </row>
    <row r="6" ht="100" customFormat="1" customHeight="1" s="14">
      <c r="A6" s="16" t="inlineStr">
        <is>
          <t>Disposition</t>
        </is>
      </c>
      <c r="B6" s="16" t="inlineStr">
        <is>
          <t>FIELD</t>
        </is>
      </c>
      <c r="C6" s="16" t="inlineStr">
        <is>
          <t>Required; all domains</t>
        </is>
      </c>
      <c r="D6" s="16" t="inlineStr">
        <is>
          <t>Keep, exclude, or defer for discussion. Blank means untouched, not discuss. No AI disposition is preselected.</t>
        </is>
      </c>
      <c r="E6" s="16" t="inlineStr">
        <is>
          <t>disposition</t>
        </is>
      </c>
    </row>
    <row r="7" ht="100" customFormat="1" customHeight="1" s="14">
      <c r="A7" s="17" t="n"/>
      <c r="B7" s="17" t="inlineStr">
        <is>
          <t>retain</t>
        </is>
      </c>
      <c r="C7" s="17" t="inlineStr">
        <is>
          <t>Option</t>
        </is>
      </c>
      <c r="D7" s="17" t="inlineStr">
        <is>
          <t>Retain candidate. After human review, keep this finding in the applicable review results; retaining a protocol discrepancy does not automatically confirm an issue.</t>
        </is>
      </c>
      <c r="E7" s="17" t="n"/>
    </row>
    <row r="8" ht="100" customFormat="1" customHeight="1" s="14">
      <c r="A8" s="16" t="n"/>
      <c r="B8" s="16" t="inlineStr">
        <is>
          <t>exclude</t>
        </is>
      </c>
      <c r="C8" s="16" t="inlineStr">
        <is>
          <t>Option</t>
        </is>
      </c>
      <c r="D8" s="16" t="inlineStr">
        <is>
          <t>Do not retain. The candidate has been assessed and should not remain as a finding, for example because the apparent mismatch has a satisfactory explanation.</t>
        </is>
      </c>
      <c r="E8" s="16" t="n"/>
    </row>
    <row r="9" ht="100" customFormat="1" customHeight="1" s="14">
      <c r="A9" s="17" t="n"/>
      <c r="B9" s="17" t="inlineStr">
        <is>
          <t>discuss</t>
        </is>
      </c>
      <c r="C9" s="17" t="inlineStr">
        <is>
          <t>Option</t>
        </is>
      </c>
      <c r="D9" s="17" t="inlineStr">
        <is>
          <t>Needs discussion. The reviewer has considered the candidate but cannot settle the disposition without further discussion. This is a decision to defer, not an untouched blank.</t>
        </is>
      </c>
      <c r="E9" s="17" t="n"/>
    </row>
    <row r="10" ht="100" customFormat="1" customHeight="1" s="14">
      <c r="A10" s="16" t="inlineStr">
        <is>
          <t>Review domain</t>
        </is>
      </c>
      <c r="B10" s="16" t="inlineStr">
        <is>
          <t>FIELD</t>
        </is>
      </c>
      <c r="C10" s="16" t="inlineStr">
        <is>
          <t>Required; all domains</t>
        </is>
      </c>
      <c r="D10" s="16" t="inlineStr">
        <is>
          <t>Choose the assessment branch first. It controls automatic not_applicable defaults and which judgments are required. All four choices are available; the frozen document relationship code does not change.</t>
        </is>
      </c>
      <c r="E10" s="16" t="inlineStr">
        <is>
          <t>domain</t>
        </is>
      </c>
    </row>
    <row r="11" ht="100" customFormat="1" customHeight="1" s="14">
      <c r="A11" s="17" t="n"/>
      <c r="B11" s="17" t="inlineStr">
        <is>
          <t>statistical_results</t>
        </is>
      </c>
      <c r="C11" s="17" t="inlineStr">
        <is>
          <t>Option</t>
        </is>
      </c>
      <c r="D11" s="17" t="inlineStr">
        <is>
          <t>Statistical results (S_C / S_W). Assess reported numbers, estimates, intervals, denominators or statistical claims in the current report materials.</t>
        </is>
      </c>
      <c r="E11" s="17" t="n"/>
    </row>
    <row r="12" ht="100" customFormat="1" customHeight="1" s="14">
      <c r="A12" s="16" t="n"/>
      <c r="B12" s="16" t="inlineStr">
        <is>
          <t>report_internal_inconsistency</t>
        </is>
      </c>
      <c r="C12" s="16" t="inlineStr">
        <is>
          <t>Option</t>
        </is>
      </c>
      <c r="D12" s="16" t="inlineStr">
        <is>
          <t>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or numerical reporting issue.</t>
        </is>
      </c>
      <c r="E12" s="16" t="n"/>
    </row>
    <row r="13" ht="100" customFormat="1" customHeight="1" s="14">
      <c r="A13" s="17" t="n"/>
      <c r="B13" s="17" t="inlineStr">
        <is>
          <t>protocol_report</t>
        </is>
      </c>
      <c r="C13" s="17" t="inlineStr">
        <is>
          <t>Option</t>
        </is>
      </c>
      <c r="D13" s="17" t="inlineStr">
        <is>
          <t>Protocol-report (P_R). Assess whether planned and reported conduct or analyses meaningfully differ, using the compared materials. No search for acknowledgment or reasons for changes is required.</t>
        </is>
      </c>
      <c r="E13" s="17" t="n"/>
    </row>
    <row r="14" ht="100" customFormat="1" customHeight="1" s="14">
      <c r="A14" s="16" t="n"/>
      <c r="B14" s="16" t="inlineStr">
        <is>
          <t>plan_material</t>
        </is>
      </c>
      <c r="C14" s="16" t="inlineStr">
        <is>
          <t>Option</t>
        </is>
      </c>
      <c r="D14" s="16" t="inlineStr">
        <is>
          <t>Plan material (P_P). Assess an inconsistency involving planning materials themselves rather than a planned-versus-reported result. The original relationship code remains unchanged.</t>
        </is>
      </c>
      <c r="E14" s="16" t="n"/>
    </row>
    <row r="15" ht="100" customFormat="1" customHeight="1" s="14">
      <c r="A15" s="17" t="inlineStr">
        <is>
          <t>Complete</t>
        </is>
      </c>
      <c r="B15" s="17" t="inlineStr">
        <is>
          <t>FIELD</t>
        </is>
      </c>
      <c r="C15" s="17" t="inlineStr">
        <is>
          <t>Independent primary</t>
        </is>
      </c>
      <c r="D15" s="17" t="inlineStr">
        <is>
          <t>Use no while drafting; primary_done after manual review. Reset to no before editing a completed row, review again, then mark primary_done.</t>
        </is>
      </c>
      <c r="E15" s="17" t="inlineStr">
        <is>
          <t>reviewComplete</t>
        </is>
      </c>
    </row>
    <row r="16" ht="100" customFormat="1" customHeight="1" s="14">
      <c r="A16" s="16" t="n"/>
      <c r="B16" s="16" t="inlineStr">
        <is>
          <t>no</t>
        </is>
      </c>
      <c r="C16" s="16" t="inlineStr">
        <is>
          <t>Option</t>
        </is>
      </c>
      <c r="D16" s="16" t="inlineStr">
        <is>
          <t>Draft. This review stage is not yet confirmed complete; AI suggestions or partially filled fields do not count as completed human review.</t>
        </is>
      </c>
      <c r="E16" s="16" t="n"/>
    </row>
    <row r="17" ht="100" customFormat="1" customHeight="1" s="14">
      <c r="A17" s="17" t="inlineStr">
        <is>
          <t>Validation hint</t>
        </is>
      </c>
      <c r="B17" s="17" t="inlineStr">
        <is>
          <t>FIELD</t>
        </is>
      </c>
      <c r="C17" s="17" t="inlineStr">
        <is>
          <t>Calculated</t>
        </is>
      </c>
      <c r="D17" s="17" t="inlineStr">
        <is>
          <t>PRIMARY READY means valid independent primary entry and manual completion, including discuss. Other hints identify missing or invalid input. This does not establish scientific accuracy.</t>
        </is>
      </c>
      <c r="E17" s="17" t="inlineStr">
        <is>
          <t>readiness</t>
        </is>
      </c>
    </row>
    <row r="18" ht="100" customFormat="1" customHeight="1" s="14">
      <c r="A18" s="16" t="inlineStr">
        <is>
          <t>Notes (optional)</t>
        </is>
      </c>
      <c r="B18" s="16" t="inlineStr">
        <is>
          <t>FIELD</t>
        </is>
      </c>
      <c r="C18" s="16" t="inlineStr">
        <is>
          <t>Optional</t>
        </is>
      </c>
      <c r="D18" s="16" t="inlineStr">
        <is>
          <t>Optional English context. Clearing removes the text; no inheritance and no control words.</t>
        </is>
      </c>
      <c r="E18" s="16" t="inlineStr">
        <is>
          <t>notes</t>
        </is>
      </c>
    </row>
    <row r="19" ht="100" customFormat="1" customHeight="1" s="14">
      <c r="A19" s="17" t="inlineStr">
        <is>
          <t>2  |  Statistical results: two required judgments</t>
        </is>
      </c>
      <c r="B19" s="17" t="n"/>
      <c r="C19" s="17" t="n"/>
      <c r="D19" s="17" t="n"/>
      <c r="E19" s="17" t="n"/>
    </row>
    <row r="20" ht="100" customFormat="1" customHeight="1" s="14">
      <c r="A20" s="16" t="inlineStr">
        <is>
          <t>Statistical_or_numerical issue</t>
        </is>
      </c>
      <c r="B20" s="16" t="inlineStr">
        <is>
          <t>FIELD</t>
        </is>
      </c>
      <c r="C20" s="16" t="inlineStr">
        <is>
          <t>Required; retained statistical_results</t>
        </is>
      </c>
      <c r="D20" s="16" t="inlineStr">
        <is>
          <t>Does a statistical or numerical reporting issue exist? Example: a reported percentage conflicts with its stated numerator and denominator after checking definitions. Certainty is separate from importance.</t>
        </is>
      </c>
      <c r="E20" s="16" t="inlineStr">
        <is>
          <t>statisticalIssueStatus</t>
        </is>
      </c>
    </row>
    <row r="21" ht="100" customFormat="1" customHeight="1" s="14">
      <c r="A21" s="17" t="n"/>
      <c r="B21" s="17" t="inlineStr">
        <is>
          <t>confirmed_issue</t>
        </is>
      </c>
      <c r="C21" s="17" t="inlineStr">
        <is>
          <t>Option</t>
        </is>
      </c>
      <c r="D21" s="17" t="inlineStr">
        <is>
          <t>Confirmed statistical or numerical reporting issue. The available evidence establishes a reporting issue or contradiction, even if the correct replacement value is not known.</t>
        </is>
      </c>
      <c r="E21" s="17" t="n"/>
    </row>
    <row r="22" ht="100" customFormat="1" customHeight="1" s="14">
      <c r="A22" s="16" t="n"/>
      <c r="B22" s="16" t="inlineStr">
        <is>
          <t>probable_issue</t>
        </is>
      </c>
      <c r="C22" s="16" t="inlineStr">
        <is>
          <t>Option</t>
        </is>
      </c>
      <c r="D22" s="16" t="inlineStr">
        <is>
          <t>Probable statistical or numerical reporting issue. The evidence favors a reporting issue, but an unresolved limitation or plausible alternative prevents confirmation.</t>
        </is>
      </c>
      <c r="E22" s="16" t="n"/>
    </row>
    <row r="23" ht="100" customFormat="1" customHeight="1" s="14">
      <c r="A23" s="17" t="n"/>
      <c r="B23" s="17" t="inlineStr">
        <is>
          <t>not_issue</t>
        </is>
      </c>
      <c r="C23" s="17" t="inlineStr">
        <is>
          <t>Option</t>
        </is>
      </c>
      <c r="D23" s="17" t="inlineStr">
        <is>
          <t>Not a statistical or numerical issue. The apparent discrepancy is consistent with a valid calculation, definition, analysis method or reporting context.</t>
        </is>
      </c>
      <c r="E23" s="17" t="n"/>
    </row>
    <row r="24" ht="100" customFormat="1" customHeight="1" s="14">
      <c r="A24" s="16" t="n"/>
      <c r="B24" s="16" t="inlineStr">
        <is>
          <t>indeterminate</t>
        </is>
      </c>
      <c r="C24" s="16" t="inlineStr">
        <is>
          <t>Option</t>
        </is>
      </c>
      <c r="D24" s="16" t="inlineStr">
        <is>
          <t>Indeterminate. The available evidence does not support deciding whether a statistical or numerical reporting issue exists; neither confirmation nor dismissal is justified.</t>
        </is>
      </c>
      <c r="E24" s="16" t="n"/>
    </row>
    <row r="25" ht="100" customFormat="1" customHeight="1" s="14">
      <c r="A25" s="17" t="n"/>
      <c r="B25" s="17" t="inlineStr">
        <is>
          <t>not_applicable</t>
        </is>
      </c>
      <c r="C25" s="17" t="inlineStr">
        <is>
          <t>Option</t>
        </is>
      </c>
      <c r="D25" s="17" t="inlineStr">
        <is>
          <t>Automatic default outside this field's review domain or for a non-retained candidate. It is not an issue verdict, missing evidence, or an unanswered applicable question. Do not choose it for an applicable field.</t>
        </is>
      </c>
      <c r="E25" s="17" t="n"/>
    </row>
    <row r="26" ht="100" customFormat="1" customHeight="1" s="14">
      <c r="A26" s="16" t="inlineStr">
        <is>
          <t>Substantiveness</t>
        </is>
      </c>
      <c r="B26" s="16" t="inlineStr">
        <is>
          <t>FIELD</t>
        </is>
      </c>
      <c r="C26" s="16" t="inlineStr">
        <is>
          <t>Required; retained statistical_results</t>
        </is>
      </c>
      <c r="D26" s="16" t="inlineStr">
        <is>
          <t>Could the issue meaningfully affect interpretation or data use? A harmless spacing typo is minor_presentation; an ambiguous extractable effect estimate may be substantive. An issue can be confirmed yet minor.</t>
        </is>
      </c>
      <c r="E26" s="16" t="inlineStr">
        <is>
          <t>substantiveStatus</t>
        </is>
      </c>
    </row>
    <row r="27" ht="100" customFormat="1" customHeight="1" s="14">
      <c r="A27" s="17" t="n"/>
      <c r="B27" s="17" t="inlineStr">
        <is>
          <t>substantive</t>
        </is>
      </c>
      <c r="C27" s="17" t="inlineStr">
        <is>
          <t>Option</t>
        </is>
      </c>
      <c r="D27" s="17" t="inlineStr">
        <is>
          <t>Substantive. The issue could meaningfully change interpretation, data extraction or downstream analysis, rather than only the presentation of the result.</t>
        </is>
      </c>
      <c r="E27" s="17" t="n"/>
    </row>
    <row r="28" ht="100" customFormat="1" customHeight="1" s="14">
      <c r="A28" s="16" t="n"/>
      <c r="B28" s="16" t="inlineStr">
        <is>
          <t>minor_presentation</t>
        </is>
      </c>
      <c r="C28" s="16" t="inlineStr">
        <is>
          <t>Option</t>
        </is>
      </c>
      <c r="D28" s="16" t="inlineStr">
        <is>
          <t>Minor or presentation only. The intended result remains clear and the issue is a small formatting, labeling or typographic problem without a meaningful change in interpretation.</t>
        </is>
      </c>
      <c r="E28" s="16" t="n"/>
    </row>
    <row r="29" ht="100" customFormat="1" customHeight="1" s="14">
      <c r="A29" s="17" t="n"/>
      <c r="B29" s="17" t="inlineStr">
        <is>
          <t>indeterminate</t>
        </is>
      </c>
      <c r="C29" s="17" t="inlineStr">
        <is>
          <t>Option</t>
        </is>
      </c>
      <c r="D29" s="17" t="inlineStr">
        <is>
          <t>Indeterminate. There is not enough information to decide whether the issue is substantive or limited to presentation.</t>
        </is>
      </c>
      <c r="E29" s="17" t="n"/>
    </row>
    <row r="30" ht="100" customFormat="1" customHeight="1" s="14">
      <c r="A30" s="16" t="n"/>
      <c r="B30" s="16" t="inlineStr">
        <is>
          <t>not_applicable</t>
        </is>
      </c>
      <c r="C30" s="16" t="inlineStr">
        <is>
          <t>Option</t>
        </is>
      </c>
      <c r="D30" s="16" t="inlineStr">
        <is>
          <t>Automatic default outside this field's review domain or for a non-retained candidate. It is not an issue verdict, missing evidence, or an unanswered applicable question. Do not choose it for an applicable field.</t>
        </is>
      </c>
      <c r="E30" s="16" t="n"/>
    </row>
    <row r="31" ht="100" customFormat="1" customHeight="1" s="14">
      <c r="A31" s="17" t="inlineStr">
        <is>
          <t>Downstream impact</t>
        </is>
      </c>
      <c r="B31" s="17" t="inlineStr">
        <is>
          <t>FIELD</t>
        </is>
      </c>
      <c r="C31" s="17" t="inlineStr">
        <is>
          <t>Optional; retained statistical_results</t>
        </is>
      </c>
      <c r="D31" s="17" t="inlineStr">
        <is>
          <t>Add only useful information about later extraction or analysis. direct means the affected value itself may be extracted, not that harm has occurred. Blank is allowed and means not assessed; it is not unlikely or not_applicable. This field does not determine temporal eligibility.</t>
        </is>
      </c>
      <c r="E31" s="17" t="inlineStr">
        <is>
          <t>downstreamImpact</t>
        </is>
      </c>
    </row>
    <row r="32" ht="100" customFormat="1" customHeight="1" s="14">
      <c r="A32" s="16" t="n"/>
      <c r="B32" s="16" t="inlineStr">
        <is>
          <t>direct</t>
        </is>
      </c>
      <c r="C32" s="16" t="inlineStr">
        <is>
          <t>Option</t>
        </is>
      </c>
      <c r="D32" s="16" t="inlineStr">
        <is>
          <t>Direct extraction or analysis impact. The affected value or definition is itself an input to data extraction or subsequent analysis; this describes potential impact, not proven downstream harm.</t>
        </is>
      </c>
      <c r="E32" s="16" t="n"/>
    </row>
    <row r="33" ht="100" customFormat="1" customHeight="1" s="14">
      <c r="A33" s="17" t="n"/>
      <c r="B33" s="17" t="inlineStr">
        <is>
          <t>possible</t>
        </is>
      </c>
      <c r="C33" s="17" t="inlineStr">
        <is>
          <t>Option</t>
        </is>
      </c>
      <c r="D33" s="17" t="inlineStr">
        <is>
          <t>Possible downstream impact. A plausible route to affecting later interpretation, extraction or analysis exists, but the connection is indirect or uncertain.</t>
        </is>
      </c>
      <c r="E33" s="17" t="n"/>
    </row>
    <row r="34" ht="100" customFormat="1" customHeight="1" s="14">
      <c r="A34" s="16" t="n"/>
      <c r="B34" s="16" t="inlineStr">
        <is>
          <t>unlikely</t>
        </is>
      </c>
      <c r="C34" s="16" t="inlineStr">
        <is>
          <t>Option</t>
        </is>
      </c>
      <c r="D34" s="16" t="inlineStr">
        <is>
          <t>Unlikely downstream impact. The issue is unlikely to change extracted information or later analysis because the relevant result remains clear and usable.</t>
        </is>
      </c>
      <c r="E34" s="16" t="n"/>
    </row>
    <row r="35" ht="100" customFormat="1" customHeight="1" s="14">
      <c r="A35" s="17" t="n"/>
      <c r="B35" s="17" t="inlineStr">
        <is>
          <t>unknown</t>
        </is>
      </c>
      <c r="C35" s="17" t="inlineStr">
        <is>
          <t>Option</t>
        </is>
      </c>
      <c r="D35" s="17" t="inlineStr">
        <is>
          <t>Unable to assess. The materials do not establish enough about the affected information or its likely use to judge downstream impact.</t>
        </is>
      </c>
      <c r="E35" s="17" t="n"/>
    </row>
    <row r="36" ht="100" customFormat="1" customHeight="1" s="14">
      <c r="A36" s="16" t="n"/>
      <c r="B36" s="16" t="inlineStr">
        <is>
          <t>not_applicable</t>
        </is>
      </c>
      <c r="C36" s="16" t="inlineStr">
        <is>
          <t>Option</t>
        </is>
      </c>
      <c r="D36" s="16" t="inlineStr">
        <is>
          <t>Automatic default outside this field's review domain or for a non-retained candidate. It is not an issue verdict, missing evidence, or an unanswered applicable question. Do not choose it for an applicable field.</t>
        </is>
      </c>
      <c r="E36" s="16" t="n"/>
    </row>
    <row r="37" ht="100" customFormat="1" customHeight="1" s="14">
      <c r="A37" s="17" t="inlineStr">
        <is>
          <t>3  |  Report internal or planning-material inconsistency</t>
        </is>
      </c>
      <c r="B37" s="17" t="n"/>
      <c r="C37" s="17" t="n"/>
      <c r="D37" s="17" t="n"/>
      <c r="E37" s="17" t="n"/>
    </row>
    <row r="38" ht="100" customFormat="1" customHeight="1" s="14">
      <c r="A38" s="16" t="inlineStr">
        <is>
          <t>Report-internal or planning-material inconsistency</t>
        </is>
      </c>
      <c r="B38" s="16" t="inlineStr">
        <is>
          <t>FIELD</t>
        </is>
      </c>
      <c r="C38" s="16" t="inlineStr">
        <is>
          <t>Required; retained report_internal_inconsistency or plan_material</t>
        </is>
      </c>
      <c r="D38" s="16" t="inlineStr">
        <is>
          <t>Judge whether the compared materials are inconsistent and how much that matters. For report_internal_inconsistency, compare content within the main paper, within the updated supplement, or between those two report materials. For plan_material, compare planning materials such as protocol versus protocol or SAP. Plan versus final report belongs to protocol_report. Use statistical_results when specifically judging a statistical or numerical reporting issue.</t>
        </is>
      </c>
      <c r="E38" s="16" t="inlineStr">
        <is>
          <t>internalStatus</t>
        </is>
      </c>
    </row>
    <row r="39" ht="100" customFormat="1" customHeight="1" s="14">
      <c r="A39" s="17" t="n"/>
      <c r="B39" s="17" t="inlineStr">
        <is>
          <t>substantive_inconsistency</t>
        </is>
      </c>
      <c r="C39" s="17" t="inlineStr">
        <is>
          <t>Option</t>
        </is>
      </c>
      <c r="D39" s="17" t="inlineStr">
        <is>
          <t>Substantive inconsistency. Conflicting statements, values, labels, or descriptions in the compared report or planning materials could materially change how the study, population, procedures or results are understood.</t>
        </is>
      </c>
      <c r="E39" s="17" t="n"/>
    </row>
    <row r="40" ht="100" customFormat="1" customHeight="1" s="14">
      <c r="A40" s="16" t="n"/>
      <c r="B40" s="16" t="inlineStr">
        <is>
          <t>minor_presentation</t>
        </is>
      </c>
      <c r="C40" s="16" t="inlineStr">
        <is>
          <t>Option</t>
        </is>
      </c>
      <c r="D40" s="16" t="inlineStr">
        <is>
          <t>Minor presentation inconsistency. A real discrepancy exists, but it mainly affects presentation, including minor wording or labeling problems, and the intended meaning remains clear. Example: an imprecise label whose intended meaning is clear from context.</t>
        </is>
      </c>
      <c r="E40" s="16" t="n"/>
    </row>
    <row r="41" ht="100" customFormat="1" customHeight="1" s="14">
      <c r="A41" s="17" t="n"/>
      <c r="B41" s="17" t="inlineStr">
        <is>
          <t>non_inconsistency</t>
        </is>
      </c>
      <c r="C41" s="17" t="inlineStr">
        <is>
          <t>Option</t>
        </is>
      </c>
      <c r="D41" s="17" t="inlineStr">
        <is>
          <t>Not an inconsistency. The statements are compatible once their definitions, populations, time points or other context are taken into account. This includes different wording with the same substantive meaning. Example: participants and study participants refer to the same group.</t>
        </is>
      </c>
      <c r="E41" s="17" t="n"/>
    </row>
    <row r="42" ht="100" customFormat="1" customHeight="1" s="14">
      <c r="A42" s="16" t="n"/>
      <c r="B42" s="16" t="inlineStr">
        <is>
          <t>indeterminate</t>
        </is>
      </c>
      <c r="C42" s="16" t="inlineStr">
        <is>
          <t>Option</t>
        </is>
      </c>
      <c r="D42" s="16" t="inlineStr">
        <is>
          <t>Indeterminate. The available material is insufficient to establish whether the statements conflict or how important any conflict is.</t>
        </is>
      </c>
      <c r="E42" s="16" t="n"/>
    </row>
    <row r="43" ht="100" customFormat="1" customHeight="1" s="14">
      <c r="A43" s="17" t="n"/>
      <c r="B43" s="17" t="inlineStr">
        <is>
          <t>not_applicable</t>
        </is>
      </c>
      <c r="C43" s="17" t="inlineStr">
        <is>
          <t>Option</t>
        </is>
      </c>
      <c r="D43" s="17" t="inlineStr">
        <is>
          <t>Automatic default outside this field's review domain or for a non-retained candidate. It is not an issue verdict, missing evidence, or an unanswered applicable question. Do not choose it for an applicable field.</t>
        </is>
      </c>
      <c r="E43" s="17" t="n"/>
    </row>
    <row r="44" ht="100" customFormat="1" customHeight="1" s="14">
      <c r="A44" s="16" t="inlineStr">
        <is>
          <t>4  |  Protocol versus report: optional description only</t>
        </is>
      </c>
      <c r="B44" s="16" t="n"/>
      <c r="C44" s="16" t="n"/>
      <c r="D44" s="16" t="n"/>
      <c r="E44" s="16" t="n"/>
    </row>
    <row r="45" ht="100" customFormat="1" customHeight="1" s="14">
      <c r="A45" s="17" t="inlineStr">
        <is>
          <t>Protocol interpretation</t>
        </is>
      </c>
      <c r="B45" s="17" t="inlineStr">
        <is>
          <t>FIELD</t>
        </is>
      </c>
      <c r="C45" s="17" t="inlineStr">
        <is>
          <t>Optional; retained protocol_report</t>
        </is>
      </c>
      <c r="D45" s="17" t="inlineStr">
        <is>
          <t>Describe the compared plan and report only when useful: meaningful difference, minor presentation issue, version/timing ambiguity, no inconsistency, or indeterminate. Use minor_presentation for a small wording problem and non_inconsistency for equivalent wording with no actual conflict. Use the available comparison evidence; no additional search for change records or reasons is required. Blank is allowed and never blocks completion. Retained protocol differences are descriptive and excluded from temporal analysis.</t>
        </is>
      </c>
      <c r="E45" s="17" t="inlineStr">
        <is>
          <t>protocolInterpretation</t>
        </is>
      </c>
    </row>
    <row r="46" ht="100" customFormat="1" customHeight="1" s="14">
      <c r="A46" s="16" t="n"/>
      <c r="B46" s="16" t="inlineStr">
        <is>
          <t>substantive_difference</t>
        </is>
      </c>
      <c r="C46" s="16" t="inlineStr">
        <is>
          <t>Option</t>
        </is>
      </c>
      <c r="D46" s="16" t="inlineStr">
        <is>
          <t>Substantive difference. The compared plan and report meaningfully differ in an outcome, population, procedure, or analysis. This describes the difference; it does not establish an issue or an unjustified change. Example: the planned primary time point is 12 months but the report uses 6 months.</t>
        </is>
      </c>
      <c r="E46" s="16" t="n"/>
    </row>
    <row r="47" ht="100" customFormat="1" customHeight="1" s="14">
      <c r="A47" s="17" t="n"/>
      <c r="B47" s="17" t="inlineStr">
        <is>
          <t>minor_presentation</t>
        </is>
      </c>
      <c r="C47" s="17" t="inlineStr">
        <is>
          <t>Option</t>
        </is>
      </c>
      <c r="D47" s="17" t="inlineStr">
        <is>
          <t>Minor presentation difference. A minor wording, labeling or presentation problem exists, but the intended planned and reported meaning or conduct remains clear. Example: an imprecise outcome label clarified by the same definition in both documents.</t>
        </is>
      </c>
      <c r="E47" s="17" t="n"/>
    </row>
    <row r="48" ht="100" customFormat="1" customHeight="1" s="14">
      <c r="A48" s="16" t="n"/>
      <c r="B48" s="16" t="inlineStr">
        <is>
          <t>version_timing</t>
        </is>
      </c>
      <c r="C48" s="16" t="inlineStr">
        <is>
          <t>Option</t>
        </is>
      </c>
      <c r="D48" s="16" t="inlineStr">
        <is>
          <t>Version or timing ambiguity. The difference may reflect which protocol version or date is being compared; the sequence cannot be resolved from the available material.</t>
        </is>
      </c>
      <c r="E48" s="16" t="n"/>
    </row>
    <row r="49" ht="100" customFormat="1" customHeight="1" s="14">
      <c r="A49" s="17" t="n"/>
      <c r="B49" s="17" t="inlineStr">
        <is>
          <t>non_inconsistency</t>
        </is>
      </c>
      <c r="C49" s="17" t="inlineStr">
        <is>
          <t>Option</t>
        </is>
      </c>
      <c r="D49" s="17" t="inlineStr">
        <is>
          <t>No inconsistency. The compared statements are compatible after checking the population, definitions, time points, or context, including equivalent wording with no change in meaning or conduct. Example: week 12 and 12 weeks after baseline describe the same time point. Normally consider Disposition=exclude for this candidate.</t>
        </is>
      </c>
      <c r="E49" s="17" t="n"/>
    </row>
    <row r="50" ht="100" customFormat="1" customHeight="1" s="14">
      <c r="A50" s="16" t="n"/>
      <c r="B50" s="16" t="inlineStr">
        <is>
          <t>indeterminate</t>
        </is>
      </c>
      <c r="C50" s="16" t="inlineStr">
        <is>
          <t>Option</t>
        </is>
      </c>
      <c r="D50" s="16" t="inlineStr">
        <is>
          <t>Indeterminate. The available evidence cannot support a more specific interpretation of the planned-versus-reported difference.</t>
        </is>
      </c>
      <c r="E50" s="16" t="n"/>
    </row>
    <row r="51" ht="100" customFormat="1" customHeight="1" s="14">
      <c r="A51" s="17" t="n"/>
      <c r="B51" s="17" t="inlineStr">
        <is>
          <t>not_applicable</t>
        </is>
      </c>
      <c r="C51" s="17" t="inlineStr">
        <is>
          <t>Option</t>
        </is>
      </c>
      <c r="D51" s="17" t="inlineStr">
        <is>
          <t>Automatic default outside this field's review domain or for a non-retained candidate. It is not an issue verdict, missing evidence, or an unanswered applicable question. Do not choose it for an applicable field.</t>
        </is>
      </c>
      <c r="E51" s="17" t="n"/>
    </row>
    <row r="52" ht="100" customFormat="1" customHeight="1" s="14">
      <c r="A52" s="16" t="inlineStr">
        <is>
          <t>5  |  Candidate context</t>
        </is>
      </c>
      <c r="B52" s="16" t="n"/>
      <c r="C52" s="16" t="n"/>
      <c r="D52" s="16" t="n"/>
      <c r="E52" s="16" t="n"/>
    </row>
    <row r="53" ht="100" customFormat="1" customHeight="1" s="14">
      <c r="A53" s="17" t="inlineStr">
        <is>
          <t>Candidate key</t>
        </is>
      </c>
      <c r="B53" s="17" t="inlineStr">
        <is>
          <t>FIELD</t>
        </is>
      </c>
      <c r="C53" s="17" t="inlineStr">
        <is>
          <t>Reference</t>
        </is>
      </c>
      <c r="D53" s="17" t="inlineStr">
        <is>
          <t>Unique candidate identity used for matching, even after complete rows are reordered. Never edit this value.</t>
        </is>
      </c>
      <c r="E53" s="17" t="inlineStr">
        <is>
          <t>key</t>
        </is>
      </c>
    </row>
    <row r="54" ht="100" customFormat="1" customHeight="1" s="14">
      <c r="A54" s="16" t="inlineStr">
        <is>
          <t>Candidate title</t>
        </is>
      </c>
      <c r="B54" s="16" t="inlineStr">
        <is>
          <t>FIELD</t>
        </is>
      </c>
      <c r="C54" s="16" t="inlineStr">
        <is>
          <t>Reference</t>
        </is>
      </c>
      <c r="D54" s="16" t="inlineStr">
        <is>
          <t>Short candidate title. A candidate is an AI flag for human assessment, not a confirmed issue.</t>
        </is>
      </c>
      <c r="E54" s="16" t="inlineStr">
        <is>
          <t>title</t>
        </is>
      </c>
    </row>
    <row r="55" ht="100" customFormat="1" customHeight="1" s="14">
      <c r="A55" s="17" t="inlineStr">
        <is>
          <t>Source location</t>
        </is>
      </c>
      <c r="B55" s="17" t="inlineStr">
        <is>
          <t>FIELD</t>
        </is>
      </c>
      <c r="C55" s="17" t="inlineStr">
        <is>
          <t>Source reference</t>
        </is>
      </c>
      <c r="D55" s="17" t="inlineStr">
        <is>
          <t>Where to check the source claim. Open the original documents named here (file and PDF page).</t>
        </is>
      </c>
      <c r="E55" s="17" t="inlineStr">
        <is>
          <t>locations</t>
        </is>
      </c>
    </row>
    <row r="56" ht="100" customFormat="1" customHeight="1" s="14">
      <c r="A56" s="16" t="inlineStr">
        <is>
          <t>Complete</t>
        </is>
      </c>
      <c r="B56" s="16" t="inlineStr">
        <is>
          <t>primary_done</t>
        </is>
      </c>
      <c r="C56" s="16" t="inlineStr">
        <is>
          <t>Independent primary</t>
        </is>
      </c>
      <c r="D56" s="16" t="inlineStr">
        <is>
          <t>Use no while drafting; primary_done after manual review. Reset to no before editing a completed row, review again, then mark primary_done.</t>
        </is>
      </c>
      <c r="E56" s="16" t="inlineStr">
        <is>
          <t>reviewComplete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2026-09-19T05:14:09Z</dcterms:created>
  <dcterms:modified xsi:type="dcterms:W3CDTF">2026-10-14T19:23:06Z</dcterms:modified>
</cp:coreProperties>
</file>