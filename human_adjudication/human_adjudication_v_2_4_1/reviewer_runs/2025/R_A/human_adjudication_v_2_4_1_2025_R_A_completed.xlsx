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odebook" sheetId="19" state="visible" r:id="rId19"/>
  </sheets>
  <definedNames>
    <definedName name="_xlnm._FilterDatabase" localSheetId="3" hidden="1">'C_jama.2024.24764'!$A$1:$R$6</definedName>
    <definedName name="_xlnm._FilterDatabase" localSheetId="4" hidden="1">'C_jama.2024.27643'!$A$1:$R$17</definedName>
    <definedName name="_xlnm._FilterDatabase" localSheetId="7" hidden="1">'C_jama.2025.15440'!$A$1:$R$2</definedName>
    <definedName name="_xlnm._FilterDatabase" localSheetId="8" hidden="1">'C_jama.2025.16450'!$A$1:$R$7</definedName>
    <definedName name="_xlnm._FilterDatabase" localSheetId="9" hidden="1">'C_jama.2025.19563'!$A$1:$R$14</definedName>
    <definedName name="_xlnm._FilterDatabase" localSheetId="10" hidden="1">'C_jama.2025.19843'!$A$1:$R$8</definedName>
    <definedName name="_xlnm._FilterDatabase" localSheetId="11" hidden="1">'C_jama.2025.20765'!$A$1:$R$20</definedName>
    <definedName name="_xlnm._FilterDatabase" localSheetId="12" hidden="1">'C_jama.2025.24175'!$A$1:$R$15</definedName>
    <definedName name="_xlnm._FilterDatabase" localSheetId="13" hidden="1">'C_jama.2025.4390'!$A$1:$R$14</definedName>
    <definedName name="_xlnm._FilterDatabase" localSheetId="14" hidden="1">'C_jama.2025.7583'!$A$1:$R$5</definedName>
    <definedName name="_xlnm._FilterDatabase" localSheetId="15" hidden="1">'C_jama.2025.7710'!$A$1:$R$4</definedName>
    <definedName name="_xlnm._FilterDatabase" localSheetId="16" hidden="1">'C_jama.2025.9110'!$A$1:$R$4</definedName>
    <definedName name="_xlnm._FilterDatabase" localSheetId="17" hidden="1">'C_jama.2025.9663'!$A$1:$R$6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7">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xf numFmtId="0" fontId="0" fillId="0" borderId="0" pivotButton="0" quotePrefix="0" xfId="0"/>
    <xf numFmtId="0" fontId="1" fillId="0" borderId="0" pivotButton="0" quotePrefix="0" xfId="0"/>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R_A</t>
        </is>
      </c>
    </row>
    <row r="3" ht="42" customFormat="1" customHeight="1" s="14">
      <c r="A3" s="17" t="inlineStr">
        <is>
          <t>reviewerName (optional)</t>
        </is>
      </c>
      <c r="B3" s="18" t="n"/>
    </row>
    <row r="4" ht="42" customFormat="1" customHeight="1" s="14">
      <c r="A4" s="16" t="inlineStr">
        <is>
          <t>reviewerRole</t>
        </is>
      </c>
      <c r="B4" s="16" t="inlineStr">
        <is>
          <t>R_A</t>
        </is>
      </c>
    </row>
    <row r="5" ht="42" customFormat="1" customHeight="1" s="14">
      <c r="A5" s="17" t="inlineStr">
        <is>
          <t>year</t>
        </is>
      </c>
      <c r="B5" s="17"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109</v>
      </c>
    </row>
    <row r="4" ht="55" customFormat="1" customHeight="1" s="14">
      <c r="A4" s="16" t="inlineStr">
        <is>
          <t>Primary ready rows</t>
        </is>
      </c>
      <c r="B4" s="16">
        <f>COUNTIF('C_jama.2024.24764'!$G$2:$G$6,"PRIMARY READY")+COUNTIF('C_jama.2024.27643'!$G$2:$G$17,"PRIMARY READY")+COUNTIF('C_jama.2025.15440'!$G$2:$G$2,"PRIMARY READY")+COUNTIF('C_jama.2025.16450'!$G$2:$G$7,"PRIMARY READY")+COUNTIF('C_jama.2025.19563'!$G$2:$G$14,"PRIMARY READY")+COUNTIF('C_jama.2025.19843'!$G$2:$G$8,"PRIMARY READY")+COUNTIF('C_jama.2025.20765'!$G$2:$G$20,"PRIMARY READY")+COUNTIF('C_jama.2025.24175'!$G$2:$G$15,"PRIMARY READY")+COUNTIF('C_jama.2025.4390'!$G$2:$G$14,"PRIMARY READY")+COUNTIF('C_jama.2025.7583'!$G$2:$G$5,"PRIMARY READY")+COUNTIF('C_jama.2025.7710'!$G$2:$G$4,"PRIMARY READY")+COUNTIF('C_jama.2025.9110'!$G$2:$G$4,"PRIMARY READY")+COUNTIF('C_jama.2025.9663'!$G$2:$G$6,"PRIMARY READY")</f>
        <v/>
      </c>
    </row>
    <row r="5" ht="55" customFormat="1" customHeight="1" s="14">
      <c r="A5" s="17" t="inlineStr">
        <is>
          <t>Discuss / unresolved rows</t>
        </is>
      </c>
      <c r="B5" s="17">
        <f>COUNTIF('C_jama.2024.24764'!$D$2:$D$6,"discuss")+COUNTIF('C_jama.2024.27643'!$D$2:$D$17,"discuss")+COUNTIF('C_jama.2025.15440'!$D$2:$D$2,"discuss")+COUNTIF('C_jama.2025.16450'!$D$2:$D$7,"discuss")+COUNTIF('C_jama.2025.19563'!$D$2:$D$14,"discuss")+COUNTIF('C_jama.2025.19843'!$D$2:$D$8,"discuss")+COUNTIF('C_jama.2025.20765'!$D$2:$D$20,"discuss")+COUNTIF('C_jama.2025.24175'!$D$2:$D$15,"discuss")+COUNTIF('C_jama.2025.4390'!$D$2:$D$14,"discuss")+COUNTIF('C_jama.2025.7583'!$D$2:$D$5,"discuss")+COUNTIF('C_jama.2025.7710'!$D$2:$D$4,"discuss")+COUNTIF('C_jama.2025.9110'!$D$2:$D$4,"discuss")+COUNTIF('C_jama.2025.9663'!$D$2:$D$6,"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 width="60" customWidth="1" style="25" min="4" max="4"/>
  </cols>
  <sheetData>
    <row r="1" ht="42" customFormat="1" customHeight="1" s="14">
      <c r="A1" s="15" t="inlineStr">
        <is>
          <t>Paper</t>
        </is>
      </c>
      <c r="B1" s="15" t="inlineStr">
        <is>
          <t>Review worksheet</t>
        </is>
      </c>
      <c r="C1" s="15" t="inlineStr">
        <is>
          <t>Candidates</t>
        </is>
      </c>
      <c r="D1" s="15" t="inlineStr">
        <is>
          <t>Note</t>
        </is>
      </c>
    </row>
    <row r="2" ht="36" customHeight="1" s="25">
      <c r="A2" s="16" t="inlineStr">
        <is>
          <t>jama.2024.24764</t>
        </is>
      </c>
      <c r="B2" s="16" t="inlineStr">
        <is>
          <t>C_jama.2024.24764</t>
        </is>
      </c>
      <c r="C2" s="16" t="n">
        <v>5</v>
      </c>
    </row>
    <row r="3" ht="36" customHeight="1" s="25">
      <c r="A3" s="17" t="inlineStr">
        <is>
          <t>jama.2024.27643</t>
        </is>
      </c>
      <c r="B3" s="17" t="inlineStr">
        <is>
          <t>C_jama.2024.27643</t>
        </is>
      </c>
      <c r="C3" s="17" t="n">
        <v>16</v>
      </c>
    </row>
    <row r="4" ht="36" customHeight="1" s="25">
      <c r="A4" s="16" t="inlineStr">
        <is>
          <t>jama.2025.11178</t>
        </is>
      </c>
      <c r="B4" s="16" t="inlineStr">
        <is>
          <t>C_jama.2025.11178</t>
        </is>
      </c>
      <c r="C4" s="16" t="n">
        <v>0</v>
      </c>
      <c r="D4" s="16" t="inlineStr">
        <is>
          <t>Placeholder: workflow 1.6.2 output pending; no candidates in this version</t>
        </is>
      </c>
    </row>
    <row r="5" ht="36" customHeight="1" s="25">
      <c r="A5" s="17" t="inlineStr">
        <is>
          <t>jama.2025.15185</t>
        </is>
      </c>
      <c r="B5" s="17" t="inlineStr">
        <is>
          <t>C_jama.2025.15185</t>
        </is>
      </c>
      <c r="C5" s="17" t="n">
        <v>0</v>
      </c>
      <c r="D5" s="17" t="inlineStr">
        <is>
          <t>Placeholder: workflow 1.6.2 output pending; no candidates in this version</t>
        </is>
      </c>
    </row>
    <row r="6" ht="36" customHeight="1" s="25">
      <c r="A6" s="16" t="inlineStr">
        <is>
          <t>jama.2025.15440</t>
        </is>
      </c>
      <c r="B6" s="16" t="inlineStr">
        <is>
          <t>C_jama.2025.15440</t>
        </is>
      </c>
      <c r="C6" s="16" t="n">
        <v>1</v>
      </c>
    </row>
    <row r="7" ht="36" customHeight="1" s="25">
      <c r="A7" s="17" t="inlineStr">
        <is>
          <t>jama.2025.16450</t>
        </is>
      </c>
      <c r="B7" s="17" t="inlineStr">
        <is>
          <t>C_jama.2025.16450</t>
        </is>
      </c>
      <c r="C7" s="17" t="n">
        <v>6</v>
      </c>
    </row>
    <row r="8" ht="36" customHeight="1" s="25">
      <c r="A8" s="16" t="inlineStr">
        <is>
          <t>jama.2025.19563</t>
        </is>
      </c>
      <c r="B8" s="16" t="inlineStr">
        <is>
          <t>C_jama.2025.19563</t>
        </is>
      </c>
      <c r="C8" s="16" t="n">
        <v>13</v>
      </c>
    </row>
    <row r="9" ht="36" customHeight="1" s="25">
      <c r="A9" s="17" t="inlineStr">
        <is>
          <t>jama.2025.19843</t>
        </is>
      </c>
      <c r="B9" s="17" t="inlineStr">
        <is>
          <t>C_jama.2025.19843</t>
        </is>
      </c>
      <c r="C9" s="17" t="n">
        <v>7</v>
      </c>
    </row>
    <row r="10" ht="36" customHeight="1" s="25">
      <c r="A10" s="16" t="inlineStr">
        <is>
          <t>jama.2025.20765</t>
        </is>
      </c>
      <c r="B10" s="16" t="inlineStr">
        <is>
          <t>C_jama.2025.20765</t>
        </is>
      </c>
      <c r="C10" s="16" t="n">
        <v>19</v>
      </c>
    </row>
    <row r="11" ht="36" customHeight="1" s="25">
      <c r="A11" s="17" t="inlineStr">
        <is>
          <t>jama.2025.24175</t>
        </is>
      </c>
      <c r="B11" s="17" t="inlineStr">
        <is>
          <t>C_jama.2025.24175</t>
        </is>
      </c>
      <c r="C11" s="17" t="n">
        <v>14</v>
      </c>
    </row>
    <row r="12" ht="36" customHeight="1" s="25">
      <c r="A12" s="16" t="inlineStr">
        <is>
          <t>jama.2025.4390</t>
        </is>
      </c>
      <c r="B12" s="16" t="inlineStr">
        <is>
          <t>C_jama.2025.4390</t>
        </is>
      </c>
      <c r="C12" s="16" t="n">
        <v>13</v>
      </c>
    </row>
    <row r="13" ht="36" customHeight="1" s="25">
      <c r="A13" s="17" t="inlineStr">
        <is>
          <t>jama.2025.7583</t>
        </is>
      </c>
      <c r="B13" s="17" t="inlineStr">
        <is>
          <t>C_jama.2025.7583</t>
        </is>
      </c>
      <c r="C13" s="17" t="n">
        <v>4</v>
      </c>
    </row>
    <row r="14" ht="36" customHeight="1" s="25">
      <c r="A14" s="16" t="inlineStr">
        <is>
          <t>jama.2025.7710</t>
        </is>
      </c>
      <c r="B14" s="16" t="inlineStr">
        <is>
          <t>C_jama.2025.7710</t>
        </is>
      </c>
      <c r="C14" s="16" t="n">
        <v>3</v>
      </c>
    </row>
    <row r="15" ht="36" customHeight="1" s="25">
      <c r="A15" s="17" t="inlineStr">
        <is>
          <t>jama.2025.9110</t>
        </is>
      </c>
      <c r="B15" s="17" t="inlineStr">
        <is>
          <t>C_jama.2025.9110</t>
        </is>
      </c>
      <c r="C15" s="17" t="n">
        <v>3</v>
      </c>
    </row>
    <row r="16" ht="36" customHeight="1" s="25">
      <c r="A16" s="16" t="inlineStr">
        <is>
          <t>jama.2025.9663</t>
        </is>
      </c>
      <c r="B16" s="16" t="inlineStr">
        <is>
          <t>C_jama.2025.9663</t>
        </is>
      </c>
      <c r="C16" s="1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2025::jama.2024.24764::C001</t>
        </is>
      </c>
      <c r="B2" s="20" t="inlineStr">
        <is>
          <t>Quality-of-life conclusion versus the day-7 index test</t>
        </is>
      </c>
      <c r="C2" s="20" t="inlineStr">
        <is>
          <t>REPORT jama_atherton_2025_oi_240145_1741627844.85412.pdf — main article abstract, PDF p. 1; REPORT jama_atherton_2025_oi_240145_1741627844.85412.pdf — main Secondary Outcomes, PDF p. 6; REPORT joi240145supp3_prod_1741627844.89412.pdf — results supplement eTable 3, day-7 index, later-time rows and interaction, PDF p. 4. Corroborating PLAN joi240145supp1_prod_1741627844.87412.pdf — SAP §§5.1–5.2, PDF p. 12.</t>
        </is>
      </c>
      <c r="D2" s="21" t="inlineStr">
        <is>
          <t>retain</t>
        </is>
      </c>
      <c r="E2" s="21" t="inlineStr">
        <is>
          <t>statistical_results</t>
        </is>
      </c>
      <c r="F2" s="21" t="inlineStr">
        <is>
          <t>primary_done</t>
        </is>
      </c>
      <c r="G2" s="20">
        <f>IFERROR(IF(LEN(TRIM(CLEAN(SUBSTITUTE(Setup!$B$2,CHAR(160)," "))))=0,"CHECK REVIEWER ID",IF(OR(A2="",COUNTIF($A$2:$A$6,A2)&lt;&gt;1,LEFT(A2,LEN("2025::jama.2024.24764::"))&lt;&gt;"2025::jama.2024.24764::"),"CHECK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Main p1 abstract (6 of 7 secondary outcomes not significant, incl. QoL) and p6 ('no differences in quality of life', citing eTables 2-4) vs supp3 eTable 3 p4: day-7 EQ-5D index -0.057 (-0.104 to -0.010), P=.02 favoring control; CI-implied P=0.017. SAP p26 names day 7 as a primary QoL time point and p12 uses alpha .05 without multiplicity correction. Interaction P=.10 does not remove the day-specific result. Card agrees.</t>
        </is>
      </c>
    </row>
    <row r="3" ht="92" customHeight="1" s="25">
      <c r="A3" s="24" t="inlineStr">
        <is>
          <t>2025::jama.2024.24764::C002</t>
        </is>
      </c>
      <c r="B3" s="24" t="inlineStr">
        <is>
          <t>Planned hospital-stay differences versus reported geometric ratios</t>
        </is>
      </c>
      <c r="C3" s="24" t="inlineStr">
        <is>
          <t>PLAN joi240145supp1_prod_1741627844.87412.pdf — SAP §9.2, PDF p. 15, joi240145supp1_prod_1741627844.87412.pdf — SAP §9.6, PDF p. 25, joi240145supp1_prod_1741627844.87412.pdf — SAP Appendix D7 shell, PDF p. 42; PLAN joi240145supp4_prod_1741627844.90412.pdf — protocol UK definition, PDF p. 24, joi240145supp4_prod_1741627844.90412.pdf — protocol §14.2.2, PDF p. 39; REPORT jama_atherton_2025_oi_240145_1741627844.85412.pdf — main abstract, PDF p. 1, jama_atherton_2025_oi_240145_1741627844.85412.pdf — Statistical Analysis, PDF p. 4, jama_atherton_2025_oi_240145_1741627844.85412.pdf — Secondary Outcomes, PDF p. 6, jama_atherton_2025_oi_240145_1741627844.85412.pdf — Table 3 UK/pooled rows and footnote c, PDF p. 8.</t>
        </is>
      </c>
      <c r="D3" s="21" t="inlineStr">
        <is>
          <t>retain</t>
        </is>
      </c>
      <c r="E3" s="21" t="inlineStr">
        <is>
          <t>protocol_report</t>
        </is>
      </c>
      <c r="F3" s="21" t="inlineStr">
        <is>
          <t>primary_done</t>
        </is>
      </c>
      <c r="G3" s="24">
        <f>IFERROR(IF(LEN(TRIM(CLEAN(SUBSTITUTE(Setup!$B$2,CHAR(160)," "))))=0,"CHECK REVIEWER ID",IF(OR(A3="",COUNTIF($A$2:$A$6,A3)&lt;&gt;1,LEFT(A3,LEN("2025::jama.2024.24764::"))&lt;&gt;"2025::jama.2024.24764::"),"CHECK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p25/p42: LOS analysed UK-only by linear mixed model as adjusted mean difference (days); protocol p39: if skewed, unadjusted median difference. Report p4/p6/p8: log-transformed, ratio of geometric means, for UK and also pooled UK+Australia (pooled result in abstract); no additive difference reported. Partly disclosed (skewness stated, p4); SAP p15 allows transformation only as a sensitivity analysis.</t>
        </is>
      </c>
    </row>
    <row r="4" ht="92" customHeight="1" s="25">
      <c r="A4" s="20" t="inlineStr">
        <is>
          <t>2025::jama.2024.24764::C003</t>
        </is>
      </c>
      <c r="B4" s="20" t="inlineStr">
        <is>
          <t>Reported predicted-survival exclusion versus supplied eligibility criteria</t>
        </is>
      </c>
      <c r="C4" s="20" t="inlineStr">
        <is>
          <t>REPORT jama_atherton_2025_oi_240145_1741627844.85412.pdf — main Eligibility Criteria, PDF p. 2 and jama_atherton_2025_oi_240145_1741627844.85412.pdf — mortality interpretation, PDF p. 10; PLAN joi240145supp4_prod_1741627844.90412.pdf — protocol §§5.1–5.2, PDF p. 17, joi240145supp4_prod_1741627844.90412.pdf — Key Eligibility Criteria summary, PDF p. 8, and joi240145supp4_prod_1741627844.90412.pdf — amendment context, PDF p. 2.</t>
        </is>
      </c>
      <c r="D4" s="21" t="inlineStr">
        <is>
          <t>retain</t>
        </is>
      </c>
      <c r="E4" s="21" t="inlineStr">
        <is>
          <t>protocol_report</t>
        </is>
      </c>
      <c r="F4" s="21" t="inlineStr">
        <is>
          <t>primary_done</t>
        </is>
      </c>
      <c r="G4" s="20">
        <f>IFERROR(IF(LEN(TRIM(CLEAN(SUBSTITUTE(Setup!$B$2,CHAR(160)," "))))=0,"CHECK REVIEWER ID",IF(OR(A4="",COUNTIF($A$2:$A$6,A4)&lt;&gt;1,LEFT(A4,LEN("2025::jama.2024.24764::"))&lt;&gt;"2025::jama.2024.24764::"),"CHECK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Main p2 lists 'not expected to survive beyond 30 days' as an exclusion and p10 invokes it; protocol v4.0 §5.2 p17 and summary p8 list only two exclusions (abdominal surgery within 3 months; expected return to theatre). CONSORT ineligibility reasons (p5) also lack a survival category. Earlier protocol versions not supplied; v4.0 is the latest.</t>
        </is>
      </c>
    </row>
    <row r="5" ht="92" customHeight="1" s="25">
      <c r="A5" s="24" t="inlineStr">
        <is>
          <t>2025::jama.2024.24764::C004</t>
        </is>
      </c>
      <c r="B5" s="24" t="inlineStr">
        <is>
          <t>Unstructured versus independent quality-of-life covariance</t>
        </is>
      </c>
      <c r="C5" s="24" t="inlineStr">
        <is>
          <t>PLAN joi240145supp1_prod_1741627844.87412.pdf — SAP §9.6 SF-12 and EQ-5D paragraphs, PDF p. 26; REPORT jama_atherton_2025_oi_240145_1741627844.85412.pdf — main Statistical Analysis, PDF p. 4; affected REPORT jama_atherton_2025_oi_240145_1741627844.85412.pdf — main Table 3 day-30 SF-12 rows, PDF p. 8, joi240145supp3_prod_1741627844.89412.pdf — results eTable 2, all PCS/MCS rows and interactions, PDF p. 3, joi240145supp3_prod_1741627844.89412.pdf — results eTable 3 index rows/interaction, PDF p. 4, and joi240145supp3_prod_1741627844.89412.pdf — results eTable 4 health rows/interaction, PDF p. 4.</t>
        </is>
      </c>
      <c r="D5" s="21" t="inlineStr">
        <is>
          <t>retain</t>
        </is>
      </c>
      <c r="E5" s="21" t="inlineStr">
        <is>
          <t>protocol_report</t>
        </is>
      </c>
      <c r="F5" s="21" t="inlineStr">
        <is>
          <t>primary_done</t>
        </is>
      </c>
      <c r="G5" s="24">
        <f>IFERROR(IF(LEN(TRIM(CLEAN(SUBSTITUTE(Setup!$B$2,CHAR(160)," "))))=0,"CHECK REVIEWER ID",IF(OR(A5="",COUNTIF($A$2:$A$6,A5)&lt;&gt;1,LEFT(A5,LEN("2025::jama.2024.24764::"))&lt;&gt;"2025::jama.2024.24764::"),"CHECK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§9.6 p26: repeated-measures mixed model with unstructured covariance and robust sandwich SEs for SF-12, inherited by EQ-5D index and health. Main p4: 'an independent covariance structure was assumed'. Not disclosed as a change. Affects all QoL contrasts in Table 3 and eTables 2-4.</t>
        </is>
      </c>
    </row>
    <row r="6" ht="92" customHeight="1" s="25">
      <c r="A6" s="20" t="inlineStr">
        <is>
          <t>2025::jama.2024.24764::C005</t>
        </is>
      </c>
      <c r="B6" s="20" t="inlineStr">
        <is>
          <t>SAP fixed-participant parameterization and adjusted contrasts</t>
        </is>
      </c>
      <c r="C6" s="20" t="inlineStr">
        <is>
          <t>PLAN joi240145supp1_prod_1741627844.87412.pdf — SAP §9.6 SF-12 fixed-parameter declaration, PDF p. 26; PLAN joi240145supp1_prod_1741627844.87412.pdf — same paragraph's assessment-time, baseline adjustment and time-specific contrast declarations, PDF p. 26; inherited PLAN joi240145supp1_prod_1741627844.87412.pdf — EQ-5D index/health methods paragraph, PDF p. 26. No REPORT location is a conflicting party.</t>
        </is>
      </c>
      <c r="D6" s="21" t="inlineStr">
        <is>
          <t>retain</t>
        </is>
      </c>
      <c r="E6" s="21" t="inlineStr">
        <is>
          <t>plan_material</t>
        </is>
      </c>
      <c r="F6" s="21" t="inlineStr">
        <is>
          <t>primary_done</t>
        </is>
      </c>
      <c r="G6" s="20">
        <f>IFERROR(IF(LEN(TRIM(CLEAN(SUBSTITUTE(Setup!$B$2,CHAR(160)," "))))=0,"CHECK REVIEWER ID",IF(OR(A6="",COUNTIF($A$2:$A$6,A6)&lt;&gt;1,LEFT(A6,LEN("2025::jama.2024.24764::"))&lt;&gt;"2025::jama.2024.24764::"),"CHECK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SAP §9.6 p26 lists 'participant' among parameters fitted as fixed effects together with treatment group and baseline score, and also includes baseline both as an assessment time and as a covariate. Read literally, participant fixed effects absorb the time-invariant treatment and baseline terms; the intended repeated-measures model (unstructured covariance) is nevertheless recognizable, so I rate it minor.</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1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2025::jama.2024.27643::C001</t>
        </is>
      </c>
      <c r="B2" s="20" t="inlineStr">
        <is>
          <t>Muscle-strength outcome status</t>
        </is>
      </c>
      <c r="C2" s="20" t="inlineStr">
        <is>
          <t>Physical PDF pages; PLAN/REPORT roles are stated above and within the evidence. joi240158supp1_prod_1742927563.7611.pdf — PDF p. 112; joi240158supp1_prod_1742927563.7611.pdf — PDF p. 184; joi240158supp2_prod_1742927563.7711.pdf — PDF p. 76; joi240158supp2_prod_1742927563.7711.pdf — PDF p. 77; joi240158supp2_prod_1742927563.7711.pdf — PDF p. 78; joi240158supp2_prod_1742927563.7711.pdf — PDF p. 109; joi240158supp2_prod_1742927563.7711.pdf — PDF p. 110; joi240158supp2_prod_1742927563.7711.pdf — PDF p. 111; joi240158supp2_prod_1742927563.7711.pdf — PDF p. 112; jama_berry_2025_oi_240158_1742927563.7361.pdf — PDF p. 3; joi240158supp3_prod_1742927563.7911.pdf — PDF p. 5; joi240158supp3_prod_1742927563.7911.pdf — PDF p. 6; joi240158supp2_prod_1742927563.7711.pdf — PDF p. 104</t>
        </is>
      </c>
      <c r="D2" s="21" t="inlineStr">
        <is>
          <t>retain</t>
        </is>
      </c>
      <c r="E2" s="21" t="inlineStr">
        <is>
          <t>protocol_report</t>
        </is>
      </c>
      <c r="F2" s="21" t="inlineStr">
        <is>
          <t>primary_done</t>
        </is>
      </c>
      <c r="G2" s="20">
        <f>IFERROR(IF(LEN(TRIM(CLEAN(SUBSTITUTE(Setup!$B$2,CHAR(160)," "))))=0,"CHECK REVIEWER ID",IF(OR(A2="",COUNTIF($A$2:$A$17,A2)&lt;&gt;1,LEFT(A2,LEN("2025::jama.2024.27643::"))&lt;&gt;"2025::jama.2024.27643::"),"CHECK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RSA C v3.0 p112 and v6.0 p184 (supp1) list HHD/grip muscle strength as a secondary efficacy endpoint; R-SAP v1.0 p76 and v3.0 p109-112 make CAFS, SVC, survival the key secondaries and HHD exploratory; article p3 and eMethods p5-6 report HHD as exploratory. Outcome-status change; the R-SAP governance table (supp2 p104) gives the SAP authority on analysis matters, but the later RSA v6.0 still lists HHD as secondary. Not disclosed.</t>
        </is>
      </c>
    </row>
    <row r="3" ht="92" customHeight="1" s="25">
      <c r="A3" s="24" t="inlineStr">
        <is>
          <t>2025::jama.2024.27643::C002</t>
        </is>
      </c>
      <c r="B3" s="24" t="inlineStr">
        <is>
          <t>Plasma NfL prespecification</t>
        </is>
      </c>
      <c r="C3" s="24" t="inlineStr">
        <is>
          <t>Physical PDF pages; PLAN/REPORT roles are stated above and within the evidence. jama_berry_2025_oi_240158_1742927563.7361.pdf — PDF p. 3; joi240158supp3_prod_1742927563.7911.pdf — PDF p. 6; joi240158supp3_prod_1742927563.7911.pdf — PDF p. 11; joi240158supp2_prod_1742927563.7711.pdf — PDF p. 110; joi240158supp2_prod_1742927563.7711.pdf — PDF p. 112; joi240158supp2_prod_1742927563.7711.pdf — PDF p. 127; joi240158supp2_prod_1742927563.7711.pdf — PDF p. 114; jama_berry_2025_oi_240158_1742927563.7361.pdf — PDF p. 8; joi240158supp3_prod_1742927563.7911.pdf — PDF p. 17</t>
        </is>
      </c>
      <c r="D3" s="21" t="inlineStr">
        <is>
          <t>retain</t>
        </is>
      </c>
      <c r="E3" s="21" t="inlineStr">
        <is>
          <t>protocol_report</t>
        </is>
      </c>
      <c r="F3" s="21" t="inlineStr">
        <is>
          <t>primary_done</t>
        </is>
      </c>
      <c r="G3" s="24">
        <f>IFERROR(IF(LEN(TRIM(CLEAN(SUBSTITUTE(Setup!$B$2,CHAR(160)," "))))=0,"CHECK REVIEWER ID",IF(OR(A3="",COUNTIF($A$2:$A$17,A3)&lt;&gt;1,LEFT(A3,LEN("2025::jama.2024.27643::"))&lt;&gt;"2025::jama.2024.27643::"),"CHECK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Article p3: 'plasma NfL was prespecified to occur in samples from this regimen only'; eMethods p6 ('Plasma NfL was added later as a post-hoc analysis') and p11 (PD SAP originally specified UCH-L1, so plasma NfL 'is considered post-hoc'). R-SAP v3.0 p110/p112 lists serum and CSF NfL, not plasma NfL. Article p8 presents plasma NfL -9.5%, P=.04 as a result. Disclosed as post hoc in the supplement only; the article text contradicts it.</t>
        </is>
      </c>
    </row>
    <row r="4" ht="92" customHeight="1" s="25">
      <c r="A4" s="20" t="inlineStr">
        <is>
          <t>2025::jama.2024.27643::C003</t>
        </is>
      </c>
      <c r="B4" s="20" t="inlineStr">
        <is>
          <t>Unreported named planned primary/key-secondary analyses</t>
        </is>
      </c>
      <c r="C4" s="20" t="inlineStr">
        <is>
          <t>Physical PDF pages; PLAN/REPORT roles are stated above and within the evidence. joi240158supp2_prod_1742927563.7711.pdf — PDF p. 116; joi240158supp2_prod_1742927563.7711.pdf — PDF p. 117; jama_berry_2025_oi_240158_1742927563.7361.pdf — PDF p. 4; joi240158supp3_prod_1742927563.7911.pdf — PDF p. 15; joi240158supp3_prod_1742927563.7911.pdf — PDF p. 9; joi240158supp2_prod_1742927563.7711.pdf — PDF p. 119; jama_berry_2025_oi_240158_1742927563.7361.pdf — PDF p. 3; joi240158supp3_prod_1742927563.7911.pdf — PDF p. 10; joi240158supp3_prod_1742927563.7911.pdf — PDF p. 16; joi240158supp3_prod_1742927563.7911.pdf — PDF p. 17; joi240158supp2_prod_1742927563.7711.pdf — PDF p. 125; jama_berry_2025_oi_240158_1742927563.7361.pdf — PDF p. 8; joi240158supp2_prod_1742927563.7711.pdf — PDF p. 113; joi240158supp2_prod_1742927563.7711.pdf — PDF p. 121; jama_berry_2025_oi_240158_1742927563.7361.pdf — PDF p. 7; joi240158supp3_prod_1742927563.7911.pdf — PDF p. 12; joi240158supp2_prod_1742927563.7711.pdf — PDF p. 126; joi240158supp3_prod_1742927563.7911.pdf — PDF p. 13; joi240158supp3_prod_1742927563.7911.pdf — PDF p. 18; joi240158supp3_prod_1742927563.7911.pdf — PDF p. 19; joi240158supp3_prod_1742927563.7911.pdf — PDF p. 20; joi240158supp3_prod_1742927563.7911.pdf — PDF p. 25; joi240158supp3_prod_1742927563.7911.pdf — PDF p. 1</t>
        </is>
      </c>
      <c r="D4" s="21" t="inlineStr">
        <is>
          <t>retain</t>
        </is>
      </c>
      <c r="E4" s="21" t="inlineStr">
        <is>
          <t>protocol_report</t>
        </is>
      </c>
      <c r="F4" s="21" t="inlineStr">
        <is>
          <t>primary_done</t>
        </is>
      </c>
      <c r="G4" s="20">
        <f>IFERROR(IF(LEN(TRIM(CLEAN(SUBSTITUTE(Setup!$B$2,CHAR(160)," "))))=0,"CHECK REVIEWER ID",IF(OR(A4="",COUNTIF($A$2:$A$17,A4)&lt;&gt;1,LEFT(A4,LEN("2025::jama.2024.27643::"))&lt;&gt;"2025::jama.2024.27643::"),"CHECK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R-SAP v3.0 pp116-126 plans ECM sensitivity and EPP supportive DRR analyses, joint-rank SVC, multiple-imputation and death-alone CAFS/SVC rank analyses, placebo-reference MI (50 imputations), death-alone survival, and early-disease/urate/bulbar-onset/site subgroups. Searched the full article and supp3: none reported (only FAS/ERO DRR, NfL-adjusted CAFS P=.88, week-24 PAV/death). eMethods p9 says prespecified sensitivity analyses were performed but gives no results.</t>
        </is>
      </c>
    </row>
    <row r="5" ht="92" customHeight="1" s="25">
      <c r="A5" s="24" t="inlineStr">
        <is>
          <t>2025::jama.2024.27643::C004</t>
        </is>
      </c>
      <c r="B5" s="24" t="inlineStr">
        <is>
          <t>Adjusted planned CAFS versus reported Wilcoxon</t>
        </is>
      </c>
      <c r="C5" s="24" t="inlineStr">
        <is>
          <t>Physical PDF pages; PLAN/REPORT roles are stated above and within the evidence. joi240158supp2_prod_1742927563.7711.pdf — PDF p. 118; joi240158supp2_prod_1742927563.7711.pdf — PDF p. 119; jama_berry_2025_oi_240158_1742927563.7361.pdf — PDF p. 3; jama_berry_2025_oi_240158_1742927563.7361.pdf — PDF p. 4; joi240158supp3_prod_1742927563.7911.pdf — PDF p. 9; joi240158supp2_prod_1742927563.7711.pdf — PDF p. 84; joi240158supp2_prod_1742927563.7711.pdf — PDF p. 97</t>
        </is>
      </c>
      <c r="D5" s="21" t="inlineStr">
        <is>
          <t>retain</t>
        </is>
      </c>
      <c r="E5" s="21" t="inlineStr">
        <is>
          <t>protocol_report</t>
        </is>
      </c>
      <c r="F5" s="21" t="inlineStr">
        <is>
          <t>primary_done</t>
        </is>
      </c>
      <c r="G5" s="24">
        <f>IFERROR(IF(LEN(TRIM(CLEAN(SUBSTITUTE(Setup!$B$2,CHAR(160)," "))))=0,"CHECK REVIEWER ID",IF(OR(A5="",COUNTIF($A$2:$A$17,A5)&lt;&gt;1,LEFT(A5,LEN("2025::jama.2024.27643::"))&lt;&gt;"2025::jama.2024.27643::"),"CHECK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R-SAP v3.0 (22 Jul 2022) p118-119: primary CAFS inference from a rank regression adjusted for onset time, delta-FRS, riluzole, edaravone (revision history p97 states the change to an adjusted analysis). Article p3-4: Wilcoxon rank-sum, mean ranks 143.9 vs 140.5, P=.51. The report matches the superseded R-SAP v1.0 p84 (npar1way Wilcoxon). Sequence is documented, so I did not use version_timing.</t>
        </is>
      </c>
    </row>
    <row r="6" ht="92" customHeight="1" s="25">
      <c r="A6" s="20" t="inlineStr">
        <is>
          <t>2025::jama.2024.27643::C005</t>
        </is>
      </c>
      <c r="B6" s="20" t="inlineStr">
        <is>
          <t>Planned survival logrank result</t>
        </is>
      </c>
      <c r="C6" s="20" t="inlineStr">
        <is>
          <t>Physical PDF pages; PLAN/REPORT roles are stated above and within the evidence. joi240158supp2_prod_1742927563.7711.pdf — PDF p. 117; joi240158supp2_prod_1742927563.7711.pdf — PDF p. 121; joi240158supp2_prod_1742927563.7711.pdf — PDF p. 85; joi240158supp2_prod_1742927563.7711.pdf — PDF p. 86; jama_berry_2025_oi_240158_1742927563.7361.pdf — PDF p. 3; jama_berry_2025_oi_240158_1742927563.7361.pdf — PDF p. 4; jama_berry_2025_oi_240158_1742927563.7361.pdf — PDF p. 7; joi240158supp3_prod_1742927563.7911.pdf — PDF p. 10; joi240158supp2_prod_1742927563.7711.pdf — PDF p. 118</t>
        </is>
      </c>
      <c r="D6" s="21" t="inlineStr">
        <is>
          <t>retain</t>
        </is>
      </c>
      <c r="E6" s="21" t="inlineStr">
        <is>
          <t>protocol_report</t>
        </is>
      </c>
      <c r="F6" s="21" t="inlineStr">
        <is>
          <t>primary_done</t>
        </is>
      </c>
      <c r="G6" s="20">
        <f>IFERROR(IF(LEN(TRIM(CLEAN(SUBSTITUTE(Setup!$B$2,CHAR(160)," "))))=0,"CHECK REVIEWER ID",IF(OR(A6="",COUNTIF($A$2:$A$17,A6)&lt;&gt;1,LEFT(A6,LEN("2025::jama.2024.27643::"))&lt;&gt;"2025::jama.2024.27643::"),"CHECK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R-SAP v3.0 p117 and p121 (and v1.0 p85-86): primary survival inference by Kaplan-Meier and logrank on pooled active vs placebo in FAS, with an unadjusted Cox HR if logrank is significant. Report (p3-4, Table 2 p7, eMethods p10-12): adjusted Cox HRs and P values only; KM curves shown but no logrank result.</t>
        </is>
      </c>
    </row>
    <row r="7" ht="92" customHeight="1" s="25">
      <c r="A7" s="24" t="inlineStr">
        <is>
          <t>2025::jama.2024.27643::C006</t>
        </is>
      </c>
      <c r="B7" s="24" t="inlineStr">
        <is>
          <t>Survival covariate-set descriptions</t>
        </is>
      </c>
      <c r="C7" s="24" t="inlineStr">
        <is>
          <t>Physical PDF pages; PLAN/REPORT roles are stated above and within the evidence. jama_berry_2025_oi_240158_1742927563.7361.pdf — PDF p. 3; joi240158supp3_prod_1742927563.7911.pdf — PDF p. 10; jama_berry_2025_oi_240158_1742927563.7361.pdf — PDF p. 7; joi240158supp3_prod_1742927563.7911.pdf — PDF p. 12; joi240158supp2_prod_1742927563.7711.pdf — PDF p. 121</t>
        </is>
      </c>
      <c r="D7" s="21" t="inlineStr">
        <is>
          <t>retain</t>
        </is>
      </c>
      <c r="E7" s="21" t="inlineStr">
        <is>
          <t>statistical_results</t>
        </is>
      </c>
      <c r="F7" s="21" t="inlineStr">
        <is>
          <t>primary_done</t>
        </is>
      </c>
      <c r="G7" s="24">
        <f>IFERROR(IF(LEN(TRIM(CLEAN(SUBSTITUTE(Setup!$B$2,CHAR(160)," "))))=0,"CHECK REVIEWER ID",IF(OR(A7="",COUNTIF($A$2:$A$17,A7)&lt;&gt;1,LEFT(A7,LEN("2025::jama.2024.27643::"))&lt;&gt;"2025::jama.2024.27643::"),"CHECK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possible</t>
        </is>
      </c>
      <c r="K7" s="21">
        <f>IF(AND(OR(D7="retain",D7=""),OR(E7="report_internal_inconsistency",E7="plan_material")),"","not_applicable")</f>
        <v/>
      </c>
      <c r="L7" s="22">
        <f>IF(AND(OR(D7="retain",D7=""),E7="protocol_report"),"","not_applicable")</f>
        <v/>
      </c>
      <c r="M7" s="24" t="n"/>
      <c r="N7" s="23" t="n"/>
      <c r="O7" s="23" t="n"/>
      <c r="P7" s="23" t="n"/>
      <c r="Q7" s="23" t="n"/>
      <c r="R7" s="22" t="inlineStr">
        <is>
          <t>Article p3 and eMethods p10: Cox covariates = prebaseline slope, months since onset, riluzole, edaravone, age (5). Table 2 footnote b p7: age, sex, time since onset, prebaseline slope, riluzole, edaravone (6, adds sex). eMethods p12 (time-to-event) again omits sex. The report contradicts itself on the model behind the printed HRs; HR values themselves are unambiguous.</t>
        </is>
      </c>
    </row>
    <row r="8" ht="92" customHeight="1" s="25">
      <c r="A8" s="20" t="inlineStr">
        <is>
          <t>2025::jama.2024.27643::C007</t>
        </is>
      </c>
      <c r="B8" s="20" t="inlineStr">
        <is>
          <t>Mortality component estimates</t>
        </is>
      </c>
      <c r="C8" s="20" t="inlineStr">
        <is>
          <t>Physical PDF pages; PLAN/REPORT roles are stated above and within the evidence. jama_berry_2025_oi_240158_1742927563.7361.pdf — PDF p. 4; joi240158supp3_prod_1742927563.7911.pdf — PDF p. 15</t>
        </is>
      </c>
      <c r="D8" s="21" t="inlineStr">
        <is>
          <t>retain</t>
        </is>
      </c>
      <c r="E8" s="21" t="inlineStr">
        <is>
          <t>statistical_results</t>
        </is>
      </c>
      <c r="F8" s="21" t="inlineStr">
        <is>
          <t>primary_done</t>
        </is>
      </c>
      <c r="G8" s="20">
        <f>IFERROR(IF(LEN(TRIM(CLEAN(SUBSTITUTE(Setup!$B$2,CHAR(160)," "))))=0,"CHECK REVIEWER ID",IF(OR(A8="",COUNTIF($A$2:$A$17,A8)&lt;&gt;1,LEFT(A8,LEN("2025::jama.2024.27643::"))&lt;&gt;"2025::jama.2024.27643::"),"CHECK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t="inlineStr">
        <is>
          <t>direct</t>
        </is>
      </c>
      <c r="K8" s="21">
        <f>IF(AND(OR(D8="retain",D8=""),OR(E8="report_internal_inconsistency",E8="plan_material")),"","not_applicable")</f>
        <v/>
      </c>
      <c r="L8" s="22">
        <f>IF(AND(OR(D8="retain",D8=""),E8="protocol_report"),"","not_applicable")</f>
        <v/>
      </c>
      <c r="M8" s="20" t="n"/>
      <c r="N8" s="23" t="n"/>
      <c r="O8" s="23" t="n"/>
      <c r="P8" s="23" t="n"/>
      <c r="Q8" s="23" t="n"/>
      <c r="R8" s="22" t="inlineStr">
        <is>
          <t>Article p4 (citing eTable 2): mortality event rate 0.007/month shared placebo and 0.006/month CNM-Au8. eTable 2 p15: 0.010 (95% CrI 0.0054-0.0154) and 0.009 (0.0052-0.0150) for the same model. Differences of 30-33% are not rounding. Also noted: the article's ALSFRS-R slope CrIs (-1.176 to -0.892; -1.153 to -0.858) differ from eTable 2 (-1.181 to -0.894; -1.143 to -0.847).</t>
        </is>
      </c>
    </row>
    <row r="9" ht="92" customHeight="1" s="25">
      <c r="A9" s="24" t="inlineStr">
        <is>
          <t>2025::jama.2024.27643::C008</t>
        </is>
      </c>
      <c r="B9" s="24" t="inlineStr">
        <is>
          <t>SVC change versus monthly rate</t>
        </is>
      </c>
      <c r="C9" s="24" t="inlineStr">
        <is>
          <t>Physical PDF pages; PLAN/REPORT roles are stated above and within the evidence. jama_berry_2025_oi_240158_1742927563.7361.pdf — PDF p. 4; joi240158supp3_prod_1742927563.7911.pdf — PDF p. 16; jama_berry_2025_oi_240158_1742927563.7361.pdf — PDF p. 3; joi240158supp3_prod_1742927563.7911.pdf — PDF p. 10; joi240158supp2_prod_1742927563.7711.pdf — PDF p. 119; joi240158supp2_prod_1742927563.7711.pdf — PDF p. 120; joi240158supp2_prod_1742927563.7711.pdf — PDF p. 121; joi240158supp2_prod_1742927563.7711.pdf — PDF p. 122; joi240158supp2_prod_1742927563.7711.pdf — PDF p. 123</t>
        </is>
      </c>
      <c r="D9" s="21" t="inlineStr">
        <is>
          <t>retain</t>
        </is>
      </c>
      <c r="E9" s="21" t="inlineStr">
        <is>
          <t>statistical_results</t>
        </is>
      </c>
      <c r="F9" s="21" t="inlineStr">
        <is>
          <t>primary_done</t>
        </is>
      </c>
      <c r="G9" s="24">
        <f>IFERROR(IF(LEN(TRIM(CLEAN(SUBSTITUTE(Setup!$B$2,CHAR(160)," "))))=0,"CHECK REVIEWER ID",IF(OR(A9="",COUNTIF($A$2:$A$17,A9)&lt;&gt;1,LEFT(A9,LEN("2025::jama.2024.27643::"))&lt;&gt;"2025::jama.2024.27643::"),"CHECK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t="inlineStr">
        <is>
          <t>direct</t>
        </is>
      </c>
      <c r="K9" s="21">
        <f>IF(AND(OR(D9="retain",D9=""),OR(E9="report_internal_inconsistency",E9="plan_material")),"","not_applicable")</f>
        <v/>
      </c>
      <c r="L9" s="22">
        <f>IF(AND(OR(D9="retain",D9=""),E9="protocol_report"),"","not_applicable")</f>
        <v/>
      </c>
      <c r="M9" s="24" t="n"/>
      <c r="N9" s="23" t="n"/>
      <c r="O9" s="23" t="n"/>
      <c r="P9" s="23" t="n"/>
      <c r="Q9" s="23" t="n"/>
      <c r="R9" s="22" t="inlineStr">
        <is>
          <t>E changed to statistical_results: the problem is the unit of a numeric estimate. Article p4 gives -9.32 vs -8.53 'PPN per month' and difference -0.78 PPN/month; eTable 3A p16 gives the same numbers as 24-week change estimates. -9.32/5.52 months = -1.69/month, close to the slope-model values -1.73 vs -1.55/month that the article gives for the NfL-adjusted sensitivity analysis. Mislabeling overstates the monthly rate about 5.5-fold.</t>
        </is>
      </c>
    </row>
    <row r="10" ht="92" customHeight="1" s="25">
      <c r="A10" s="20" t="inlineStr">
        <is>
          <t>2025::jama.2024.27643::C009</t>
        </is>
      </c>
      <c r="B10" s="20" t="inlineStr">
        <is>
          <t>Survival regimen-placebo exclusions and denominator</t>
        </is>
      </c>
      <c r="C10" s="20" t="inlineStr">
        <is>
          <t>Physical PDF pages; PLAN/REPORT roles are stated above and within the evidence. jama_berry_2025_oi_240158_1742927563.7361.pdf — PDF p. 4; jama_berry_2025_oi_240158_1742927563.7361.pdf — PDF p. 7</t>
        </is>
      </c>
      <c r="D10" s="21" t="inlineStr">
        <is>
          <t>retain</t>
        </is>
      </c>
      <c r="E10" s="21" t="inlineStr">
        <is>
          <t>statistical_results</t>
        </is>
      </c>
      <c r="F10" s="21" t="inlineStr">
        <is>
          <t>primary_done</t>
        </is>
      </c>
      <c r="G10" s="20">
        <f>IFERROR(IF(LEN(TRIM(CLEAN(SUBSTITUTE(Setup!$B$2,CHAR(160)," "))))=0,"CHECK REVIEWER ID",IF(OR(A10="",COUNTIF($A$2:$A$17,A10)&lt;&gt;1,LEFT(A10,LEN("2025::jama.2024.27643::"))&lt;&gt;"2025::jama.2024.27643::"),"CHECK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Article p4: 'Of those, 4 of the 41 participants in the regimen placebo group and 2 in the shared placebo group were excluded due to having no follow-up time (1 had PAV at baseline and 1 terminated early...)'. Table 2 p7 uses 4/41 for regimen placebo and 9/162 for shared placebo, and footnote a says only 2 shared placebo participants were excluded. The parenthetical explains 2 exclusions, so '4 of the 41' must mean events. Sentence is wrong as written; Table 2 makes the intended meaning recoverable.</t>
        </is>
      </c>
    </row>
    <row r="11" ht="92" customHeight="1" s="25">
      <c r="A11" s="24" t="inlineStr">
        <is>
          <t>2025::jama.2024.27643::C010</t>
        </is>
      </c>
      <c r="B11" s="24" t="inlineStr">
        <is>
          <t>Prespecified subgroup partitions</t>
        </is>
      </c>
      <c r="C11" s="24" t="inlineStr">
        <is>
          <t>Physical PDF pages; PLAN/REPORT roles are stated above and within the evidence. joi240158supp2_prod_1742927563.7711.pdf — PDF p. 89; joi240158supp2_prod_1742927563.7711.pdf — PDF p. 126; joi240158supp3_prod_1742927563.7911.pdf — PDF p. 13; joi240158supp3_prod_1742927563.7911.pdf — PDF p. 20; joi240158supp2_prod_1742927563.7711.pdf — PDF p. 88; joi240158supp3_prod_1742927563.7911.pdf — PDF p. 19; jama_berry_2025_oi_240158_1742927563.7361.pdf — PDF p. 8</t>
        </is>
      </c>
      <c r="D11" s="21" t="inlineStr">
        <is>
          <t>retain</t>
        </is>
      </c>
      <c r="E11" s="21" t="inlineStr">
        <is>
          <t>protocol_report</t>
        </is>
      </c>
      <c r="F11" s="21" t="inlineStr">
        <is>
          <t>primary_done</t>
        </is>
      </c>
      <c r="G11" s="24">
        <f>IFERROR(IF(LEN(TRIM(CLEAN(SUBSTITUTE(Setup!$B$2,CHAR(160)," "))))=0,"CHECK REVIEWER ID",IF(OR(A11="",COUNTIF($A$2:$A$17,A11)&lt;&gt;1,LEFT(A11,LEN("2025::jama.2024.27643::"))&lt;&gt;"2025::jama.2024.27643::"),"CHECK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indeterminate</t>
        </is>
      </c>
      <c r="M11" s="24" t="n"/>
      <c r="N11" s="23" t="n"/>
      <c r="O11" s="23" t="n"/>
      <c r="P11" s="23" t="n"/>
      <c r="Q11" s="23" t="n"/>
      <c r="R11" s="22" t="inlineStr">
        <is>
          <t>R-SAP v1.0 p88-89 and v3.0 p125-126: weight &lt;43, 43-&lt;56, 56-&lt;77, 77-&lt;150, &gt;=150 kg; delta-FRS three fixed groups (&lt;0.47, 0.47-&lt;1.11, &gt;=1.11). eTable 4 p18-20 and eMethods p13: weight &lt;56 / 56-&lt;77 / 77-&lt;150; dFRS median split. But M-SAP v3.0 p25 (to which the R-SAP subgroups are 'in addition') lists a dFRS median split, and M-SAP v2.0, which governs regimen C, is not supplied. Weight merge may reflect an empty &lt;43 kg group. L indeterminate.</t>
        </is>
      </c>
    </row>
    <row r="12" ht="92" customHeight="1" s="25">
      <c r="A12" s="20" t="inlineStr">
        <is>
          <t>2025::jama.2024.27643::C011</t>
        </is>
      </c>
      <c r="B12" s="20" t="inlineStr">
        <is>
          <t>Six-point functional-decline composite inside PLAN</t>
        </is>
      </c>
      <c r="C12" s="20" t="inlineStr">
        <is>
          <t>Physical PDF pages; PLAN/REPORT roles are stated above and within the evidence. joi240158supp1_prod_1742927563.7611.pdf — PDF p. 112; joi240158supp1_prod_1742927563.7611.pdf — PDF p. 184; joi240158supp2_prod_1742927563.7711.pdf — PDF p. 78; joi240158supp2_prod_1742927563.7711.pdf — PDF p. 111; joi240158supp2_prod_1742927563.7711.pdf — PDF p. 113; jama_berry_2025_oi_240158_1742927563.7361.pdf — PDF p. 3; joi240158supp2_prod_1742927563.7711.pdf — PDF p. 104</t>
        </is>
      </c>
      <c r="D12" s="21" t="inlineStr">
        <is>
          <t>retain</t>
        </is>
      </c>
      <c r="E12" s="21" t="inlineStr">
        <is>
          <t>plan_material</t>
        </is>
      </c>
      <c r="F12" s="21" t="inlineStr">
        <is>
          <t>primary_done</t>
        </is>
      </c>
      <c r="G12" s="20">
        <f>IFERROR(IF(LEN(TRIM(CLEAN(SUBSTITUTE(Setup!$B$2,CHAR(160)," "))))=0,"CHECK REVIEWER ID",IF(OR(A12="",COUNTIF($A$2:$A$17,A12)&lt;&gt;1,LEFT(A12,LEN("2025::jama.2024.27643::"))&lt;&gt;"2025::jama.2024.27643::"),"CHECK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substantive_inconsistency</t>
        </is>
      </c>
      <c r="L12" s="22">
        <f>IF(AND(OR(D12="retain",D12=""),E12="protocol_report"),"","not_applicable")</f>
        <v/>
      </c>
      <c r="M12" s="20" t="n"/>
      <c r="N12" s="23" t="n"/>
      <c r="O12" s="23" t="n"/>
      <c r="P12" s="23" t="n"/>
      <c r="Q12" s="23" t="n"/>
      <c r="R12" s="22" t="inlineStr">
        <is>
          <t>Protocol RSA C v3.0 p112 and v6.0 p184: exploratory 'difference in the proportion of patients experiencing a &gt;=6-point decline in ALSFRS-R ... from Baseline to Week 24'. R-SAP v1.0 p78 and v3.0 p111: time to first &gt;=6-point decline, a composite with death or death equivalent, censored at last ALSFRS-R assessment. A week-24 binary proportion and a time-to-first-event composite including death are different endpoints. The report (p3) follows the SAP (time to decline).</t>
        </is>
      </c>
    </row>
    <row r="13" ht="92" customHeight="1" s="25">
      <c r="A13" s="24" t="inlineStr">
        <is>
          <t>2025::jama.2024.27643::C012</t>
        </is>
      </c>
      <c r="B13" s="24" t="inlineStr">
        <is>
          <t>NfL interval versus P display pattern</t>
        </is>
      </c>
      <c r="C13" s="24" t="inlineStr">
        <is>
          <t>Physical PDF pages; PLAN/REPORT roles are stated above and within the evidence. joi240158supp3_prod_1742927563.7911.pdf — PDF p. 17; jama_berry_2025_oi_240158_1742927563.7361.pdf — PDF p. 4; jama_berry_2025_oi_240158_1742927563.7361.pdf — PDF p. 8</t>
        </is>
      </c>
      <c r="D13" s="21" t="inlineStr">
        <is>
          <t>retain</t>
        </is>
      </c>
      <c r="E13" s="21" t="inlineStr">
        <is>
          <t>statistical_results</t>
        </is>
      </c>
      <c r="F13" s="21" t="inlineStr">
        <is>
          <t>primary_done</t>
        </is>
      </c>
      <c r="G13" s="24">
        <f>IFERROR(IF(LEN(TRIM(CLEAN(SUBSTITUTE(Setup!$B$2,CHAR(160)," "))))=0,"CHECK REVIEWER ID",IF(OR(A13="",COUNTIF($A$2:$A$17,A13)&lt;&gt;1,LEFT(A13,LEN("2025::jama.2024.27643::"))&lt;&gt;"2025::jama.2024.27643::"),"CHECK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probable_issue</t>
        </is>
      </c>
      <c r="I13" s="21" t="inlineStr">
        <is>
          <t>minor_presentation</t>
        </is>
      </c>
      <c r="J13" s="22" t="inlineStr">
        <is>
          <t>possible</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3B p17: plasma pooled -9.5 (-18.0, 0) P=0.04 and 60 mg -10.5 (-20, 0) P=0.04 are consistent with rounding (CI-implied P 0.039/0.040; article gives -17.8 to -0.4, Figure 3 -17.8 to -0.5). Serum 60 mg -27.4 (-45.1, -0.7) P=0.05 is not: the estimate lies 4.5 units off the CI midpoint (-22.9), unlike the other rows (offset &lt;0.1), and the CI excludes 0 while P=.05. Probable typo in that row.</t>
        </is>
      </c>
    </row>
    <row r="14" ht="92" customHeight="1" s="25">
      <c r="A14" s="20" t="inlineStr">
        <is>
          <t>2025::jama.2024.27643::C013</t>
        </is>
      </c>
      <c r="B14" s="20" t="inlineStr">
        <is>
          <t>Serum NfL contrast scale</t>
        </is>
      </c>
      <c r="C14" s="20" t="inlineStr">
        <is>
          <t>Physical PDF pages; PLAN/REPORT roles are stated above and within the evidence. joi240158supp3_prod_1742927563.7911.pdf — PDF p. 17; jama_berry_2025_oi_240158_1742927563.7361.pdf — PDF p. 8</t>
        </is>
      </c>
      <c r="D14" s="21" t="inlineStr">
        <is>
          <t>retain</t>
        </is>
      </c>
      <c r="E14" s="21" t="inlineStr">
        <is>
          <t>statistical_results</t>
        </is>
      </c>
      <c r="F14" s="21" t="inlineStr">
        <is>
          <t>primary_done</t>
        </is>
      </c>
      <c r="G14" s="20">
        <f>IFERROR(IF(LEN(TRIM(CLEAN(SUBSTITUTE(Setup!$B$2,CHAR(160)," "))))=0,"CHECK REVIEWER ID",IF(OR(A14="",COUNTIF($A$2:$A$17,A14)&lt;&gt;1,LEFT(A14,LEN("2025::jama.2024.27643::"))&lt;&gt;"2025::jama.2024.27643::"),"CHECK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direct</t>
        </is>
      </c>
      <c r="K14" s="21">
        <f>IF(AND(OR(D14="retain",D14=""),OR(E14="report_internal_inconsistency",E14="plan_material")),"","not_applicable")</f>
        <v/>
      </c>
      <c r="L14" s="22">
        <f>IF(AND(OR(D14="retain",D14=""),E14="protocol_report"),"","not_applicable")</f>
        <v/>
      </c>
      <c r="M14" s="20" t="n"/>
      <c r="N14" s="23" t="n"/>
      <c r="O14" s="23" t="n"/>
      <c r="P14" s="23" t="n"/>
      <c r="Q14" s="23" t="n"/>
      <c r="R14" s="22" t="inlineStr">
        <is>
          <t>Article p8/Figure 3: serum NfL placebo +30.8%, CNM-Au8 +0.4%, difference -23.2% (95% CI -39.5 to -2.5), P=.03. eTable 3B p17: placebo 26.8, difference -26.4 (-50.3, -2.6), P=0.03, labeled % change/GMR. The eTable values are log-scale x100: exp(0.268)-1=30.7%, exp(-0.264)-1=-23.2%, exp(-0.503)-1=-39.5%, exp(-0.026)-1=-2.6%. Plasma rows are on the back-transformed scale. Serum rows are on the wrong scale for their label.</t>
        </is>
      </c>
    </row>
    <row r="15" ht="92" customHeight="1" s="25">
      <c r="A15" s="24" t="inlineStr">
        <is>
          <t>2025::jama.2024.27643::C014</t>
        </is>
      </c>
      <c r="B15" s="24" t="inlineStr">
        <is>
          <t>Estimated DRR direction in planned operating characteristics</t>
        </is>
      </c>
      <c r="C15" s="24" t="inlineStr">
        <is>
          <t>Physical PDF pages; PLAN/REPORT roles are stated above and within the evidence. joi240158supp2_prod_1742927563.7711.pdf — PDF p. 50; joi240158supp1_prod_1742927563.7611.pdf — PDF p. 65; joi240158supp1_prod_1742927563.7611.pdf — PDF p. 137; joi240158supp1_prod_1742927563.7611.pdf — PDF p. 212; joi240158supp2_prod_1742927563.7711.pdf — PDF p. 8; joi240158supp2_prod_1742927563.7711.pdf — PDF p. 63</t>
        </is>
      </c>
      <c r="D15" s="21" t="inlineStr">
        <is>
          <t>retain</t>
        </is>
      </c>
      <c r="E15" s="21" t="inlineStr">
        <is>
          <t>plan_material</t>
        </is>
      </c>
      <c r="F15" s="21" t="inlineStr">
        <is>
          <t>primary_done</t>
        </is>
      </c>
      <c r="G15" s="24">
        <f>IFERROR(IF(LEN(TRIM(CLEAN(SUBSTITUTE(Setup!$B$2,CHAR(160)," "))))=0,"CHECK REVIEWER ID",IF(OR(A15="",COUNTIF($A$2:$A$17,A15)&lt;&gt;1,LEFT(A15,LEN("2025::jama.2024.27643::"))&lt;&gt;"2025::jama.2024.27643::"),"CHECK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t="inlineStr">
        <is>
          <t>minor_presentation</t>
        </is>
      </c>
      <c r="L15" s="22">
        <f>IF(AND(OR(D15="retain",D15=""),E15="protocol_report"),"","not_applicable")</f>
        <v/>
      </c>
      <c r="M15" s="24" t="n"/>
      <c r="N15" s="23" t="n"/>
      <c r="O15" s="23" t="n"/>
      <c r="P15" s="23" t="n"/>
      <c r="Q15" s="23" t="n"/>
      <c r="R15" s="22" t="inlineStr">
        <is>
          <t>M-SAP v3.0 §6.2 p50: prose says 'the power and estimated DRR decrease as the rate of mortality increases', but Table 6.2.1 shows mean estimated DRR rising (0.71/0.72/0.75 for mortality HR 1.0; 0.72/0.75/0.81 for HR 1.3) while power falls. The next sentences give the correct values and say the functional treatment effect decreases, so the intended meaning is clear. Wording slip in design operating characteristics.</t>
        </is>
      </c>
    </row>
    <row r="16" ht="92" customHeight="1" s="25">
      <c r="A16" s="20" t="inlineStr">
        <is>
          <t>2025::jama.2024.27643::C015</t>
        </is>
      </c>
      <c r="B16" s="20" t="inlineStr">
        <is>
          <t>Signed CAFS P value in illustrative PLAN prose</t>
        </is>
      </c>
      <c r="C16" s="20" t="inlineStr">
        <is>
          <t>Physical PDF pages; PLAN/REPORT roles are stated above and within the evidence. joi240158supp2_prod_1742927563.7711.pdf — PDF p. 59; joi240158supp2_prod_1742927563.7711.pdf — PDF p. 58; joi240158supp2_prod_1742927563.7711.pdf — PDF p. 8; joi240158supp2_prod_1742927563.7711.pdf — PDF p. 63</t>
        </is>
      </c>
      <c r="D16" s="21" t="inlineStr">
        <is>
          <t>exclude</t>
        </is>
      </c>
      <c r="E16" s="21" t="inlineStr">
        <is>
          <t>plan_material</t>
        </is>
      </c>
      <c r="F16" s="21" t="inlineStr">
        <is>
          <t>primary_done</t>
        </is>
      </c>
      <c r="G16" s="20">
        <f>IFERROR(IF(LEN(TRIM(CLEAN(SUBSTITUTE(Setup!$B$2,CHAR(160)," "))))=0,"CHECK REVIEWER ID",IF(OR(A16="",COUNTIF($A$2:$A$17,A16)&lt;&gt;1,LEFT(A16,LEN("2025::jama.2024.27643::"))&lt;&gt;"2025::jama.2024.27643::"),"CHECK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inlineStr">
        <is>
          <t>M-SAP p59: 'CAFS p-value of -' at line end, '.3675)' on the next line, in an illustrative example trial (Example Trial 4); the adjacent figure prints 0.3675. A line-end dash in an illustration, not a design element of this trial; no conflict that matters for the plan.</t>
        </is>
      </c>
    </row>
    <row r="17" ht="92" customHeight="1" s="25">
      <c r="A17" s="24" t="inlineStr">
        <is>
          <t>2025::jama.2024.27643::C016</t>
        </is>
      </c>
      <c r="B17" s="24" t="inlineStr">
        <is>
          <t>Serum NfL below-quantitation substitution rule</t>
        </is>
      </c>
      <c r="C17" s="24" t="inlineStr">
        <is>
          <t>Physical PDF pages; PLAN/REPORT roles are stated above and within the evidence. joi240158supp2_prod_1742927563.7711.pdf — PDF p. 112; joi240158supp3_prod_1742927563.7911.pdf — PDF p. 11; joi240158supp3_prod_1742927563.7911.pdf — PDF p. 10; joi240158supp3_prod_1742927563.7911.pdf — PDF p. 12; jama_berry_2025_oi_240158_1742927563.7361.pdf — PDF p. 8; joi240158supp3_prod_1742927563.7911.pdf — PDF p. 17</t>
        </is>
      </c>
      <c r="D17" s="21" t="inlineStr">
        <is>
          <t>retain</t>
        </is>
      </c>
      <c r="E17" s="21" t="inlineStr">
        <is>
          <t>protocol_report</t>
        </is>
      </c>
      <c r="F17" s="21" t="inlineStr">
        <is>
          <t>primary_done</t>
        </is>
      </c>
      <c r="G17" s="24">
        <f>IFERROR(IF(LEN(TRIM(CLEAN(SUBSTITUTE(Setup!$B$2,CHAR(160)," "))))=0,"CHECK REVIEWER ID",IF(OR(A17="",COUNTIF($A$2:$A$17,A17)&lt;&gt;1,LEFT(A17,LEN("2025::jama.2024.27643::"))&lt;&gt;"2025::jama.2024.27643::"),"CHECK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t="inlineStr">
        <is>
          <t>substantive_difference</t>
        </is>
      </c>
      <c r="M17" s="24" t="n"/>
      <c r="N17" s="23" t="n"/>
      <c r="O17" s="23" t="n"/>
      <c r="P17" s="23" t="n"/>
      <c r="Q17" s="23" t="n"/>
      <c r="R17" s="22" t="inlineStr">
        <is>
          <t>R-SAP v3.0 §5.6 p112: serum/CSF NfL values below the limit of quantitation imputed at the LOQ. eMethods p11: serum values &lt;LOQ imputed using the assay LOD. Different substitution value for the same condition. Relevant because the serum NfL result was sensitive to a very low baseline value (article p8; eMethods p12).</t>
        </is>
      </c>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0" showErrorMessage="1" allowBlank="1" errorTitle="Use a listed option" error="Choose an option; G also checks pasted entries." type="list" errorStyle="stop">
      <formula1>"retain,exclude,discuss"</formula1>
    </dataValidation>
    <dataValidation sqref="E2:E1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7" showDropDown="0" showInputMessage="0" showErrorMessage="1" allowBlank="1" errorTitle="Use a listed option" error="Choose an option; G also checks pasted entries." type="list" errorStyle="stop">
      <formula1>"no,primary_done"</formula1>
    </dataValidation>
    <dataValidation sqref="H2:H1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7" showDropDown="0" showInputMessage="0" showErrorMessage="1" allowBlank="1" errorTitle="Use a listed option" error="Choose an option; G also checks pasted entries." type="list" errorStyle="stop">
      <formula1>"direct,possible,unlikely,unknown,not_applicable"</formula1>
    </dataValidation>
    <dataValidation sqref="K2:K1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3"/>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row r="3">
      <c r="A3" s="26" t="inlineStr">
        <is>
          <t>Placeholder: no workflow 1.6.2 output for this paper yet; nothing to review in v.2.4.1.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3"/>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row r="3">
      <c r="A3" s="26" t="inlineStr">
        <is>
          <t>Placeholder: no workflow 1.6.2 output for this paper yet; nothing to review in v.2.4.1.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2025::jama.2025.15440::C001</t>
        </is>
      </c>
      <c r="B2" s="20" t="inlineStr">
        <is>
          <t>Age-under-75 subgroup power does not reconcile with a reproducing same-table calculation</t>
        </is>
      </c>
      <c r="C2" s="20" t="inlineStr">
        <is>
          <t>joi250068supp1_prod_1760999665.28862.pdf — Protocol, PDF p. 22, Table 4, age &lt;75 row, rightmost “Power for total of 5000, 2p&lt;0.01” cell; all input and other-power comparison cells in the same Table 4. Contextual design support only: joi250068supp1_prod_1760999665.28862.pdf — protocol, PDF p. 20, Table 2, continuity-corrected sample-size heading, and joi250068supp1_prod_1760999665.28862.pdf — protocol, PDF p. 21, Table 3, whole-trial power design.</t>
        </is>
      </c>
      <c r="D2" s="21" t="inlineStr">
        <is>
          <t>retain</t>
        </is>
      </c>
      <c r="E2" s="21" t="inlineStr">
        <is>
          <t>plan_material</t>
        </is>
      </c>
      <c r="F2" s="21" t="inlineStr">
        <is>
          <t>primary_done</t>
        </is>
      </c>
      <c r="G2" s="20">
        <f>IFERROR(IF(LEN(TRIM(CLEAN(SUBSTITUTE(Setup!$B$2,CHAR(160)," "))))=0,"CHECK REVIEWER ID",IF(OR(A2="",COUNTIF($A$2:$A$2,A2)&lt;&gt;1,LEFT(A2,LEN("2025::jama.2025.15440::"))&lt;&gt;"2025::jama.2025.15440::"),"CHECK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t="inlineStr">
        <is>
          <t>Protocol v2.0 Table 4 p22 (OCR and rotated render; text layer garbled): age &lt;75 row (25%, active 2.96%, control 1.18%) prints 34% power at N=5000, 2p&lt;0.01. Inverting the continuity-corrected (Fleiss) sample-size formula gives 28.6%; the same method reproduces the row's other cells (41.8/20.5/52.1 vs 41/20/52) and the 12 sample sizes. The 5000/0.01 column runs 0.5-2 points high in other rows too (e.g., female 72.9 vs 75), so a small method difference may contribute, but the &lt;75 gap (5.4 points) is the largest. Design meaning unchanged (subgroup underpowered either way).</t>
        </is>
      </c>
    </row>
  </sheetData>
  <autoFilter ref="A1:R2"/>
  <conditionalFormatting sqref="H2">
    <cfRule type="expression" priority="8" dxfId="70">
      <formula>NOT(AND(OR($D2="retain",$D2=""),$E2="statistical_results"))</formula>
    </cfRule>
  </conditionalFormatting>
  <conditionalFormatting sqref="I2">
    <cfRule type="expression" priority="9" dxfId="70">
      <formula>NOT(AND(OR($D2="retain",$D2=""),$E2="statistical_results"))</formula>
    </cfRule>
  </conditionalFormatting>
  <conditionalFormatting sqref="J2">
    <cfRule type="expression" priority="10" dxfId="70">
      <formula>NOT(AND(OR($D2="retain",$D2=""),$E2="statistical_results"))</formula>
    </cfRule>
  </conditionalFormatting>
  <conditionalFormatting sqref="K2">
    <cfRule type="expression" priority="11" dxfId="70">
      <formula>NOT(AND(OR($D2="retain",$D2=""),OR($E2="report_internal_inconsistency",$E2="plan_material")))</formula>
    </cfRule>
  </conditionalFormatting>
  <conditionalFormatting sqref="L2">
    <cfRule type="expression" priority="12" dxfId="70">
      <formula>NOT(AND(OR($D2="retain",$D2=""),$E2="protocol_report"))</formula>
    </cfRule>
  </conditionalFormatting>
  <conditionalFormatting sqref="G2">
    <cfRule type="expression" priority="13" dxfId="71">
      <formula>G2&lt;&gt;"PRIMARY READY"</formula>
    </cfRule>
  </conditionalFormatting>
  <dataValidations count="8">
    <dataValidation sqref="D2" showDropDown="0" showInputMessage="0" showErrorMessage="1" allowBlank="1" errorTitle="Use a listed option" error="Choose an option; G also checks pasted entries." type="list" errorStyle="stop">
      <formula1>"retain,exclude,discuss"</formula1>
    </dataValidation>
    <dataValidation sqref="E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 showDropDown="0" showInputMessage="0" showErrorMessage="1" allowBlank="1" errorTitle="Use a listed option" error="Choose an option; G also checks pasted entries." type="list" errorStyle="stop">
      <formula1>"no,primary_done"</formula1>
    </dataValidation>
    <dataValidation sqref="H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 showDropDown="0" showInputMessage="0" showErrorMessage="1" allowBlank="1" errorTitle="Use a listed option" error="Choose an option; G also checks pasted entries." type="list" errorStyle="stop">
      <formula1>"substantive,minor_presentation,indeterminate,not_applicable"</formula1>
    </dataValidation>
    <dataValidation sqref="J2" showDropDown="0" showInputMessage="0" showErrorMessage="1" allowBlank="1" errorTitle="Use a listed option" error="Choose an option; G also checks pasted entries." type="list" errorStyle="stop">
      <formula1>"direct,possible,unlikely,unknown,not_applicable"</formula1>
    </dataValidation>
    <dataValidation sqref="K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2025::jama.2025.16450::C001</t>
        </is>
      </c>
      <c r="B2" s="20" t="inlineStr">
        <is>
          <t>Moderate-hyperglycemia qualification pathway differs across report and plan descriptions</t>
        </is>
      </c>
      <c r="C2" s="20" t="inlineStr">
        <is>
          <t>jama_ambalavanan_2025_oi_250072_1761000786.6838.pdf — Main PDF p. 1, abstract; jama_ambalavanan_2025_oi_250072_1761000786.6838.pdf — main PDF p. 3, Outcomes; jama_ambalavanan_2025_oi_250072_1761000786.6838.pdf — main PDF p. 6, Safety Outcomes; joi250072supp4_prod_1761000786.6988.pdf — results PDF p. 5, eTable 3 hyperglycemia; joi250072supp2_prod_1761000786.6938.pdf — manual PDF p. 39, moderate, severe and life-threatening hyperglycemia narrative; joi250072supp2_prod_1761000786.6938.pdf — manual PDF p. 59, Appendix A hyperglycemia row; joi250072supp3_prod_1761000786.6988.pdf — SAP PDF p. 11, §3.2.4.1.</t>
        </is>
      </c>
      <c r="D2" s="21" t="inlineStr">
        <is>
          <t>retain</t>
        </is>
      </c>
      <c r="E2" s="21" t="inlineStr">
        <is>
          <t>protocol_report</t>
        </is>
      </c>
      <c r="F2" s="21" t="inlineStr">
        <is>
          <t>primary_done</t>
        </is>
      </c>
      <c r="G2" s="20">
        <f>IFERROR(IF(LEN(TRIM(CLEAN(SUBSTITUTE(Setup!$B$2,CHAR(160)," "))))=0,"CHECK REVIEWER ID",IF(OR(A2="",COUNTIF($A$2:$A$7,A2)&lt;&gt;1,LEFT(A2,LEN("2025::jama.2025.16450::"))&lt;&gt;"2025::jama.2025.16450::"),"CHECK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Moderate hyperglycemia: article p3 and Manual ch.7 p39 = 120-180 mg/dL on 2 consecutive determinations &gt;=6 h apart OR &gt;2 determinations within 24 h with no intervening normal value. SAP §3.2.4.1 p11 = 120-180 on two determinations &gt;=6 h apart (no second pathway); Manual Appendix A toxicity table p59 = 2 consecutive determinations &gt;=6 h apart (no second pathway). Article p3 also defines severe as simply &gt;180 mg/dL, whereas SAP/manual require 2 determinations or insulin. Definition behind the main safety finding (66.7% vs 49.8%, RR 1.33) differs from the SAP.</t>
        </is>
      </c>
    </row>
    <row r="3" ht="92" customHeight="1" s="25">
      <c r="A3" s="24" t="inlineStr">
        <is>
          <t>2025::jama.2025.16450::C002</t>
        </is>
      </c>
      <c r="B3" s="24" t="inlineStr">
        <is>
          <t>Reported BPD-severity contrasts differ from the planned ordinal model</t>
        </is>
      </c>
      <c r="C3" s="24" t="inlineStr">
        <is>
          <t>jama_ambalavanan_2025_oi_250072_1761000786.6838.pdf — Main PDF p. 3, secondary/exploratory BPD outcomes; jama_ambalavanan_2025_oi_250072_1761000786.6838.pdf — main PDF p. 8, Table 3 severity rows and footnote a; joi250072supp1_prod_1761000786.68881.pdf — protocol PDF p. 21, ordered severity outcomes; joi250072supp1_prod_1761000786.68881.pdf — protocol PDF p. 25, §5.1; joi250072supp3_prod_1761000786.6988.pdf — SAP PDF p. 32, pragmatic ordinal outcome; joi250072supp3_prod_1761000786.6988.pdf — SAP PDF p. 33, pragmatic coding; joi250072supp3_prod_1761000786.6988.pdf — SAP PDF p. 34, NIH ordinal outcome; joi250072supp3_prod_1761000786.6988.pdf — SAP PDF p. 35, NIH coding; joi250072supp3_prod_1761000786.6988.pdf — SAP PDF p. 39, §9.5.</t>
        </is>
      </c>
      <c r="D3" s="21" t="inlineStr">
        <is>
          <t>retain</t>
        </is>
      </c>
      <c r="E3" s="21" t="inlineStr">
        <is>
          <t>protocol_report</t>
        </is>
      </c>
      <c r="F3" s="21" t="inlineStr">
        <is>
          <t>primary_done</t>
        </is>
      </c>
      <c r="G3" s="24">
        <f>IFERROR(IF(LEN(TRIM(CLEAN(SUBSTITUTE(Setup!$B$2,CHAR(160)," "))))=0,"CHECK REVIEWER ID",IF(OR(A3="",COUNTIF($A$2:$A$7,A3)&lt;&gt;1,LEFT(A3,LEN("2025::jama.2025.16450::"))&lt;&gt;"2025::jama.2025.16450::"),"CHECK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§5.1 p25 and SAP §9.5 p39: ordinal outcomes (BPD severity explicitly) by proportional odds models, with partial proportional odds or Mantel-Haenszel mean score test if PO fails; generalized logit reserved for nominal outcomes. Article Table 3 p8 footnote a: BPD severity (pragmatic and NIH) analyzed by generalized logit, category-vs-no-BPD ORs. No statement that PO assumption failed. Not disclosed as a change.</t>
        </is>
      </c>
    </row>
    <row r="4" ht="92" customHeight="1" s="25">
      <c r="A4" s="20" t="inlineStr">
        <is>
          <t>2025::jama.2025.16450::C003</t>
        </is>
      </c>
      <c r="B4" s="20" t="inlineStr">
        <is>
          <t>Prespecified primary-analysis outputs are absent or displayed with different definitions</t>
        </is>
      </c>
      <c r="C4" s="20" t="inlineStr">
        <is>
          <t>joi250072supp1_prod_1761000786.68881.pdf — Protocol PDF p. 25, §5.1 treatment-received analyses; joi250072supp3_prod_1761000786.6988.pdf — SAP PDF p. 22, §5 population definitions; joi250072supp3_prod_1761000786.6988.pdf — SAP PDF p. 29, §7.7 interactions; joi250072supp3_prod_1761000786.6988.pdf — SAP PDF p. 36, §9.3 response coding; joi250072supp3_prod_1761000786.6988.pdf — SAP PDF p. 37, coding and sample model; joi250072supp3_prod_1761000786.6988.pdf — SAP PDF p. 38, §§9.4.1–9.4.2; jama_ambalavanan_2025_oi_250072_1761000786.6838.pdf — main PDF p. 3, statistical analysis; jama_ambalavanan_2025_oi_250072_1761000786.6838.pdf — main PDF p. 4, Figure 1 and footnotes f/j; jama_ambalavanan_2025_oi_250072_1761000786.6838.pdf — main PDF p. 7, Table 2 and sensitivity/subgroup text; jama_ambalavanan_2025_oi_250072_1761000786.6838.pdf — main PDF p. 9, Figure 2, caption and footnote a; joi250072supp4_prod_1761000786.6988.pdf — results PDF p. 2, eTable 1. The absence comparison covers all main PDF pages 1–11 and all results PDF pages 1–16, including all eight supplementary tables, rather than only these displayed anchors.</t>
        </is>
      </c>
      <c r="D4" s="21" t="inlineStr">
        <is>
          <t>retain</t>
        </is>
      </c>
      <c r="E4" s="21" t="inlineStr">
        <is>
          <t>protocol_report</t>
        </is>
      </c>
      <c r="F4" s="21" t="inlineStr">
        <is>
          <t>primary_done</t>
        </is>
      </c>
      <c r="G4" s="20">
        <f>IFERROR(IF(LEN(TRIM(CLEAN(SUBSTITUTE(Setup!$B$2,CHAR(160)," "))))=0,"CHECK REVIEWER ID",IF(OR(A4="",COUNTIF($A$2:$A$7,A4)&lt;&gt;1,LEFT(A4,LEN("2025::jama.2025.16450::"))&lt;&gt;"2025::jama.2025.16450::"),"CHECK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§9.4.1 p38: primary analysis replicated in mITT, PP and SAF (as-treated); §9.4.2: model adding baseline BPD predictors (birth weight, sex, race/ethnicity) and imbalanced covariates; §7.7 p29: interactions of treatment with site/center, randomization GA stratum, race, sex in the primary robust Poisson model; protocol §5.1 p25: prespecified analyses by treatment received. Article Table 2 p7 reports ITT, ITT-excluding-untreated and PP only, all by randomized arm; no SAF or covariate-adjusted model; Figure 2 p9 models survival without BPD (favorable outcome) using actual GA, no site interaction.</t>
        </is>
      </c>
    </row>
    <row r="5" ht="92" customHeight="1" s="25">
      <c r="A5" s="24" t="inlineStr">
        <is>
          <t>2025::jama.2025.16450::C004</t>
        </is>
      </c>
      <c r="B5" s="24" t="inlineStr">
        <is>
          <t>Historical Grade 3 BPD count and percentage do not reconcile in one protocol cell</t>
        </is>
      </c>
      <c r="C5" s="24" t="inlineStr">
        <is>
          <t>joi250072supp1_prod_1761000786.68881.pdf — Protocol PDF p. 12, Table 2, NICHD BPD Workshop Grading 2018: Grade 3 surfactant cell, combination comparator, Grade 3-or-death, Death, No BPD, Grade 1 and Grade 2.</t>
        </is>
      </c>
      <c r="D5" s="21" t="inlineStr">
        <is>
          <t>exclude</t>
        </is>
      </c>
      <c r="E5" s="21" t="inlineStr">
        <is>
          <t>plan_material</t>
        </is>
      </c>
      <c r="F5" s="21" t="inlineStr">
        <is>
          <t>primary_done</t>
        </is>
      </c>
      <c r="G5" s="24">
        <f>IFERROR(IF(LEN(TRIM(CLEAN(SUBSTITUTE(Setup!$B$2,CHAR(160)," "))))=0,"CHECK REVIEWER ID",IF(OR(A5="",COUNTIF($A$2:$A$7,A5)&lt;&gt;1,LEFT(A5,LEN("2025::jama.2025.16450::"))&lt;&gt;"2025::jama.2025.16450::"),"CHECK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inlineStr">
        <is>
          <t>Protocol Table 2 p12 (historical cohort data in the background): surfactant Grade 3 printed '20% (31/294)'; 31/294 = 10.5%. Grade 3 or death 91/294 minus deaths 31 = 60, and 60/294 = 20.4%, and 85+41+77+60+31 = 294, so the numerator is a typo for 60. Real slip, but it is in historical background data, not a design element of this trial (sample size uses NRN GDB rates, p25-26), so excluded.</t>
        </is>
      </c>
    </row>
    <row r="6" ht="92" customHeight="1" s="25">
      <c r="A6" s="20" t="inlineStr">
        <is>
          <t>2025::jama.2025.16450::C005</t>
        </is>
      </c>
      <c r="B6" s="20" t="inlineStr">
        <is>
          <t>One nasal-cannula factor cell differs from the reproducible table relationship</t>
        </is>
      </c>
      <c r="C6" s="20" t="inlineStr">
        <is>
          <t>joi250072supp2_prod_1761000786.6938.pdf — Manual PDF p. 152, Appendix J Table 1: 0.125 LPM/1⁄8 LPM by 2.5 kg cell, all other 143 factor cells and nearest-input instructions; joi250072supp2_prod_1761000786.6938.pdf — manual PDF p. 154, Table 2: factor 4 and factor 5 at 100% oxygen.</t>
        </is>
      </c>
      <c r="D6" s="21" t="inlineStr">
        <is>
          <t>retain</t>
        </is>
      </c>
      <c r="E6" s="21" t="inlineStr">
        <is>
          <t>plan_material</t>
        </is>
      </c>
      <c r="F6" s="21" t="inlineStr">
        <is>
          <t>primary_done</t>
        </is>
      </c>
      <c r="G6" s="20">
        <f>IFERROR(IF(LEN(TRIM(CLEAN(SUBSTITUTE(Setup!$B$2,CHAR(160)," "))))=0,"CHECK REVIEWER ID",IF(OR(A6="",COUNTIF($A$2:$A$7,A6)&lt;&gt;1,LEFT(A6,LEN("2025::jama.2025.16450::"))&lt;&gt;"2025::jama.2025.16450::"),"CHECK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GDB Manual Appendix J Table 1 p152 (rendered and checked): factor = min(100, 100 x flow/weight) reproduces the table except in the 0.125 LPM row: 2.5 kg printed 4 (computed 5.0) and 4 kg printed 4 (computed 3.1); 1.0 kg prints 12 for 12.5. Table 2 p154 gives effective FiO2 24% vs 25% at 100% O2 for factor 4 vs 5. Real slip in the conversion table used to define physiologic BPD, but both affected values sit far below the 27-30% thresholds, so classification is unaffected.</t>
        </is>
      </c>
    </row>
    <row r="7" ht="92" customHeight="1" s="25">
      <c r="A7" s="24" t="inlineStr">
        <is>
          <t>2025::jama.2025.16450::C006</t>
        </is>
      </c>
      <c r="B7" s="24" t="inlineStr">
        <is>
          <t>Sparse intervals described as exact reproduce a log-Wald pattern</t>
        </is>
      </c>
      <c r="C7" s="24" t="inlineStr">
        <is>
          <t>joi250072supp4_prod_1761000786.6988.pdf — Results PDF p. 5, eTable 3: AE endotracheal tube blockage, AE prolonged hypoxemia/bradycardia, SAE endotracheal tube blockage, SAE prolonged hypoxemia/bradycardia; joi250072supp4_prod_1761000786.6988.pdf — results PDF p. 6, eTable 3: SAE hyperglycemia, early-onset sepsis, late-onset sepsis and footnote b; joi250072supp4_prod_1761000786.6988.pdf — results PDF p. 7, eTable 4: PDA managed with surgery/cardiac catheterization; joi250072supp4_prod_1761000786.6988.pdf — results PDF p. 8, eTable 4 footnote b and nonmissing-denominator definition.</t>
        </is>
      </c>
      <c r="D7" s="21" t="inlineStr">
        <is>
          <t>retain</t>
        </is>
      </c>
      <c r="E7" s="21" t="inlineStr">
        <is>
          <t>statistical_results</t>
        </is>
      </c>
      <c r="F7" s="21" t="inlineStr">
        <is>
          <t>primary_done</t>
        </is>
      </c>
      <c r="G7" s="24">
        <f>IFERROR(IF(LEN(TRIM(CLEAN(SUBSTITUTE(Setup!$B$2,CHAR(160)," "))))=0,"CHECK REVIEWER ID",IF(OR(A7="",COUNTIF($A$2:$A$7,A7)&lt;&gt;1,LEFT(A7,LEN("2025::jama.2025.16450::"))&lt;&gt;"2025::jama.2025.16450::"),"CHECK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possible</t>
        </is>
      </c>
      <c r="K7" s="21">
        <f>IF(AND(OR(D7="retain",D7=""),OR(E7="report_internal_inconsistency",E7="plan_material")),"","not_applicable")</f>
        <v/>
      </c>
      <c r="L7" s="22">
        <f>IF(AND(OR(D7="retain",D7=""),E7="protocol_report"),"","not_applicable")</f>
        <v/>
      </c>
      <c r="M7" s="24" t="n"/>
      <c r="N7" s="23" t="n"/>
      <c r="O7" s="23" t="n"/>
      <c r="P7" s="23" t="n"/>
      <c r="Q7" s="23" t="n"/>
      <c r="R7" s="22" t="inlineStr">
        <is>
          <t>eTable 3 p5-6 and eTable 4 p7-8 footnote b: crude ORs 'with exact 95% CIs'. All 8 marked rows reproduce log-Wald intervals, not exact (Fisher conditional) ones: e.g., PDA surgery 5/319 vs 3/308: printed 1.62 (0.38-6.83); Wald 0.384-6.833; exact 0.312-10.51. SAE ETT 1 vs 1: printed 0.06-15.66; Wald 0.061-15.61; exact 0.012-76.5. Method label wrong; intervals narrower than exact. All include 1, so no inference changes.</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2025::jama.2025.19563::C001</t>
        </is>
      </c>
      <c r="B2" s="20" t="inlineStr">
        <is>
          <t>Added diabetes-range HbA1c primary-composite disqualifier</t>
        </is>
      </c>
      <c r="C2" s="20" t="inlineStr">
        <is>
          <t>joi250084supp1_prod_1765403089.61351.pdf — DOC-002 p6 synopsis; joi250084supp1_prod_1765403089.61351.pdf — p15 §3.2; joi250084supp1_prod_1765403089.61351.pdf — p86 incident-diabetes SAP-change row; jama_mathioudakis_2025_oi_250084_1765403089.60451.pdf — main p3 Outcomes; jama_mathioudakis_2025_oi_250084_1765403089.60451.pdf — p4 Primary Analysis; joi250084supp2_prod_1765403089.61751.pdf — DOC-003 p29 eTable13 method begins; joi250084supp2_prod_1765403089.61751.pdf — p30 method continuation; joi250084supp2_prod_1765403089.61751.pdf — p56 eTable13</t>
        </is>
      </c>
      <c r="D2" s="21" t="inlineStr">
        <is>
          <t>retain</t>
        </is>
      </c>
      <c r="E2" s="21" t="inlineStr">
        <is>
          <t>protocol_report</t>
        </is>
      </c>
      <c r="F2" s="21" t="inlineStr">
        <is>
          <t>primary_done</t>
        </is>
      </c>
      <c r="G2" s="20">
        <f>IFERROR(IF(LEN(TRIM(CLEAN(SUBSTITUTE(Setup!$B$2,CHAR(160)," "))))=0,"CHECK REVIEWER ID",IF(OR(A2="",COUNTIF($A$2:$A$14,A2)&lt;&gt;1,LEFT(A2,LEN("2025::jama.2025.19563::"))&lt;&gt;"2025::jama.2025.19563::"),"CHECK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synopsis p6 and §3.2 p15: primary endpoint = any of &gt;=5% weight loss, &gt;=4% weight loss + &gt;=150 min/wk PA, or &gt;=0.2% HbA1c reduction. Article p1/p3/p4: composite additionally requires maintaining HbA1c &lt;6.5% throughout. Disclosed in the 'Summary of Changes to SAP' (supp1 p86: incident diabetes 'was not prespecified' as failure) and eTable 13 (15 participants with diabetes-range HbA1c). The article presents it as the primary outcome without labeling the added condition as post hoc.</t>
        </is>
      </c>
    </row>
    <row r="3" ht="92" customHeight="1" s="25">
      <c r="A3" s="24" t="inlineStr">
        <is>
          <t>2025::jama.2025.19563::C002</t>
        </is>
      </c>
      <c r="B3" s="24" t="inlineStr">
        <is>
          <t>Primary PA window and endpoint-specific mapping</t>
        </is>
      </c>
      <c r="C3" s="24" t="inlineStr">
        <is>
          <t>joi250084supp1_prod_1765403089.61351.pdf — DOC-002 p6 synopsis; joi250084supp1_prod_1765403089.61351.pdf — p15 §3.2; joi250084supp1_prod_1765403089.61351.pdf — p80 version 1.4 amendment begins; joi250084supp1_prod_1765403089.61351.pdf — p81 continuation; jama_mathioudakis_2025_oi_250084_1765403089.60451.pdf — main p3 primary branch; jama_mathioudakis_2025_oi_250084_1765403089.60451.pdf — p7 Figure2; joi250084supp2_prod_1765403089.61751.pdf — DOC-003 p13 Aggregation; joi250084supp2_prod_1765403089.61751.pdf — p49 postbaseline assessments</t>
        </is>
      </c>
      <c r="D3" s="21" t="inlineStr">
        <is>
          <t>retain</t>
        </is>
      </c>
      <c r="E3" s="21" t="inlineStr">
        <is>
          <t>protocol_report</t>
        </is>
      </c>
      <c r="F3" s="21" t="inlineStr">
        <is>
          <t>primary_done</t>
        </is>
      </c>
      <c r="G3" s="24">
        <f>IFERROR(IF(LEN(TRIM(CLEAN(SUBSTITUTE(Setup!$B$2,CHAR(160)," "))))=0,"CHECK REVIEWER ID",IF(OR(A3="",COUNTIF($A$2:$A$14,A3)&lt;&gt;1,LEFT(A3,LEN("2025::jama.2025.19563::"))&lt;&gt;"2025::jama.2025.19563::"),"CHECK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p6 and §3.2 p15 (post-amendment 1.4 text): PA branch = average &gt;=150 min/wk over months 6-11 from monthly actigraphy. Supp2 p13: weekly MVPA summed over all valid periods and divided by available periods 'maximum of 11 post-baseline visits', i.e., averaged 'throughout the 12-month follow-up period'. Article p3/Figure 3 do not state a 6-11 window. Not listed in the SAP-change table (p86-87).</t>
        </is>
      </c>
    </row>
    <row r="4" ht="92" customHeight="1" s="25">
      <c r="A4" s="20" t="inlineStr">
        <is>
          <t>2025::jama.2025.19563::C003</t>
        </is>
      </c>
      <c r="B4" s="20" t="inlineStr">
        <is>
          <t>Primary HbA1c branch restricted to baseline subset</t>
        </is>
      </c>
      <c r="C4" s="20" t="inlineStr">
        <is>
          <t>joi250084supp1_prod_1765403089.61351.pdf — DOC-002 p15 original §3.2; joi250084supp1_prod_1765403089.61351.pdf — p80 version 1.4 modification begins; joi250084supp1_prod_1765403089.61351.pdf — p81 subset and eligibility continuation; jama_mathioudakis_2025_oi_250084_1765403089.60451.pdf — main p3 Outcomes; jama_mathioudakis_2025_oi_250084_1765403089.60451.pdf — p7 Figure2 row/footnote</t>
        </is>
      </c>
      <c r="D4" s="21" t="inlineStr">
        <is>
          <t>exclude</t>
        </is>
      </c>
      <c r="E4" s="21" t="inlineStr">
        <is>
          <t>protocol_report</t>
        </is>
      </c>
      <c r="F4" s="21" t="inlineStr">
        <is>
          <t>primary_done</t>
        </is>
      </c>
      <c r="G4" s="20">
        <f>IFERROR(IF(LEN(TRIM(CLEAN(SUBSTITUTE(Setup!$B$2,CHAR(160)," "))))=0,"CHECK REVIEWER ID",IF(OR(A4="",COUNTIF($A$2:$A$14,A4)&lt;&gt;1,LEFT(A4,LEN("2025::jama.2025.19563::"))&lt;&gt;"2025::jama.2025.19563::"),"CHECK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inlineStr">
        <is>
          <t>The original §3.2 HbA1c branch had no baseline restriction, but protocol amendment v1.4 (28 Mar 2022, supp1 pp80-81) limited the HbA1c-change measure to baseline HbA1c 5.7-6.4% (and changed stratification). Article p3 and Figure 2 footnote c (n=130/130) implement exactly this amended definition. Report agrees with the operative amended plan; the dated sequence is documented, so no plan-report difference remains.</t>
        </is>
      </c>
    </row>
    <row r="5" ht="92" customHeight="1" s="25">
      <c r="A5" s="24" t="inlineStr">
        <is>
          <t>2025::jama.2025.19563::C004</t>
        </is>
      </c>
      <c r="B5" s="24" t="inlineStr">
        <is>
          <t>Primary exclusions replaced by all-randomized failure assignment</t>
        </is>
      </c>
      <c r="C5" s="24" t="inlineStr">
        <is>
          <t>joi250084supp1_prod_1765403089.61351.pdf — DOC-002 p37 §9.3; joi250084supp1_prod_1765403089.61351.pdf — p86 first SAP-change row; jama_mathioudakis_2025_oi_250084_1765403089.60451.pdf — main p4 primary methods/results; jama_mathioudakis_2025_oi_250084_1765403089.60451.pdf — p5 Figure1; joi250084supp2_prod_1765403089.61751.pdf — DOC-003 p27 primary cohort; joi250084supp2_prod_1765403089.61751.pdf — p50 eTable8c</t>
        </is>
      </c>
      <c r="D5" s="21" t="inlineStr">
        <is>
          <t>retain</t>
        </is>
      </c>
      <c r="E5" s="21" t="inlineStr">
        <is>
          <t>protocol_report</t>
        </is>
      </c>
      <c r="F5" s="21" t="inlineStr">
        <is>
          <t>primary_done</t>
        </is>
      </c>
      <c r="G5" s="24">
        <f>IFERROR(IF(LEN(TRIM(CLEAN(SUBSTITUTE(Setup!$B$2,CHAR(160)," "))))=0,"CHECK REVIEWER ID",IF(OR(A5="",COUNTIF($A$2:$A$14,A5)&lt;&gt;1,LEFT(A5,LEN("2025::jama.2025.19563::"))&lt;&gt;"2025::jama.2025.19563::"),"CHECK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§9.3 p37: effectiveness analyses exclude participants who withdraw or withdraw consent. Report p4: all 368 randomized analyzed, missing 12-month visit (26 AI, 29 human) classified as failure. Disclosed in supp1 p86 SAP-change table ('Primary analysis on population excluding those who withdrew or lacked 12-month data' changed to all randomized with failures). Disclosed.</t>
        </is>
      </c>
    </row>
    <row r="6" ht="92" customHeight="1" s="25">
      <c r="A6" s="20" t="inlineStr">
        <is>
          <t>2025::jama.2025.19563::C005</t>
        </is>
      </c>
      <c r="B6" s="20" t="inlineStr">
        <is>
          <t>Clustered logistic primary model replaced by binomial RD regression</t>
        </is>
      </c>
      <c r="C6" s="20" t="inlineStr">
        <is>
          <t>joi250084supp1_prod_1765403089.61351.pdf — DOC-002 p37 §9.4.1; joi250084supp1_prod_1765403089.61351.pdf — p38 §9.4.7; joi250084supp1_prod_1765403089.61351.pdf — p86 model change; jama_mathioudakis_2025_oi_250084_1765403089.60451.pdf — main p4 primary model and sensitivity 5; joi250084supp2_prod_1765403089.61751.pdf — DOC-003 p31 cluster methods; joi250084supp2_prod_1765403089.61751.pdf — p62 eTables19a–b</t>
        </is>
      </c>
      <c r="D6" s="21" t="inlineStr">
        <is>
          <t>retain</t>
        </is>
      </c>
      <c r="E6" s="21" t="inlineStr">
        <is>
          <t>protocol_report</t>
        </is>
      </c>
      <c r="F6" s="21" t="inlineStr">
        <is>
          <t>primary_done</t>
        </is>
      </c>
      <c r="G6" s="20">
        <f>IFERROR(IF(LEN(TRIM(CLEAN(SUBSTITUTE(Setup!$B$2,CHAR(160)," "))))=0,"CHECK REVIEWER ID",IF(OR(A6="",COUNTIF($A$2:$A$14,A6)&lt;&gt;1,LEFT(A6,LEN("2025::jama.2025.19563::"))&lt;&gt;"2025::jama.2025.19563::"),"CHECK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§9.4.1/§9.4.7-8 pp37-38: mixed-effects logistic regression for binary primary and secondary outcomes (site effects). Report p4: unadjusted binomial regression for the risk difference; clustering only in post hoc cluster-robust sensitivity analyses (eTable 19a-b). Disclosed in supp1 p86 change table.</t>
        </is>
      </c>
    </row>
    <row r="7" ht="92" customHeight="1" s="25">
      <c r="A7" s="24" t="inlineStr">
        <is>
          <t>2025::jama.2025.19563::C006</t>
        </is>
      </c>
      <c r="B7" s="24" t="inlineStr">
        <is>
          <t>Primary PA missing-data procedure and linked sensitivity replaced</t>
        </is>
      </c>
      <c r="C7" s="24" t="inlineStr">
        <is>
          <t>joi250084supp1_prod_1765403089.61351.pdf — DOC-002 p38 §9.4.2; joi250084supp1_prod_1765403089.61351.pdf — p39 §9.4.8 continuation; joi250084supp1_prod_1765403089.61351.pdf — p86 missing-PA change; jama_mathioudakis_2025_oi_250084_1765403089.60451.pdf — main p4 sensitivities; joi250084supp2_prod_1765403089.61751.pdf — DOC-003 p13 PA processing; joi250084supp2_prod_1765403089.61751.pdf — p30 eTables16–18 descriptions; joi250084supp2_prod_1765403089.61751.pdf — p49 eTable8b; joi250084supp2_prod_1765403089.61751.pdf — p59 MI sensitivity; joi250084supp2_prod_1765403089.61751.pdf — p60 MNAR sensitivity; joi250084supp2_prod_1765403089.61751.pdf — p61 two PA sensitivities</t>
        </is>
      </c>
      <c r="D7" s="21" t="inlineStr">
        <is>
          <t>retain</t>
        </is>
      </c>
      <c r="E7" s="21" t="inlineStr">
        <is>
          <t>protocol_report</t>
        </is>
      </c>
      <c r="F7" s="21" t="inlineStr">
        <is>
          <t>primary_done</t>
        </is>
      </c>
      <c r="G7" s="24">
        <f>IFERROR(IF(LEN(TRIM(CLEAN(SUBSTITUTE(Setup!$B$2,CHAR(160)," "))))=0,"CHECK REVIEWER ID",IF(OR(A7="",COUNTIF($A$2:$A$14,A7)&lt;&gt;1,LEFT(A7,LEN("2025::jama.2025.19563::"))&lt;&gt;"2025::jama.2025.19563::"),"CHECK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§9.4.2 p38 and §9.4.8 p39: if &gt;5% of PA data missing, primary analysis uses multiple imputation, with a complete-case sensitivity analysis (100% PA data). Report: missing actigraphy weeks assigned 0 min (supp2 p13, eTable 8b p49, missingness 9.3%-35.1% by month); sensitivity analyses are best-case/all-attain PA (eTable 18a-b) and MI of missing 12-month outcomes (eTable 16), not the planned ones. Disclosed in supp1 p86.</t>
        </is>
      </c>
    </row>
    <row r="8" ht="92" customHeight="1" s="25">
      <c r="A8" s="20" t="inlineStr">
        <is>
          <t>2025::jama.2025.19563::C007</t>
        </is>
      </c>
      <c r="B8" s="20" t="inlineStr">
        <is>
          <t>Program-completer analysis replaced by complete-data/no-medication cohort</t>
        </is>
      </c>
      <c r="C8" s="20" t="inlineStr">
        <is>
          <t>joi250084supp1_prod_1765403089.61351.pdf — DOC-002 p16 §3.3 completion criteria; joi250084supp1_prod_1765403089.61351.pdf — p37 §9.3; joi250084supp1_prod_1765403089.61351.pdf — p86 PP change starts; joi250084supp1_prod_1765403089.61351.pdf — p87 continuation; jama_mathioudakis_2025_oi_250084_1765403089.60451.pdf — main p4 restricted analysis; jama_mathioudakis_2025_oi_250084_1765403089.60451.pdf — p9 Figure4; joi250084supp2_prod_1765403089.61751.pdf — DOC-003 p27 cohort definition; joi250084supp2_prod_1765403089.61751.pdf — p58 eTable15</t>
        </is>
      </c>
      <c r="D8" s="21" t="inlineStr">
        <is>
          <t>retain</t>
        </is>
      </c>
      <c r="E8" s="21" t="inlineStr">
        <is>
          <t>protocol_report</t>
        </is>
      </c>
      <c r="F8" s="21" t="inlineStr">
        <is>
          <t>primary_done</t>
        </is>
      </c>
      <c r="G8" s="20">
        <f>IFERROR(IF(LEN(TRIM(CLEAN(SUBSTITUTE(Setup!$B$2,CHAR(160)," "))))=0,"CHECK REVIEWER ID",IF(OR(A8="",COUNTIF($A$2:$A$14,A8)&lt;&gt;1,LEFT(A8,LEN("2025::jama.2025.19563::"))&lt;&gt;"2025::jama.2025.19563::"),"CHECK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§3.3 p16 and §9.3 p37: per-protocol analysis among program completers (CDC engagement definition). Report p4, Figure 1, eTable 15: 'restricted analysis' in participants with 12-month data who did not start prohibited medications (151 + 149 = 300). Program completers (117 + 93 = 210) are a different set. Disclosed in supp1 pp86-87.</t>
        </is>
      </c>
    </row>
    <row r="9" ht="92" customHeight="1" s="25">
      <c r="A9" s="24" t="inlineStr">
        <is>
          <t>2025::jama.2025.19563::C008</t>
        </is>
      </c>
      <c r="B9" s="24" t="inlineStr">
        <is>
          <t>Recruitment-pool portal percentages and counts</t>
        </is>
      </c>
      <c r="C9" s="24" t="inlineStr">
        <is>
          <t>joi250084supp1_prod_1765403089.61351.pdf — DOC-002 p18, Table 1 and §5.5.1 paragraph; joi250084supp1_prod_1765403089.61351.pdf — DOC-002 p18 Table1 Johns Hopkins: 13,910/21,346 (56%); joi250084supp1_prod_1765403089.61351.pdf — DOC-002 p18 Table1 Reading: 4,892/8,751 (60%); joi250084supp1_prod_1765403089.61351.pdf — DOC-002 p18 §5.5.1 paragraph: 13,910/21,410 (56%)</t>
        </is>
      </c>
      <c r="D9" s="21" t="inlineStr">
        <is>
          <t>exclude</t>
        </is>
      </c>
      <c r="E9" s="21" t="inlineStr">
        <is>
          <t>plan_material</t>
        </is>
      </c>
      <c r="F9" s="21" t="inlineStr">
        <is>
          <t>primary_done</t>
        </is>
      </c>
      <c r="G9" s="24">
        <f>IFERROR(IF(LEN(TRIM(CLEAN(SUBSTITUTE(Setup!$B$2,CHAR(160)," "))))=0,"CHECK REVIEWER ID",IF(OR(A9="",COUNTIF($A$2:$A$14,A9)&lt;&gt;1,LEFT(A9,LEN("2025::jama.2025.19563::"))&lt;&gt;"2025::jama.2025.19563::"),"CHECK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inlineStr">
        <is>
          <t>Protocol §5.5.1 p18 (OCR): 13,910/21,346 printed 56% (computed 65.2%); text 13,910/21,410 printed 56% (65.0%); Reading 4,892/8,751 printed 60% (55.9%). Errors are real (and 21,410 vs 21,346 differ), but they concern the EMR recruitment pool in a feasibility paragraph, not a statistical design element used by the reported analysis. Excluded.</t>
        </is>
      </c>
    </row>
    <row r="10" ht="92" customHeight="1" s="25">
      <c r="A10" s="20" t="inlineStr">
        <is>
          <t>2025::jama.2025.19563::C009</t>
        </is>
      </c>
      <c r="B10" s="20" t="inlineStr">
        <is>
          <t>Interpolated PA vector and printed summary inputs</t>
        </is>
      </c>
      <c r="C10" s="20" t="inlineStr">
        <is>
          <t>joi250084supp2_prod_1765403089.61751.pdf — DOC-003 p13 preprocessing/calculation; joi250084supp2_prod_1765403089.61751.pdf — p15 activity summary loop; joi250084supp2_prod_1765403089.61751.pdf — p16 bout loop</t>
        </is>
      </c>
      <c r="D10" s="21" t="inlineStr">
        <is>
          <t>retain</t>
        </is>
      </c>
      <c r="E10" s="21" t="inlineStr">
        <is>
          <t>statistical_results</t>
        </is>
      </c>
      <c r="F10" s="21" t="inlineStr">
        <is>
          <t>primary_done</t>
        </is>
      </c>
      <c r="G10" s="20">
        <f>IFERROR(IF(LEN(TRIM(CLEAN(SUBSTITUTE(Setup!$B$2,CHAR(160)," "))))=0,"CHECK REVIEWER ID",IF(OR(A10="",COUNTIF($A$2:$A$14,A10)&lt;&gt;1,LEFT(A10,LEN("2025::jama.2025.19563::"))&lt;&gt;"2025::jama.2025.19563::"),"CHECK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indeterminate</t>
        </is>
      </c>
      <c r="I10" s="21" t="inlineStr">
        <is>
          <t>indeterminate</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Supp2 p13 says missing data within valid days were imputed by interpolation, and p14-16 give 'the R code that was used'. In both loops the code computes ac_imp &lt;- impute_missing_data(...) but passes the raw ac to activity_stats() and BoutsOfPA(); ac_imp is never used. Whether the arctools functions impute internally cannot be checked from the supplied material (package not available to me), so the effect is indeterminate. Also noted: the three BoutsOfPA calls pass no threshold, so the 2185/2859/3941 bout outputs would be identical.</t>
        </is>
      </c>
    </row>
    <row r="11" ht="92" customHeight="1" s="25">
      <c r="A11" s="24" t="inlineStr">
        <is>
          <t>2025::jama.2025.19563::C010</t>
        </is>
      </c>
      <c r="B11" s="24" t="inlineStr">
        <is>
          <t>PA averaging denominator after zero assignment</t>
        </is>
      </c>
      <c r="C11" s="24" t="inlineStr">
        <is>
          <t>joi250084supp2_prod_1765403089.61751.pdf — DOC-003 p13 Aggregation/compliance; joi250084supp2_prod_1765403089.61751.pdf — p30 eTable18a method; joi250084supp2_prod_1765403089.61751.pdf — p49 eTable8b zero assignment</t>
        </is>
      </c>
      <c r="D11" s="21" t="inlineStr">
        <is>
          <t>retain</t>
        </is>
      </c>
      <c r="E11" s="21" t="inlineStr">
        <is>
          <t>statistical_results</t>
        </is>
      </c>
      <c r="F11" s="21" t="inlineStr">
        <is>
          <t>primary_done</t>
        </is>
      </c>
      <c r="G11" s="24">
        <f>IFERROR(IF(LEN(TRIM(CLEAN(SUBSTITUTE(Setup!$B$2,CHAR(160)," "))))=0,"CHECK REVIEWER ID",IF(OR(A11="",COUNTIF($A$2:$A$14,A11)&lt;&gt;1,LEFT(A11,LEN("2025::jama.2025.19563::"))&lt;&gt;"2025::jama.2025.19563::"),"CHECK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indeterminate</t>
        </is>
      </c>
      <c r="I11" s="21" t="inlineStr">
        <is>
          <t>indeterminate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t="inlineStr">
        <is>
          <t>Supp2 p13: average weekly MVPA = MVPA summed over valid wear periods divided by 'the number of available wear periods (maximum of 11)'; same page and eTable 8b p49 / eTable 18a p30: noncompliant or non-wear weeks are assigned 0 minutes. Zeros add nothing to the sum, so the zero rule matters only if those weeks enter the denominator; the text does not say they do. Either reading is possible; the description is ambiguous rather than demonstrably wrong.</t>
        </is>
      </c>
    </row>
    <row r="12" ht="92" customHeight="1" s="25">
      <c r="A12" s="20" t="inlineStr">
        <is>
          <t>2025::jama.2025.19563::C011</t>
        </is>
      </c>
      <c r="B12" s="20" t="inlineStr">
        <is>
          <t>Two AI-version exposure percentages</t>
        </is>
      </c>
      <c r="C12" s="20" t="inlineStr">
        <is>
          <t>joi250084supp2_prod_1765403089.61751.pdf — DOC-003 p37 eTable1b; joi250084supp2_prod_1765403089.61751.pdf — p27 primary cohort; joi250084supp2_prod_1765403089.61751.pdf — p41 randomized AI N=183; joi250084supp2_prod_1765403089.61751.pdf — p34 primary forest denominator; joi250084supp2_prod_1765403089.61751.pdf — DOC-003 p37 eTable1b version 11.100.131, September 2023; joi250084supp2_prod_1765403089.61751.pdf — DOC-003 p37 eTable1b version 122.100.407, December 2024</t>
        </is>
      </c>
      <c r="D12" s="21" t="inlineStr">
        <is>
          <t>retain</t>
        </is>
      </c>
      <c r="E12" s="21" t="inlineStr">
        <is>
          <t>statistical_results</t>
        </is>
      </c>
      <c r="F12" s="21" t="inlineStr">
        <is>
          <t>primary_done</t>
        </is>
      </c>
      <c r="G12" s="20">
        <f>IFERROR(IF(LEN(TRIM(CLEAN(SUBSTITUTE(Setup!$B$2,CHAR(160)," "))))=0,"CHECK REVIEWER ID",IF(OR(A12="",COUNTIF($A$2:$A$14,A12)&lt;&gt;1,LEFT(A12,LEN("2025::jama.2025.19563::"))&lt;&gt;"2025::jama.2025.19563::"),"CHECK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eTable 1b p37: versions 11.100.131 (Sep 2023) and 122.100.407 (Dec 2024) each '5 (5)' with header '% of Primary Analysis population assigned to AI-DPP' (N=183). 5/183 = 2.7%. The other seven rows reproduce with N=183 (58=32%, 102=56%, 109=60%, 103=56%, 99=54%, 105=57%, 104=57%).</t>
        </is>
      </c>
    </row>
    <row r="13" ht="92" customHeight="1" s="25">
      <c r="A13" s="24" t="inlineStr">
        <is>
          <t>2025::jama.2025.19563::C012</t>
        </is>
      </c>
      <c r="B13" s="24" t="inlineStr">
        <is>
          <t>Baseline HbA1c-subgroup categorical P-value mapping</t>
        </is>
      </c>
      <c r="C13" s="24" t="inlineStr">
        <is>
          <t>joi250084supp2_prod_1765403089.61751.pdf — DOC-003 p44 eTable6 counts; joi250084supp2_prod_1765403089.61751.pdf — p45 footnote 1 P values; joi250084supp2_prod_1765403089.61751.pdf — p29 eTable6 method index; joi250084supp2_prod_1765403089.61751.pdf — p28 main baseline-method pointer; joi250084supp1_prod_1765403089.61351.pdf — DOC-002 p37 general categorical baseline tests; joi250084supp2_prod_1765403089.61751.pdf — DOC-003 p44 eTable6 site rows, 79/164 and 29/96; joi250084supp2_prod_1765403089.61751.pdf — DOC-003 p45 footnote 1 site P=.024; joi250084supp2_prod_1765403089.61751.pdf — DOC-003 p44 eTable6 all four ethnicity rows; joi250084supp2_prod_1765403089.61751.pdf — DOC-003 p45 footnote 1 ethnicity P=.018</t>
        </is>
      </c>
      <c r="D13" s="21" t="inlineStr">
        <is>
          <t>retain</t>
        </is>
      </c>
      <c r="E13" s="21" t="inlineStr">
        <is>
          <t>statistical_results</t>
        </is>
      </c>
      <c r="F13" s="21" t="inlineStr">
        <is>
          <t>primary_done</t>
        </is>
      </c>
      <c r="G13" s="24">
        <f>IFERROR(IF(LEN(TRIM(CLEAN(SUBSTITUTE(Setup!$B$2,CHAR(160)," "))))=0,"CHECK REVIEWER ID",IF(OR(A13="",COUNTIF($A$2:$A$14,A13)&lt;&gt;1,LEFT(A13,LEN("2025::jama.2025.19563::"))&lt;&gt;"2025::jama.2025.19563::"),"CHECK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probable_issue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6 p44-45 (baseline HbA1c &lt;5.7% vs 5.7-6.4%): footnote says site P=.024 and ethnicity P=.018. From the printed counts: site 79/108 vs 164/260: chi-square P=0.063 (Yates 0.082), Fisher 0.070; ethnicity (4 categories) chi-square 0.064, Fisher 0.055; known-ethnicity 2x2 chi-square 0.035, Fisher 0.044. None reproduces .024 or .018. Footnote 2 (age P=.014 'between study groups') also appears carried over from the randomized-arm table.</t>
        </is>
      </c>
    </row>
    <row r="14" ht="92" customHeight="1" s="25">
      <c r="A14" s="20" t="inlineStr">
        <is>
          <t>2025::jama.2025.19563::C013</t>
        </is>
      </c>
      <c r="B14" s="20" t="inlineStr">
        <is>
          <t>MI-pooled risks and displayed risk-difference mapping</t>
        </is>
      </c>
      <c r="C14" s="20" t="inlineStr">
        <is>
          <t>joi250084supp2_prod_1765403089.61751.pdf — DOC-003 p59 eTable16; joi250084supp2_prod_1765403089.61751.pdf — p30 MI methods; joi250084supp1_prod_1765403089.61351.pdf — DOC-002 p88 MICE method</t>
        </is>
      </c>
      <c r="D14" s="21" t="inlineStr">
        <is>
          <t>retain</t>
        </is>
      </c>
      <c r="E14" s="21" t="inlineStr">
        <is>
          <t>statistical_results</t>
        </is>
      </c>
      <c r="F14" s="21" t="inlineStr">
        <is>
          <t>primary_done</t>
        </is>
      </c>
      <c r="G14" s="20">
        <f>IFERROR(IF(LEN(TRIM(CLEAN(SUBSTITUTE(Setup!$B$2,CHAR(160)," "))))=0,"CHECK REVIEWER ID",IF(OR(A14="",COUNTIF($A$2:$A$14,A14)&lt;&gt;1,LEFT(A14,LEN("2025::jama.2025.19563::"))&lt;&gt;"2025::jama.2025.19563::"),"CHECK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probable_issue</t>
        </is>
      </c>
      <c r="I14" s="21" t="inlineStr">
        <is>
          <t>substantive</t>
        </is>
      </c>
      <c r="J14" s="22" t="inlineStr">
        <is>
          <t>possible</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16 p59: MI-pooled achievement 32.2% (AI) vs 31.9% (human) but RD -1.1 (one-sided 95% CI -11.5). Rubin's-rule pooling is linear, so the pooled RD of an unadjusted difference should be 32.2-31.9 = +0.3. Sign and size disagree. An adjusted RD within each imputation could differ, but the table and methods (supp1 p88, supp2 p30) describe no outcome-model covariates. NI conclusion unchanged (-11.5 &gt; -15).</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2025::jama.2025.19843::C001</t>
        </is>
      </c>
      <c r="B2" s="20" t="inlineStr">
        <is>
          <t>Primary adjustment covariate descriptions do not reconcile</t>
        </is>
      </c>
      <c r="C2" s="20" t="inlineStr">
        <is>
          <t>jama_combes_2025_oi_250087_1766516490.94011.pdf — main PDF p.2; jama_combes_2025_oi_250087_1766516490.94011.pdf — main PDF p.3; jama_combes_2025_oi_250087_1766516490.94011.pdf — main PDF p.6; joi250087supp2_prod_1766516490.96511.pdf — SAP PDF p.6, corroboration only</t>
        </is>
      </c>
      <c r="D2" s="21" t="inlineStr">
        <is>
          <t>retain</t>
        </is>
      </c>
      <c r="E2" s="21" t="inlineStr">
        <is>
          <t>statistical_results</t>
        </is>
      </c>
      <c r="F2" s="21" t="inlineStr">
        <is>
          <t>primary_done</t>
        </is>
      </c>
      <c r="G2" s="20">
        <f>IFERROR(IF(LEN(TRIM(CLEAN(SUBSTITUTE(Setup!$B$2,CHAR(160)," "))))=0,"CHECK REVIEWER ID",IF(OR(A2="",COUNTIF($A$2:$A$8,A2)&lt;&gt;1,LEFT(A2,LEN("2025::jama.2025.19843::"))&lt;&gt;"2025::jama.2025.19843::"),"CHECK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Article p3: 'The primary analysis was adjusted on minimization stratification factors', which p2 identifies as cardiogenic-shock etiology and center. Table 2 footnote c p6: Fine-Gray model 'adjusted for cardiogenic shock etiology' only. SAP p6 (OCR) specifies etiology only. The report contradicts itself on whether center is in the model behind sHR 1.02 (0.74-1.39); the estimate itself is clear.</t>
        </is>
      </c>
    </row>
    <row r="3" ht="92" customHeight="1" s="25">
      <c r="A3" s="24" t="inlineStr">
        <is>
          <t>2025::jama.2025.19843::C002</t>
        </is>
      </c>
      <c r="B3" s="24" t="inlineStr">
        <is>
          <t>Organ-failure threshold differs between SAP and report</t>
        </is>
      </c>
      <c r="C3" s="24" t="inlineStr">
        <is>
          <t>joi250087supp2_prod_1766516490.96511.pdf — sap PDF p.4; joi250087supp2_prod_1766516490.96511.pdf — sap PDF p.7; jama_combes_2025_oi_250087_1766516490.94011.pdf — main PDF p.3; joi250087supp3_prod_1766516490.97011.pdf — results PDF p.5; joi250087supp3_prod_1766516490.97011.pdf — results PDF p.12</t>
        </is>
      </c>
      <c r="D3" s="21" t="inlineStr">
        <is>
          <t>retain</t>
        </is>
      </c>
      <c r="E3" s="21" t="inlineStr">
        <is>
          <t>protocol_report</t>
        </is>
      </c>
      <c r="F3" s="21" t="inlineStr">
        <is>
          <t>primary_done</t>
        </is>
      </c>
      <c r="G3" s="24">
        <f>IFERROR(IF(LEN(TRIM(CLEAN(SUBSTITUTE(Setup!$B$2,CHAR(160)," "))))=0,"CHECK REVIEWER ID",IF(OR(A3="",COUNTIF($A$2:$A$8,A3)&lt;&gt;1,LEFT(A3,LEN("2025::jama.2025.19843::"))&lt;&gt;"2025::jama.2025.19843::"),"CHECK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SAP §2.2 p4 and §3.6 p7 (OCR): organ failure = SOFA score &gt;2 in at least one of six organ systems. Article p3: days alive without organ failure = SOFA 0-1 for each component, i.e., failure at component score &gt;=2; eTable 3 footnote (supp3 p6): cardiovascular failure-free = cardiovascular SOFA &lt;2. Protocol p14-15 gives no threshold. Threshold differs by one point.</t>
        </is>
      </c>
    </row>
    <row r="4" ht="92" customHeight="1" s="25">
      <c r="A4" s="20" t="inlineStr">
        <is>
          <t>2025::jama.2025.19843::C003</t>
        </is>
      </c>
      <c r="B4" s="20" t="inlineStr">
        <is>
          <t>Planned day-60 free-day results are absent from supplied reports</t>
        </is>
      </c>
      <c r="C4" s="20" t="inlineStr">
        <is>
          <t>Every repeated protocol endpoint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joi250087supp2_prod_1766516490.96511.pdf — sap PDF p.8. REPORT: jama_combes_2025_oi_250087_1766516490.94011.pdf — main PDF p.1; jama_combes_2025_oi_250087_1766516490.94011.pdf — main PDF p.3; jama_combes_2025_oi_250087_1766516490.94011.pdf — main PDF p.6; joi250087supp3_prod_1766516490.97011.pdf — results PDF p.5</t>
        </is>
      </c>
      <c r="D4" s="21" t="inlineStr">
        <is>
          <t>retain</t>
        </is>
      </c>
      <c r="E4" s="21" t="inlineStr">
        <is>
          <t>protocol_report</t>
        </is>
      </c>
      <c r="F4" s="21" t="inlineStr">
        <is>
          <t>primary_done</t>
        </is>
      </c>
      <c r="G4" s="20">
        <f>IFERROR(IF(LEN(TRIM(CLEAN(SUBSTITUTE(Setup!$B$2,CHAR(160)," "))))=0,"CHECK REVIEWER ID",IF(OR(A4="",COUNTIF($A$2:$A$8,A4)&lt;&gt;1,LEFT(A4,LEN("2025::jama.2025.19843::"))&lt;&gt;"2025::jama.2025.19843::"),"CHECK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p4/p7-8 and protocol p14-15: ECMO-free days between inclusion and D30/D60 and ventilator-free days to D30 and D60. Report: Table 2 p6 gives ECMO-free days by day 30 only; eTable 3 p5 gives MV-free days by day 30 only; no D60 free-day results in the article or supplement.</t>
        </is>
      </c>
    </row>
    <row r="5" ht="92" customHeight="1" s="25">
      <c r="A5" s="24" t="inlineStr">
        <is>
          <t>2025::jama.2025.19843::C004</t>
        </is>
      </c>
      <c r="B5" s="24" t="inlineStr">
        <is>
          <t>Planned hierarchical LV-function composite differs from reported LVEF contrast</t>
        </is>
      </c>
      <c r="C5" s="24" t="inlineStr">
        <is>
          <t>Protocol context, every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joi250087supp2_prod_1766516490.96511.pdf — SAP PDF p.8, Left Ventricular Function; jama_combes_2025_oi_250087_1766516490.94011.pdf — main PDF p.3; joi250087supp3_prod_1766516490.97011.pdf — results PDF p.5; joi250087supp3_prod_1766516490.97011.pdf — results PDF p.6</t>
        </is>
      </c>
      <c r="D5" s="21" t="inlineStr">
        <is>
          <t>retain</t>
        </is>
      </c>
      <c r="E5" s="21" t="inlineStr">
        <is>
          <t>protocol_report</t>
        </is>
      </c>
      <c r="F5" s="21" t="inlineStr">
        <is>
          <t>primary_done</t>
        </is>
      </c>
      <c r="G5" s="24">
        <f>IFERROR(IF(LEN(TRIM(CLEAN(SUBSTITUTE(Setup!$B$2,CHAR(160)," "))))=0,"CHECK REVIEWER ID",IF(OR(A5="",COUNTIF($A$2:$A$8,A5)&lt;&gt;1,LEFT(A5,LEN("2025::jama.2025.19843::"))&lt;&gt;"2025::jama.2025.19843::"),"CHECK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p8 (OCR): LV function compared by Global Net Benefit on a hierarchical composite (death, heart transplant, LVEF improvement &gt;30%) with bootstrap CI. Report eTable 3 p5: median LVEF 45 vs 40%, difference 5 (-0 to 10), with last pre-death LVEF carried for patients who died (footnote a). No net-benefit result anywhere.</t>
        </is>
      </c>
    </row>
    <row r="6" ht="92" customHeight="1" s="25">
      <c r="A6" s="20" t="inlineStr">
        <is>
          <t>2025::jama.2025.19843::C005</t>
        </is>
      </c>
      <c r="B6" s="20" t="inlineStr">
        <is>
          <t>Dialysis membership differs across MACE definitions</t>
        </is>
      </c>
      <c r="C6" s="20" t="inlineStr">
        <is>
          <t>Every repeated protocol composite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Main: jama_combes_2025_oi_250087_1766516490.94011.pdf — main PDF p.3. Results contents, component rows and figure: joi250087supp3_prod_1766516490.97011.pdf — results PDF p.1; joi250087supp3_prod_1766516490.97011.pdf — results PDF p.5; joi250087supp3_prod_1766516490.97011.pdf — results PDF p.6; joi250087supp3_prod_1766516490.97011.pdf — results PDF p.13</t>
        </is>
      </c>
      <c r="D6" s="21" t="inlineStr">
        <is>
          <t>retain</t>
        </is>
      </c>
      <c r="E6" s="21" t="inlineStr">
        <is>
          <t>protocol_report</t>
        </is>
      </c>
      <c r="F6" s="21" t="inlineStr">
        <is>
          <t>primary_done</t>
        </is>
      </c>
      <c r="G6" s="20">
        <f>IFERROR(IF(LEN(TRIM(CLEAN(SUBSTITUTE(Setup!$B$2,CHAR(160)," "))))=0,"CHECK REVIEWER ID",IF(OR(A6="",COUNTIF($A$2:$A$8,A6)&lt;&gt;1,LEFT(A6,LEN("2025::jama.2025.19843::"))&lt;&gt;"2025::jama.2025.19843::"),"CHECK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p14-15 and article p3: MACE includes dialysis. SAP p4/p7 and eFigure 4 title (supp3 p13): MACE = death, transplant, LVAD, stroke, HF rehospitalization (no dialysis). eTable 3 p5 lists 'Dialysis by day 30' as a MACE component (29 vs 38), but the 30-day MACE totals are 35 vs 36; 38 placebo dialysis events exceed the 36 MACE total, so the reported totals cannot include dialysis. The report's stated definition differs from the composite actually tabulated.</t>
        </is>
      </c>
    </row>
    <row r="7" ht="92" customHeight="1" s="25">
      <c r="A7" s="24" t="inlineStr">
        <is>
          <t>2025::jama.2025.19843::C006</t>
        </is>
      </c>
      <c r="B7" s="24" t="inlineStr">
        <is>
          <t>Planned post-arrest subgroup differs from reported predefined other-etiology subgroup</t>
        </is>
      </c>
      <c r="C7" s="24" t="inlineStr">
        <is>
          <t>Every repeated endpoint/subgroup prescription: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joi250087supp1_prod_1766516490.96011.pdf — Protocol PDF p.107, allocation/minimization. Complete SAP boundary: joi250087supp2_prod_1766516490.96511.pdf — sap PDF p.1; joi250087supp2_prod_1766516490.96511.pdf — sap PDF p.2; joi250087supp2_prod_1766516490.96511.pdf — sap PDF p.3; joi250087supp2_prod_1766516490.96511.pdf — sap PDF p.4; joi250087supp2_prod_1766516490.96511.pdf — sap PDF p.5; joi250087supp2_prod_1766516490.96511.pdf — sap PDF p.6; joi250087supp2_prod_1766516490.96511.pdf — sap PDF p.7; joi250087supp2_prod_1766516490.96511.pdf — sap PDF p.8; joi250087supp2_prod_1766516490.96511.pdf — sap PDF p.9. REPORT: jama_combes_2025_oi_250087_1766516490.94011.pdf — main PDF p.4; jama_combes_2025_oi_250087_1766516490.94011.pdf — main PDF p.7; joi250087supp3_prod_1766516490.97011.pdf — results PDF p.9; joi250087supp3_prod_1766516490.97011.pdf — results PDF p.18</t>
        </is>
      </c>
      <c r="D7" s="21" t="inlineStr">
        <is>
          <t>retain</t>
        </is>
      </c>
      <c r="E7" s="21" t="inlineStr">
        <is>
          <t>protocol_report</t>
        </is>
      </c>
      <c r="F7" s="21" t="inlineStr">
        <is>
          <t>primary_done</t>
        </is>
      </c>
      <c r="G7" s="24">
        <f>IFERROR(IF(LEN(TRIM(CLEAN(SUBSTITUTE(Setup!$B$2,CHAR(160)," "))))=0,"CHECK REVIEWER ID",IF(OR(A7="",COUNTIF($A$2:$A$8,A7)&lt;&gt;1,LEFT(A7,LEN("2025::jama.2025.19843::"))&lt;&gt;"2025::jama.2025.19843::"),"CHECK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p14-15 (v1.1; same in later versions): primary and secondary endpoints in predefined subgroups AMI, myocarditis, post-cardiac surgery and post-cardiac arrest. SAP has no subgroup section. Article p4 and Figure 3 p7: 'predefined subgroups (ie, minimization stratification factor)': AMI, myocarditis, postcardiotomy, Other; cardiac arrest is folded into Other (eTable 6: 5 vs 1 patients). No post-arrest subgroup result.</t>
        </is>
      </c>
    </row>
    <row r="8" ht="92" customHeight="1" s="25">
      <c r="A8" s="20" t="inlineStr">
        <is>
          <t>2025::jama.2025.19843::C007</t>
        </is>
      </c>
      <c r="B8" s="20" t="inlineStr">
        <is>
          <t>Planned adjusted key-secondary analyses lack supplied outputs</t>
        </is>
      </c>
      <c r="C8" s="20" t="inlineStr">
        <is>
          <t>Every protocol adjusted-analysis occurrence: joi250087supp1_prod_1766516490.96011.pdf — protocol PDF p.35; joi250087supp1_prod_1766516490.96011.pdf — protocol PDF p.37; joi250087supp1_prod_1766516490.96011.pdf — protocol PDF p.81; joi250087supp1_prod_1766516490.96011.pdf — protocol PDF p.82; joi250087supp1_prod_1766516490.96011.pdf — protocol PDF p.83; joi250087supp1_prod_1766516490.96011.pdf — protocol PDF p.84; joi250087supp1_prod_1766516490.96011.pdf — protocol PDF p.127; joi250087supp1_prod_1766516490.96011.pdf — protocol PDF p.128; joi250087supp1_prod_1766516490.96011.pdf — protocol PDF p.129; joi250087supp1_prod_1766516490.96011.pdf — protocol PDF p.130. SAP model prescriptions: joi250087supp2_prod_1766516490.96511.pdf — sap PDF p.7; joi250087supp2_prod_1766516490.96511.pdf — sap PDF p.8; joi250087supp2_prod_1766516490.96511.pdf — sap PDF p.9. Main abstract/methods/tables: jama_combes_2025_oi_250087_1766516490.94011.pdf — main PDF p.1; jama_combes_2025_oi_250087_1766516490.94011.pdf — main PDF p.4; jama_combes_2025_oi_250087_1766516490.94011.pdf — main PDF p.6; jama_combes_2025_oi_250087_1766516490.94011.pdf — main PDF p.7. Results and retained contextual displays: joi250087supp3_prod_1766516490.97011.pdf — results PDF p.5; joi250087supp3_prod_1766516490.97011.pdf — results PDF p.6; joi250087supp3_prod_1766516490.97011.pdf — results PDF p.11; joi250087supp3_prod_1766516490.97011.pdf — results PDF p.13; joi250087supp3_prod_1766516490.97011.pdf — results PDF p.16; joi250087supp3_prod_1766516490.97011.pdf — results PDF p.17</t>
        </is>
      </c>
      <c r="D8" s="21" t="inlineStr">
        <is>
          <t>retain</t>
        </is>
      </c>
      <c r="E8" s="21" t="inlineStr">
        <is>
          <t>protocol_report</t>
        </is>
      </c>
      <c r="F8" s="21" t="inlineStr">
        <is>
          <t>primary_done</t>
        </is>
      </c>
      <c r="G8" s="20">
        <f>IFERROR(IF(LEN(TRIM(CLEAN(SUBSTITUTE(Setup!$B$2,CHAR(160)," "))))=0,"CHECK REVIEWER ID",IF(OR(A8="",COUNTIF($A$2:$A$8,A8)&lt;&gt;1,LEFT(A8,LEN("2025::jama.2025.19843::"))&lt;&gt;"2025::jama.2025.19843::"),"CHECK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§3.6 pp7-8: each secondary outcome to be tested (log-rank/Wilcoxon) and analyzed with a model adjusted for cardiogenic-shock etiology (Cox for mortality, ICU/hospital stay, MACE; general linear model for free days). Report: Table 2 p6 and eTable 3 give unadjusted RRs and bootstrap median/mean differences, P values omitted 'because of multiple testing concerns' (except abstract P for ECMO duration, ICU stay, 60-day mortality); no etiology-adjusted secondary estimates.</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0"/>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2025::jama.2025.20765::C001</t>
        </is>
      </c>
      <c r="B2" s="20" t="inlineStr">
        <is>
          <t>Protocol SMS totals and frequency schedules do not reconcile</t>
        </is>
      </c>
      <c r="C2" s="20" t="inlineStr">
        <is>
          <t>jama_zahid_2025_oi_250093_1768590553.08463.pdf — DOC-001 — PDF p. 1, abstract intervention; REPORT; jama_zahid_2025_oi_250093_1768590553.08463.pdf — DOC-001 — PDF p. 3, Trial Intervention; REPORT; joi250093supp1_prod_1768590553.08963.pdf — DOC-002 — PDF p. 16, lines386–390, earlier-component dose paragraph; PLAN; joi250093supp1_prod_1768590553.08963.pdf — DOC-002 — PDF p. 53, lines1526–1530, later-component dose paragraph; PLAN; joi250093supp1_prod_1768590553.08963.pdf — DOC-002 — PDF p. 77, change note; PLAN; joi250093supp1_prod_1768590553.08963.pdf — DOC-002 — PDF p. 80, lines2532–2536, SAP dose; PLAN</t>
        </is>
      </c>
      <c r="D2" s="21" t="inlineStr">
        <is>
          <t>retain</t>
        </is>
      </c>
      <c r="E2" s="21" t="inlineStr">
        <is>
          <t>protocol_report</t>
        </is>
      </c>
      <c r="F2" s="21" t="inlineStr">
        <is>
          <t>primary_done</t>
        </is>
      </c>
      <c r="G2" s="20">
        <f>IFERROR(IF(LEN(TRIM(CLEAN(SUBSTITUTE(Setup!$B$2,CHAR(160)," "))))=0,"CHECK REVIEWER ID",IF(OR(A2="",COUNTIF($A$2:$A$20,A2)&lt;&gt;1,LEFT(A2,LEN("2025::jama.2025.20765::"))&lt;&gt;"2025::jama.2025.20765::"),"CHECK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Supplement 1 (text layer font-encoded; OCR): protocol v4.0 p16: 178 SMS, 4-5/day months 1-2, 2-3/day months 3-4, 1-2/week months 5-6. Protocol v6.0 (latest) p53: 134 SMS but 4-5/day months 1-2, 1-2/day months 3-4, 1/week months 5-6, a schedule that cannot total 134 (months 1-2 alone &gt;=240). SAP p80: 3-4/day month 1, ... 1/month last four months. Article p1/p3: 134 messages, 100 in month 1, 30 in month 2, 4 monthly. Report matches the SAP, not the latest protocol schedule.</t>
        </is>
      </c>
    </row>
    <row r="3" ht="92" customHeight="1" s="25">
      <c r="A3" s="24" t="inlineStr">
        <is>
          <t>2025::jama.2025.20765::C002</t>
        </is>
      </c>
      <c r="B3" s="24" t="inlineStr">
        <is>
          <t>Operational eligibility criteria differ from the plan list</t>
        </is>
      </c>
      <c r="C3" s="24" t="inlineStr">
        <is>
          <t>jama_zahid_2025_oi_250093_1768590553.08463.pdf — DOC-001 — PDF p. 2, eligibility paragraph; REPORT; jama_zahid_2025_oi_250093_1768590553.08463.pdf — DOC-001 — PDF p. 4, Figure1 exclusions; REPORT; joi250093supp1_prod_1768590553.08963.pdf — DOC-002 — PDF p. 11, lines235–255 complete participant lists; PLAN; joi250093supp1_prod_1768590553.08963.pdf — DOC-002 — PDF p. 49, lines1375–1395 complete participant lists; PLAN; joi250093supp2_prod_1768590553.09463.pdf — DOC-003 — PDF p. 3, eTable1 smoking and SMS-reader reasons; REPORT</t>
        </is>
      </c>
      <c r="D3" s="21" t="inlineStr">
        <is>
          <t>retain</t>
        </is>
      </c>
      <c r="E3" s="21" t="inlineStr">
        <is>
          <t>protocol_report</t>
        </is>
      </c>
      <c r="F3" s="21" t="inlineStr">
        <is>
          <t>primary_done</t>
        </is>
      </c>
      <c r="G3" s="24">
        <f>IFERROR(IF(LEN(TRIM(CLEAN(SUBSTITUTE(Setup!$B$2,CHAR(160)," "))))=0,"CHECK REVIEWER ID",IF(OR(A3="",COUNTIF($A$2:$A$20,A3)&lt;&gt;1,LEFT(A3,LEN("2025::jama.2025.20765::"))&lt;&gt;"2025::jama.2025.20765::"),"CHECK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v4.0 p11 and v6.0 p49 (OCR): include current daily smokers OR those who 'have only stopped or reduced smoking (less than daily) since diagnosed with TB'; exclusions: &lt;15 y, retreatment/MDR/miliary/extrapulmonary TB, current pharmacotherapy, unable to consent. Article p2: daily smoking (&gt;=1 puff on &gt;=25 of last 30 days) required; Figure 1 p4 and eTable 1 also exclude 'cannot read and no one at home can read SMS' (236) and 'not current smoker' (7069). The recent-quitter route is absent and a literacy criterion is added.</t>
        </is>
      </c>
    </row>
    <row r="4" ht="92" customHeight="1" s="25">
      <c r="A4" s="20" t="inlineStr">
        <is>
          <t>2025::jama.2025.20765::C003</t>
        </is>
      </c>
      <c r="B4" s="20" t="inlineStr">
        <is>
          <t>Prospective quit-date and reminder calendar differ from the report</t>
        </is>
      </c>
      <c r="C4" s="20" t="inlineStr">
        <is>
          <t>jama_zahid_2025_oi_250093_1768590553.08463.pdf — DOC-001 — PDF p. 3, Trial Outcomes and Trial Intervention; REPORT; joi250093supp1_prod_1768590553.08963.pdf — DOC-002 — PDF p. 101, enrollment Q(−8)/Tx(+1), message6 and footnotes; PLAN; joi250093supp1_prod_1768590553.08963.pdf — DOC-002 — PDF p. 103, Q(−1)/Tx(+8) and quit transition; PLAN; joi250093supp1_prod_1768590553.08963.pdf — DOC-002 — PDF p. 104, quit-date ordinal label and messages39–44; PLAN; joi250093supp1_prod_1768590553.08963.pdf — DOC-002 — PDF p. 109, messages129–134 and follow-up phase; PLAN</t>
        </is>
      </c>
      <c r="D4" s="21" t="inlineStr">
        <is>
          <t>retain</t>
        </is>
      </c>
      <c r="E4" s="21" t="inlineStr">
        <is>
          <t>protocol_report</t>
        </is>
      </c>
      <c r="F4" s="21" t="inlineStr">
        <is>
          <t>primary_done</t>
        </is>
      </c>
      <c r="G4" s="20">
        <f>IFERROR(IF(LEN(TRIM(CLEAN(SUBSTITUTE(Setup!$B$2,CHAR(160)," "))))=0,"CHECK REVIEWER ID",IF(OR(A4="",COUNTIF($A$2:$A$20,A4)&lt;&gt;1,LEFT(A4,LEN("2025::jama.2025.20765::"))&lt;&gt;"2025::jama.2025.20765::"),"CHECK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SMS log in Supplement 1 pp101-104 (OCR): enrollment is Q(-8); message 6 on day 2 sets a quit date '7 days from today'; message 40 'Today is your QUIT DATE' on the 8th day since joining. Article p3: quit date 'set 5 days after enrollment'. The quit date anchors the continuous-abstinence definition ('since the quit date').</t>
        </is>
      </c>
    </row>
    <row r="5" ht="92" customHeight="1" s="25">
      <c r="A5" s="24" t="inlineStr">
        <is>
          <t>2025::jama.2025.20765::C004</t>
        </is>
      </c>
      <c r="B5" s="24" t="inlineStr">
        <is>
          <t>Primary cotinine verification lacks a planned-to-reported criterion crosswalk</t>
        </is>
      </c>
      <c r="C5" s="24" t="inlineStr">
        <is>
          <t>jama_zahid_2025_oi_250093_1768590553.08463.pdf — DOC-001 — PDF p. 3, Trial Outcomes cotinine verification; REPORT; joi250093supp1_prod_1768590553.08963.pdf — DOC-002 — PDF p. 8, lines158–161 primary endpoint; PLAN; joi250093supp1_prod_1768590553.08963.pdf — DOC-002 — PDF p. 47, lines1298–1301 primary endpoint; PLAN; joi250093supp1_prod_1768590553.08963.pdf — DOC-002 — PDF p. 84, lines2661–2665 SAP primary endpoint; PLAN</t>
        </is>
      </c>
      <c r="D5" s="21" t="inlineStr">
        <is>
          <t>retain</t>
        </is>
      </c>
      <c r="E5" s="21" t="inlineStr">
        <is>
          <t>protocol_report</t>
        </is>
      </c>
      <c r="F5" s="21" t="inlineStr">
        <is>
          <t>primary_done</t>
        </is>
      </c>
      <c r="G5" s="24">
        <f>IFERROR(IF(LEN(TRIM(CLEAN(SUBSTITUTE(Setup!$B$2,CHAR(160)," "))))=0,"CHECK REVIEWER ID",IF(OR(A5="",COUNTIF($A$2:$A$20,A5)&lt;&gt;1,LEFT(A5,LEN("2025::jama.2025.20765::"))&lt;&gt;"2025::jama.2025.20765::"),"CHECK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v4.0 p8, v6.0 p47 and SAP p84 (OCR): smokeless-tobacco users verified with NicAlert urine strips, level &lt;3 (about 100-200 ng/mL cotinine) = abstinent. Article p3: a rapid cotinine test cassette (Hangzhou AllTest) with a negative result = abstinent. Different device and decision threshold for verifying the primary outcome in concomitant smokeless users (58 at baseline). Not disclosed as a change.</t>
        </is>
      </c>
    </row>
    <row r="6" ht="92" customHeight="1" s="25">
      <c r="A6" s="20" t="inlineStr">
        <is>
          <t>2025::jama.2025.20765::C005</t>
        </is>
      </c>
      <c r="B6" s="20" t="inlineStr">
        <is>
          <t>Primary model changes from protocol Poisson/log link to SAP/report logistic</t>
        </is>
      </c>
      <c r="C6" s="20" t="inlineStr">
        <is>
          <t>jama_zahid_2025_oi_250093_1768590553.08463.pdf — DOC-001 — PDF p. 3, Statistical Analysis; REPORT; joi250093supp1_prod_1768590553.08963.pdf — DOC-002 — PDF p. 28, lines759–764 statistical-analysis paragraph; PLAN; joi250093supp1_prod_1768590553.08963.pdf — DOC-002 — PDF p. 66, lines2011–2016 statistical-analysis paragraph; PLAN; joi250093supp1_prod_1768590553.08963.pdf — DOC-002 — PDF p. 77, change note; PLAN; joi250093supp1_prod_1768590553.08963.pdf — DOC-002 — PDF p. 91, lines2884–2889 primary model; PLAN; joi250093supp1_prod_1768590553.08963.pdf — DOC-002 — PDF p. 92, lines2919–2926 adjusted model; PLAN</t>
        </is>
      </c>
      <c r="D6" s="21" t="inlineStr">
        <is>
          <t>retain</t>
        </is>
      </c>
      <c r="E6" s="21" t="inlineStr">
        <is>
          <t>protocol_report</t>
        </is>
      </c>
      <c r="F6" s="21" t="inlineStr">
        <is>
          <t>primary_done</t>
        </is>
      </c>
      <c r="G6" s="20">
        <f>IFERROR(IF(LEN(TRIM(CLEAN(SUBSTITUTE(Setup!$B$2,CHAR(160)," "))))=0,"CHECK REVIEWER ID",IF(OR(A6="",COUNTIF($A$2:$A$20,A6)&lt;&gt;1,LEFT(A6,LEN("2025::jama.2025.20765::"))&lt;&gt;"2025::jama.2025.20765::"),"CHECK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v4.0 §11.2.2 p28 and v6.0 §28.2.2 p66 (OCR): GLMM with log link, Poisson distribution, cluster random intercept, crude and adjusted RRs. SAP p91-92 and article p3: mixed-effects logistic regression with site random effect, results expressed as RR. The change log (p77) does not mention the model change. Report follows the SAP.</t>
        </is>
      </c>
    </row>
    <row r="7" ht="92" customHeight="1" s="25">
      <c r="A7" s="24" t="inlineStr">
        <is>
          <t>2025::jama.2025.20765::C006</t>
        </is>
      </c>
      <c r="B7" s="24" t="inlineStr">
        <is>
          <t>Risk-ratio derivation from stated logistic analysis is unclear</t>
        </is>
      </c>
      <c r="C7" s="24" t="inlineStr">
        <is>
          <t>jama_zahid_2025_oi_250093_1768590553.08463.pdf — DOC-001 — PDF p. 3, Statistical Analysis categorical model; REPORT; jama_zahid_2025_oi_250093_1768590553.08463.pdf — DOC-001 — PDF p. 6, Table2 RR columns and notea; REPORT; joi250093supp2_prod_1768590553.09463.pdf — DOC-003 — PDF p. 11, eTable7 relative-risk row; REPORT; joi250093supp2_prod_1768590553.09463.pdf — DOC-003 — PDF p. 13, eTable9 RR columns; REPORT; joi250093supp2_prod_1768590553.09463.pdf — DOC-003 — PDF p. 14, eTable9 notee; REPORT</t>
        </is>
      </c>
      <c r="D7" s="21" t="inlineStr">
        <is>
          <t>retain</t>
        </is>
      </c>
      <c r="E7" s="21" t="inlineStr">
        <is>
          <t>statistical_results</t>
        </is>
      </c>
      <c r="F7" s="21" t="inlineStr">
        <is>
          <t>primary_done</t>
        </is>
      </c>
      <c r="G7" s="24">
        <f>IFERROR(IF(LEN(TRIM(CLEAN(SUBSTITUTE(Setup!$B$2,CHAR(160)," "))))=0,"CHECK REVIEWER ID",IF(OR(A7="",COUNTIF($A$2:$A$20,A7)&lt;&gt;1,LEFT(A7,LEN("2025::jama.2025.20765::"))&lt;&gt;"2025::jama.2025.20765::"),"CHECK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t="inlineStr">
        <is>
          <t>direct</t>
        </is>
      </c>
      <c r="K7" s="21">
        <f>IF(AND(OR(D7="retain",D7=""),OR(E7="report_internal_inconsistency",E7="plan_material")),"","not_applicable")</f>
        <v/>
      </c>
      <c r="L7" s="22">
        <f>IF(AND(OR(D7="retain",D7=""),E7="protocol_report"),"","not_applicable")</f>
        <v/>
      </c>
      <c r="M7" s="24" t="n"/>
      <c r="N7" s="23" t="n"/>
      <c r="O7" s="23" t="n"/>
      <c r="P7" s="23" t="n"/>
      <c r="Q7" s="23" t="n"/>
      <c r="R7" s="22" t="inlineStr">
        <is>
          <t>Methods p3: mixed-effects logistic regression; Table 2 p6 reports 'Crude RR'. Crude risk ratios from the printed counts do not match: primary 300/720 vs 55/360 = 2.73 (Wald 2.11-3.53) vs printed crude RR 3.0 (2.0-4.9); TB success 643/720 vs 308/360 = 1.04 vs printed 1.2 (0.9-1.6); eTable 9 TB success 92.5% vs 92.5% = 1.00 vs printed crude RR 1.1. Also eTable 8 'All' unadjusted RR 2.890 (1.983-4.709) differs from Table 2 crude ITT 3.0 (2.0-4.9) but equals the PP row 2.9 (2.0-4.7). How RRs were derived from a logit model is not stated.</t>
        </is>
      </c>
    </row>
    <row r="8" ht="92" customHeight="1" s="25">
      <c r="A8" s="20" t="inlineStr">
        <is>
          <t>2025::jama.2025.20765::C007</t>
        </is>
      </c>
      <c r="B8" s="20" t="inlineStr">
        <is>
          <t>Planned tobacco-use-form adjustment has no reported primary counterpart</t>
        </is>
      </c>
      <c r="C8" s="20" t="inlineStr">
        <is>
          <t>jama_zahid_2025_oi_250093_1768590553.08463.pdf — DOC-001 — PDF p. 3, finite post hoc fixed-effect list; REPORT; jama_zahid_2025_oi_250093_1768590553.08463.pdf — DOC-001 — PDF p. 4, Primary Outcome adjusted analysis; REPORT; jama_zahid_2025_oi_250093_1768590553.08463.pdf — DOC-001 — PDF p. 6, Table2 notea; REPORT; joi250093supp1_prod_1768590553.08963.pdf — DOC-002 — PDF p. 92, lines2919–2926 fully adjusted models; PLAN; joi250093supp2_prod_1768590553.09463.pdf — DOC-003 — PDF p. 14, eTable9 notee; REPORT</t>
        </is>
      </c>
      <c r="D8" s="21" t="inlineStr">
        <is>
          <t>retain</t>
        </is>
      </c>
      <c r="E8" s="21" t="inlineStr">
        <is>
          <t>protocol_report</t>
        </is>
      </c>
      <c r="F8" s="21" t="inlineStr">
        <is>
          <t>primary_done</t>
        </is>
      </c>
      <c r="G8" s="20">
        <f>IFERROR(IF(LEN(TRIM(CLEAN(SUBSTITUTE(Setup!$B$2,CHAR(160)," "))))=0,"CHECK REVIEWER ID",IF(OR(A8="",COUNTIF($A$2:$A$20,A8)&lt;&gt;1,LEFT(A8,LEN("2025::jama.2025.20765::"))&lt;&gt;"2025::jama.2025.20765::"),"CHECK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§36 p92 (OCR): fully adjusted model includes tobacco use form plus baseline characteristics (education, smoking duration). Article p3/p4 and Table 2 footnote a: adjusted RR 3.2 adjusted for age, sex, education, occupation, smoking duration, 'selected post hoc'; no tobacco-use-form term (despite smokeless use 6.9% vs 2.2% imbalance). Disclosed as post hoc covariate selection.</t>
        </is>
      </c>
    </row>
    <row r="9" ht="92" customHeight="1" s="25">
      <c r="A9" s="24" t="inlineStr">
        <is>
          <t>2025::jama.2025.20765::C008</t>
        </is>
      </c>
      <c r="B9" s="24" t="inlineStr">
        <is>
          <t>CO&lt;6 sensitivity results appear under a primary-outcome status label</t>
        </is>
      </c>
      <c r="C9" s="24" t="inlineStr">
        <is>
          <t>jama_zahid_2025_oi_250093_1768590553.08463.pdf — DOC-001 — PDF p. 3, primaryCO&lt;10 and posthocCO&lt;6 sensitivity; REPORT; jama_zahid_2025_oi_250093_1768590553.08463.pdf — DOC-001 — PDF p. 6, Table2 Primary outcome block, both CO&lt;6 ITT and PP rows; REPORT; joi250093supp1_prod_1768590553.08963.pdf — DOC-002 — PDF p. 84, lines2653–2669 primary endpoint; PLAN; joi250093supp2_prod_1768590553.09463.pdf — DOC-003 — PDF p. 13, eTable9 Primary outcomes CO&lt;6row; REPORT</t>
        </is>
      </c>
      <c r="D9" s="21" t="inlineStr">
        <is>
          <t>retain</t>
        </is>
      </c>
      <c r="E9" s="21" t="inlineStr">
        <is>
          <t>protocol_report</t>
        </is>
      </c>
      <c r="F9" s="21" t="inlineStr">
        <is>
          <t>primary_done</t>
        </is>
      </c>
      <c r="G9" s="24">
        <f>IFERROR(IF(LEN(TRIM(CLEAN(SUBSTITUTE(Setup!$B$2,CHAR(160)," "))))=0,"CHECK REVIEWER ID",IF(OR(A9="",COUNTIF($A$2:$A$20,A9)&lt;&gt;1,LEFT(A9,LEN("2025::jama.2025.20765::"))&lt;&gt;"2025::jama.2025.20765::"),"CHECK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minor_presentation</t>
        </is>
      </c>
      <c r="M9" s="24" t="n"/>
      <c r="N9" s="23" t="n"/>
      <c r="O9" s="23" t="n"/>
      <c r="P9" s="23" t="n"/>
      <c r="Q9" s="23" t="n"/>
      <c r="R9" s="22" t="inlineStr">
        <is>
          <t>SAP p84 primary: CO &lt;10 ppm. Article p3-4: CO &lt;6 ppm is a post hoc sensitivity analysis (disclosed). Table 2 p6 and eTable 9 p13 list the CO&lt;6 ITT and PP rows inside the 'Primary outcome' block. The analysis is unplanned and disclosed; the table heading groups it with the primary outcome, which a reader can resolve from the text. Disclosed.</t>
        </is>
      </c>
    </row>
    <row r="10" ht="92" customHeight="1" s="25">
      <c r="A10" s="20" t="inlineStr">
        <is>
          <t>2025::jama.2025.20765::C009</t>
        </is>
      </c>
      <c r="B10" s="20" t="inlineStr">
        <is>
          <t>Primary missing-outcome handling differs between protocol and SAP/report</t>
        </is>
      </c>
      <c r="C10" s="20" t="inlineStr">
        <is>
          <t>jama_zahid_2025_oi_250093_1768590553.08463.pdf — DOC-001 — PDF p. 3, missing-primary-outcome paragraph; REPORT; jama_zahid_2025_oi_250093_1768590553.08463.pdf — DOC-001 — PDF p. 4, Figure1 attrition and analysis totals; REPORT; joi250093supp1_prod_1768590553.08963.pdf — DOC-002 — PDF p. 28, lines759–764 separately headed Statistical analysis; PLAN; joi250093supp1_prod_1768590553.08963.pdf — DOC-002 — PDF p. 66, lines2012–2016 separately headed Statistical analysis; PLAN; joi250093supp1_prod_1768590553.08963.pdf — DOC-002 — PDF p. 91, lines2890–2892 ITT and Russell Standard; PLAN</t>
        </is>
      </c>
      <c r="D10" s="21" t="inlineStr">
        <is>
          <t>retain</t>
        </is>
      </c>
      <c r="E10" s="21" t="inlineStr">
        <is>
          <t>protocol_report</t>
        </is>
      </c>
      <c r="F10" s="21" t="inlineStr">
        <is>
          <t>primary_done</t>
        </is>
      </c>
      <c r="G10" s="20">
        <f>IFERROR(IF(LEN(TRIM(CLEAN(SUBSTITUTE(Setup!$B$2,CHAR(160)," "))))=0,"CHECK REVIEWER ID",IF(OR(A10="",COUNTIF($A$2:$A$20,A10)&lt;&gt;1,LEFT(A10,LEN("2025::jama.2025.20765::"))&lt;&gt;"2025::jama.2025.20765::"),"CHECK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Protocol v4.0 p28 and v6.0 p66 (OCR): outcomes 'primarily analysed in a missing-at-random architecture' with GLMMs. SAP p91 and article p3: ITT with all missing primary outcomes counted as smoking (Russell Standard), plus complete-case analysis. 95/1080 (8.8%) missing, including 52 deaths.</t>
        </is>
      </c>
    </row>
    <row r="11" ht="92" customHeight="1" s="25">
      <c r="A11" s="24" t="inlineStr">
        <is>
          <t>2025::jama.2025.20765::C010</t>
        </is>
      </c>
      <c r="B11" s="24" t="inlineStr">
        <is>
          <t>Prespecified gender-specific primary analyses are not reported</t>
        </is>
      </c>
      <c r="C11" s="24" t="inlineStr">
        <is>
          <t>jama_zahid_2025_oi_250093_1768590553.08463.pdf — DOC-001 — PDF p. 3, prespecified subgroup list; REPORT; jama_zahid_2025_oi_250093_1768590553.08463.pdf — DOC-001 — PDF p. 5, subgroup consistency narrative; REPORT; joi250093supp1_prod_1768590553.08963.pdf — DOC-002 — PDF p. 92, lines2936–2939 subgroup analysis introduction; PLAN; joi250093supp1_prod_1768590553.08963.pdf — DOC-002 — PDF p. 93, lines2940–2952, gender and interval disclosure; PLAN; joi250093supp1_prod_1768590553.08963.pdf — DOC-002 — PDF p. 99, Gender Male/Female table shell; PLAN; joi250093supp2_prod_1768590553.09463.pdf — DOC-003 — PDF p. 12, complete eTable8; REPORT</t>
        </is>
      </c>
      <c r="D11" s="21" t="inlineStr">
        <is>
          <t>retain</t>
        </is>
      </c>
      <c r="E11" s="21" t="inlineStr">
        <is>
          <t>protocol_report</t>
        </is>
      </c>
      <c r="F11" s="21" t="inlineStr">
        <is>
          <t>primary_done</t>
        </is>
      </c>
      <c r="G11" s="24">
        <f>IFERROR(IF(LEN(TRIM(CLEAN(SUBSTITUTE(Setup!$B$2,CHAR(160)," "))))=0,"CHECK REVIEWER ID",IF(OR(A11="",COUNTIF($A$2:$A$20,A11)&lt;&gt;1,LEFT(A11,LEN("2025::jama.2025.20765::"))&lt;&gt;"2025::jama.2025.20765::"),"CHECK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t="inlineStr">
        <is>
          <t>SAP §38 pp92-93 and shell p99 (OCR): subgroups include gender (male vs female). Article p3 lists prespecified subgroups age, education, employment, smoking duration; eTable 8 p12 has no gender row (but adds 'Reading SMS'). No gender subgroup result anywhere. Only 37 women enrolled, which may explain omission, but no reason is given.</t>
        </is>
      </c>
    </row>
    <row r="12" ht="92" customHeight="1" s="25">
      <c r="A12" s="20" t="inlineStr">
        <is>
          <t>2025::jama.2025.20765::C011</t>
        </is>
      </c>
      <c r="B12" s="20" t="inlineStr">
        <is>
          <t>Current primary-data attrition assumptions differ</t>
        </is>
      </c>
      <c r="C12" s="20" t="inlineStr">
        <is>
          <t>jama_zahid_2025_oi_250093_1768590553.08463.pdf — DOC-001 — PDF p. 3, sample-size20%attrition; REPORT; joi250093supp1_prod_1768590553.08963.pdf — DOC-002 — PDF p. 48, lines1344–1347 primary-data10%; PLAN; joi250093supp1_prod_1768590553.08963.pdf — DOC-002 — PDF p. 62, lines1861–1863 primary-data10%; PLAN; joi250093supp1_prod_1768590553.08963.pdf — DOC-002 — PDF p. 63, lines1894–1898 Phase3 20%calculation; PLAN; joi250093supp1_prod_1768590553.08963.pdf — DOC-002 — PDF p. 64, lines1936–1938 Phase4 contextual20%calculation; PLAN; joi250093supp1_prod_1768590553.08963.pdf — DOC-002 — PDF p. 77, sample-sizeamendment; PLAN; joi250093supp1_prod_1768590553.08963.pdf — DOC-002 — PDF p. 83, lines2624–2638 SAP20%; PLAN</t>
        </is>
      </c>
      <c r="D12" s="21" t="inlineStr">
        <is>
          <t>exclude</t>
        </is>
      </c>
      <c r="E12" s="21" t="inlineStr">
        <is>
          <t>protocol_report</t>
        </is>
      </c>
      <c r="F12" s="21" t="inlineStr">
        <is>
          <t>primary_done</t>
        </is>
      </c>
      <c r="G12" s="20">
        <f>IFERROR(IF(LEN(TRIM(CLEAN(SUBSTITUTE(Setup!$B$2,CHAR(160)," "))))=0,"CHECK REVIEWER ID",IF(OR(A12="",COUNTIF($A$2:$A$20,A12)&lt;&gt;1,LEFT(A12,LEN("2025::jama.2025.20765::"))&lt;&gt;"2025::jama.2025.20765::"),"CHECK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inlineStr">
        <is>
          <t>Protocol v6.0 p48 and p62 (OCR) state 10% missing primary data for the whole multi-phase study (2,716 participants), but the Phase 3 calculation in the same protocol (p63) uses 20% attrition (587 to 704), as do the SAP (p83) and the article (p3). For Phase 3, plan and report agree; the 10% is a stale overall figure inside the plan (2,716 = 1080 + 1620 + 16 is itself built from 20%-inflated phase totals).</t>
        </is>
      </c>
    </row>
    <row r="13" ht="92" customHeight="1" s="25">
      <c r="A13" s="24" t="inlineStr">
        <is>
          <t>2025::jama.2025.20765::C012</t>
        </is>
      </c>
      <c r="B13" s="24" t="inlineStr">
        <is>
          <t>All-cause mortality percentage is attributed to TB-specific mortality</t>
        </is>
      </c>
      <c r="C13" s="24" t="inlineStr">
        <is>
          <t>jama_zahid_2025_oi_250093_1768590553.08463.pdf — DOC-001 — PDF p. 1, 1080randomized,corroboratingdenominator; REPORT; jama_zahid_2025_oi_250093_1768590553.08463.pdf — DOC-001 — PDF p. 4, Figure1 death25/27 and1080enrolled; REPORT; jama_zahid_2025_oi_250093_1768590553.08463.pdf — DOC-001 — PDF p. 5, TBcause32/52; REPORT; jama_zahid_2025_oi_250093_1768590553.08463.pdf — DOC-001 — PDF p. 6, Table2 deaths25/720and27/360; REPORT; jama_zahid_2025_oi_250093_1768590553.08463.pdf — DOC-001 — PDF p. 8, discussion4.8%diedofTB; REPORT; joi250093supp2_prod_1768590553.09463.pdf — DOC-003 — PDF p. 6, eTable4 total52 andTB32; REPORT</t>
        </is>
      </c>
      <c r="D13" s="21" t="inlineStr">
        <is>
          <t>retain</t>
        </is>
      </c>
      <c r="E13" s="21" t="inlineStr">
        <is>
          <t>statistical_results</t>
        </is>
      </c>
      <c r="F13" s="21" t="inlineStr">
        <is>
          <t>primary_done</t>
        </is>
      </c>
      <c r="G13" s="24">
        <f>IFERROR(IF(LEN(TRIM(CLEAN(SUBSTITUTE(Setup!$B$2,CHAR(160)," "))))=0,"CHECK REVIEWER ID",IF(OR(A13="",COUNTIF($A$2:$A$20,A13)&lt;&gt;1,LEFT(A13,LEN("2025::jama.2025.20765::"))&lt;&gt;"2025::jama.2025.20765::"),"CHECK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t="inlineStr">
        <is>
          <t>possible</t>
        </is>
      </c>
      <c r="K13" s="21">
        <f>IF(AND(OR(D13="retain",D13=""),OR(E13="report_internal_inconsistency",E13="plan_material")),"","not_applicable")</f>
        <v/>
      </c>
      <c r="L13" s="22">
        <f>IF(AND(OR(D13="retain",D13=""),E13="protocol_report"),"","not_applicable")</f>
        <v/>
      </c>
      <c r="M13" s="24" t="n"/>
      <c r="N13" s="23" t="n"/>
      <c r="O13" s="23" t="n"/>
      <c r="P13" s="23" t="n"/>
      <c r="Q13" s="23" t="n"/>
      <c r="R13" s="22" t="inlineStr">
        <is>
          <t>E changed to statistical_results (numerical misattribution). Discussion p8: '4.8% of the trial participants died of TB within 6 months'. Deaths from all causes were 52/1080 = 4.8%; TB deaths were 32/1080 = 3.0% (eTable 4 p6: 32 TB deaths; article p5: 61.5% [32/52]). The all-cause figure is presented as TB-specific mortality and used to compare with a prior trial.</t>
        </is>
      </c>
    </row>
    <row r="14" ht="92" customHeight="1" s="25">
      <c r="A14" s="20" t="inlineStr">
        <is>
          <t>2025::jama.2025.20765::C013</t>
        </is>
      </c>
      <c r="B14" s="20" t="inlineStr">
        <is>
          <t>Adverse-event narrative reverses two any-symptom arm directions</t>
        </is>
      </c>
      <c r="C14" s="20" t="inlineStr">
        <is>
          <t>jama_zahid_2025_oi_250093_1768590553.08463.pdf — DOC-001 — PDF p. 5, Adverse Events ordered percentages and summarysentence; REPORT; joi250093supp2_prod_1768590553.09463.pdf — DOC-003 — PDF p. 15, eTable10 irritability/anxiety severity rows; REPORT</t>
        </is>
      </c>
      <c r="D14" s="21" t="inlineStr">
        <is>
          <t>retain</t>
        </is>
      </c>
      <c r="E14" s="21" t="inlineStr">
        <is>
          <t>statistical_results</t>
        </is>
      </c>
      <c r="F14" s="21" t="inlineStr">
        <is>
          <t>primary_done</t>
        </is>
      </c>
      <c r="G14" s="20">
        <f>IFERROR(IF(LEN(TRIM(CLEAN(SUBSTITUTE(Setup!$B$2,CHAR(160)," "))))=0,"CHECK REVIEWER ID",IF(OR(A14="",COUNTIF($A$2:$A$20,A14)&lt;&gt;1,LEFT(A14,LEN("2025::jama.2025.20765::"))&lt;&gt;"2025::jama.2025.20765::"),"CHECK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Article p5 lists any-symptom prevalences irritability 40.5% vs 43.4% and anxiety 33.3% vs 36.8% (mHealth vs usual care), then says 'dry mouth, irritability, and anxiety were more common in the mHealth group'. For irritability and anxiety any-symptom prevalence is lower with mHealth; eTable 10 p15 shows the significant chi-square reflects more moderate/severe grades (irritability 15.5% vs 8.4%; anxiety 9.3% vs 3.9%). Epigastric pain differed significantly in the other direction and is not mentioned.</t>
        </is>
      </c>
    </row>
    <row r="15" ht="92" customHeight="1" s="25">
      <c r="A15" s="24" t="inlineStr">
        <is>
          <t>2025::jama.2025.20765::C014</t>
        </is>
      </c>
      <c r="B15" s="24" t="inlineStr">
        <is>
          <t>Fourteen interval rows do not reproduce a rule fitting other display rows</t>
        </is>
      </c>
      <c r="C15" s="24" t="inlineStr">
        <is>
          <t>jama_zahid_2025_oi_250093_1768590553.08463.pdf — DOC-001 — PDF p. 6, Table2CO10PPadjusted,CO6PPcrude/adjusted,self-reportadjusted; REPORT; joi250093supp2_prod_1768590553.09463.pdf — DOC-003 — PDF p. 12, eTable8All,age≥40,primary,secondary,active,dependent,smoking&lt;24,readingNo; REPORT; joi250093supp2_prod_1768590553.09463.pdf — DOC-003 — PDF p. 13, eTable9CO10crude/adjusted; REPORT; joi250093supp2_prod_1768590553.09463.pdf — DOC-003 — PDF p. 14, population/adjustmentnotes; REPORT</t>
        </is>
      </c>
      <c r="D15" s="21" t="inlineStr">
        <is>
          <t>retain</t>
        </is>
      </c>
      <c r="E15" s="21" t="inlineStr">
        <is>
          <t>statistical_results</t>
        </is>
      </c>
      <c r="F15" s="21" t="inlineStr">
        <is>
          <t>primary_done</t>
        </is>
      </c>
      <c r="G15" s="24">
        <f>IFERROR(IF(LEN(TRIM(CLEAN(SUBSTITUTE(Setup!$B$2,CHAR(160)," "))))=0,"CHECK REVIEWER ID",IF(OR(A15="",COUNTIF($A$2:$A$20,A15)&lt;&gt;1,LEFT(A15,LEN("2025::jama.2025.20765::"))&lt;&gt;"2025::jama.2025.20765::"),"CHECK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indeterminate</t>
        </is>
      </c>
      <c r="I15" s="21" t="inlineStr">
        <is>
          <t>indeterminate</t>
        </is>
      </c>
      <c r="J15" s="22" t="inlineStr">
        <is>
          <t>possible</t>
        </is>
      </c>
      <c r="K15" s="21">
        <f>IF(AND(OR(D15="retain",D15=""),OR(E15="report_internal_inconsistency",E15="plan_material")),"","not_applicable")</f>
        <v/>
      </c>
      <c r="L15" s="22">
        <f>IF(AND(OR(D15="retain",D15=""),E15="protocol_report"),"","not_applicable")</f>
        <v/>
      </c>
      <c r="M15" s="24" t="n"/>
      <c r="N15" s="23" t="n"/>
      <c r="O15" s="23" t="n"/>
      <c r="P15" s="23" t="n"/>
      <c r="Q15" s="23" t="n"/>
      <c r="R15" s="22" t="inlineStr">
        <is>
          <t>Ratio estimates vs geometric midpoint of their CIs (r/p20765.R): some rows are log-symmetric (eTable 8 age &lt;40: 2.672 vs 2.674; Table 2 self-report crude 2.7 vs 2.72), many are not (eTable 8 All 2.890 vs 3.056; age &gt;=40 2.953 vs 3.229; dependent 2.587 vs 2.302; eTable 9 CO&lt;10 crude 2.9 vs 3.39; Table 2 CO&lt;6 PP adjusted 3.8 vs 4.21). Asymmetric intervals can arise from legitimate methods (e.g., converted OR intervals, profile likelihood), and the interval method is not stated, so inconsistency cannot be established. Also noted: Table 2 self-report adjusted CI printed '1.9 to 42' (typo for 4.2).</t>
        </is>
      </c>
    </row>
    <row r="16" ht="92" customHeight="1" s="25">
      <c r="A16" s="20" t="inlineStr">
        <is>
          <t>2025::jama.2025.20765::C015</t>
        </is>
      </c>
      <c r="B16" s="20" t="inlineStr">
        <is>
          <t>Latest protocol and SAP prescribe different failure windows</t>
        </is>
      </c>
      <c r="C16" s="20" t="inlineStr">
        <is>
          <t>joi250093supp1_prod_1768590553.08963.pdf — DOC-002 — PDF p. 9, lines179–180 month-5 definition, explicitly headed V6.0; PLAN; joi250093supp1_prod_1768590553.08963.pdf — DOC-002 — PDF p. 47, lines1319–1320month6definition; PLAN; joi250093supp1_prod_1768590553.08963.pdf — DOC-002 — PDF p. 77, lines2413–2415 explicit5→6amendment; PLAN; joi250093supp1_prod_1768590553.08963.pdf — DOC-002 — PDF p. 85, lines2685–2686SAPmonth5; PLAN; jama_zahid_2025_oi_250093_1768590553.08463.pdf — DOC-001 — PDF p. 1, key-secondaryfailureproportions; REPORT; jama_zahid_2025_oi_250093_1768590553.08463.pdf — DOC-001 — PDF p. 3, outcomedetailpointer; REPORT; jama_zahid_2025_oi_250093_1768590553.08463.pdf — DOC-001 — PDF p. 6, Table2failure1/720versus2/360; REPORT</t>
        </is>
      </c>
      <c r="D16" s="21" t="inlineStr">
        <is>
          <t>retain</t>
        </is>
      </c>
      <c r="E16" s="21" t="inlineStr">
        <is>
          <t>plan_material</t>
        </is>
      </c>
      <c r="F16" s="21" t="inlineStr">
        <is>
          <t>primary_done</t>
        </is>
      </c>
      <c r="G16" s="20">
        <f>IFERROR(IF(LEN(TRIM(CLEAN(SUBSTITUTE(Setup!$B$2,CHAR(160)," "))))=0,"CHECK REVIEWER ID",IF(OR(A16="",COUNTIF($A$2:$A$20,A16)&lt;&gt;1,LEFT(A16,LEN("2025::jama.2025.20765::"))&lt;&gt;"2025::jama.2025.20765::"),"CHECK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t="inlineStr">
        <is>
          <t>substantive_inconsistency</t>
        </is>
      </c>
      <c r="L16" s="22">
        <f>IF(AND(OR(D16="retain",D16=""),E16="protocol_report"),"","not_applicable")</f>
        <v/>
      </c>
      <c r="M16" s="20" t="n"/>
      <c r="N16" s="23" t="n"/>
      <c r="O16" s="23" t="n"/>
      <c r="P16" s="23" t="n"/>
      <c r="Q16" s="23" t="n"/>
      <c r="R16" s="22" t="inlineStr">
        <is>
          <t>Treatment failure: protocol v4.0 p9 = smear-positive at month 5 or later; protocol v6.0 (latest) p47 = month 6 or later; change log p77 records the 5 to 6 correction; SAP p85 (which cites protocol v6.0) = month 5. The latest protocol and the SAP define the secondary outcome differently. Also, the v4.0 pages carry a running header 'V6.0 07.03.25', which confuses version identification. Report (1/720 vs 2/360) does not state which definition was used.</t>
        </is>
      </c>
    </row>
    <row r="17" ht="92" customHeight="1" s="25">
      <c r="A17" s="24" t="inlineStr">
        <is>
          <t>2025::jama.2025.20765::C016</t>
        </is>
      </c>
      <c r="B17" s="24" t="inlineStr">
        <is>
          <t>Current Phase 3 power statements retain different cluster allocations</t>
        </is>
      </c>
      <c r="C17" s="24" t="inlineStr">
        <is>
          <t>joi250093supp1_prod_1768590553.08963.pdf — DOC-002 — PDF p. 48, lines1348–1353poweroverview; PLAN; joi250093supp1_prod_1768590553.08963.pdf — DOC-002 — PDF p. 63, lines1886–1907Phase3power/allocation; PLAN; joi250093supp1_prod_1768590553.08963.pdf — DOC-002 — PDF p. 64, Phase4allocationcontext; PLAN; joi250093supp1_prod_1768590553.08963.pdf — DOC-002 — PDF p. 65, lines1958–1963repeatedpowerparagraph; PLAN; joi250093supp1_prod_1768590553.08963.pdf — DOC-002 — PDF p. 77, lines2416–2424allocationamendment; PLAN; joi250093supp1_prod_1768590553.08963.pdf — DOC-002 — PDF p. 83, lines2629–2642SAPallocation; PLAN</t>
        </is>
      </c>
      <c r="D17" s="21" t="inlineStr">
        <is>
          <t>retain</t>
        </is>
      </c>
      <c r="E17" s="21" t="inlineStr">
        <is>
          <t>plan_material</t>
        </is>
      </c>
      <c r="F17" s="21" t="inlineStr">
        <is>
          <t>primary_done</t>
        </is>
      </c>
      <c r="G17" s="24">
        <f>IFERROR(IF(LEN(TRIM(CLEAN(SUBSTITUTE(Setup!$B$2,CHAR(160)," "))))=0,"CHECK REVIEWER ID",IF(OR(A17="",COUNTIF($A$2:$A$20,A17)&lt;&gt;1,LEFT(A17,LEN("2025::jama.2025.20765::"))&lt;&gt;"2025::jama.2025.20765::"),"CHECK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t="inlineStr">
        <is>
          <t>minor_presentation</t>
        </is>
      </c>
      <c r="L17" s="22">
        <f>IF(AND(OR(D17="retain",D17=""),E17="protocol_report"),"","not_applicable")</f>
        <v/>
      </c>
      <c r="M17" s="24" t="n"/>
      <c r="N17" s="23" t="n"/>
      <c r="O17" s="23" t="n"/>
      <c r="P17" s="23" t="n"/>
      <c r="Q17" s="23" t="n"/>
      <c r="R17" s="22" t="inlineStr">
        <is>
          <t>Protocol v6.0: overview p48 and Phase 3 calculation p63 use 18 intervention vs 9 control clusters; the repeated power paragraph p65 still says 16 vs 8 (and 20 per arm for Phase 4 vs 18 at p64); the change log p77 says v6 increased from 16+8 to 18+9; SAP p83 uses 27 clusters 2:1. Stale paragraph; the operative design (18:9) is clear.</t>
        </is>
      </c>
    </row>
    <row r="18" ht="92" customHeight="1" s="25">
      <c r="A18" s="20" t="inlineStr">
        <is>
          <t>2025::jama.2025.20765::C017</t>
        </is>
      </c>
      <c r="B18" s="20" t="inlineStr">
        <is>
          <t>Two cause-of-death percentages do not reconcile within eTable 4</t>
        </is>
      </c>
      <c r="C18" s="20" t="inlineStr">
        <is>
          <t>joi250093supp2_prod_1768590553.09463.pdf — DOC-003 — PDF p. 6, eTable4usual-careDruguser,Severepneumonia,Totaldeaths; REPORT</t>
        </is>
      </c>
      <c r="D18" s="21" t="inlineStr">
        <is>
          <t>retain</t>
        </is>
      </c>
      <c r="E18" s="21" t="inlineStr">
        <is>
          <t>statistical_results</t>
        </is>
      </c>
      <c r="F18" s="21" t="inlineStr">
        <is>
          <t>primary_done</t>
        </is>
      </c>
      <c r="G18" s="20">
        <f>IFERROR(IF(LEN(TRIM(CLEAN(SUBSTITUTE(Setup!$B$2,CHAR(160)," "))))=0,"CHECK REVIEWER ID",IF(OR(A18="",COUNTIF($A$2:$A$20,A18)&lt;&gt;1,LEFT(A18,LEN("2025::jama.2025.20765::"))&lt;&gt;"2025::jama.2025.20765::"),"CHECK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t="inlineStr">
        <is>
          <t>eTable 4 p6 (rendered): usual-care column 'Drug user 1 (7.4%)' and 'Severe pneumonia 1 (7.4%)'; 1/27 = 3.7%, as printed for 'History of fall' 1 (3.7%) in the same column. Overall column also has small slips: cancer 3/52 printed 5.7% (5.8%), heart attack 8/52 printed 15.2% (15.4%).</t>
        </is>
      </c>
    </row>
    <row r="19" ht="92" customHeight="1" s="25">
      <c r="A19" s="24" t="inlineStr">
        <is>
          <t>2025::jama.2025.20765::C018</t>
        </is>
      </c>
      <c r="B19" s="24" t="inlineStr">
        <is>
          <t>Site 2008 death count and percentage do not reproduce the table denominator</t>
        </is>
      </c>
      <c r="C19" s="24" t="inlineStr">
        <is>
          <t>joi250093supp2_prod_1768590553.09463.pdf — DOC-003 — PDF p. 9, eTable6Controlsite2008cell5(7.5),otherdeathrows; REPORT; joi250093supp2_prod_1768590553.09463.pdf — DOC-003 — PDF p. 8, eTable5site2008recruitmentandITT40,observed35; REPORT</t>
        </is>
      </c>
      <c r="D19" s="21" t="inlineStr">
        <is>
          <t>retain</t>
        </is>
      </c>
      <c r="E19" s="21" t="inlineStr">
        <is>
          <t>statistical_results</t>
        </is>
      </c>
      <c r="F19" s="21" t="inlineStr">
        <is>
          <t>primary_done</t>
        </is>
      </c>
      <c r="G19" s="24">
        <f>IFERROR(IF(LEN(TRIM(CLEAN(SUBSTITUTE(Setup!$B$2,CHAR(160)," "))))=0,"CHECK REVIEWER ID",IF(OR(A19="",COUNTIF($A$2:$A$20,A19)&lt;&gt;1,LEFT(A19,LEN("2025::jama.2025.20765::"))&lt;&gt;"2025::jama.2025.20765::"),"CHECK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minor_presentation</t>
        </is>
      </c>
      <c r="J19" s="22" t="inlineStr">
        <is>
          <t>unlikely</t>
        </is>
      </c>
      <c r="K19" s="21">
        <f>IF(AND(OR(D19="retain",D19=""),OR(E19="report_internal_inconsistency",E19="plan_material")),"","not_applicable")</f>
        <v/>
      </c>
      <c r="L19" s="22">
        <f>IF(AND(OR(D19="retain",D19=""),E19="protocol_report"),"","not_applicable")</f>
        <v/>
      </c>
      <c r="M19" s="24" t="n"/>
      <c r="N19" s="23" t="n"/>
      <c r="O19" s="23" t="n"/>
      <c r="P19" s="23" t="n"/>
      <c r="Q19" s="23" t="n"/>
      <c r="R19" s="22" t="inlineStr">
        <is>
          <t>eTable 6 p9 (rendered): control site 2008 deaths '5 (7.5)'; every cluster has 40 participants (eTable 5 p8), so 5/40 = 12.5% (7.5% = 3/40). Control deaths sum to 27 only with 5, so the count is right and the percentage wrong.</t>
        </is>
      </c>
    </row>
    <row r="20" ht="92" customHeight="1" s="25">
      <c r="A20" s="20" t="inlineStr">
        <is>
          <t>2025::jama.2025.20765::C019</t>
        </is>
      </c>
      <c r="B20" s="20" t="inlineStr">
        <is>
          <t>Treatment-failure absolute difference has the opposite signed contrast</t>
        </is>
      </c>
      <c r="C20" s="20" t="inlineStr">
        <is>
          <t>joi250093supp2_prod_1768590553.09463.pdf — DOC-003 — PDF p. 13, eTable9TreatmentFailuresabsolute-difference0.5andarmrisks; REPORT; joi250093supp2_prod_1768590553.09463.pdf — DOC-003 — PDF p. 14, notebAbsolute difference; REPORT</t>
        </is>
      </c>
      <c r="D20" s="21" t="inlineStr">
        <is>
          <t>retain</t>
        </is>
      </c>
      <c r="E20" s="21" t="inlineStr">
        <is>
          <t>statistical_results</t>
        </is>
      </c>
      <c r="F20" s="21" t="inlineStr">
        <is>
          <t>primary_done</t>
        </is>
      </c>
      <c r="G20" s="20">
        <f>IFERROR(IF(LEN(TRIM(CLEAN(SUBSTITUTE(Setup!$B$2,CHAR(160)," "))))=0,"CHECK REVIEWER ID",IF(OR(A20="",COUNTIF($A$2:$A$20,A20)&lt;&gt;1,LEFT(A20,LEN("2025::jama.2025.20765::"))&lt;&gt;"2025::jama.2025.20765::"),"CHECK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minor_presentation</t>
        </is>
      </c>
      <c r="J20" s="22" t="inlineStr">
        <is>
          <t>possible</t>
        </is>
      </c>
      <c r="K20" s="21">
        <f>IF(AND(OR(D20="retain",D20=""),OR(E20="report_internal_inconsistency",E20="plan_material")),"","not_applicable")</f>
        <v/>
      </c>
      <c r="L20" s="22">
        <f>IF(AND(OR(D20="retain",D20=""),E20="protocol_report"),"","not_applicable")</f>
        <v/>
      </c>
      <c r="M20" s="20" t="n"/>
      <c r="N20" s="23" t="n"/>
      <c r="O20" s="23" t="n"/>
      <c r="P20" s="23" t="n"/>
      <c r="Q20" s="23" t="n"/>
      <c r="R20" s="22" t="inlineStr">
        <is>
          <t>eTable 9 p13: treatment failures 1/695 (0.1%) vs 2/333 (0.6%), absolute difference printed 0.5 (-0.4 to 1.3); other rows are mHealth minus usual care (e.g., 43.2 - 16.5 = 26.7), so this should be about -0.5. Same reversal in main Table 2 p6: death 3.5 vs 7.5 printed '4 (1.0 to 7.1)' and treatment failure 0.1 vs 0.5 printed '0.4 (-0.4 to 1.2)'.</t>
        </is>
      </c>
    </row>
  </sheetData>
  <autoFilter ref="A1:R20"/>
  <conditionalFormatting sqref="H2:H20">
    <cfRule type="expression" priority="8" dxfId="70">
      <formula>NOT(AND(OR($D2="retain",$D2=""),$E2="statistical_results"))</formula>
    </cfRule>
  </conditionalFormatting>
  <conditionalFormatting sqref="I2:I20">
    <cfRule type="expression" priority="9" dxfId="70">
      <formula>NOT(AND(OR($D2="retain",$D2=""),$E2="statistical_results"))</formula>
    </cfRule>
  </conditionalFormatting>
  <conditionalFormatting sqref="J2:J20">
    <cfRule type="expression" priority="10" dxfId="70">
      <formula>NOT(AND(OR($D2="retain",$D2=""),$E2="statistical_results"))</formula>
    </cfRule>
  </conditionalFormatting>
  <conditionalFormatting sqref="K2:K20">
    <cfRule type="expression" priority="11" dxfId="70">
      <formula>NOT(AND(OR($D2="retain",$D2=""),OR($E2="report_internal_inconsistency",$E2="plan_material")))</formula>
    </cfRule>
  </conditionalFormatting>
  <conditionalFormatting sqref="L2:L20">
    <cfRule type="expression" priority="12" dxfId="70">
      <formula>NOT(AND(OR($D2="retain",$D2=""),$E2="protocol_report"))</formula>
    </cfRule>
  </conditionalFormatting>
  <conditionalFormatting sqref="G2:G20">
    <cfRule type="expression" priority="13" dxfId="71">
      <formula>G2&lt;&gt;"PRIMARY READY"</formula>
    </cfRule>
  </conditionalFormatting>
  <dataValidations count="8">
    <dataValidation sqref="D2:D20" showDropDown="0" showInputMessage="0" showErrorMessage="1" allowBlank="1" errorTitle="Use a listed option" error="Choose an option; G also checks pasted entries." type="list" errorStyle="stop">
      <formula1>"retain,exclude,discuss"</formula1>
    </dataValidation>
    <dataValidation sqref="E2:E2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0" showDropDown="0" showInputMessage="0" showErrorMessage="1" allowBlank="1" errorTitle="Use a listed option" error="Choose an option; G also checks pasted entries." type="list" errorStyle="stop">
      <formula1>"no,primary_done"</formula1>
    </dataValidation>
    <dataValidation sqref="H2:H2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0" showDropDown="0" showInputMessage="0" showErrorMessage="1" allowBlank="1" errorTitle="Use a listed option" error="Choose an option; G also checks pasted entries." type="list" errorStyle="stop">
      <formula1>"direct,possible,unlikely,unknown,not_applicable"</formula1>
    </dataValidation>
    <dataValidation sqref="K2:K2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2025::jama.2025.24175::C001</t>
        </is>
      </c>
      <c r="B2" s="20" t="inlineStr">
        <is>
          <t>Primary mean/Welch versus responder/Fisher specification</t>
        </is>
      </c>
      <c r="C2" s="20" t="inlineStr">
        <is>
          <t>PLAN joi250116supp1_prod_1771885794.26255.pdf — DOC-002 p.7 synopsis, joi250116supp1_prod_1771885794.26255.pdf — p.24 primary endpoint/death rule, joi250116supp1_prod_1771885794.26255.pdf — p.25 corresponding day-15 mean, joi250116supp1_prod_1771885794.26255.pdf — p.27 Welch analysis, joi250116supp1_prod_1771885794.26255.pdf — p.66 SAP responder/death rule, joi250116supp1_prod_1771885794.26255.pdf — p.67 Fisher analysis, joi250116supp1_prod_1771885794.26255.pdf — p.68 day-15 construction, joi250116supp1_prod_1771885794.26255.pdf — p.69 day-15 responder continuation; REPORT jama_giamarellosbourboulis_2025_oi_250116_1771885794.23757.pdf — DOC-001 p.3 endpoint, jama_giamarellosbourboulis_2025_oi_250116_1771885794.23757.pdf — p.5 imputation/secondary definition, jama_giamarellosbourboulis_2025_oi_250116_1771885794.23757.pdf — p.6 Table 2 and statistical analyses.</t>
        </is>
      </c>
      <c r="D2" s="21" t="inlineStr">
        <is>
          <t>retain</t>
        </is>
      </c>
      <c r="E2" s="21" t="inlineStr">
        <is>
          <t>protocol_report</t>
        </is>
      </c>
      <c r="F2" s="21" t="inlineStr">
        <is>
          <t>primary_done</t>
        </is>
      </c>
      <c r="G2" s="20">
        <f>IFERROR(IF(LEN(TRIM(CLEAN(SUBSTITUTE(Setup!$B$2,CHAR(160)," "))))=0,"CHECK REVIEWER ID",IF(OR(A2="",COUNTIF($A$2:$A$15,A2)&lt;&gt;1,LEFT(A2,LEN("2025::jama.2025.24175::"))&lt;&gt;"2025::jama.2025.24175::"),"CHECK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v1.0 (Dec 2020) synopsis p7, endpoints p24, analysis p27 (OCR; text layer encoded): primary = comparative difference in mean total SOFA to day 9, Welch t-test; deaths use mean SOFA until death. SAP v2.0 (18 May 2024) pp66-67 and article p3/p6: responder endpoint (&gt;=1.4-point decrease), Fisher exact test, deaths imputed as SOFA 24. Report follows the SAP, which is dated after last follow-up (29 Apr 2024, article p6).</t>
        </is>
      </c>
    </row>
    <row r="3" ht="92" customHeight="1" s="25">
      <c r="A3" s="24" t="inlineStr">
        <is>
          <t>2025::jama.2025.24175::C002</t>
        </is>
      </c>
      <c r="B3" s="24" t="inlineStr">
        <is>
          <t>Home-discharge versus ICU-discharge carry-forward eligibility</t>
        </is>
      </c>
      <c r="C3" s="24" t="inlineStr">
        <is>
          <t>PLAN joi250116supp1_prod_1771885794.26255.pdf — DOC-002 p.66; REPORT jama_giamarellosbourboulis_2025_oi_250116_1771885794.23757.pdf — DOC-001 p.3 daily ICU observation, jama_giamarellosbourboulis_2025_oi_250116_1771885794.23757.pdf — p.5 home-discharge rule, jama_giamarellosbourboulis_2025_oi_250116_1771885794.23757.pdf — p.6 ICU-discharge result, joi250116supp2_prod_1771885794.27755.pdf — DOC-003 p.20 eTable 8, joi250116supp2_prod_1771885794.27755.pdf — p.46 sensitivity population.</t>
        </is>
      </c>
      <c r="D3" s="21" t="inlineStr">
        <is>
          <t>retain</t>
        </is>
      </c>
      <c r="E3" s="21" t="inlineStr">
        <is>
          <t>protocol_report</t>
        </is>
      </c>
      <c r="F3" s="21" t="inlineStr">
        <is>
          <t>primary_done</t>
        </is>
      </c>
      <c r="G3" s="24">
        <f>IFERROR(IF(LEN(TRIM(CLEAN(SUBSTITUTE(Setup!$B$2,CHAR(160)," "))))=0,"CHECK REVIEWER ID",IF(OR(A3="",COUNTIF($A$2:$A$15,A3)&lt;&gt;1,LEFT(A3,LEN("2025::jama.2025.24175::"))&lt;&gt;"2025::jama.2025.24175::"),"CHECK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indeterminate</t>
        </is>
      </c>
      <c r="M3" s="24" t="n"/>
      <c r="N3" s="23" t="n"/>
      <c r="O3" s="23" t="n"/>
      <c r="P3" s="23" t="n"/>
      <c r="Q3" s="23" t="n"/>
      <c r="R3" s="22" t="inlineStr">
        <is>
          <t>SAP p66: last SOFA carried forward for patients 'discharged home' before day 9 (and lost to follow-up). Article p5 restates the home-discharge rule, but p6 says 8.3% had scores carried forward 'because of ICU discharge earlier than day 9' (eTable 8), and the sensitivity analysis excludes patients discharged before day 9. Applied trigger (ICU discharge) differs from the planned and stated trigger (home discharge).</t>
        </is>
      </c>
    </row>
    <row r="4" ht="92" customHeight="1" s="25">
      <c r="A4" s="20" t="inlineStr">
        <is>
          <t>2025::jama.2025.24175::C003</t>
        </is>
      </c>
      <c r="B4" s="20" t="inlineStr">
        <is>
          <t>Infection and omics outcome-status pattern</t>
        </is>
      </c>
      <c r="C4" s="20" t="inlineStr">
        <is>
          <t>PLAN joi250116supp1_prod_1771885794.26255.pdf — DOC-002 p.7 synopsis, joi250116supp1_prod_1771885794.26255.pdf — p.25 detailed hierarchy, joi250116supp1_prod_1771885794.26255.pdf — p.27 infection test hierarchy, joi250116supp1_prod_1771885794.26255.pdf — p.57 resolution appendix, joi250116supp1_prod_1771885794.26255.pdf — p.70 SAP infection; REPORT jama_giamarellosbourboulis_2025_oi_250116_1771885794.23757.pdf — DOC-001 p.5 prespecified secondary endpoints, jama_giamarellosbourboulis_2025_oi_250116_1771885794.23757.pdf — p.6 main secondary table, jama_giamarellosbourboulis_2025_oi_250116_1771885794.23757.pdf — p.7 sixth secondary result.</t>
        </is>
      </c>
      <c r="D4" s="21" t="inlineStr">
        <is>
          <t>retain</t>
        </is>
      </c>
      <c r="E4" s="21" t="inlineStr">
        <is>
          <t>protocol_report</t>
        </is>
      </c>
      <c r="F4" s="21" t="inlineStr">
        <is>
          <t>primary_done</t>
        </is>
      </c>
      <c r="G4" s="20">
        <f>IFERROR(IF(LEN(TRIM(CLEAN(SUBSTITUTE(Setup!$B$2,CHAR(160)," "))))=0,"CHECK REVIEWER ID",IF(OR(A4="",COUNTIF($A$2:$A$15,A4)&lt;&gt;1,LEFT(A4,LEN("2025::jama.2025.24175::"))&lt;&gt;"2025::jama.2025.24175::"),"CHECK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p25: infection resolution and omics biomarkers are exploratory endpoints (synopsis p7 lists the omics under secondary). SAP pp68-70 lists infection resolution among secondary analyses; article p5 counts infection resolution by day 15 as the sixth prespecified secondary endpoint and reports it in Table 2 (OR 0.59, P=.02); omics endpoints are not mentioned. Outcome-status change relative to the protocol.</t>
        </is>
      </c>
    </row>
    <row r="5" ht="92" customHeight="1" s="25">
      <c r="A5" s="24" t="inlineStr">
        <is>
          <t>2025::jama.2025.24175::C004</t>
        </is>
      </c>
      <c r="B5" s="24" t="inlineStr">
        <is>
          <t>Immune-reversal endpoint window, composite and ascertainment</t>
        </is>
      </c>
      <c r="C5" s="24" t="inlineStr">
        <is>
          <t>PLAN joi250116supp1_prod_1771885794.26255.pdf — DOC-002 p.25, joi250116supp1_prod_1771885794.26255.pdf — p.69, joi250116supp1_prod_1771885794.26255.pdf — p.70 continuation; REPORT jama_giamarellosbourboulis_2025_oi_250116_1771885794.23757.pdf — DOC-001 p.5 definition, jama_giamarellosbourboulis_2025_oi_250116_1771885794.23757.pdf — p.6 Table 2/footnote, jama_giamarellosbourboulis_2025_oi_250116_1771885794.23757.pdf — p.7 by-day-28 result, joi250116supp2_prod_1771885794.27755.pdf — DOC-003 p.50 eFigure 6.</t>
        </is>
      </c>
      <c r="D5" s="21" t="inlineStr">
        <is>
          <t>retain</t>
        </is>
      </c>
      <c r="E5" s="21" t="inlineStr">
        <is>
          <t>protocol_report</t>
        </is>
      </c>
      <c r="F5" s="21" t="inlineStr">
        <is>
          <t>primary_done</t>
        </is>
      </c>
      <c r="G5" s="24">
        <f>IFERROR(IF(LEN(TRIM(CLEAN(SUBSTITUTE(Setup!$B$2,CHAR(160)," "))))=0,"CHECK REVIEWER ID",IF(OR(A5="",COUNTIF($A$2:$A$15,A5)&lt;&gt;1,LEFT(A5,LEN("2025::jama.2025.24175::"))&lt;&gt;"2025::jama.2025.24175::"),"CHECK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p25 and SAP pp69-70: reversal of immune dysfunction censored at day 15; MALS = ferritin decrease &gt;=15% by day 15; immunoparalysis = HLA-DR &gt;8000 (protocol also ferritin &lt;4420); deaths count as non-reversal. Article p5-7, Table 2 footnote b: reversal 'by day 28', must persist over subsequent draws, &gt;=2 serial draws required, evaluated in a subset of 125 patients (59 vs 66).</t>
        </is>
      </c>
    </row>
    <row r="6" ht="92" customHeight="1" s="25">
      <c r="A6" s="20" t="inlineStr">
        <is>
          <t>2025::jama.2025.24175::C005</t>
        </is>
      </c>
      <c r="B6" s="20" t="inlineStr">
        <is>
          <t>Continuous versus binary primary-outcome power basis</t>
        </is>
      </c>
      <c r="C6" s="20" t="inlineStr">
        <is>
          <t>PLAN joi250116supp1_prod_1771885794.26255.pdf — DOC-002 p.25 power introduction, joi250116supp1_prod_1771885794.26255.pdf — p.26 calculation; REPORT jama_giamarellosbourboulis_2025_oi_250116_1771885794.23757.pdf — DOC-001 p.5 Sample Size Calculation. The complete supplied SAP pp.63–72 has no revised binary power calculation.</t>
        </is>
      </c>
      <c r="D6" s="21" t="inlineStr">
        <is>
          <t>retain</t>
        </is>
      </c>
      <c r="E6" s="21" t="inlineStr">
        <is>
          <t>protocol_report</t>
        </is>
      </c>
      <c r="F6" s="21" t="inlineStr">
        <is>
          <t>primary_done</t>
        </is>
      </c>
      <c r="G6" s="20">
        <f>IFERROR(IF(LEN(TRIM(CLEAN(SUBSTITUTE(Setup!$B$2,CHAR(160)," "))))=0,"CHECK REVIEWER ID",IF(OR(A6="",COUNTIF($A$2:$A$15,A6)&lt;&gt;1,LEFT(A6,LEN("2025::jama.2025.24175::"))&lt;&gt;"2025::jama.2025.24175::"),"CHECK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Protocol pp25-26 (OCR): power for a 1.4-point difference in mean SOFA, SD 3.2, two-sided t-test, 90% power. Article p5: powered for responder proportions 40% vs 20%, 117 per group, 280 with 15% dropout. The SAP (pp63-72) contains no binary power calculation. Recomputed: t-test 1.4/3.2 at 90% gives 111 per group; two proportions 40% vs 20% gives 108 per group (power.prop.test, no continuity correction).</t>
        </is>
      </c>
    </row>
    <row r="7" ht="92" customHeight="1" s="25">
      <c r="A7" s="24" t="inlineStr">
        <is>
          <t>2025::jama.2025.24175::C006</t>
        </is>
      </c>
      <c r="B7" s="24" t="inlineStr">
        <is>
          <t>Binary planned versus ordinal reported infection analysis</t>
        </is>
      </c>
      <c r="C7" s="24" t="inlineStr">
        <is>
          <t>PLAN joi250116supp1_prod_1771885794.26255.pdf — DOC-002 p.27 Fisher/Mantel–Haenszel infection analysis, joi250116supp1_prod_1771885794.26255.pdf — p.70 binary resolved/not-resolved SAP analysis; REPORT jama_giamarellosbourboulis_2025_oi_250116_1771885794.23757.pdf — DOC-001 p.6 Table 2/statistical analysis/SAP-following statement, jama_giamarellosbourboulis_2025_oi_250116_1771885794.23757.pdf — p.7 ordinal result, joi250116supp2_prod_1771885794.27755.pdf — DOC-003 p.49 four-state figure.</t>
        </is>
      </c>
      <c r="D7" s="21" t="inlineStr">
        <is>
          <t>retain</t>
        </is>
      </c>
      <c r="E7" s="21" t="inlineStr">
        <is>
          <t>protocol_report</t>
        </is>
      </c>
      <c r="F7" s="21" t="inlineStr">
        <is>
          <t>primary_done</t>
        </is>
      </c>
      <c r="G7" s="24">
        <f>IFERROR(IF(LEN(TRIM(CLEAN(SUBSTITUTE(Setup!$B$2,CHAR(160)," "))))=0,"CHECK REVIEWER ID",IF(OR(A7="",COUNTIF($A$2:$A$15,A7)&lt;&gt;1,LEFT(A7,LEN("2025::jama.2025.24175::"))&lt;&gt;"2025::jama.2025.24175::"),"CHECK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Protocol p27 and SAP p70: infection resolution analyzed as binary (resolved vs not) by Fisher exact test with Mantel-Haenszel OR, also by infection type and immune stratum. Article p6-7: 4-category ordinal regression (resolved, intermediate, failure, superinfection), OR 0.59 (0.38-0.91) for worse outcome, while p6 says all secondary end points were compared by Fisher exact test and all analyses followed the SAP.</t>
        </is>
      </c>
    </row>
    <row r="8" ht="92" customHeight="1" s="25">
      <c r="A8" s="20" t="inlineStr">
        <is>
          <t>2025::jama.2025.24175::C007</t>
        </is>
      </c>
      <c r="B8" s="20" t="inlineStr">
        <is>
          <t>Prespecified primary and key-secondary analysis families not located</t>
        </is>
      </c>
      <c r="C8" s="20" t="inlineStr">
        <is>
          <t>PLAN joi250116supp1_prod_1771885794.26255.pdf — DOC-002 p.67 immune-state response homogeneity, joi250116supp1_prod_1771885794.26255.pdf — p.68 survivor secondary means and 28-day immune-state mortality, joi250116supp1_prod_1771885794.26255.pdf — p.71 severity/homogeneity and antibiotics, joi250116supp1_prod_1771885794.26255.pdf — p.72 antibiotic-primary continuation; REPORT jama_giamarellosbourboulis_2025_oi_250116_1771885794.23757.pdf — DOC-001 p.5 endpoint definitions, jama_giamarellosbourboulis_2025_oi_250116_1771885794.23757.pdf — p.6 methods/results, jama_giamarellosbourboulis_2025_oi_250116_1771885794.23757.pdf — p.7 response/mortality/post hoc results, jama_giamarellosbourboulis_2025_oi_250116_1771885794.23757.pdf — p.8 interaction continuation, joi250116supp2_prod_1771885794.27755.pdf — DOC-003 p.16 antibiotic footnote, joi250116supp2_prod_1771885794.27755.pdf — p.21 primary model, joi250116supp2_prod_1771885794.27755.pdf — p.22 immune response, joi250116supp2_prod_1771885794.27755.pdf — p.23 subset baseline, joi250116supp2_prod_1771885794.27755.pdf — p.24 subset baseline continuation, joi250116supp2_prod_1771885794.27755.pdf — p.47 overall mortality, joi250116supp2_prod_1771885794.27755.pdf — p.51 primary severity, joi250116supp2_prod_1771885794.27755.pdf — p.52 28-day severity, joi250116supp2_prod_1771885794.27755.pdf — p.53 90-day severity, with absence assessed against complete DOC-001 pp.1–12 and DOC-003 pp.1–54 result maps and source-linked text.</t>
        </is>
      </c>
      <c r="D8" s="21" t="inlineStr">
        <is>
          <t>retain</t>
        </is>
      </c>
      <c r="E8" s="21" t="inlineStr">
        <is>
          <t>protocol_report</t>
        </is>
      </c>
      <c r="F8" s="21" t="inlineStr">
        <is>
          <t>primary_done</t>
        </is>
      </c>
      <c r="G8" s="20">
        <f>IFERROR(IF(LEN(TRIM(CLEAN(SUBSTITUTE(Setup!$B$2,CHAR(160)," "))))=0,"CHECK REVIEWER ID",IF(OR(A8="",COUNTIF($A$2:$A$15,A8)&lt;&gt;1,LEFT(A8,LEN("2025::jama.2025.24175::"))&lt;&gt;"2025::jama.2025.24175::"),"CHECK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SAP pp67-72 (OCR): Breslow-Day/Tarone homogeneity tests across immune states and severity subgroups; survivor-only mean SOFA t-tests by immune state (days 9 and 15); 28- and 90-day mortality by immune state; separate primary-endpoint analysis by appropriate vs inappropriate antibiotics. None found in the article or the 54-page supplement (searched for Breslow, Tarone, survivors, appropriate antibiotics; checked eTable/eFigure list).</t>
        </is>
      </c>
    </row>
    <row r="9" ht="92" customHeight="1" s="25">
      <c r="A9" s="24" t="inlineStr">
        <is>
          <t>2025::jama.2025.24175::C008</t>
        </is>
      </c>
      <c r="B9" s="24" t="inlineStr">
        <is>
          <t>Unadjusted day-15 immunoparalysis odds ratio does not reconcile with its counts</t>
        </is>
      </c>
      <c r="C9" s="24" t="inlineStr">
        <is>
          <t>joi250116supp2_prod_1771885794.27755.pdf — physical PDF p.22, eTable 10, final day-15 immunoparalysis row and all three companion rows.</t>
        </is>
      </c>
      <c r="D9" s="21" t="inlineStr">
        <is>
          <t>retain</t>
        </is>
      </c>
      <c r="E9" s="21" t="inlineStr">
        <is>
          <t>statistical_results</t>
        </is>
      </c>
      <c r="F9" s="21" t="inlineStr">
        <is>
          <t>primary_done</t>
        </is>
      </c>
      <c r="G9" s="24">
        <f>IFERROR(IF(LEN(TRIM(CLEAN(SUBSTITUTE(Setup!$B$2,CHAR(160)," "))))=0,"CHECK REVIEWER ID",IF(OR(A9="",COUNTIF($A$2:$A$15,A9)&lt;&gt;1,LEFT(A9,LEN("2025::jama.2025.24175::"))&lt;&gt;"2025::jama.2025.24175::"),"CHECK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eTable 10 p22: day-15 immunoparalysis 40/106 vs 29/122, OR printed 1.194 (1.09 to 3.45). Crude OR = (40/66)/(29/93) = 1.94 (Fisher conditional 1.94); geometric midpoint of the printed CI = 1.94. Transposed digits (1.944 printed as 1.194); the printed point lies at the edge of its own CI.</t>
        </is>
      </c>
    </row>
    <row r="10" ht="92" customHeight="1" s="25">
      <c r="A10" s="20" t="inlineStr">
        <is>
          <t>2025::jama.2025.24175::C009</t>
        </is>
      </c>
      <c r="B10" s="20" t="inlineStr">
        <is>
          <t>MALS number-needed-to-harm direction does not reconcile with patient risks</t>
        </is>
      </c>
      <c r="C10" s="20" t="inlineStr">
        <is>
          <t>joi250116supp2_prod_1771885794.27755.pdf — physical PDF p.27, eTable 13, MALS Any SAE row; joi250116supp2_prod_1771885794.27755.pdf — physical PDF p.44, eTable 15, MALS NNH1 and induce-harm definition. Definition support: joi250116supp2_prod_1771885794.27755.pdf — physical PDF p.29, eTable 13 footnote a.</t>
        </is>
      </c>
      <c r="D10" s="21" t="inlineStr">
        <is>
          <t>retain</t>
        </is>
      </c>
      <c r="E10" s="21" t="inlineStr">
        <is>
          <t>statistical_results</t>
        </is>
      </c>
      <c r="F10" s="21" t="inlineStr">
        <is>
          <t>primary_done</t>
        </is>
      </c>
      <c r="G10" s="20">
        <f>IFERROR(IF(LEN(TRIM(CLEAN(SUBSTITUTE(Setup!$B$2,CHAR(160)," "))))=0,"CHECK REVIEWER ID",IF(OR(A10="",COUNTIF($A$2:$A$15,A10)&lt;&gt;1,LEFT(A10,LEN("2025::jama.2025.24175::"))&lt;&gt;"2025::jama.2025.24175::"),"CHECK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eTable 13 p27: MALS any serious TEAE 20/25 (80.0%) anakinra vs 21/23 (91.3%) placebo. eTable 15 p44 reports 'number needed to treat to induce at least 1 serious TEAE (NNH1)' = 8.8 (3.2 to 10.0). Risk is lower with anakinra: RD -11.3 points, 1/RD = -8.8, i.e., a number needed to benefit, not to harm.</t>
        </is>
      </c>
    </row>
    <row r="11" ht="92" customHeight="1" s="25">
      <c r="A11" s="24" t="inlineStr">
        <is>
          <t>2025::jama.2025.24175::C010</t>
        </is>
      </c>
      <c r="B11" s="24" t="inlineStr">
        <is>
          <t>Finite NNH1 intervals versus nonsignificant source-specified safety comparisons</t>
        </is>
      </c>
      <c r="C11" s="24" t="inlineStr">
        <is>
          <t>joi250116supp2_prod_1771885794.27755.pdf — physical PDF p.27, eTable 13, MALS and immunoparalysis Any SAE patient rows; joi250116supp2_prod_1771885794.27755.pdf — physical PDF p.44, eTable 15, both NNH1 intervals. Patient-count support: joi250116supp2_prod_1771885794.27755.pdf — physical PDF p.29, footnote a. Test corroboration: jama_giamarellosbourboulis_2025_oi_250116_1771885794.23757.pdf — physical PDF p.6, significance and SAP-following statements; joi250116supp1_prod_1771885794.26255.pdf — physical PDF p.70, SAP Safety and two-sided significance specification.</t>
        </is>
      </c>
      <c r="D11" s="21" t="inlineStr">
        <is>
          <t>retain</t>
        </is>
      </c>
      <c r="E11" s="21" t="inlineStr">
        <is>
          <t>statistical_results</t>
        </is>
      </c>
      <c r="F11" s="21" t="inlineStr">
        <is>
          <t>primary_done</t>
        </is>
      </c>
      <c r="G11" s="24">
        <f>IFERROR(IF(LEN(TRIM(CLEAN(SUBSTITUTE(Setup!$B$2,CHAR(160)," "))))=0,"CHECK REVIEWER ID",IF(OR(A11="",COUNTIF($A$2:$A$15,A11)&lt;&gt;1,LEFT(A11,LEN("2025::jama.2025.24175::"))&lt;&gt;"2025::jama.2025.24175::"),"CHECK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15 p44 gives finite NNH1 intervals for comparisons that are not significant: MALS 8.8 (3.2 to 10.0) for 20/25 vs 21/23 (RD -11.3, 95% CI -30.8 to 8.2; Fisher P=.42); immunoparalysis 47.6 (9.9 to 55.8) for 96/106 vs 108/122 (RD 2.0, 95% CI -5.9 to 10.0; Fisher P=.67). When the RD CI includes 0, the NNT/NNH interval must pass through infinity (e.g., NNH 10.0 to infinity and NNTB 17 to infinity). Total NNH1 200 (-14.1 to 1220) is also not a valid construction.</t>
        </is>
      </c>
    </row>
    <row r="12" ht="92" customHeight="1" s="25">
      <c r="A12" s="20" t="inlineStr">
        <is>
          <t>2025::jama.2025.24175::C011</t>
        </is>
      </c>
      <c r="B12" s="20" t="inlineStr">
        <is>
          <t>Five subgroup P values do not reproduce under the companion-row test</t>
        </is>
      </c>
      <c r="C12" s="20" t="inlineStr">
        <is>
          <t>joi250116supp2_prod_1771885794.27755.pdf — physical PDF p.51, eFigure 7 panel A, primary response, APACHE II≥25, CCI≥5 and SOFA≥10 rows; joi250116supp2_prod_1771885794.27755.pdf — physical PDF p.52, eFigure 8 panel A, 28-day mortality, SOFA≥10 row; joi250116supp2_prod_1771885794.27755.pdf — physical PDF p.53, eFigure 9 panel A, 90-day mortality, SOFA≥10 row. Each page's remaining panel-A rows supplies companion evidence. Corroborating methods: jama_giamarellosbourboulis_2025_oi_250116_1771885794.23757.pdf — physical PDF p.6.</t>
        </is>
      </c>
      <c r="D12" s="21" t="inlineStr">
        <is>
          <t>retain</t>
        </is>
      </c>
      <c r="E12" s="21" t="inlineStr">
        <is>
          <t>statistical_results</t>
        </is>
      </c>
      <c r="F12" s="21" t="inlineStr">
        <is>
          <t>primary_done</t>
        </is>
      </c>
      <c r="G12" s="20">
        <f>IFERROR(IF(LEN(TRIM(CLEAN(SUBSTITUTE(Setup!$B$2,CHAR(160)," "))))=0,"CHECK REVIEWER ID",IF(OR(A12="",COUNTIF($A$2:$A$15,A12)&lt;&gt;1,LEFT(A12,LEN("2025::jama.2025.24175::"))&lt;&gt;"2025::jama.2025.24175::"),"CHECK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probable_issue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eFigures 7-9 panel A (supp2 pp51-53, rendered): Fisher exact tests on the printed counts reproduce 13 of 18 P values exactly (e.g., .475, .083, .472, .231, .721, .045), but not five: eFig7 APACHE&gt;=25 printed .439 (Fisher .303), CCI&gt;=5 .003 (&lt;.001), SOFA&gt;=10 .035 (.007); eFig8 SOFA&gt;=10 .045 (.034); eFig9 SOFA&gt;=10 .209 (.147). No other standard test (chi-square, Yates) reproduces them either. Qualitative conclusions unchanged.</t>
        </is>
      </c>
    </row>
    <row r="13" ht="92" customHeight="1" s="25">
      <c r="A13" s="24" t="inlineStr">
        <is>
          <t>2025::jama.2025.24175::C012</t>
        </is>
      </c>
      <c r="B13" s="24" t="inlineStr">
        <is>
          <t>Repeated APACHE coefficient does not reproduce the companion interval construction</t>
        </is>
      </c>
      <c r="C13" s="24" t="inlineStr">
        <is>
          <t>joi250116supp2_prod_1771885794.27755.pdf — physical PDF p.51, eFigure 7 panel B, APACHE II≥25 main-effect row and five companions; joi250116supp2_prod_1771885794.27755.pdf — physical PDF p.52, eFigure 8 panel B, corresponding row and five companions.</t>
        </is>
      </c>
      <c r="D13" s="21" t="inlineStr">
        <is>
          <t>retain</t>
        </is>
      </c>
      <c r="E13" s="21" t="inlineStr">
        <is>
          <t>statistical_results</t>
        </is>
      </c>
      <c r="F13" s="21" t="inlineStr">
        <is>
          <t>primary_done</t>
        </is>
      </c>
      <c r="G13" s="24">
        <f>IFERROR(IF(LEN(TRIM(CLEAN(SUBSTITUTE(Setup!$B$2,CHAR(160)," "))))=0,"CHECK REVIEWER ID",IF(OR(A13="",COUNTIF($A$2:$A$15,A13)&lt;&gt;1,LEFT(A13,LEN("2025::jama.2025.24175::"))&lt;&gt;"2025::jama.2025.24175::"),"CHECK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eFigures 7 and 8 panel B: 'APACHE II &gt;=25' OR 0.47 (95% CI 0.30-1.62), P=.70. The CI's geometric midpoint is 0.70; with that CI, OR 0.47 implies P=0.08 and OR 0.70 implies P=0.40. The other five rows reproduce (e.g., CCI&gt;=5 0.22 [0.09-0.53] midpoint 0.22, P .001; SOFA&gt;=10 0.56 [0.27-1.19], P .13). The row is internally inconsistent.</t>
        </is>
      </c>
    </row>
    <row r="14" ht="92" customHeight="1" s="25">
      <c r="A14" s="20" t="inlineStr">
        <is>
          <t>2025::jama.2025.24175::C013</t>
        </is>
      </c>
      <c r="B14" s="20" t="inlineStr">
        <is>
          <t>Complete six-row output has unresolved attribution to two outcomes</t>
        </is>
      </c>
      <c r="C14" s="20" t="inlineStr">
        <is>
          <t>joi250116supp2_prod_1771885794.27755.pdf — physical PDF p.51, eFigure 7 complete panel B and primary-response caption; joi250116supp2_prod_1771885794.27755.pdf — physical PDF p.52, eFigure 8 complete panel B and 28-day-mortality caption. Narrative corroboration: jama_giamarellosbourboulis_2025_oi_250116_1771885794.23757.pdf — physical PDF p.7, Post Hoc and Subgroup Analyses opening; jama_giamarellosbourboulis_2025_oi_250116_1771885794.23757.pdf — physical PDF p.8, interaction continuation.</t>
        </is>
      </c>
      <c r="D14" s="21" t="inlineStr">
        <is>
          <t>retain</t>
        </is>
      </c>
      <c r="E14" s="21" t="inlineStr">
        <is>
          <t>statistical_results</t>
        </is>
      </c>
      <c r="F14" s="21" t="inlineStr">
        <is>
          <t>primary_done</t>
        </is>
      </c>
      <c r="G14" s="20">
        <f>IFERROR(IF(LEN(TRIM(CLEAN(SUBSTITUTE(Setup!$B$2,CHAR(160)," "))))=0,"CHECK REVIEWER ID",IF(OR(A14="",COUNTIF($A$2:$A$15,A14)&lt;&gt;1,LEFT(A14,LEN("2025::jama.2025.24175::"))&lt;&gt;"2025::jama.2025.24175::"),"CHECK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direct</t>
        </is>
      </c>
      <c r="K14" s="21">
        <f>IF(AND(OR(D14="retain",D14=""),OR(E14="report_internal_inconsistency",E14="plan_material")),"","not_applicable")</f>
        <v/>
      </c>
      <c r="L14" s="22">
        <f>IF(AND(OR(D14="retain",D14=""),E14="protocol_report"),"","not_applicable")</f>
        <v/>
      </c>
      <c r="M14" s="20" t="n"/>
      <c r="N14" s="23" t="n"/>
      <c r="O14" s="23" t="n"/>
      <c r="P14" s="23" t="n"/>
      <c r="Q14" s="23" t="n"/>
      <c r="R14" s="22" t="inlineStr">
        <is>
          <t>E changed to statistical_results (one numerical output attributed to two outcomes). eFigure 7 panel B (primary endpoint interactions) and eFigure 8 panel B (28-day mortality interactions) are identical in all six rows (e.g., CCI&gt;=5 x treatment 5.79 [2.34-15.05], P&lt;.0001; SOFA&gt;=10 x treatment 3.08 [1.37-6.96], P=.007). Article p7-8 reports significant CCI and SOFA interactions for both outcomes from these panels. Panel A data differ between the two outcomes (e.g., CCI&gt;=5 OR 5.80 for response vs 0.42 for death), so identical interaction models are implausible.</t>
        </is>
      </c>
    </row>
    <row r="15" ht="92" customHeight="1" s="25">
      <c r="A15" s="24" t="inlineStr">
        <is>
          <t>2025::jama.2025.24175::C014</t>
        </is>
      </c>
      <c r="B15" s="24" t="inlineStr">
        <is>
          <t>90-day APACHE-treatment point lies outside its stated confidence interval</t>
        </is>
      </c>
      <c r="C15" s="24" t="inlineStr">
        <is>
          <t>joi250116supp2_prod_1771885794.27755.pdf — physical PDF p.53, eFigure 9 panel B, APACHE II≥25×precision-immunotherapy row and 90-day-mortality caption.</t>
        </is>
      </c>
      <c r="D15" s="21" t="inlineStr">
        <is>
          <t>retain</t>
        </is>
      </c>
      <c r="E15" s="21" t="inlineStr">
        <is>
          <t>statistical_results</t>
        </is>
      </c>
      <c r="F15" s="21" t="inlineStr">
        <is>
          <t>primary_done</t>
        </is>
      </c>
      <c r="G15" s="24">
        <f>IFERROR(IF(LEN(TRIM(CLEAN(SUBSTITUTE(Setup!$B$2,CHAR(160)," "))))=0,"CHECK REVIEWER ID",IF(OR(A15="",COUNTIF($A$2:$A$15,A15)&lt;&gt;1,LEFT(A15,LEN("2025::jama.2025.24175::"))&lt;&gt;"2025::jama.2025.24175::"),"CHECK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possible</t>
        </is>
      </c>
      <c r="K15" s="21">
        <f>IF(AND(OR(D15="retain",D15=""),OR(E15="report_internal_inconsistency",E15="plan_material")),"","not_applicable")</f>
        <v/>
      </c>
      <c r="L15" s="22">
        <f>IF(AND(OR(D15="retain",D15=""),E15="protocol_report"),"","not_applicable")</f>
        <v/>
      </c>
      <c r="M15" s="24" t="n"/>
      <c r="N15" s="23" t="n"/>
      <c r="O15" s="23" t="n"/>
      <c r="P15" s="23" t="n"/>
      <c r="Q15" s="23" t="n"/>
      <c r="R15" s="22" t="inlineStr">
        <is>
          <t>eFigure 9 panel B (90-day mortality): 'APACHE II &gt;=25 x Precision Immunotherapy' OR 0.11 (95% CI 0.36-3.42), P=.86. The point lies outside its CI; the geometric midpoint is 1.11, which gives P=0.86 with that CI. Likely 1.11 printed as 0.11.</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2025::jama.2025.4390::C001</t>
        </is>
      </c>
      <c r="B2" s="20" t="inlineStr">
        <is>
          <t>Figure 3 primary and subgroup rate quantity/scale</t>
        </is>
      </c>
      <c r="C2" s="20" t="inlineStr">
        <is>
          <t>REPORT jama_garrison_2025_oi_250019_1749674951.29054.pdf — physical PDF p. 9; REPORT jama_garrison_2025_oi_250019_1749674951.29054.pdf — physical PDF p. 8; REPORT jama_garrison_2025_oi_250019_1749674951.29054.pdf — physical PDF p. 1; REPORT jama_garrison_2025_oi_250019_1749674951.29054.pdf — physical PDF p. 2; REPORT jama_garrison_2025_oi_250019_1749674951.29054.pdf — physical PDF p. 6</t>
        </is>
      </c>
      <c r="D2" s="21" t="inlineStr">
        <is>
          <t>retain</t>
        </is>
      </c>
      <c r="E2" s="21" t="inlineStr">
        <is>
          <t>statistical_results</t>
        </is>
      </c>
      <c r="F2" s="21" t="inlineStr">
        <is>
          <t>primary_done</t>
        </is>
      </c>
      <c r="G2" s="20">
        <f>IFERROR(IF(LEN(TRIM(CLEAN(SUBSTITUTE(Setup!$B$2,CHAR(160)," "))))=0,"CHECK REVIEWER ID",IF(OR(A2="",COUNTIF($A$2:$A$14,A2)&lt;&gt;1,LEFT(A2,LEN("2025::jama.2025.4390::"))&lt;&gt;"2025::jama.2025.4390::"),"CHECK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Figure 3 p9 columns headed 'Rate per 100 patient-years' print 71.0 and 71.0 for all patients (and 30.5/30.4 for men, etc.), whereas Table 2 p8 rates are 2.30 and 2.44. The printed values are total patient-years in hundreds: 163/71.0 = 2.30 and 173/71.0 = 2.44; men 80/30.5 = 2.62. Column label is wrong for all subgroup rows; HRs unaffected. Note: the supplied article PDF carries prior highlight annotations on these cells (see summary).</t>
        </is>
      </c>
    </row>
    <row r="3" ht="92" customHeight="1" s="25">
      <c r="A3" s="24" t="inlineStr">
        <is>
          <t>2025::jama.2025.4390::C002</t>
        </is>
      </c>
      <c r="B3" s="24" t="inlineStr">
        <is>
          <t>Utilization endpoint restriction</t>
        </is>
      </c>
      <c r="C3" s="24" t="inlineStr">
        <is>
          <t>PLAN joi250019supp1_prod_1749674951.29554.pdf — physical PDF p. 3; PLAN joi250019supp2_prod_1749674951.30054.pdf — physical PDF p. 2; PLAN joi250019supp2_prod_1749674951.30054.pdf — physical PDF p. 4; REPORT jama_garrison_2025_oi_250019_1749674951.29054.pdf — physical PDF p. 1; REPORT jama_garrison_2025_oi_250019_1749674951.29054.pdf — physical PDF p. 3; REPORT jama_garrison_2025_oi_250019_1749674951.29054.pdf — physical PDF p. 8; REPORT joi250019supp3_prod_1749674951.30054.pdf — physical PDF p. 15</t>
        </is>
      </c>
      <c r="D3" s="21" t="inlineStr">
        <is>
          <t>retain</t>
        </is>
      </c>
      <c r="E3" s="21" t="inlineStr">
        <is>
          <t>protocol_report</t>
        </is>
      </c>
      <c r="F3" s="21" t="inlineStr">
        <is>
          <t>primary_done</t>
        </is>
      </c>
      <c r="G3" s="24">
        <f>IFERROR(IF(LEN(TRIM(CLEAN(SUBSTITUTE(Setup!$B$2,CHAR(160)," "))))=0,"CHECK REVIEWER ID",IF(OR(A3="",COUNTIF($A$2:$A$14,A3)&lt;&gt;1,LEFT(A3,LEN("2025::jama.2025.4390::"))&lt;&gt;"2025::jama.2025.4390::"),"CHECK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(May 2016) p3: secondary 'all-cause hospital admission'; SAP (Dec 2021) p2/p4: 'all-cause hospitalization / ED visit'. Article p3/p8: 'all-cause unplanned hospitalization/ED visit'; eAppendix Section 3 p15 defines 'unplanned' and excludes elective admissions and procedures. The 'unplanned' restriction is not in either plan and is not among the disclosed outcome changes (eAppendix Section 5 p21).</t>
        </is>
      </c>
    </row>
    <row r="4" ht="92" customHeight="1" s="25">
      <c r="A4" s="20" t="inlineStr">
        <is>
          <t>2025::jama.2025.4390::C003</t>
        </is>
      </c>
      <c r="B4" s="20" t="inlineStr">
        <is>
          <t>Adaptive diuretic decision time/population</t>
        </is>
      </c>
      <c r="C4" s="20" t="inlineStr">
        <is>
          <t>PLAN joi250019supp1_prod_1749674951.29554.pdf — physical PDF p. 4; REPORT jama_garrison_2025_oi_250019_1749674951.29054.pdf — physical PDF p. 2</t>
        </is>
      </c>
      <c r="D4" s="21" t="inlineStr">
        <is>
          <t>retain</t>
        </is>
      </c>
      <c r="E4" s="21" t="inlineStr">
        <is>
          <t>protocol_report</t>
        </is>
      </c>
      <c r="F4" s="21" t="inlineStr">
        <is>
          <t>primary_done</t>
        </is>
      </c>
      <c r="G4" s="20">
        <f>IFERROR(IF(LEN(TRIM(CLEAN(SUBSTITUTE(Setup!$B$2,CHAR(160)," "))))=0,"CHECK REVIEWER ID",IF(OR(A4="",COUNTIF($A$2:$A$14,A4)&lt;&gt;1,LEFT(A4,LEN("2025::jama.2025.4390::"))&lt;&gt;"2025::jama.2025.4390::"),"CHECK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version_timing</t>
        </is>
      </c>
      <c r="M4" s="20" t="n"/>
      <c r="N4" s="23" t="n"/>
      <c r="O4" s="23" t="n"/>
      <c r="P4" s="23" t="n"/>
      <c r="Q4" s="23" t="n"/>
      <c r="R4" s="22" t="inlineStr">
        <is>
          <t>Original protocol p4: after 200 diuretic-only patients enrolled, analyze 6-week compliance to allocation for all BP meds among bedtime-allocated patients; exclude further diuretic-only enrollment if diuretic compliance is worse. Article p2: 'predefined interim assessment of 6-month adherence to bedtime diuretic use in participants taking monotherapy', citing the published protocol (ref 20), which is not supplied. Amendment log (supp1 pp5-18) records no change.</t>
        </is>
      </c>
    </row>
    <row r="5" ht="92" customHeight="1" s="25">
      <c r="A5" s="24" t="inlineStr">
        <is>
          <t>2025::jama.2025.4390::C004</t>
        </is>
      </c>
      <c r="B5" s="24" t="inlineStr">
        <is>
          <t>Allocation specification</t>
        </is>
      </c>
      <c r="C5" s="24" t="inlineStr">
        <is>
          <t>PLAN joi250019supp1_prod_1749674951.29554.pdf — physical PDF p. 4; REPORT jama_garrison_2025_oi_250019_1749674951.29054.pdf — physical PDF p. 3; REPORT jama_garrison_2025_oi_250019_1749674951.29054.pdf — physical PDF p. 7; PLAN joi250019supp2_prod_1749674951.30054.pdf — physical PDF p. 4</t>
        </is>
      </c>
      <c r="D5" s="21" t="inlineStr">
        <is>
          <t>retain</t>
        </is>
      </c>
      <c r="E5" s="21" t="inlineStr">
        <is>
          <t>protocol_report</t>
        </is>
      </c>
      <c r="F5" s="21" t="inlineStr">
        <is>
          <t>primary_done</t>
        </is>
      </c>
      <c r="G5" s="24">
        <f>IFERROR(IF(LEN(TRIM(CLEAN(SUBSTITUTE(Setup!$B$2,CHAR(160)," "))))=0,"CHECK REVIEWER ID",IF(OR(A5="",COUNTIF($A$2:$A$14,A5)&lt;&gt;1,LEFT(A5,LEN("2025::jama.2025.4390::"))&lt;&gt;"2025::jama.2025.4390::"),"CHECK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Original protocol p4: allocation 'via a simple randomization - no stratification or blocking'. Article p3: permuted blocks of 10 or 12, stratified by province. The supplied amendment log has no randomization change; the final published protocol is cited but not supplied.</t>
        </is>
      </c>
    </row>
    <row r="6" ht="92" customHeight="1" s="25">
      <c r="A6" s="20" t="inlineStr">
        <is>
          <t>2025::jama.2025.4390::C005</t>
        </is>
      </c>
      <c r="B6" s="20" t="inlineStr">
        <is>
          <t>LTC medication-control criterion</t>
        </is>
      </c>
      <c r="C6" s="20" t="inlineStr">
        <is>
          <t>PLAN joi250019supp2_prod_1749674951.30054.pdf — physical PDF p. 2; REPORT jama_garrison_2025_oi_250019_1749674951.29054.pdf — physical PDF p. 3; REPORT jama_garrison_2025_oi_250019_1749674951.29054.pdf — physical PDF p. 8; REPORT joi250019supp3_prod_1749674951.30054.pdf — physical PDF p. 16</t>
        </is>
      </c>
      <c r="D6" s="21" t="inlineStr">
        <is>
          <t>retain</t>
        </is>
      </c>
      <c r="E6" s="21" t="inlineStr">
        <is>
          <t>protocol_report</t>
        </is>
      </c>
      <c r="F6" s="21" t="inlineStr">
        <is>
          <t>primary_done</t>
        </is>
      </c>
      <c r="G6" s="20">
        <f>IFERROR(IF(LEN(TRIM(CLEAN(SUBSTITUTE(Setup!$B$2,CHAR(160)," "))))=0,"CHECK REVIEWER ID",IF(OR(A6="",COUNTIF($A$2:$A$14,A6)&lt;&gt;1,LEFT(A6,LEN("2025::jama.2025.4390::"))&lt;&gt;"2025::jama.2025.4390::"),"CHECK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t="inlineStr">
        <is>
          <t>SAP p2: 'Long-term care (LTC) admission (i.e., to nursing home or assisted living facility)'. Article p3/Table 2 footnote g: nursing home admission = 'admission to a group living facility where participants no longer have control of their own medication timing'; eAppendix p16 counts moves from self-administering assisted living to higher care as admission. Assisted-living admission with retained medication control would count under the SAP but not under the report.</t>
        </is>
      </c>
    </row>
    <row r="7" ht="92" customHeight="1" s="25">
      <c r="A7" s="24" t="inlineStr">
        <is>
          <t>2025::jama.2025.4390::C006</t>
        </is>
      </c>
      <c r="B7" s="24" t="inlineStr">
        <is>
          <t>Versioned health/glaucoma outcome hierarchy</t>
        </is>
      </c>
      <c r="C7" s="24" t="inlineStr">
        <is>
          <t>PLAN joi250019supp1_prod_1749674951.29554.pdf — physical PDF p. 3; PLAN joi250019supp2_prod_1749674951.30054.pdf — physical PDF p. 2; PLAN joi250019supp2_prod_1749674951.30054.pdf — physical PDF p. 3; REPORT jama_garrison_2025_oi_250019_1749674951.29054.pdf — physical PDF p. 3; REPORT jama_garrison_2025_oi_250019_1749674951.29054.pdf — physical PDF p. 7; REPORT jama_garrison_2025_oi_250019_1749674951.29054.pdf — physical PDF p. 8; REPORT joi250019supp3_prod_1749674951.30054.pdf — physical PDF p. 21</t>
        </is>
      </c>
      <c r="D7" s="21" t="inlineStr">
        <is>
          <t>exclude</t>
        </is>
      </c>
      <c r="E7" s="21" t="inlineStr">
        <is>
          <t>protocol_report</t>
        </is>
      </c>
      <c r="F7" s="21" t="inlineStr">
        <is>
          <t>primary_done</t>
        </is>
      </c>
      <c r="G7" s="24">
        <f>IFERROR(IF(LEN(TRIM(CLEAN(SUBSTITUTE(Setup!$B$2,CHAR(160)," "))))=0,"CHECK REVIEWER ID",IF(OR(A7="",COUNTIF($A$2:$A$14,A7)&lt;&gt;1,LEFT(A7,LEN("2025::jama.2025.4390::"))&lt;&gt;"2025::jama.2025.4390::"),"CHECK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inlineStr">
        <is>
          <t>The 2016 protocol listed EQ-5D quality of life as secondary and new glaucoma as a safety outcome; the SAP (written before the interim analysis, Dec 2021, investigators blinded) lists new glaucoma as secondary and the EQ-5D overall health score as exploratory, exactly as the article reports (p3, p7). The article and eAppendix Section 5 p21 disclose that these outcome changes were made while blinded. Report matches the operative pre-unblinding plan.</t>
        </is>
      </c>
    </row>
    <row r="8" ht="92" customHeight="1" s="25">
      <c r="A8" s="20" t="inlineStr">
        <is>
          <t>2025::jama.2025.4390::C007</t>
        </is>
      </c>
      <c r="B8" s="20" t="inlineStr">
        <is>
          <t>Vision recall reference and aggregation</t>
        </is>
      </c>
      <c r="C8" s="20" t="inlineStr">
        <is>
          <t>PLAN joi250019supp1_prod_1749674951.29554.pdf — physical PDF p. 3; PLAN joi250019supp2_prod_1749674951.30054.pdf — physical PDF p. 2; REPORT jama_garrison_2025_oi_250019_1749674951.29054.pdf — physical PDF p. 3; REPORT jama_garrison_2025_oi_250019_1749674951.29054.pdf — physical PDF p. 8</t>
        </is>
      </c>
      <c r="D8" s="21" t="inlineStr">
        <is>
          <t>exclude</t>
        </is>
      </c>
      <c r="E8" s="21" t="inlineStr">
        <is>
          <t>protocol_report</t>
        </is>
      </c>
      <c r="F8" s="21" t="inlineStr">
        <is>
          <t>primary_done</t>
        </is>
      </c>
      <c r="G8" s="20">
        <f>IFERROR(IF(LEN(TRIM(CLEAN(SUBSTITUTE(Setup!$B$2,CHAR(160)," "))))=0,"CHECK REVIEWER ID",IF(OR(A8="",COUNTIF($A$2:$A$14,A8)&lt;&gt;1,LEFT(A8,LEN("2025::jama.2025.4390::"))&lt;&gt;"2025::jama.2025.4390::"),"CHECK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inlineStr">
        <is>
          <t>2016 protocol p3: self-reported worsening of vision 'since study start'. SAP p2 (pre-interim, Dec 2021): 'much worse' vs last follow-up at any point, or 'slightly worse' on 2 or more occasions; the article p3 and Table 2 footnote d use exactly the SAP definition. Report follows the operative pre-unblinding plan.</t>
        </is>
      </c>
    </row>
    <row r="9" ht="92" customHeight="1" s="25">
      <c r="A9" s="24" t="inlineStr">
        <is>
          <t>2025::jama.2025.4390::C008</t>
        </is>
      </c>
      <c r="B9" s="24" t="inlineStr">
        <is>
          <t>Six medication-class subgroup prespecification axes</t>
        </is>
      </c>
      <c r="C9" s="24" t="inlineStr">
        <is>
          <t>PLAN joi250019supp2_prod_1749674951.30054.pdf — physical PDF p. 6; REPORT jama_garrison_2025_oi_250019_1749674951.29054.pdf — physical PDF p. 6; REPORT jama_garrison_2025_oi_250019_1749674951.29054.pdf — physical PDF p. 9</t>
        </is>
      </c>
      <c r="D9" s="21" t="inlineStr">
        <is>
          <t>retain</t>
        </is>
      </c>
      <c r="E9" s="21" t="inlineStr">
        <is>
          <t>protocol_report</t>
        </is>
      </c>
      <c r="F9" s="21" t="inlineStr">
        <is>
          <t>primary_done</t>
        </is>
      </c>
      <c r="G9" s="24">
        <f>IFERROR(IF(LEN(TRIM(CLEAN(SUBSTITUTE(Setup!$B$2,CHAR(160)," "))))=0,"CHECK REVIEWER ID",IF(OR(A9="",COUNTIF($A$2:$A$14,A9)&lt;&gt;1,LEFT(A9,LEN("2025::jama.2025.4390::"))&lt;&gt;"2025::jama.2025.4390::"),"CHECK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SAP p6 (rendered): subgroups = age &gt;=75, sex, frail, polypharmacy, overall health &lt;=75, resistant hypertension, CHF, diabetes, CAD, stroke/TIA, sleep apnea, CKD, sedentary. Article Figure 3 p9 shows these plus six medication-class subgroups (ACEI, ARB, beta-blocker, CCB, diuretic, combination), and p6 says results were consistent 'for all predefined subgroups (Figure 3)'. The SAP calls itself the only version.</t>
        </is>
      </c>
    </row>
    <row r="10" ht="92" customHeight="1" s="25">
      <c r="A10" s="20" t="inlineStr">
        <is>
          <t>2025::jama.2025.4390::C009</t>
        </is>
      </c>
      <c r="B10" s="20" t="inlineStr">
        <is>
          <t>Planned within-arm withdrawal sensitivity contrast</t>
        </is>
      </c>
      <c r="C10" s="20" t="inlineStr">
        <is>
          <t>PLAN joi250019supp2_prod_1749674951.30054.pdf — physical PDF p. 6; REPORT joi250019supp3_prod_1749674951.30054.pdf — physical PDF p. 33; REPORT joi250019supp3_prod_1749674951.30054.pdf — physical PDF p. 34; REPORT joi250019supp3_prod_1749674951.30054.pdf — physical PDF p. 35; REPORT joi250019supp3_prod_1749674951.30054.pdf — physical PDF p. 36; REPORT joi250019supp3_prod_1749674951.30054.pdf — physical PDF p. 37; REPORT joi250019supp3_prod_1749674951.30054.pdf — physical PDF p. 38; REPORT joi250019supp3_prod_1749674951.30054.pdf — physical PDF p. 39; REPORT joi250019supp3_prod_1749674951.30054.pdf — physical PDF p. 40</t>
        </is>
      </c>
      <c r="D10" s="21" t="inlineStr">
        <is>
          <t>retain</t>
        </is>
      </c>
      <c r="E10" s="21" t="inlineStr">
        <is>
          <t>protocol_report</t>
        </is>
      </c>
      <c r="F10" s="21" t="inlineStr">
        <is>
          <t>primary_done</t>
        </is>
      </c>
      <c r="G10" s="20">
        <f>IFERROR(IF(LEN(TRIM(CLEAN(SUBSTITUTE(Setup!$B$2,CHAR(160)," "))))=0,"CHECK REVIEWER ID",IF(OR(A10="",COUNTIF($A$2:$A$14,A10)&lt;&gt;1,LEFT(A10,LEN("2025::jama.2025.4390::"))&lt;&gt;"2025::jama.2025.4390::"),"CHECK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t="inlineStr">
        <is>
          <t>SAP p6: present 'according to treatment group' baseline characteristics of those censored by withdrawal/loss vs those not censored, compared by Fisher exact test. eTable 4 pp33-36 compares completers vs dropouts pooled across arms; eTable 5 pp37-40 compares arms among the 101 lost to all follow-up. Neither gives the within-arm censored vs not-censored comparison.</t>
        </is>
      </c>
    </row>
    <row r="11" ht="92" customHeight="1" s="25">
      <c r="A11" s="24" t="inlineStr">
        <is>
          <t>2025::jama.2025.4390::C010</t>
        </is>
      </c>
      <c r="B11" s="24" t="inlineStr">
        <is>
          <t>eTable 4 chronotype test reproduction</t>
        </is>
      </c>
      <c r="C11" s="24" t="inlineStr">
        <is>
          <t>REPORT joi250019supp3_prod_1749674951.30054.pdf — physical PDF p. 33; REPORT joi250019supp3_prod_1749674951.30054.pdf — physical PDF p. 34; REPORT joi250019supp3_prod_1749674951.30054.pdf — physical PDF p. 35; REPORT joi250019supp3_prod_1749674951.30054.pdf — physical PDF p. 36</t>
        </is>
      </c>
      <c r="D11" s="21" t="inlineStr">
        <is>
          <t>retain</t>
        </is>
      </c>
      <c r="E11" s="21" t="inlineStr">
        <is>
          <t>statistical_results</t>
        </is>
      </c>
      <c r="F11" s="21" t="inlineStr">
        <is>
          <t>primary_done</t>
        </is>
      </c>
      <c r="G11" s="24">
        <f>IFERROR(IF(LEN(TRIM(CLEAN(SUBSTITUTE(Setup!$B$2,CHAR(160)," "))))=0,"CHECK REVIEWER ID",IF(OR(A11="",COUNTIF($A$2:$A$14,A11)&lt;&gt;1,LEFT(A11,LEN("2025::jama.2025.4390::"))&lt;&gt;"2025::jama.2025.4390::"),"CHECK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probable_issue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4 p33: chronotype 1388/818/520 (completers) vs 352/154/125 (dropouts), P printed 0.09. Pearson chi-square on these counts gives P=0.018; the same test reproduces companion rows (sex P=0.105, printed 0.11; education &lt;0.001).</t>
        </is>
      </c>
    </row>
    <row r="12" ht="92" customHeight="1" s="25">
      <c r="A12" s="20" t="inlineStr">
        <is>
          <t>2025::jama.2025.4390::C011</t>
        </is>
      </c>
      <c r="B12" s="20" t="inlineStr">
        <is>
          <t>eTable 5 ethnicity totals</t>
        </is>
      </c>
      <c r="C12" s="20" t="inlineStr">
        <is>
          <t>REPORT joi250019supp3_prod_1749674951.30054.pdf — physical PDF p. 37; REPORT joi250019supp3_prod_1749674951.30054.pdf — physical PDF p. 40</t>
        </is>
      </c>
      <c r="D12" s="21" t="inlineStr">
        <is>
          <t>retain</t>
        </is>
      </c>
      <c r="E12" s="21" t="inlineStr">
        <is>
          <t>statistical_results</t>
        </is>
      </c>
      <c r="F12" s="21" t="inlineStr">
        <is>
          <t>primary_done</t>
        </is>
      </c>
      <c r="G12" s="20">
        <f>IFERROR(IF(LEN(TRIM(CLEAN(SUBSTITUTE(Setup!$B$2,CHAR(160)," "))))=0,"CHECK REVIEWER ID",IF(OR(A12="",COUNTIF($A$2:$A$14,A12)&lt;&gt;1,LEFT(A12,LEN("2025::jama.2025.4390::"))&lt;&gt;"2025::jama.2025.4390::"),"CHECK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eTable 5 p37: ethnicity 'Other' row 40 (90.9) / 53 (93.0) repeats the White/Caucasian row; categories then sum to 85 (n=44) and 111 (n=57). The Other row is a copy error. Note: the supplied PDF has prior highlight annotations on these cells.</t>
        </is>
      </c>
    </row>
    <row r="13" ht="92" customHeight="1" s="25">
      <c r="A13" s="24" t="inlineStr">
        <is>
          <t>2025::jama.2025.4390::C012</t>
        </is>
      </c>
      <c r="B13" s="24" t="inlineStr">
        <is>
          <t>Identical medication tables, differing P values</t>
        </is>
      </c>
      <c r="C13" s="24" t="inlineStr">
        <is>
          <t>REPORT joi250019supp3_prod_1749674951.30054.pdf — physical PDF p. 39; REPORT joi250019supp3_prod_1749674951.30054.pdf — physical PDF p. 37; REPORT joi250019supp3_prod_1749674951.30054.pdf — physical PDF p. 40</t>
        </is>
      </c>
      <c r="D13" s="21" t="inlineStr">
        <is>
          <t>retain</t>
        </is>
      </c>
      <c r="E13" s="21" t="inlineStr">
        <is>
          <t>statistical_results</t>
        </is>
      </c>
      <c r="F13" s="21" t="inlineStr">
        <is>
          <t>primary_done</t>
        </is>
      </c>
      <c r="G13" s="24">
        <f>IFERROR(IF(LEN(TRIM(CLEAN(SUBSTITUTE(Setup!$B$2,CHAR(160)," "))))=0,"CHECK REVIEWER ID",IF(OR(A13="",COUNTIF($A$2:$A$14,A13)&lt;&gt;1,LEFT(A13,LEN("2025::jama.2025.4390::"))&lt;&gt;"2025::jama.2025.4390::"),"CHECK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eTable 5 p39: 'Diuretic 9 (20.5) vs 16 (28.1), P=0.34' and 'Combination BP med 9 (20.5) vs 16 (28.1), P=0.38'. Identical counts with different P values. Pearson chi-square on 9/44 vs 16/57 gives 0.379 (matches 0.38); Yates 0.52, Fisher 0.49 (none give 0.34). One row's counts were probably copied from the other. Prior highlight annotations present in the supplied PDF.</t>
        </is>
      </c>
    </row>
    <row r="14" ht="92" customHeight="1" s="25">
      <c r="A14" s="20" t="inlineStr">
        <is>
          <t>2025::jama.2025.4390::C013</t>
        </is>
      </c>
      <c r="B14" s="20" t="inlineStr">
        <is>
          <t>ARB bedtime Other Reason fraction</t>
        </is>
      </c>
      <c r="C14" s="20" t="inlineStr">
        <is>
          <t>REPORT joi250019supp3_prod_1749674951.30054.pdf — physical PDF p. 46; REPORT joi250019supp3_prod_1749674951.30054.pdf — physical PDF p. 45; REPORT joi250019supp3_prod_1749674951.30054.pdf — physical PDF p. 48</t>
        </is>
      </c>
      <c r="D14" s="21" t="inlineStr">
        <is>
          <t>retain</t>
        </is>
      </c>
      <c r="E14" s="21" t="inlineStr">
        <is>
          <t>statistical_results</t>
        </is>
      </c>
      <c r="F14" s="21" t="inlineStr">
        <is>
          <t>primary_done</t>
        </is>
      </c>
      <c r="G14" s="20">
        <f>IFERROR(IF(LEN(TRIM(CLEAN(SUBSTITUTE(Setup!$B$2,CHAR(160)," "))))=0,"CHECK REVIEWER ID",IF(OR(A14="",COUNTIF($A$2:$A$14,A14)&lt;&gt;1,LEFT(A14,LEN("2025::jama.2025.4390::"))&lt;&gt;"2025::jama.2025.4390::"),"CHECK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eTable 8 p46: ARB bedtime 'Other Reason/Cannot Remember 1/37 (7.7%)'; 1/37 = 2.7%. Adjacent cells reproduce (ACEI PM 2/38 = 5.3%; CCB PM 2/26 = 7.7%).</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2025::jama.2025.7583::C001</t>
        </is>
      </c>
      <c r="B2" s="20" t="inlineStr">
        <is>
          <t>Planned complication comparison has no supplied comparative result</t>
        </is>
      </c>
      <c r="C2" s="20" t="inlineStr">
        <is>
          <t>PLAN joi250033supp1_prod_1750956987.76581.pdf — p. 50, secondary-endpoint analysis; PLAN joi250033supp5_prod_1750956987.78281.pdf — p. 4, section 2.2, joi250033supp5_prod_1750956987.78281.pdf — p. 7, section 3.6 fifth bullet. REPORT jama_shotar_2025_oi_250033_1750956987.75881.pdf — p. 1, abstract, jama_shotar_2025_oi_250033_1750956987.75881.pdf — p. 3, Secondary End Points/Statistical Analysis, jama_shotar_2025_oi_250033_1750956987.75881.pdf — p. 6, Table 2 complication rows, footnote j and narrative, jama_shotar_2025_oi_250033_1750956987.75881.pdf — p. 7, complication narrative. REPORT joi250033supp4_prod_1750956987.77981.pdf — p. 12, eTable 3, joi250033supp4_prod_1750956987.77981.pdf — p. 13, eTable 3 continuation.</t>
        </is>
      </c>
      <c r="D2" s="21" t="inlineStr">
        <is>
          <t>retain</t>
        </is>
      </c>
      <c r="E2" s="21" t="inlineStr">
        <is>
          <t>protocol_report</t>
        </is>
      </c>
      <c r="F2" s="21" t="inlineStr">
        <is>
          <t>primary_done</t>
        </is>
      </c>
      <c r="G2" s="20">
        <f>IFERROR(IF(LEN(TRIM(CLEAN(SUBSTITUTE(Setup!$B$2,CHAR(160)," "))))=0,"CHECK REVIEWER ID",IF(OR(A2="",COUNTIF($A$2:$A$5,A2)&lt;&gt;1,LEFT(A2,LEN("2025::jama.2025.7583::"))&lt;&gt;"2025::jama.2025.7583::"),"CHECK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minor_presentation</t>
        </is>
      </c>
      <c r="M2" s="20" t="n"/>
      <c r="N2" s="23" t="n"/>
      <c r="O2" s="23" t="n"/>
      <c r="P2" s="23" t="n"/>
      <c r="Q2" s="23" t="n"/>
      <c r="R2" s="22" t="inlineStr">
        <is>
          <t>Protocol p50 and SAP §3.6 p7: minor and major embolization complications 'will be compared between the two treatment groups using Chi-square test or Fisher exact test'. Report (p1, p3, Table 2 p6-7, eTable 3 p12) gives complication counts for the embolization group only (major 1/171, minor 3/171); no comparison. Because these are procedure-related complications, the control group has structural zeros, so the planned test would be uninformative.</t>
        </is>
      </c>
    </row>
    <row r="3" ht="92" customHeight="1" s="25">
      <c r="A3" s="24" t="inlineStr">
        <is>
          <t>2025::jama.2025.7583::C002</t>
        </is>
      </c>
      <c r="B3" s="24" t="inlineStr">
        <is>
          <t>Strict versus inclusive primary recurrence boundary</t>
        </is>
      </c>
      <c r="C3" s="24" t="inlineStr">
        <is>
          <t>PLAN joi250033supp5_prod_1750956987.78281.pdf — p. 3, section 2.1 first bullet. PLAN joi250033supp1_prod_1750956987.76581.pdf — p. 7, synopsis, joi250033supp1_prod_1750956987.76581.pdf — p. 16, section 4.1.1 primary endpoint, joi250033supp1_prod_1750956987.76581.pdf — p. 21, both follow-up recurrence definitions, joi250033supp1_prod_1750956987.76581.pdf — p. 31, section 8.1. REPORT jama_shotar_2025_oi_250033_1750956987.75881.pdf — p. 3, End Points. REPORT joi250033supp4_prod_1750956987.77981.pdf — p. 11, eTable 2 criteria 1 and 1a, joi250033supp4_prod_1750956987.77981.pdf — p. 15, EMPROTECT primary endpoint.</t>
        </is>
      </c>
      <c r="D3" s="21" t="inlineStr">
        <is>
          <t>retain</t>
        </is>
      </c>
      <c r="E3" s="21" t="inlineStr">
        <is>
          <t>protocol_report</t>
        </is>
      </c>
      <c r="F3" s="21" t="inlineStr">
        <is>
          <t>primary_done</t>
        </is>
      </c>
      <c r="G3" s="24">
        <f>IFERROR(IF(LEN(TRIM(CLEAN(SUBSTITUTE(Setup!$B$2,CHAR(160)," "))))=0,"CHECK REVIEWER ID",IF(OR(A3="",COUNTIF($A$2:$A$5,A3)&lt;&gt;1,LEFT(A3,LEN("2025::jama.2025.7583::"))&lt;&gt;"2025::jama.2025.7583::"),"CHECK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t="inlineStr">
        <is>
          <t>Primary recurrence criterion 1: protocol synopsis p7, §4.1.1 p16, p21, §8.1 p31 = midline shift &gt;=5 mm; final SAP v2 (20 Mar 2024) §2.1 p3 = midline shift &gt;5 mm. Article p3 and eTable 2 p11 use &gt;=5 mm (11 vs 17 events by this criterion). The report follows the protocol and differs from the final SAP at the 5-mm boundary.</t>
        </is>
      </c>
    </row>
    <row r="4" ht="92" customHeight="1" s="25">
      <c r="A4" s="20" t="inlineStr">
        <is>
          <t>2025::jama.2025.7583::C003</t>
        </is>
      </c>
      <c r="B4" s="20" t="inlineStr">
        <is>
          <t>Disclosed cause-restricted death amendment in primary composite</t>
        </is>
      </c>
      <c r="C4" s="20" t="inlineStr">
        <is>
          <t>PLAN joi250033supp1_prod_1750956987.76581.pdf — p. 48, interim analysis, joi250033supp1_prod_1750956987.76581.pdf — p. 49, final primary analysis. PLAN joi250033supp5_prod_1750956987.78281.pdf — p. 5, interim analysis, joi250033supp5_prod_1750956987.78281.pdf — p. 6, final analysis, joi250033supp5_prod_1750956987.78281.pdf — p. 8, version-change table. REPORT jama_shotar_2025_oi_250033_1750956987.75881.pdf — p. 3, Statistical Analysis, jama_shotar_2025_oi_250033_1750956987.75881.pdf — p. 4, Figure 1, jama_shotar_2025_oi_250033_1750956987.75881.pdf — p. 5, Primary End Point narrative, jama_shotar_2025_oi_250033_1750956987.75881.pdf — p. 6, Table 2. REPORT joi250033supp4_prod_1750956987.77981.pdf — p. 5, imputation methods, joi250033supp4_prod_1750956987.77981.pdf — p. 9, no-imputation sensitivity footnote, joi250033supp4_prod_1750956987.77981.pdf — p. 11, recurrence/death criteria.</t>
        </is>
      </c>
      <c r="D4" s="21" t="inlineStr">
        <is>
          <t>retain</t>
        </is>
      </c>
      <c r="E4" s="21" t="inlineStr">
        <is>
          <t>protocol_report</t>
        </is>
      </c>
      <c r="F4" s="21" t="inlineStr">
        <is>
          <t>primary_done</t>
        </is>
      </c>
      <c r="G4" s="20">
        <f>IFERROR(IF(LEN(TRIM(CLEAN(SUBSTITUTE(Setup!$B$2,CHAR(160)," "))))=0,"CHECK REVIEWER ID",IF(OR(A4="",COUNTIF($A$2:$A$5,A4)&lt;&gt;1,LEFT(A4,LEN("2025::jama.2025.7583::"))&lt;&gt;"2025::jama.2025.7583::"),"CHECK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pp48-49 and SAP interim section p5: patients who died without recurrence are counted as failures (recurrences). SAP v2 (28 Feb 2024, after last follow-up 2 Nov 2023, before final database lock) change table p8: only deaths from neurological or undetermined cause count. Article p3, Figure 1, Table 2: 2 vs 1 such deaths counted; 3 vs 8 deaths from other causes were imputed. Disclosed in the SAP version table, not in the article.</t>
        </is>
      </c>
    </row>
    <row r="5" ht="92" customHeight="1" s="25">
      <c r="A5" s="24" t="inlineStr">
        <is>
          <t>2025::jama.2025.7583::C004</t>
        </is>
      </c>
      <c r="B5" s="24" t="inlineStr">
        <is>
          <t>Midline-shift samples exceed stated unilateral populations</t>
        </is>
      </c>
      <c r="C5" s="24" t="inlineStr">
        <is>
          <t>REPORT jama_shotar_2025_oi_250033_1750956987.75881.pdf — physical p. 5, Table 1 headers, Unilateral CSDH row, Midline shift row and continuation footnote d. Physical p. 5 is printed journal p. 131; evidence links use physical pagination.</t>
        </is>
      </c>
      <c r="D5" s="21" t="inlineStr">
        <is>
          <t>retain</t>
        </is>
      </c>
      <c r="E5" s="21" t="inlineStr">
        <is>
          <t>statistical_results</t>
        </is>
      </c>
      <c r="F5" s="21" t="inlineStr">
        <is>
          <t>primary_done</t>
        </is>
      </c>
      <c r="G5" s="24">
        <f>IFERROR(IF(LEN(TRIM(CLEAN(SUBSTITUTE(Setup!$B$2,CHAR(160)," "))))=0,"CHECK REVIEWER ID",IF(OR(A5="",COUNTIF($A$2:$A$5,A5)&lt;&gt;1,LEFT(A5,LEN("2025::jama.2025.7583::"))&lt;&gt;"2025::jama.2025.7583::"),"CHECK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p5: midline shift median 10 (7-13) [n=161] and 10.5 (7-14) [n=161], with footnote d 'Data provided for unilateral CSDH only'; but unilateral CSDH counts are 127 and 130 (and unilateral thickness n=122). 161 exceeds the unilateral populations, so either the footnote or the n is wrong.</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2025::jama.2025.7710::C001</t>
        </is>
      </c>
      <c r="B2" s="20" t="inlineStr">
        <is>
          <t>Planned prognostic-adjusted primary result is not identified</t>
        </is>
      </c>
      <c r="C2" s="20" t="inlineStr">
        <is>
          <t>PLAN joi250034supp1_prod_1750956984.09018.pdf — protocol p.20, §13.2; joi250034supp2_prod_1750956984.11521.pdf — SAP p.12, §3.2, joi250034supp2_prod_1750956984.11521.pdf — SAP p.13, §3.9, and joi250034supp2_prod_1750956984.11521.pdf — SAP p.26, Table 12. REPORT jama_kumar_2025_oi_250034_1750956984.08518.pdf — main p.3, Statistical Analysis, jama_kumar_2025_oi_250034_1750956984.08518.pdf — main p.6, primary/sensitivity paragraph, jama_kumar_2025_oi_250034_1750956984.08518.pdf — main p.7, Table 3, jama_kumar_2025_oi_250034_1750956984.08518.pdf — main p.8, Figure 2/Table 4, and joi250034supp3_prod_1750956984.12018.pdf — results p.2, eTable 1. All main pp.1–11 and results-supplement pp.1–6 were inspected for the output. joi250034supp2_prod_1750956984.11521.pdf — SAP p.4 supplies blinded-development context only.</t>
        </is>
      </c>
      <c r="D2" s="21" t="inlineStr">
        <is>
          <t>retain</t>
        </is>
      </c>
      <c r="E2" s="21" t="inlineStr">
        <is>
          <t>protocol_report</t>
        </is>
      </c>
      <c r="F2" s="21" t="inlineStr">
        <is>
          <t>primary_done</t>
        </is>
      </c>
      <c r="G2" s="20">
        <f>IFERROR(IF(LEN(TRIM(CLEAN(SUBSTITUTE(Setup!$B$2,CHAR(160)," "))))=0,"CHECK REVIEWER ID",IF(OR(A2="",COUNTIF($A$2:$A$4,A2)&lt;&gt;1,LEFT(A2,LEN("2025::jama.2025.7710::"))&lt;&gt;"2025::jama.2025.7710::"),"CHECK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§13.2 p20 and SAP §3.2 p12, §3.9 p13, Table 12 shell p26: secondary analysis of the primary outcome adjusted for prognostic factors (SGA, pre-eclampsia, mode of previous delivery, fetal anomaly) by log-binomial/robust Poisson regression. Article p3 says this was undertaken, but no prognostic-adjusted estimate appears in the article (pp1-11) or results supplement (eTable 1 p2 gives only imputation/cord-pH-adjusted models).</t>
        </is>
      </c>
    </row>
    <row r="3" ht="92" customHeight="1" s="25">
      <c r="A3" s="24" t="inlineStr">
        <is>
          <t>2025::jama.2025.7710::C002</t>
        </is>
      </c>
      <c r="B3" s="24" t="inlineStr">
        <is>
          <t>Planned component multiplicity adjustment differs from reported rule</t>
        </is>
      </c>
      <c r="C3" s="24" t="inlineStr">
        <is>
          <t>PLAN joi250034supp1_prod_1750956984.09018.pdf — protocol p.20, §13.2, with contextual continuation joi250034supp1_prod_1750956984.09018.pdf — p.21; joi250034supp2_prod_1750956984.11521.pdf — SAP p.12, §3.2, and joi250034supp2_prod_1750956984.11521.pdf — SAP p.25, Table 11 adjusted-P column. REPORT jama_kumar_2025_oi_250034_1750956984.08518.pdf — main p.3, outcome/interpretation paragraphs, jama_kumar_2025_oi_250034_1750956984.08518.pdf — main p.4, no-adjustment statement, and jama_kumar_2025_oi_250034_1750956984.08518.pdf — main p.7, Table 3, every component P-value row.</t>
        </is>
      </c>
      <c r="D3" s="21" t="inlineStr">
        <is>
          <t>retain</t>
        </is>
      </c>
      <c r="E3" s="21" t="inlineStr">
        <is>
          <t>protocol_report</t>
        </is>
      </c>
      <c r="F3" s="21" t="inlineStr">
        <is>
          <t>primary_done</t>
        </is>
      </c>
      <c r="G3" s="24">
        <f>IFERROR(IF(LEN(TRIM(CLEAN(SUBSTITUTE(Setup!$B$2,CHAR(160)," "))))=0,"CHECK REVIEWER ID",IF(OR(A3="",COUNTIF($A$2:$A$4,A3)&lt;&gt;1,LEFT(A3,LEN("2025::jama.2025.7710::"))&lt;&gt;"2025::jama.2025.7710::"),"CHECK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§13.2 p20: P values for the ten primary-composite components adjusted by Benjamini-Hochberg; SAP Table 11 p25 includes an 'Adjusted P-values (Benjamini-Hochberg)' column. Article p4: 'There was no adjustment for multiple testing'; Table 3 p7 gives unadjusted P values only. Not explained as a change.</t>
        </is>
      </c>
    </row>
    <row r="4" ht="92" customHeight="1" s="25">
      <c r="A4" s="20" t="inlineStr">
        <is>
          <t>2025::jama.2025.7710::C003</t>
        </is>
      </c>
      <c r="B4" s="20" t="inlineStr">
        <is>
          <t>Prior-cesarean subgroup history window differs from protocol</t>
        </is>
      </c>
      <c r="C4" s="20" t="inlineStr">
        <is>
          <t>PLAN comparator joi250034supp1_prod_1750956984.09018.pdf — protocol p.17, §8 subgroup 4. REPORT jama_kumar_2025_oi_250034_1750956984.08518.pdf — main p.4, prespecified-subgroup paragraph, jama_kumar_2025_oi_250034_1750956984.08518.pdf — main p.7, repeated subgroup-results description, and jama_kumar_2025_oi_250034_1750956984.08518.pdf — main p.8, Figure 2 preceding-pregnancy-cesarean family/caption. Corroborating PLAN joi250034supp2_prod_1750956984.11521.pdf — SAP p.14, §3.11, joi250034supp2_prod_1750956984.11521.pdf — SAP p.29, Table 15, and joi250034supp2_prod_1750956984.11521.pdf — SAP p.4, revision history/blinded-preparation declaration. Additional timing/process context: jama_kumar_2025_oi_250034_1750956984.08518.pdf — main p.3, prespecification-before-lock statement and joi250034supp1_prod_1750956984.09018.pdf — protocol p.22, §15.3 amendment process.</t>
        </is>
      </c>
      <c r="D4" s="21" t="inlineStr">
        <is>
          <t>retain</t>
        </is>
      </c>
      <c r="E4" s="21" t="inlineStr">
        <is>
          <t>protocol_report</t>
        </is>
      </c>
      <c r="F4" s="21" t="inlineStr">
        <is>
          <t>primary_done</t>
        </is>
      </c>
      <c r="G4" s="20">
        <f>IFERROR(IF(LEN(TRIM(CLEAN(SUBSTITUTE(Setup!$B$2,CHAR(160)," "))))=0,"CHECK REVIEWER ID",IF(OR(A4="",COUNTIF($A$2:$A$4,A4)&lt;&gt;1,LEFT(A4,LEN("2025::jama.2025.7710::"))&lt;&gt;"2025::jama.2025.7710::"),"CHECK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Protocol §8 p17: subgroup '(4) one or more previous CS'. SAP §3.11 p14 (finalized 25 Oct 2024): 'Method of delivery for previous pregnancy CS'. Article p4 and Figure 2 p8: 'cesarean delivery in preceding pregnancy'. A woman with an earlier but not the immediately preceding cesarean is in the protocol subgroup but not the reported one. Report follows the SAP, finalized after last follow-up (26 Jul 2024).</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2025::jama.2025.9110::C001</t>
        </is>
      </c>
      <c r="B2" s="20" t="inlineStr">
        <is>
          <t>Planned ventilation Cox analysis replaced by a tobit mean contrast</t>
        </is>
      </c>
      <c r="C2" s="20" t="inlineStr">
        <is>
          <t>REPORT jama_summers_2025_oi_250040_1753124024.36498.pdf — main article p. 1, abstract ventilation effect; REPORT jama_summers_2025_oi_250040_1753124024.36498.pdf — main article p. 4, SAP-concordance statement; REPORT jama_summers_2025_oi_250040_1753124024.36498.pdf — main article p. 5, repeated ventilation mean contrast; REPORT jama_summers_2025_oi_250040_1753124024.36498.pdf — main article p. 7, Table 2 ventilation row; PLAN joi250040supp1_prod_1753124024.37199.pdf — protocol p. 21, lines 679–684; PLAN joi250040supp2_prod_1753124024.37799.pdf — SAP p. 18, lines 416–431; PLAN joi250040supp2_prod_1753124024.37799.pdf — SAP p. 28, Table 1 ventilation analysis; REPORT joi250040supp3_prod_1753124024.38098.pdf — results supplement p. 4, Duration of invasive ventilation; REPORT joi250040supp3_prod_1753124024.38098.pdf — results supplement p. 6, metobit/margins</t>
        </is>
      </c>
      <c r="D2" s="21" t="inlineStr">
        <is>
          <t>retain</t>
        </is>
      </c>
      <c r="E2" s="21" t="inlineStr">
        <is>
          <t>protocol_report</t>
        </is>
      </c>
      <c r="F2" s="21" t="inlineStr">
        <is>
          <t>primary_done</t>
        </is>
      </c>
      <c r="G2" s="20">
        <f>IFERROR(IF(LEN(TRIM(CLEAN(SUBSTITUTE(Setup!$B$2,CHAR(160)," "))))=0,"CHECK REVIEWER ID",IF(OR(A2="",COUNTIF($A$2:$A$4,A2)&lt;&gt;1,LEFT(A2,LEN("2025::jama.2025.9110::"))&lt;&gt;"2025::jama.2025.9110::"),"CHECK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t="inlineStr">
        <is>
          <t>Protocol p21 (OCR) and SAP p18 and Table 1 p28 (OCR; text layer encoded): duration of invasive ventilation analysed as time to liberation by Cox regression (cause-specific HR, death censored, stratified by ICU). Article p1/p5 and Table 2 p7: difference in mean duration 6.8 h (95% CI -3.0 to 16.5) from a tobit mixed model; results supplement eMethods p4 discloses that it was treated as a lower-bounded continuous response 'rather than as a time-to-event outcome as stated in the published statistical analysis plan'. The article p4 nevertheless says all analyses followed the SAP. Disclosed in the supplement only.</t>
        </is>
      </c>
    </row>
    <row r="3" ht="92" customHeight="1" s="25">
      <c r="A3" s="24" t="inlineStr">
        <is>
          <t>2025::jama.2025.9110::C002</t>
        </is>
      </c>
      <c r="B3" s="24" t="inlineStr">
        <is>
          <t>Printed ICU confidence interval and P value have different null-status readings</t>
        </is>
      </c>
      <c r="C3" s="24" t="inlineStr">
        <is>
          <t>REPORT jama_summers_2025_oi_250040_1753124024.36498.pdf — main article p. 1, abstract ICU-discharge interval; REPORT jama_summers_2025_oi_250040_1753124024.36498.pdf — main article p. 4, two-sided testing and threshold; REPORT jama_summers_2025_oi_250040_1753124024.36498.pdf — main article p. 5, secondary-outcome ICU interval; REPORT jama_summers_2025_oi_250040_1753124024.36498.pdf — main article p. 7, Table 2 ICU row and footnote b</t>
        </is>
      </c>
      <c r="D3" s="21" t="inlineStr">
        <is>
          <t>exclude</t>
        </is>
      </c>
      <c r="E3" s="21" t="inlineStr">
        <is>
          <t>statistical_results</t>
        </is>
      </c>
      <c r="F3" s="21" t="inlineStr">
        <is>
          <t>primary_done</t>
        </is>
      </c>
      <c r="G3" s="24">
        <f>IFERROR(IF(LEN(TRIM(CLEAN(SUBSTITUTE(Setup!$B$2,CHAR(160)," "))))=0,"CHECK REVIEWER ID",IF(OR(A3="",COUNTIF($A$2:$A$4,A3)&lt;&gt;1,LEFT(A3,LEN("2025::jama.2025.9110::"))&lt;&gt;"2025::jama.2025.9110::"),"CHECK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inlineStr">
        <is>
          <t>ICU duration cause-specific HR 0.93 (95% CI 0.88-1.00), P=.04 (abstract p1, p5, Table 2 p7). The upper limit printed as 1.00 is a rounded value; varying the printed estimate and limits over their rounding intervals gives CI-implied P from 0.009 to 0.057 (point values: 0.026), which includes .04. The apparent conflict is explained by display rounding.</t>
        </is>
      </c>
    </row>
    <row r="4" ht="92" customHeight="1" s="25">
      <c r="A4" s="20" t="inlineStr">
        <is>
          <t>2025::jama.2025.9110::C003</t>
        </is>
      </c>
      <c r="B4" s="20" t="inlineStr">
        <is>
          <t>Original primary-power correlation assumptions differ between SAP and report</t>
        </is>
      </c>
      <c r="C4" s="20" t="inlineStr">
        <is>
          <t>REPORT jama_summers_2025_oi_250040_1753124024.36498.pdf — main article p. 3, original sample-size rationale begins; REPORT jama_summers_2025_oi_250040_1753124024.36498.pdf — main article p. 4, correlation assumptions and continuation; PLAN joi250040supp2_prod_1753124024.37799.pdf — SAP p. 13, lines 301–308; PLAN joi250040supp2_prod_1753124024.37799.pdf — SAP p. 14, lines 309–321; Corroborating PLAN joi250040supp1_prod_1753124024.37199.pdf — protocol p. 20, lines 651–665</t>
        </is>
      </c>
      <c r="D4" s="21" t="inlineStr">
        <is>
          <t>retain</t>
        </is>
      </c>
      <c r="E4" s="21" t="inlineStr">
        <is>
          <t>protocol_report</t>
        </is>
      </c>
      <c r="F4" s="21" t="inlineStr">
        <is>
          <t>primary_done</t>
        </is>
      </c>
      <c r="G4" s="20">
        <f>IFERROR(IF(LEN(TRIM(CLEAN(SUBSTITUTE(Setup!$B$2,CHAR(160)," "))))=0,"CHECK REVIEWER ID",IF(OR(A4="",COUNTIF($A$2:$A$4,A4)&lt;&gt;1,LEFT(A4,LEN("2025::jama.2025.9110::"))&lt;&gt;"2025::jama.2025.9110::"),"CHECK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pp13-14 (OCR): exchangeable correlation, ICC 0.02 (range 0.001-0.1), 8 clusters of mean 160 patients per 3-month period, 60-65 per cluster-period giving 90% power for a 1-day mean difference; 2560 inflated 15% to ~3000. Article pp3-4: 80% power with cluster-period size &gt;=60 and 90% with &gt;=80, within-period ICC 0.01-0.05 (base 0.02), cluster autocorrelation 0.64-0.96 (base 0.8). Both disclose the post hoc recognition of 4 clusters per sequence. Correlation assumptions and the power/size pairing differ.</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2025::jama.2025.9663::C001</t>
        </is>
      </c>
      <c r="B2" s="20" t="inlineStr">
        <is>
          <t>Missing stratification-only primary-outcome analysis</t>
        </is>
      </c>
      <c r="C2" s="20" t="inlineStr">
        <is>
          <t>PLAN original protocol: joi250042supp1_prod_1753377747.92525.pdf — p. 30, §4.2.2; PLAN final protocol: joi250042supp1_prod_1753377747.92525.pdf — p. 70, §4.2.2; REPORT model description: jama_martin_2025_oi_250042_1753377747.91025.pdf — p. 3, Statistical Analysis; REPORT narrative effects: jama_martin_2025_oi_250042_1753377747.91025.pdf — p. 6, Primary and Secondary Outcomes; REPORT tabulated effects and adjustment sets: jama_martin_2025_oi_250042_1753377747.91025.pdf — p. 8, Table 2 and footnotes a/b; PLAN alternative specification: joi250042supp1_prod_1753377747.92525.pdf — p. 126, §5.3.1, joi250042supp1_prod_1753377747.92525.pdf — p. 127, continuation, and joi250042supp1_prod_1753377747.92525.pdf — p. 136, SAP changes</t>
        </is>
      </c>
      <c r="D2" s="21" t="inlineStr">
        <is>
          <t>retain</t>
        </is>
      </c>
      <c r="E2" s="21" t="inlineStr">
        <is>
          <t>protocol_report</t>
        </is>
      </c>
      <c r="F2" s="21" t="inlineStr">
        <is>
          <t>primary_done</t>
        </is>
      </c>
      <c r="G2" s="20">
        <f>IFERROR(IF(LEN(TRIM(CLEAN(SUBSTITUTE(Setup!$B$2,CHAR(160)," "))))=0,"CHECK REVIEWER ID",IF(OR(A2="",COUNTIF($A$2:$A$6,A2)&lt;&gt;1,LEFT(A2,LEN("2025::jama.2025.9663::"))&lt;&gt;"2025::jama.2025.9663::"),"CHECK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indeterminate</t>
        </is>
      </c>
      <c r="M2" s="20" t="n"/>
      <c r="N2" s="23" t="n"/>
      <c r="O2" s="23" t="n"/>
      <c r="P2" s="23" t="n"/>
      <c r="Q2" s="23" t="n"/>
      <c r="R2" s="22" t="inlineStr">
        <is>
          <t>Protocol v1.1 §4.2.2 p30 and v1.8 (Oct 2024) p70 (OCR): primary outcome analysed 'both adjusted only for site, HIE, acute brain pathologies...' (stratification variables) and adjusted for baseline covariates. Article p3/p6 and Table 2 p8 report the covariate-adjusted analysis (RD 0.7, -0.7 to 2.0) and an unadjusted RD (0.5, -1.0 to 2.0), but no stratification-only analysis. SAP v1.1 §5.3.1 pp126-127 specifies only the covariate-adjusted model, so the governing analysis document does not require it.</t>
        </is>
      </c>
    </row>
    <row r="3" ht="92" customHeight="1" s="25">
      <c r="A3" s="24" t="inlineStr">
        <is>
          <t>2025::jama.2025.9663::C002</t>
        </is>
      </c>
      <c r="B3" s="24" t="inlineStr">
        <is>
          <t>Retained protocol stay test versus SAP/report stay method</t>
        </is>
      </c>
      <c r="C3" s="24" t="inlineStr">
        <is>
          <t>PLAN original protocol: joi250042supp1_prod_1753377747.92525.pdf — p. 30, §4.2.2; PLAN final protocol: joi250042supp1_prod_1753377747.92525.pdf — p. 70, §4.2.2, and joi250042supp1_prod_1753377747.92525.pdf — p. 71, continuation; PLAN original SAP: joi250042supp1_prod_1753377747.92525.pdf — p. 104, §5.3.2; PLAN final SAP: joi250042supp1_prod_1753377747.92525.pdf — p. 128, §5.3.4; REPORT methods: jama_martin_2025_oi_250042_1753377747.91025.pdf — p. 3, Statistical Analysis; REPORT stay results: jama_martin_2025_oi_250042_1753377747.91025.pdf — p. 8, Table 2; PLAN amendment context: joi250042supp1_prod_1753377747.92525.pdf — p. 136, SAP changes</t>
        </is>
      </c>
      <c r="D3" s="21" t="inlineStr">
        <is>
          <t>retain</t>
        </is>
      </c>
      <c r="E3" s="21" t="inlineStr">
        <is>
          <t>protocol_report</t>
        </is>
      </c>
      <c r="F3" s="21" t="inlineStr">
        <is>
          <t>primary_done</t>
        </is>
      </c>
      <c r="G3" s="24">
        <f>IFERROR(IF(LEN(TRIM(CLEAN(SUBSTITUTE(Setup!$B$2,CHAR(160)," "))))=0,"CHECK REVIEWER ID",IF(OR(A3="",COUNTIF($A$2:$A$6,A3)&lt;&gt;1,LEFT(A3,LEN("2025::jama.2025.9663::"))&lt;&gt;"2025::jama.2025.9663::"),"CHECK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t="inlineStr">
        <is>
          <t>Protocol v1.1 p30 and v1.8 (14 Oct 2024) pp70-71: ICU and hospital stay analysed by Wilcoxon rank-sum tests stratified by survival status. SAP v1.0 p104 and v1.1 p128: Fine-Gray proportional hazards among survivors with death as competing risk. Article p3 and Table 2 p8: Fine-Gray sHR. Report follows the SAP but differs from the current protocol.</t>
        </is>
      </c>
    </row>
    <row r="4" ht="92" customHeight="1" s="25">
      <c r="A4" s="20" t="inlineStr">
        <is>
          <t>2025::jama.2025.9663::C003</t>
        </is>
      </c>
      <c r="B4" s="20" t="inlineStr">
        <is>
          <t>SAP all-outcome MICE versus reported selected predictors and stay censoring</t>
        </is>
      </c>
      <c r="C4" s="20" t="inlineStr">
        <is>
          <t>PLAN final SAP: joi250042supp1_prod_1753377747.92525.pdf — p. 131, §7 start, and joi250042supp1_prod_1753377747.92525.pdf — p. 132, §7 continuation; REPORT imputation description: jama_martin_2025_oi_250042_1753377747.91025.pdf — p. 3, imputation paragraph; REPORT effects and duration exception: jama_martin_2025_oi_250042_1753377747.91025.pdf — p. 8, all imputed Table 2 outcomes and footnote b; REPORT complete outcome-specific model/auxiliary rows and baseline footnote: joi250042supp2_prod_1753377747.93025.pdf — p. 24, eTable 7, every row and footnote a; REPORT missing ICU/hospital duration handling: joi250042supp2_prod_1753377747.93025.pdf — p. 24, duration rows and footnote e; PLAN amendment context: joi250042supp1_prod_1753377747.92525.pdf — p. 136, expanded missing-data description</t>
        </is>
      </c>
      <c r="D4" s="21" t="inlineStr">
        <is>
          <t>retain</t>
        </is>
      </c>
      <c r="E4" s="21" t="inlineStr">
        <is>
          <t>protocol_report</t>
        </is>
      </c>
      <c r="F4" s="21" t="inlineStr">
        <is>
          <t>primary_done</t>
        </is>
      </c>
      <c r="G4" s="20">
        <f>IFERROR(IF(LEN(TRIM(CLEAN(SUBSTITUTE(Setup!$B$2,CHAR(160)," "))))=0,"CHECK REVIEWER ID",IF(OR(A4="",COUNTIF($A$2:$A$6,A4)&lt;&gt;1,LEFT(A4,LEN("2025::jama.2025.9663::"))&lt;&gt;"2025::jama.2025.9663::"),"CHECK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t="inlineStr">
        <is>
          <t>SAP v1.1 §7 pp131-132: MICE with each imputation model including all baseline variables used in adjusted models and all outcome variables; 20 imputations. Article p3: MICE 'incorporating at least the primary outcome as an auxiliary variable'; eTable 7 p24: outcome-specific auxiliary sets (e.g., 1-y mortality: none; 60-d mortality: 90-d and 1-y mortality), and ICU/hospital durations not imputed but censored at 1 hour/1 day after randomization (about 10% missing).</t>
        </is>
      </c>
    </row>
    <row r="5" ht="92" customHeight="1" s="25">
      <c r="A5" s="24" t="inlineStr">
        <is>
          <t>2025::jama.2025.9663::C004</t>
        </is>
      </c>
      <c r="B5" s="24" t="inlineStr">
        <is>
          <t>Hospital missing-duration censoring at one hour versus one day</t>
        </is>
      </c>
      <c r="C5" s="24" t="inlineStr">
        <is>
          <t>REPORT hospital effect and censoring definition: jama_martin_2025_oi_250042_1753377747.91025.pdf — p. 8, Table 2 acute-hospital stay row and footnote b; REPORT hospital missing count and outcome-specific censoring definition: joi250042supp2_prod_1753377747.93025.pdf — p. 24, eTable 7 acute-hospital duration row and footnote e</t>
        </is>
      </c>
      <c r="D5" s="21" t="inlineStr">
        <is>
          <t>retain</t>
        </is>
      </c>
      <c r="E5" s="21" t="inlineStr">
        <is>
          <t>statistical_results</t>
        </is>
      </c>
      <c r="F5" s="21" t="inlineStr">
        <is>
          <t>primary_done</t>
        </is>
      </c>
      <c r="G5" s="24">
        <f>IFERROR(IF(LEN(TRIM(CLEAN(SUBSTITUTE(Setup!$B$2,CHAR(160)," "))))=0,"CHECK REVIEWER ID",IF(OR(A5="",COUNTIF($A$2:$A$6,A5)&lt;&gt;1,LEFT(A5,LEN("2025::jama.2025.9663::"))&lt;&gt;"2025::jama.2025.9663::"),"CHECK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2 footnote b p8: patients with missing time to discharge (ICU and acute hospital stay) 'censored 1 hour after randomization'. eTable 7 footnote e p24: missing ICU duration censored at 1 hour but missing hospital duration censored at 1 day. Two different rules stated for hospital stay (1677 patients missing).</t>
        </is>
      </c>
    </row>
    <row r="6" ht="92" customHeight="1" s="25">
      <c r="A6" s="20" t="inlineStr">
        <is>
          <t>2025::jama.2025.9663::C005</t>
        </is>
      </c>
      <c r="B6" s="20" t="inlineStr">
        <is>
          <t>Pilot adherence numerator and progression direction</t>
        </is>
      </c>
      <c r="C6" s="20" t="inlineStr">
        <is>
          <t>PLAN original SAP numerator and thresholds: joi250042supp1_prod_1753377747.92525.pdf — p. 95, Table 1 and footnote; PLAN original SAP adherence definition: joi250042supp1_prod_1753377747.92525.pdf — p. 98, §3.2.2 continuation; PLAN final SAP repeated numerator and thresholds: joi250042supp1_prod_1753377747.92525.pdf — p. 118, Table 1 and footnote; PLAN final protocol adherence definition: joi250042supp1_prod_1753377747.92525.pdf — p. 69, Table 2 adherence footnote; PLAN decision consequences: joi250042supp1_prod_1753377747.92525.pdf — p. 70, §4.2.1, joi250042supp1_prod_1753377747.92525.pdf — p. 96, original SAP pilot continuation, and joi250042supp1_prod_1753377747.92525.pdf — p. 119, final SAP pilot continuation</t>
        </is>
      </c>
      <c r="D6" s="21" t="inlineStr">
        <is>
          <t>retain</t>
        </is>
      </c>
      <c r="E6" s="21" t="inlineStr">
        <is>
          <t>plan_material</t>
        </is>
      </c>
      <c r="F6" s="21" t="inlineStr">
        <is>
          <t>primary_done</t>
        </is>
      </c>
      <c r="G6" s="20">
        <f>IFERROR(IF(LEN(TRIM(CLEAN(SUBSTITUTE(Setup!$B$2,CHAR(160)," "))))=0,"CHECK REVIEWER ID",IF(OR(A6="",COUNTIF($A$2:$A$6,A6)&lt;&gt;1,LEFT(A6,LEN("2025::jama.2025.9663::"))&lt;&gt;"2025::jama.2025.9663::"),"CHECK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Internal-pilot progression table (original SAP p95, final SAP p118): treatment adherence green &gt;=75% of cases, red &lt;50%; the footnote defines the percentage as patients in the conservative arm 'with one or more adjudicated protocol deviation', i.e., non-adherence, which inverts the thresholds. SAP §3.2.2 (p98) defines adherence as no protocol deviation, and protocol v1.8 Table 2 footnote (p69) defines adherence as adjustments per protocol. Intended meaning (adherence) is clear from the other passages.</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2026-10-14T05:25:24Z</dcterms:modified>
</cp:coreProperties>
</file>