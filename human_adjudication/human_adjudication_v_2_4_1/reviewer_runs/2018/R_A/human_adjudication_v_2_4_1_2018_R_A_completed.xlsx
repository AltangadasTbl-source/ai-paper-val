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7.21906" sheetId="4" state="visible" r:id="rId4"/>
    <sheet name="C_jama.2018.0156" sheetId="5" state="visible" r:id="rId5"/>
    <sheet name="C_jama.2018.0948" sheetId="6" state="visible" r:id="rId6"/>
    <sheet name="C_jama.2018.14280" sheetId="7" state="visible" r:id="rId7"/>
    <sheet name="C_jama.2018.14282" sheetId="8" state="visible" r:id="rId8"/>
    <sheet name="C_jama.2018.17075" sheetId="9" state="visible" r:id="rId9"/>
    <sheet name="C_jama.2018.18020" sheetId="10" state="visible" r:id="rId10"/>
    <sheet name="C_jama.2018.6496" sheetId="11" state="visible" r:id="rId11"/>
    <sheet name="C_jama.2018.8802" sheetId="12" state="visible" r:id="rId12"/>
    <sheet name="C_jama.2018.9128" sheetId="13" state="visible" r:id="rId13"/>
    <sheet name="Codebook" sheetId="14" state="visible" r:id="rId14"/>
  </sheets>
  <definedNames>
    <definedName name="_xlnm._FilterDatabase" localSheetId="3" hidden="1">'C_jama.2017.21906'!$A$1:$R$8</definedName>
    <definedName name="_xlnm._FilterDatabase" localSheetId="4" hidden="1">'C_jama.2018.0156'!$A$1:$R$9</definedName>
    <definedName name="_xlnm._FilterDatabase" localSheetId="5" hidden="1">'C_jama.2018.0948'!$A$1:$R$13</definedName>
    <definedName name="_xlnm._FilterDatabase" localSheetId="6" hidden="1">'C_jama.2018.14280'!$A$1:$R$11</definedName>
    <definedName name="_xlnm._FilterDatabase" localSheetId="7" hidden="1">'C_jama.2018.14282'!$A$1:$R$17</definedName>
    <definedName name="_xlnm._FilterDatabase" localSheetId="8" hidden="1">'C_jama.2018.17075'!$A$1:$R$16</definedName>
    <definedName name="_xlnm._FilterDatabase" localSheetId="9" hidden="1">'C_jama.2018.18020'!$A$1:$R$23</definedName>
    <definedName name="_xlnm._FilterDatabase" localSheetId="10" hidden="1">'C_jama.2018.6496'!$A$1:$R$14</definedName>
    <definedName name="_xlnm._FilterDatabase" localSheetId="11" hidden="1">'C_jama.2018.8802'!$A$1:$R$6</definedName>
    <definedName name="_xlnm._FilterDatabase" localSheetId="12" hidden="1">'C_jama.2018.9128'!$A$1:$R$8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inlineStr">
        <is>
          <t>R_A</t>
        </is>
      </c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R_A</t>
        </is>
      </c>
    </row>
    <row r="5" ht="42" customFormat="1" customHeight="1" s="14">
      <c r="A5" s="17" t="inlineStr">
        <is>
          <t>year</t>
        </is>
      </c>
      <c r="B5" s="17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115</v>
      </c>
    </row>
    <row r="4" ht="55" customFormat="1" customHeight="1" s="14">
      <c r="A4" s="16" t="inlineStr">
        <is>
          <t>Primary ready rows</t>
        </is>
      </c>
      <c r="B4" s="16">
        <f>COUNTIF('C_jama.2017.21906'!$G$2:$G$8,"PRIMARY READY")+COUNTIF('C_jama.2018.0156'!$G$2:$G$9,"PRIMARY READY")+COUNTIF('C_jama.2018.0948'!$G$2:$G$13,"PRIMARY READY")+COUNTIF('C_jama.2018.14280'!$G$2:$G$11,"PRIMARY READY")+COUNTIF('C_jama.2018.14282'!$G$2:$G$17,"PRIMARY READY")+COUNTIF('C_jama.2018.17075'!$G$2:$G$16,"PRIMARY READY")+COUNTIF('C_jama.2018.18020'!$G$2:$G$23,"PRIMARY READY")+COUNTIF('C_jama.2018.6496'!$G$2:$G$14,"PRIMARY READY")+COUNTIF('C_jama.2018.8802'!$G$2:$G$6,"PRIMARY READY")+COUNTIF('C_jama.2018.9128'!$G$2:$G$8,"PRIMARY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2017.21906'!$D$2:$D$8,"discuss")+COUNTIF('C_jama.2018.0156'!$D$2:$D$9,"discuss")+COUNTIF('C_jama.2018.0948'!$D$2:$D$13,"discuss")+COUNTIF('C_jama.2018.14280'!$D$2:$D$11,"discuss")+COUNTIF('C_jama.2018.14282'!$D$2:$D$17,"discuss")+COUNTIF('C_jama.2018.17075'!$D$2:$D$16,"discuss")+COUNTIF('C_jama.2018.18020'!$D$2:$D$23,"discuss")+COUNTIF('C_jama.2018.6496'!$D$2:$D$14,"discuss")+COUNTIF('C_jama.2018.8802'!$D$2:$D$6,"discuss")+COUNTIF('C_jama.2018.9128'!$D$2:$D$8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jama.2017.21906</t>
        </is>
      </c>
      <c r="B2" s="16" t="inlineStr">
        <is>
          <t>C_jama.2017.21906</t>
        </is>
      </c>
      <c r="C2" s="16" t="n">
        <v>7</v>
      </c>
    </row>
    <row r="3" ht="36" customFormat="1" customHeight="1" s="14">
      <c r="A3" s="17" t="inlineStr">
        <is>
          <t>jama.2018.0156</t>
        </is>
      </c>
      <c r="B3" s="17" t="inlineStr">
        <is>
          <t>C_jama.2018.0156</t>
        </is>
      </c>
      <c r="C3" s="17" t="n">
        <v>8</v>
      </c>
    </row>
    <row r="4" ht="36" customFormat="1" customHeight="1" s="14">
      <c r="A4" s="16" t="inlineStr">
        <is>
          <t>jama.2018.0948</t>
        </is>
      </c>
      <c r="B4" s="16" t="inlineStr">
        <is>
          <t>C_jama.2018.0948</t>
        </is>
      </c>
      <c r="C4" s="16" t="n">
        <v>12</v>
      </c>
    </row>
    <row r="5" ht="36" customFormat="1" customHeight="1" s="14">
      <c r="A5" s="17" t="inlineStr">
        <is>
          <t>jama.2018.14280</t>
        </is>
      </c>
      <c r="B5" s="17" t="inlineStr">
        <is>
          <t>C_jama.2018.14280</t>
        </is>
      </c>
      <c r="C5" s="17" t="n">
        <v>10</v>
      </c>
    </row>
    <row r="6" ht="36" customFormat="1" customHeight="1" s="14">
      <c r="A6" s="16" t="inlineStr">
        <is>
          <t>jama.2018.14282</t>
        </is>
      </c>
      <c r="B6" s="16" t="inlineStr">
        <is>
          <t>C_jama.2018.14282</t>
        </is>
      </c>
      <c r="C6" s="16" t="n">
        <v>16</v>
      </c>
    </row>
    <row r="7" ht="36" customFormat="1" customHeight="1" s="14">
      <c r="A7" s="17" t="inlineStr">
        <is>
          <t>jama.2018.17075</t>
        </is>
      </c>
      <c r="B7" s="17" t="inlineStr">
        <is>
          <t>C_jama.2018.17075</t>
        </is>
      </c>
      <c r="C7" s="17" t="n">
        <v>15</v>
      </c>
    </row>
    <row r="8" ht="36" customFormat="1" customHeight="1" s="14">
      <c r="A8" s="16" t="inlineStr">
        <is>
          <t>jama.2018.18020</t>
        </is>
      </c>
      <c r="B8" s="16" t="inlineStr">
        <is>
          <t>C_jama.2018.18020</t>
        </is>
      </c>
      <c r="C8" s="16" t="n">
        <v>22</v>
      </c>
    </row>
    <row r="9" ht="36" customFormat="1" customHeight="1" s="14">
      <c r="A9" s="17" t="inlineStr">
        <is>
          <t>jama.2018.6496</t>
        </is>
      </c>
      <c r="B9" s="17" t="inlineStr">
        <is>
          <t>C_jama.2018.6496</t>
        </is>
      </c>
      <c r="C9" s="17" t="n">
        <v>13</v>
      </c>
    </row>
    <row r="10" ht="36" customFormat="1" customHeight="1" s="14">
      <c r="A10" s="16" t="inlineStr">
        <is>
          <t>jama.2018.8802</t>
        </is>
      </c>
      <c r="B10" s="16" t="inlineStr">
        <is>
          <t>C_jama.2018.8802</t>
        </is>
      </c>
      <c r="C10" s="16" t="n">
        <v>5</v>
      </c>
    </row>
    <row r="11" ht="36" customFormat="1" customHeight="1" s="14">
      <c r="A11" s="17" t="inlineStr">
        <is>
          <t>jama.2018.9128</t>
        </is>
      </c>
      <c r="B11" s="17" t="inlineStr">
        <is>
          <t>C_jama.2018.9128</t>
        </is>
      </c>
      <c r="C11" s="17" t="n">
        <v>7</v>
      </c>
    </row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  <hyperlink ref="B11" location="'C_jama.2018.9128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2018::jama.2017.21906::C001</t>
        </is>
      </c>
      <c r="B2" s="20" t="inlineStr">
        <is>
          <t>Planned statin component versus reported medication composite</t>
        </is>
      </c>
      <c r="C2" s="20" t="inlineStr">
        <is>
          <t>PLAN joi170166supp2_prod.pdf — p.5, §6.1.2, lines 1149–1151; REPORT jama_huffman_2018_oi_170166.pdf — p.3, Outcomes; REPORT jama_huffman_2018_oi_170166.pdf — p.7, Table 3 medication row and footnote c; REPORT joi170166supp3_prod.pdf — p.21, eTable 5 medication row and footnote c; REPORT joi170166supp3_prod.pdf — p.22, eTable 6 medication row and footnote b.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ID",IF(OR(A2="",COUNTIF($A$2:$A$8,A2)&lt;&gt;1,LEFT(A2,LEN("2018::jama.2017.21906::"))&lt;&gt;"2018::jama.2017.21906::"),"CHECK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SAP p.5 §6.1.2 defines optimal in-hospital medication as aspirin, ADP antagonist, heparin, statin, beta blocker; article p.3 and Table 3 fn c (p.7), eTables 5-6 use 4 components without statin. Disclosed in report p.3 (statin predefined but not collected). eTable 6 fn b says heparin where Table 3/eTable 5 say anticoagulant.</t>
        </is>
      </c>
    </row>
    <row r="3" ht="92" customFormat="1" customHeight="1" s="14">
      <c r="A3" s="24" t="inlineStr">
        <is>
          <t>2018::jama.2017.21906::C002</t>
        </is>
      </c>
      <c r="B3" s="24" t="inlineStr">
        <is>
          <t>Planned expanded-MACE objective versus reported post-hoc status</t>
        </is>
      </c>
      <c r="C3" s="24" t="inlineStr">
        <is>
          <t>PLAN joi170166supp1_prod.pdf — p.9, §2.2.3, lines 259–263; PLAN joi170166supp2_prod.pdf — p.2, §2.1.2, lines 1071–1072; PLAN joi170166supp2_prod.pdf — p.3, continuation, lines 1073–1074; REPORT jama_huffman_2018_oi_170166.pdf — p.3, Outcomes and Statistical Analysis; REPORT jama_huffman_2018_oi_170166.pdf — p.8, Secondary and Post Hoc Analyses; REPORT jama_huffman_2018_oi_170166.pdf — p.9, result continuation and Discussion; REPORT joi170166supp3_prod.pdf — p.1, eTable 7 index entry; REPORT joi170166supp3_prod.pdf — p.23, eTable 7 title, expanded row and footnotes.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ID",IF(OR(A3="",COUNTIF($A$2:$A$8,A3)&lt;&gt;1,LEFT(A3,LEN("2018::jama.2017.21906::"))&lt;&gt;"2018::jama.2017.21906::"),"CHECK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indeterminate</t>
        </is>
      </c>
      <c r="M3" s="24" t="n"/>
      <c r="N3" s="23" t="n"/>
      <c r="O3" s="23" t="n"/>
      <c r="P3" s="23" t="n"/>
      <c r="Q3" s="23" t="n"/>
      <c r="R3" s="22" t="inlineStr">
        <is>
          <t>Protocol p.9 §2.2.3 and SAP pp.2-3 §2.1.2 name in-hospital and 30-day 'expanded MACE' as a secondary objective; the report (pp.3,8-9; eTable 7) labels MACE+HF/shock/arrest post hoc/exploratory (disclosed). Plan never defines expanded MACE or lists it among SAP endpoints, so equivalence is unclear.</t>
        </is>
      </c>
    </row>
    <row r="4" ht="92" customFormat="1" customHeight="1" s="14">
      <c r="A4" s="20" t="inlineStr">
        <is>
          <t>2018::jama.2017.21906::C003</t>
        </is>
      </c>
      <c r="B4" s="20" t="inlineStr">
        <is>
          <t>Planned primary-MACE subgroups versus reported prespecified set</t>
        </is>
      </c>
      <c r="C4" s="20" t="inlineStr">
        <is>
          <t>PLAN joi170166supp2_prod.pdf — p.5, §6.1.3, lines 1156–1165; PLAN joi170166supp2_prod.pdf — p.7, §7.5.2, lines 1243–1254; REPORT jama_huffman_2018_oi_170166.pdf — p.3, Statistical Analysis and separate process-evaluation statement; REPORT jama_huffman_2018_oi_170166.pdf — p.9, Figure 3 age/hospital-type rows, title and narrative; REPORT jama_huffman_2018_oi_170166.pdf — p.10, opening Discussion.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ID",IF(OR(A4="",COUNTIF($A$2:$A$8,A4)&lt;&gt;1,LEFT(A4,LEN("2018::jama.2017.21906::"))&lt;&gt;"2018::jama.2017.21906::"),"CHECK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SAP p.7 §7.5.2 a priori subgroups: hospital size, toolkit-component use, age &lt;65/&gt;65, sex, STEMI/NSTEMI. Report (p.3; Figure 3 p.9) calls 'prespecified' age &lt;50/50-69/&gt;=70 and adds hospital type; toolkit-use subgroup not reported (process evaluation to be reported separately).</t>
        </is>
      </c>
    </row>
    <row r="5" ht="92" customFormat="1" customHeight="1" s="14">
      <c r="A5" s="24" t="inlineStr">
        <is>
          <t>2018::jama.2017.21906::C004</t>
        </is>
      </c>
      <c r="B5" s="24" t="inlineStr">
        <is>
          <t>Distinct adjusted time contrasts lack an estimand mapping</t>
        </is>
      </c>
      <c r="C5" s="24" t="inlineStr">
        <is>
          <t>REPORT jama_huffman_2018_oi_170166.pdf — p.6, Table 2 title, door-to-balloon and door-to-needle rows, both adjusted headings and footnotes b/c; REPORT jama_huffman_2018_oi_170166.pdf — p.3, Statistical Analysis.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ID",IF(OR(A5="",COUNTIF($A$2:$A$8,A5)&lt;&gt;1,LEFT(A5,LEN("2018::jama.2017.21906::"))&lt;&gt;"2018::jama.2017.21906::"),"CHECK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probable_issue</t>
        </is>
      </c>
      <c r="I5" s="21" t="inlineStr">
        <is>
          <t>substantive</t>
        </is>
      </c>
      <c r="J5" s="22" t="inlineStr">
        <is>
          <t>possible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inlineStr">
        <is>
          <t>Table 2 p.6 gives two adjusted effects per time outcome: door-to-balloon difference 6.18 (-4.78 to 17.14) vs beta 13.00 (3.64-22.36); door-to-needle 0.40 vs 5.00. Column header 'Difference, %' for minutes, and fn b (logistic or quantile regression) does not say which model/estimand each column is; inference differs for D2B.</t>
        </is>
      </c>
    </row>
    <row r="6" ht="92" customFormat="1" customHeight="1" s="14">
      <c r="A6" s="20" t="inlineStr">
        <is>
          <t>2018::jama.2017.21906::C005</t>
        </is>
      </c>
      <c r="B6" s="20" t="inlineStr">
        <is>
          <t>Opposing directional readings of the hospital residual display</t>
        </is>
      </c>
      <c r="C6" s="20" t="inlineStr">
        <is>
          <t>REPORT joi170166supp3_prod.pdf — p.1, eFigure 1A index entry; REPORT joi170166supp3_prod.pdf — p.24, eFigure 1A signed axis, points and complete caption. Supporting REPORT context: jama_huffman_2018_oi_170166.pdf — p.9, site heterogeneity narrative.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ID",IF(OR(A6="",COUNTIF($A$2:$A$8,A6)&lt;&gt;1,LEFT(A6,LEN("2018::jama.2017.21906::"))&lt;&gt;"2018::jama.2017.21906::"),"CHECK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unlikely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Supp3 p.1 index titles eFigure 1A 'Residual ... (Expected - Observed)'; p.24 caption says negative (left) residuals are hospitals with MACE lower than the mean and positive (right) higher. Under E-O a negative residual means observed above expected. The two definitions conflict; plot rendered and checked.</t>
        </is>
      </c>
    </row>
    <row r="7" ht="92" customFormat="1" customHeight="1" s="14">
      <c r="A7" s="24" t="inlineStr">
        <is>
          <t>2018::jama.2017.21906::C006</t>
        </is>
      </c>
      <c r="B7" s="24" t="inlineStr">
        <is>
          <t>LDL interval versus the same-display reproducing calculation</t>
        </is>
      </c>
      <c r="C7" s="24" t="inlineStr">
        <is>
          <t>REPORT joi170166supp3_prod.pdf — p.17, eTable 1 complete/missing follow-up headers, LDL row, age, weight, systolic-pressure, heart-rate and hemoglobin rows.</t>
        </is>
      </c>
      <c r="D7" s="21" t="inlineStr">
        <is>
          <t>exclude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ID",IF(OR(A7="",COUNTIF($A$2:$A$8,A7)&lt;&gt;1,LEFT(A7,LEN("2018::jama.2017.21906::"))&lt;&gt;"2018::jama.2017.21906::"),"CHECK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eTable 1 p.17 LDL 9.0 (3.2 to 14.8). Using header Ns (21079/295) gives 3.7-14.3 (Welch) or 4.3-13.7 (pooled), but LDL was measured in only 14830/21374 (Table 1 p.5). About 245 missing-follow-up participants with LDL reproduces the printed CI; a smaller LDL denominator explains the width.</t>
        </is>
      </c>
    </row>
    <row r="8" ht="92" customFormat="1" customHeight="1" s="14">
      <c r="A8" s="20" t="inlineStr">
        <is>
          <t>2018::jama.2017.21906::C007</t>
        </is>
      </c>
      <c r="B8" s="20" t="inlineStr">
        <is>
          <t>Planned complete-case primary-MACE sensitivity result is not identified</t>
        </is>
      </c>
      <c r="C8" s="20" t="inlineStr">
        <is>
          <t>PLAN joi170166supp2_prod.pdf — p.6, §7.1 lines 1190–1198 and §7.2 lines 1205–1210; PLAN joi170166supp2_prod.pdf — p.7, §7.5 lines 1229–1238; REPORT jama_huffman_2018_oi_170166.pdf — p.3, Outcomes and Statistical Analysis; REPORT jama_huffman_2018_oi_170166.pdf — p.6, follow-up paragraph; REPORT jama_huffman_2018_oi_170166.pdf — p.7, Table 3 primary row, footnote a and Primary Analysis; REPORT joi170166supp3_prod.pdf — p.17, eTable 1; REPORT joi170166supp3_prod.pdf — p.21, eTable 5 primary row and analysis labels; REPORT joi170166supp3_prod.pdf — p.22, eTable 6 primary row and analysis labels; REPORT joi170166supp3_prod.pdf — p.23, eTable 7 title, rows and footnotes. Additional supporting context: REPORT jama_huffman_2018_oi_170166.pdf — p.4, Figure 1 caption.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ID",IF(OR(A8="",COUNTIF($A$2:$A$8,A8)&lt;&gt;1,LEFT(A8,LEN("2018::jama.2017.21906::"))&lt;&gt;"2018::jama.2017.21906::"),"CHECK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 t="inlineStr">
        <is>
          <t>SAP p.6 §7.2 plans complete-case and multiple-imputation sensitivity analyses for missing outcomes. Report p.7 states only that MI and hypothetical-scenario results were similar (no numbers); no complete-case analysis is identified in main text or supp3; Figure 1 says lost-to-follow-up patients were included in the analysis.</t>
        </is>
      </c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2018::jama.2018.0156::C001</t>
        </is>
      </c>
      <c r="B2" s="20" t="inlineStr">
        <is>
          <t>Primary favorable-survival definition</t>
        </is>
      </c>
      <c r="C2" s="20" t="inlineStr">
        <is>
          <t>PLAN joi180004supp1_prod.pdf — p. 71 §4.1.1 and joi180004supp1_prod.pdf — p. 110 amendment comparison; REPORT jama_jabre_2018_oi_180004.pdf — p. 1 Main Outcomes and Measures, jama_jabre_2018_oi_180004.pdf — p. 3 Outcomes, jama_jabre_2018_oi_180004.pdf — p. 4 Primary Outcome and jama_jabre_2018_oi_180004.pdf — p. 6 Table 2 footnote b and ITT CPC rows. Corroborating older PLAN definitions: joi180004supp1_prod.pdf — p. 15 §4.1.1, joi180004supp1_prod.pdf — p. 122 §6.1 and joi180004supp1_prod.pdf — p. 131 signed §6.1.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ID",IF(OR(A2="",COUNTIF($A$2:$A$9,A2)&lt;&gt;1,LEFT(A2,LEN("2018::jama.2018.0156::"))&lt;&gt;"2018::jama.2018.0156::"),"CHECK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Final protocol v1.4 p.71 §4.1.1 (amendment table p.110) adds: survival with unchanged pre-randomization neurological disability counts as favorable. Article (pp.1,3,4) defines success as CPC 1-2 only, and Table 2 fn b (p.6) says CPC 1 and 2 were counted as success. Whether any CPC 3-4 survivor qualified is not reported.</t>
        </is>
      </c>
    </row>
    <row r="3" ht="92" customFormat="1" customHeight="1" s="14">
      <c r="A3" s="24" t="inlineStr">
        <is>
          <t>2018::jama.2018.0156::C002</t>
        </is>
      </c>
      <c r="B3" s="24" t="inlineStr">
        <is>
          <t>Airway endpoint status across protocol, SAP and report</t>
        </is>
      </c>
      <c r="C3" s="24" t="inlineStr">
        <is>
          <t>PLAN original secondary lists in joi180004supp1_prod.pdf — p. 9 Summary, joi180004supp1_prod.pdf — p. 10 continuation, joi180004supp1_prod.pdf — p. 16 §4.1.2; final lists joi180004supp1_prod.pdf — p. 64 Summary, joi180004supp1_prod.pdf — p. 65 continuation, joi180004supp1_prod.pdf — p. 71 §4.1.2; SAP families joi180004supp1_prod.pdf — p. 122 §§6.1–6.2 and joi180004supp1_prod.pdf — p. 131 signed §§6.1–6.2. Concurrent safety-analysis context: joi180004supp1_prod.pdf — p. 37 §11.5 and joi180004supp1_prod.pdf — p. 92 §11.5. REPORT jama_jabre_2018_oi_180004.pdf — p. 1 Main Outcomes and Measures, jama_jabre_2018_oi_180004.pdf — p. 3 Outcomes, jama_jabre_2018_oi_180004.pdf — p. 4 Adverse Events Analysis and jama_jabre_2018_oi_180004.pdf — p. 6 Table 3 Safety Population.</t>
        </is>
      </c>
      <c r="D3" s="21" t="inlineStr">
        <is>
          <t>exclude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ID",IF(OR(A3="",COUNTIF($A$2:$A$9,A3)&lt;&gt;1,LEFT(A3,LEN("2018::jama.2018.0156::"))&lt;&gt;"2018::jama.2018.0156::"),"CHECK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inlineStr">
        <is>
          <t>Airway difficulty/failure/complications are secondary endpoints in protocol v1.3/v1.4 (pp.9-10,16,64-65,71) and the article (pp.1,3), and a safety-endpoint family in the SAP (p.122 §6.2). The article reports them as secondary and analyzes them in the safety (as-treated) population, consistent with both. No conflict in conduct.</t>
        </is>
      </c>
    </row>
    <row r="4" ht="92" customFormat="1" customHeight="1" s="14">
      <c r="A4" s="20" t="inlineStr">
        <is>
          <t>2018::jama.2018.0156::C003</t>
        </is>
      </c>
      <c r="B4" s="20" t="inlineStr">
        <is>
          <t>Specified analysis populations and interval presentations</t>
        </is>
      </c>
      <c r="C4" s="20" t="inlineStr">
        <is>
          <t>PLAN joi180004supp1_prod.pdf — p. 121 §5.3, joi180004supp1_prod.pdf — p. 130 signed §5.3, joi180004supp1_prod.pdf — p. 124 §§8.2.1, 8.2.3, 8.2.4 and joi180004supp1_prod.pdf — p. 133 signed corresponding sections. Corroborating OR-presentation specifications: joi180004supp1_prod.pdf — p. 37 §§11.4.2–11.5, joi180004supp1_prod.pdf — p. 91 §11.4.2, joi180004supp1_prod.pdf — p. 92 §11.5. REPORT jama_jabre_2018_oi_180004.pdf — p. 1 abstract, jama_jabre_2018_oi_180004.pdf — p. 3 Statistical Analysis, jama_jabre_2018_oi_180004.pdf — p. 4 Results, jama_jabre_2018_oi_180004.pdf — p. 6 Tables 2–3 and post-hoc continuation, and joi180004supp2_prod.pdf — p. 3 eTable 2. Complete search scope: main physical pages 1–9 and results-supplement pages 1–3.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ID",IF(OR(A4="",COUNTIF($A$2:$A$9,A4)&lt;&gt;1,LEFT(A4,LEN("2018::jama.2018.0156::"))&lt;&gt;"2018::jama.2018.0156::"),"CHECK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SAP §5.3 and §8.2.1-8.2.4 (pp.121,124; signed pp.130,133 OCR) plan an as-treated (AT) NI analysis of the primary endpoint, secondary analyses on PP and AT, and ORs with 95% CIs for secondary and safety rates. The article and eTables report ITT/PP only, risk differences only; no AT primary analysis and no ORs. eTable 2 reclassification row is post hoc, not the AT analysis.</t>
        </is>
      </c>
    </row>
    <row r="5" ht="92" customFormat="1" customHeight="1" s="14">
      <c r="A5" s="24" t="inlineStr">
        <is>
          <t>2018::jama.2018.0156::C004</t>
        </is>
      </c>
      <c r="B5" s="24" t="inlineStr">
        <is>
          <t>Numerical ordering of the noninferiority confidence bound</t>
        </is>
      </c>
      <c r="C5" s="24" t="inlineStr">
        <is>
          <t>REPORT jama_jabre_2018_oi_180004.pdf — p. 3 Statistical Analysis and jama_jabre_2018_oi_180004.pdf — p. 4 Primary Outcome. Corroborating no-NI statements: jama_jabre_2018_oi_180004.pdf — p. 1 abstract, jama_jabre_2018_oi_180004.pdf — p. 2 Key Points, jama_jabre_2018_oi_180004.pdf — p. 7 Discussion and jama_jabre_2018_oi_180004.pdf — p. 8 Conclusions.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ID",IF(OR(A5="",COUNTIF($A$2:$A$9,A5)&lt;&gt;1,LEFT(A5,LEN("2018::jama.2018.0156::"))&lt;&gt;"2018::jama.2018.0156::"),"CHECK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minor_presentation</t>
        </is>
      </c>
      <c r="J5" s="22" t="inlineStr">
        <is>
          <t>unlikely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inlineStr">
        <is>
          <t>Main p.4: 'The lower limit of the confidence interval was greater than the threshold of noninferiority, thus noninferiority was not demonstrated', but -1.64% is below -1%. Wording reverses the ordering; conclusion is correct. Recomputed ITT 44/1018 vs 43/1022: diff 0.115%, Wald lower -1.64%, Newcombe lower -1.67%; NI P one-sided = .106.</t>
        </is>
      </c>
    </row>
    <row r="6" ht="92" customFormat="1" customHeight="1" s="14">
      <c r="A6" s="20" t="inlineStr">
        <is>
          <t>2018::jama.2018.0156::C005</t>
        </is>
      </c>
      <c r="B6" s="20" t="inlineStr">
        <is>
          <t>Table 2 per-protocol confidence intervals</t>
        </is>
      </c>
      <c r="C6" s="20" t="inlineStr">
        <is>
          <t>REPORT jama_jabre_2018_oi_180004.pdf — p. 6 Table 2, PP survival at 28 days and survival to hospital admission, including same-table ITT survival, ITT admission, ITT ROSC and PP ROSC comparators and footnote a; jama_jabre_2018_oi_180004.pdf — p. 3 Statistical Analysis supplies secondary difference/OR interval language without a row-specific CI algorithm.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ID",IF(OR(A6="",COUNTIF($A$2:$A$9,A6)&lt;&gt;1,LEFT(A6,LEN("2018::jama.2018.0156::"))&lt;&gt;"2018::jama.2018.0156::"),"CHECK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substantive</t>
        </is>
      </c>
      <c r="J6" s="22" t="inlineStr">
        <is>
          <t>direct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Table 2 p.6 PP rows. Survival at 28 d 54/995 vs 51/943: RD 0.02, Wald CI -2.00 to 2.04; printed 0.1 (-10 to 9.7). Admission 289/995 vs 312/943: RD -4.04, CI -8.16 to 0.08 (chi-square P=.055 matches); printed -4.0 (-7.6 to 0.6), not centered on the estimate. Other rows (ITT survival, admission, ROSC; PP ROSC) reproduce.</t>
        </is>
      </c>
    </row>
    <row r="7" ht="92" customFormat="1" customHeight="1" s="14">
      <c r="A7" s="24" t="inlineStr">
        <is>
          <t>2018::jama.2018.0156::C006</t>
        </is>
      </c>
      <c r="B7" s="24" t="inlineStr">
        <is>
          <t>Per-protocol ROSC count and percentage</t>
        </is>
      </c>
      <c r="C7" s="24" t="inlineStr">
        <is>
          <t>REPORT jama_jabre_2018_oi_180004.pdf — p. 6 Table 2 PP header and Return of spontaneous circulation row; corroborating jama_jabre_2018_oi_180004.pdf — p. 4 Figure and Baseline Characteristics paragraph.</t>
        </is>
      </c>
      <c r="D7" s="21" t="inlineStr">
        <is>
          <t>retain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ID",IF(OR(A7="",COUNTIF($A$2:$A$9,A7)&lt;&gt;1,LEFT(A7,LEN("2018::jama.2018.0156::"))&lt;&gt;"2018::jama.2018.0156::"),"CHECK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 t="inlineStr">
        <is>
          <t>confirmed_issue</t>
        </is>
      </c>
      <c r="I7" s="21" t="inlineStr">
        <is>
          <t>minor_presentation</t>
        </is>
      </c>
      <c r="J7" s="22" t="inlineStr">
        <is>
          <t>possible</t>
        </is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Table 2 p.6 PP ROSC ETI '377 (30.0)' with n=943: 377/943 = 40.0%. Printed difference -5.6 matches 34.4-40.0, so 30.0 is a typographic error for 40.0; as printed the percentages imply BMV higher, opposite to the difference.</t>
        </is>
      </c>
    </row>
    <row r="8" ht="92" customFormat="1" customHeight="1" s="14">
      <c r="A8" s="20" t="inlineStr">
        <is>
          <t>2018::jama.2018.0156::C007</t>
        </is>
      </c>
      <c r="B8" s="20" t="inlineStr">
        <is>
          <t>Alternative boundary in native and signed SAP copies</t>
        </is>
      </c>
      <c r="C8" s="20" t="inlineStr">
        <is>
          <t>PLAN joi180004supp1_prod.pdf — p. 121 §4.1 native SAP H1 and joi180004supp1_prod.pdf — p. 130 §4.1 signed SAP H1. Corroborating operational rules joi180004supp1_prod.pdf — p. 124 §8.2.1 and joi180004supp1_prod.pdf — p. 133 signed §8.2.1; original/final hypotheses joi180004supp1_prod.pdf — p. 36 §11.2 continuation and joi180004supp1_prod.pdf — p. 90 §11.2.</t>
        </is>
      </c>
      <c r="D8" s="21" t="inlineStr">
        <is>
          <t>retain</t>
        </is>
      </c>
      <c r="E8" s="21" t="inlineStr">
        <is>
          <t>plan_material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ID",IF(OR(A8="",COUNTIF($A$2:$A$9,A8)&lt;&gt;1,LEFT(A8,LEN("2018::jama.2018.0156::"))&lt;&gt;"2018::jama.2018.0156::"),"CHECK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 t="inlineStr">
        <is>
          <t>minor_presentation</t>
        </is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Signed SAP p.130 (rendered/OCR) prints H1: piBVM - piTI &gt;= 0.01; native SAP p.121 and protocol §11.2 (pp.36,90) print &gt;= -0.01. H0 on the same signed page is &lt;= -0.01 and the operational rule §8.2.1 (signed p.133) uses lower CI limit &gt; -0.01, so intent is clear.</t>
        </is>
      </c>
    </row>
    <row r="9" ht="92" customFormat="1" customHeight="1" s="14">
      <c r="A9" s="24" t="inlineStr">
        <is>
          <t>2018::jama.2018.0156::C008</t>
        </is>
      </c>
      <c r="B9" s="24" t="inlineStr">
        <is>
          <t>Post-hoc exclusion confidence interval</t>
        </is>
      </c>
      <c r="C9" s="24" t="inlineStr">
        <is>
          <t>REPORT joi180004supp2_prod.pdf — p. 3 eTable 2 ECMO/donation-exclusion row, companion reclassification row and test footnote. Corroborating REPORT post-hoc scope: jama_jabre_2018_oi_180004.pdf — p. 3 methods, jama_jabre_2018_oi_180004.pdf — p. 4 continuation and jama_jabre_2018_oi_180004.pdf — p. 6 results pointers.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ID",IF(OR(A9="",COUNTIF($A$2:$A$9,A9)&lt;&gt;1,LEFT(A9,LEN("2018::jama.2018.0156::"))&lt;&gt;"2018::jama.2018.0156::"),"CHECK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substantive</t>
        </is>
      </c>
      <c r="J9" s="22" t="inlineStr">
        <is>
          <t>direct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eTable 2 p.3 ECMO/donation-excluded row: 43/971 vs 39/978, RD 0.44, Wald CI -1.34 to 2.22; printed 0.4 [-2.2, 1.3], which is the interval for ETI-BMV (-0.44, -2.22 to 1.34): sign-reversed. Companion row 41/863 vs 45/1174 reproduces (0.92, -0.88 to 2.71). P .63 matches.</t>
        </is>
      </c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2018::jama.2018.0948::C001</t>
        </is>
      </c>
      <c r="B2" s="20" t="inlineStr">
        <is>
          <t>SCDE absolute-effect interval and displayed P value give different null readings</t>
        </is>
      </c>
      <c r="C2" s="20" t="inlineStr">
        <is>
          <t>REPORT jama_parshuram_2018_oi_180015.pdf — main p.1 abstract Results, REPORT jama_parshuram_2018_oi_180015.pdf — main p.6 Secondary Outcome, REPORT jama_parshuram_2018_oi_180015.pdf — main p.7 Table 3 SCDE row and footnotes a/f; REPORT jama_parshuram_2018_oi_180015.pdf — main p.5 two-sided significance rule supplies the comparison level.</t>
        </is>
      </c>
      <c r="D2" s="21" t="inlineStr">
        <is>
          <t>exclude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ID",IF(OR(A2="",COUNTIF($A$2:$A$13,A2)&lt;&gt;1,LEFT(A2,LEN("2018::jama.2018.0948::"))&lt;&gt;"2018::jama.2018.0948::"),"CHECK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SCDE: RD -0.34 (-0.73 to 0.05) vs RR 0.77 (0.61-0.97), P=.03 (abstract p.1; p.6; Table 3 p.7). Table 3 fn a and methods p.5 state the identity-link RD for SCDE was not baseline-adjusted (nonconvergence fallback); P=.03 belongs to the baseline-adjusted Poisson RR, which agrees with it. Different models, disclosed; no CI/P conflict.</t>
        </is>
      </c>
    </row>
    <row r="3" ht="92" customFormat="1" customHeight="1" s="14">
      <c r="A3" s="24" t="inlineStr">
        <is>
          <t>2018::jama.2018.0948::C002</t>
        </is>
      </c>
      <c r="B3" s="24" t="inlineStr">
        <is>
          <t>Planned all-seven documentation analysis is replaced by last-set ≥5 completeness</t>
        </is>
      </c>
      <c r="C3" s="24" t="inlineStr">
        <is>
          <t>PLAN joi180015supp1_prod.pdf — protocol p.12 documentation process outcome, PLAN joi180015supp1_prod.pdf — protocol p.14 preceding-24-hour documentation measurement, PLAN joi180015supp1_prod.pdf — protocol p.16 all-seven-item analysis; REPORT jama_parshuram_2018_oi_180015.pdf — main p.3 documentation revision introduction, REPORT jama_parshuram_2018_oi_180015.pdf — main p.4 revision details, REPORT jama_parshuram_2018_oi_180015.pdf — main p.6 Table 2 completeness row and footnotes. Corroboration: REPORT joi180015supp3_prod.pdf — results p.4 eFigure 2 and REPORT joi180015supp3_prod.pdf — results p.5 caption confirm last-set measurement; they do not add S_C.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ID",IF(OR(A3="",COUNTIF($A$2:$A$13,A3)&lt;&gt;1,LEFT(A3,LEN("2018::jama.2018.0948::"))&lt;&gt;"2018::jama.2018.0948::"),"CHECK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Protocol p.16 plans analysis of the number of times all 7 items were documented (24-h frequency, p.12/p.14). Report pp.3-4 and Table 2 p.6 use the proportion of the last observation set with &gt;=5 of 7 types. Disclosed in report pp.3-4 (revised before analyses).</t>
        </is>
      </c>
    </row>
    <row r="4" ht="92" customFormat="1" customHeight="1" s="14">
      <c r="A4" s="20" t="inlineStr">
        <is>
          <t>2018::jama.2018.0948::C003</t>
        </is>
      </c>
      <c r="B4" s="20" t="inlineStr">
        <is>
          <t>SCDE composite components differ between protocol and report, with a report fluid-boundary difference</t>
        </is>
      </c>
      <c r="C4" s="20" t="inlineStr">
        <is>
          <t>PLAN joi180015supp1_prod.pdf — protocol p.24 Table 5 categories 4 and 7; PLAN joi180015supp1_prod.pdf — protocol pp.10–11 main-secondary definition; REPORT jama_parshuram_2018_oi_180015.pdf — main p.4 SCDE definition; REPORT joi180015supp3_prod.pdf — results p.6 eTable 1 SCDE definition. Affected-result occurrences, not extra conflicting relationships: REPORT jama_parshuram_2018_oi_180015.pdf — main p.1 abstract, REPORT jama_parshuram_2018_oi_180015.pdf — main p.7 Table 3, REPORT joi180015supp3_prod.pdf — results p.11 eTable 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ID",IF(OR(A4="",COUNTIF($A$2:$A$13,A4)&lt;&gt;1,LEFT(A4,LEN("2018::jama.2018.0948::"))&lt;&gt;"2018::jama.2018.0948::"),"CHECK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Protocol Table 5 p.24: circulatory SCDE requires &gt;60 mL/kg fluid AND inotrope/vasopressor; death only on the ward. eTable 1 p.6 uses fluid &gt;60 mL/kg 'and/or' vasoactive drug and adds death within 1 h of ICU admission; main p.4 says vasoactive 'or' fluid &gt;=60 mL/kg and intubation in the 12 h before admission.</t>
        </is>
      </c>
    </row>
    <row r="5" ht="92" customFormat="1" customHeight="1" s="14">
      <c r="A5" s="24" t="inlineStr">
        <is>
          <t>2018::jama.2018.0948::C004</t>
        </is>
      </c>
      <c r="B5" s="24" t="inlineStr">
        <is>
          <t>Planned secondary outcome/analysis status differs from reported post-hoc or nonprespecified status</t>
        </is>
      </c>
      <c r="C5" s="24" t="inlineStr">
        <is>
          <t>PLAN joi180015supp1_prod.pdf — protocol p.11 preventable cardiac arrest, PLAN joi180015supp1_prod.pdf — protocol p.12 readmissions and calls/consultations, PLAN joi180015supp1_prod.pdf — protocol p.16 PIM2-score model; REPORT jama_parshuram_2018_oi_180015.pdf — main p.4 outcome-status lists; REPORT jama_parshuram_2018_oi_180015.pdf — main p.7 Table 3 Post hoc Outcomes and footnote g. PLAN joi180015supp2_prod.pdf — SAP p.5 urgent-ICU-admission shell row is a further timing-ambiguous occurrence. Result corroboration: REPORT joi180015supp3_prod.pdf — results p.12 eTable 4 PIM2-score row prints 0.13 (−0.11 to 0.37), P=.29; it confirms the analyzed score but makes no conflicting status claim, so it does not add S_C.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ID",IF(OR(A5="",COUNTIF($A$2:$A$13,A5)&lt;&gt;1,LEFT(A5,LEN("2018::jama.2018.0948::"))&lt;&gt;"2018::jama.2018.0948::"),"CHECK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Protocol pp.11-12,16 lists potentially preventable cardiac arrest, hospital and PICU readmission, ICU mortality and PIM2 score as secondary outcomes/analyses. Main p.4 calls PIM2 at admission 'not prespecified', and Table 3 p.7 places these outcomes under 'Post hoc Outcomes' while p.4 calls them prespecified.</t>
        </is>
      </c>
    </row>
    <row r="6" ht="92" customFormat="1" customHeight="1" s="14">
      <c r="A6" s="20" t="inlineStr">
        <is>
          <t>2018::jama.2018.0948::C005</t>
        </is>
      </c>
      <c r="B6" s="20" t="inlineStr">
        <is>
          <t>Protocol weighted hospital-logit primary analysis differs from SAP/reported GEE specification</t>
        </is>
      </c>
      <c r="C6" s="20" t="inlineStr">
        <is>
          <t>PLAN joi180015supp1_prod.pdf — protocol p.16 primary and secondary analysis paragraphs; PLAN joi180015supp2_prod.pdf — SAP p.1 binomial model/predictors, PLAN joi180015supp2_prod.pdf — SAP p.2 cbind event/non-event GEE, PLAN joi180015supp2_prod.pdf — SAP pp.3–4 count and individual-continuous GEE specifications; REPORT jama_parshuram_2018_oi_180015.pdf — main p.4 GEE methods, REPORT jama_parshuram_2018_oi_180015.pdf — main p.5 two predictors, individual ICU analyses and removal of strata; REPORT jama_parshuram_2018_oi_180015.pdf — main p.7 Table 3 primary outputs.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ID",IF(OR(A6="",COUNTIF($A$2:$A$13,A6)&lt;&gt;1,LEFT(A6,LEN("2018::jama.2018.0948::"))&lt;&gt;"2018::jama.2018.0948::"),"CHECK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Protocol p.16: hospital-level logit regression weighted by hospital size with baseline logit and size stratum. SAP pp.1-4 and report pp.4-5: GEE binomial (exchangeable) with treatment and baseline only; stratum dropped (disclosed p.5: only 3 hospitals &gt;=200 beds). Report matches the undated SAP, not the protocol.</t>
        </is>
      </c>
    </row>
    <row r="7" ht="92" customFormat="1" customHeight="1" s="14">
      <c r="A7" s="24" t="inlineStr">
        <is>
          <t>2018::jama.2018.0948::C006</t>
        </is>
      </c>
      <c r="B7" s="24" t="inlineStr">
        <is>
          <t>Key-secondary SCDE absolute-effect analysis omits SAP baseline adjustment</t>
        </is>
      </c>
      <c r="C7" s="24" t="inlineStr">
        <is>
          <t>PLAN joi180015supp2_prod.pdf — SAP p.2 count identity model introduction, PLAN joi180015supp2_prod.pdf — SAP p.3 baseline predictor/identity-link fit; REPORT jama_parshuram_2018_oi_180015.pdf — main p.5 identity-model fallback, REPORT jama_parshuram_2018_oi_180015.pdf — main p.7 Table 3 SCDE row and footnote a. PLAN joi180015supp1_prod.pdf — protocol p.16 SCDE Poisson baseline-event specification supports the general planned baseline adjustment. Affected-result occurrence: REPORT jama_parshuram_2018_oi_180015.pdf — main p.1 abstract RD is an output occurrence, not a separate conflict.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ID",IF(OR(A7="",COUNTIF($A$2:$A$13,A7)&lt;&gt;1,LEFT(A7,LEN("2018::jama.2018.0948::"))&lt;&gt;"2018::jama.2018.0948::"),"CHECK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 t="inlineStr">
        <is>
          <t>SAP pp.2-3 specifies identity-link Poisson GEE for the rate difference with the baseline rate as predictor; protocol p.16 also adjusts for baseline. Report p.5 and Table 3 fn a: SCDE RD not adjusted for baseline because the model did not converge (disclosed).</t>
        </is>
      </c>
    </row>
    <row r="8" ht="92" customFormat="1" customHeight="1" s="14">
      <c r="A8" s="20" t="inlineStr">
        <is>
          <t>2018::jama.2018.0948::C007</t>
        </is>
      </c>
      <c r="B8" s="20" t="inlineStr">
        <is>
          <t>Planned subgroup analyses of primary/key-secondary effects are not supplied</t>
        </is>
      </c>
      <c r="C8" s="20" t="inlineStr">
        <is>
          <t>PLAN joi180015supp1_prod.pdf — protocol p.16 A-priori Subgroup analyses, PLAN joi180015supp2_prod.pdf — SAP p.6 Subgroup Analysis Plan, REPORT jama_parshuram_2018_oi_180015.pdf — main p.5 nonreporting statement. REPORT complete main pp.1–11 and joi180015supp3_prod.pdf — results pp.1–14 provide no subgroup estimate/interaction result.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ID",IF(OR(A8="",COUNTIF($A$2:$A$13,A8)&lt;&gt;1,LEFT(A8,LEN("2018::jama.2018.0948::"))&lt;&gt;"2018::jama.2018.0948::"),"CHECK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 t="inlineStr">
        <is>
          <t>Protocol p.16 lists 4 a priori subgroups (size, MET/RRT, ECMO, urgent ICU admission from ward); SAP p.6 plans ECMO and MET subgroup GEE interaction analyses. Report p.5 states the planned subgroup analyses are not reported (disclosed); none appear in main text or supp3.</t>
        </is>
      </c>
    </row>
    <row r="9" ht="92" customFormat="1" customHeight="1" s="14">
      <c r="A9" s="24" t="inlineStr">
        <is>
          <t>2018::jama.2018.0948::C008</t>
        </is>
      </c>
      <c r="B9" s="24" t="inlineStr">
        <is>
          <t>Respiratory-rate interval excludes zero while Holm-adjusted P is nonsignificant</t>
        </is>
      </c>
      <c r="C9" s="24" t="inlineStr">
        <is>
          <t>REPORT jama_parshuram_2018_oi_180015.pdf — main p.6 Table 2 respiratory-rate row and footnotes c/d; REPORT jama_parshuram_2018_oi_180015.pdf — main p.5 significance/multiplicity methods.</t>
        </is>
      </c>
      <c r="D9" s="21" t="inlineStr">
        <is>
          <t>exclude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ID",IF(OR(A9="",COUNTIF($A$2:$A$13,A9)&lt;&gt;1,LEFT(A9,LEN("2018::jama.2018.0948::"))&lt;&gt;"2018::jama.2018.0948::"),"CHECK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2 p.6 respiratory rate 0.85 (0.02 to 1.68), P=.05, Holm-adjusted P=.18. The CI and the unadjusted P are multiplicity-unadjusted (Wald check: SE 0.4235, z 2.007, P 0.045, consistent with .05 after rounding); the Holm P is a separate column. No conflict.</t>
        </is>
      </c>
    </row>
    <row r="10" ht="92" customFormat="1" customHeight="1" s="14">
      <c r="A10" s="20" t="inlineStr">
        <is>
          <t>2018::jama.2018.0948::C009</t>
        </is>
      </c>
      <c r="B10" s="20" t="inlineStr">
        <is>
          <t>Planned mortality-following-DNR sensitivity is not matched by displayed mortality-without-DNR output</t>
        </is>
      </c>
      <c r="C10" s="20" t="inlineStr">
        <is>
          <t>PLAN joi180015supp1_prod.pdf — protocol p.16 secondary analysis d; REPORT jama_parshuram_2018_oi_180015.pdf — main p.6 non-DNR result, REPORT jama_parshuram_2018_oi_180015.pdf — main p.7 Table 3 mortality without DNR, REPORT jama_parshuram_2018_oi_180015.pdf — main p.9 sixth limitation referring to sensitivity of mortality after DNR order. PLAN joi180015supp1_prod.pdf — protocol p.10 with/without-DNR rationale supplies context. Corroboration and absence scope: REPORT joi180015supp3_prod.pdf — results p.9 eTable 2 supplies hospital mortality and mortality without DNR, not a modeled following-DNR estimate. Full main/results inspection found no corresponding following-DNR model output; that table is additional output scope, not a conflicting S_C relationship.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ID",IF(OR(A10="",COUNTIF($A$2:$A$13,A10)&lt;&gt;1,LEFT(A10,LEN("2018::jama.2018.0948::"))&lt;&gt;"2018::jama.2018.0948::"),"CHECK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 t="inlineStr">
        <is>
          <t>Protocol p.16 secondary analysis (d): all-cause mortality following DNR orders with the logit model. Report gives mortality without DNR (p.6, Table 3, eTable 2) and only the count of deaths after DNR (155, p.6); limitation 6 (p.9) refers to a 'sensitivity analysis of mortality after DNR order' that is not shown.</t>
        </is>
      </c>
    </row>
    <row r="11" ht="92" customFormat="1" customHeight="1" s="14">
      <c r="A11" s="24" t="inlineStr">
        <is>
          <t>2018::jama.2018.0948::C010</t>
        </is>
      </c>
      <c r="B11" s="24" t="inlineStr">
        <is>
          <t>ICU-readmission rate denominator changes from planned hospital to reported ICU discharges</t>
        </is>
      </c>
      <c r="C11" s="24" t="inlineStr">
        <is>
          <t>PLAN joi180015supp1_prod.pdf — protocol p.12 ICU readmission definition and denominator sentence; PLAN joi180015supp2_prod.pdf — SAP p.5 ICU-readmission shell row; REPORT jama_parshuram_2018_oi_180015.pdf — main p.7 ICU readmission row and footnote h. REPORT jama_parshuram_2018_oi_180015.pdf — main p.5 Table 1 baseline ICU discharge counts supplies the baseline denominator witness.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ID",IF(OR(A11="",COUNTIF($A$2:$A$13,A11)&lt;&gt;1,LEFT(A11,LEN("2018::jama.2018.0948::"))&lt;&gt;"2018::jama.2018.0948::"),"CHECK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substantive_difference</t>
        </is>
      </c>
      <c r="M11" s="24" t="n"/>
      <c r="N11" s="23" t="n"/>
      <c r="O11" s="23" t="n"/>
      <c r="P11" s="23" t="n"/>
      <c r="Q11" s="23" t="n"/>
      <c r="R11" s="22" t="inlineStr">
        <is>
          <t>Protocol p.12: PICU and hospital readmission expressed per 1000 hospital discharges. Table 3 p.7 fn h: ICU readmission per 1000 ICU discharges (64/1859 = 34.43 reproduces). Undated SAP p.5 shell also uses ICU discharges, so the report matches the SAP but not the protocol.</t>
        </is>
      </c>
    </row>
    <row r="12" ht="92" customFormat="1" customHeight="1" s="14">
      <c r="A12" s="20" t="inlineStr">
        <is>
          <t>2018::jama.2018.0948::C011</t>
        </is>
      </c>
      <c r="B12" s="20" t="inlineStr">
        <is>
          <t>Protocol mortality power appendix prints 0.9% versus body 0.09%</t>
        </is>
      </c>
      <c r="C12" s="20" t="inlineStr">
        <is>
          <t>PLAN joi180015supp1_prod.pdf — protocol p.14 section 2.11 and PLAN joi180015supp1_prod.pdf — protocol p.29 power appendix, mortality paragraph and scenario. Corroborating locations: PLAN joi180015supp1_prod.pdf — protocol p.1 summary prints 0.9 deaths/1000 admissions; REPORT jama_parshuram_2018_oi_180015.pdf — main p.4 sample-size paragraph prints 0.9/1000. Neither contradicts the body value and neither creates P_R.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ID",IF(OR(A12="",COUNTIF($A$2:$A$13,A12)&lt;&gt;1,LEFT(A12,LEN("2018::jama.2018.0948::"))&lt;&gt;"2018::jama.2018.0948::"),"CHECK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minor_presentation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Protocol p.14 §2.11: 18% RRR = ARR 0.09%; power appendix p.29: 18% RRR 'corresponds to an absolute risk reduction of 0.9%'. With baseline 5.1/1000, 18% gives 0.92/1000 = 0.09%; the appendix's 0.9% is a unit slip. Summary p.1 and article p.4 say 0.9 per 1000.</t>
        </is>
      </c>
    </row>
    <row r="13" ht="92" customFormat="1" customHeight="1" s="14">
      <c r="A13" s="24" t="inlineStr">
        <is>
          <t>2018::jama.2018.0948::C012</t>
        </is>
      </c>
      <c r="B13" s="24" t="inlineStr">
        <is>
          <t>SAP model-choice sensitivity outputs for primary/key-secondary effects are not supplied</t>
        </is>
      </c>
      <c r="C13" s="24" t="inlineStr">
        <is>
          <t>PLAN joi180015supp2_prod.pdf — SAP p.4 Sensitivity to model choice and PLAN joi180015supp2_prod.pdf — SAP p.5 remaining probability/rate models, versus REPORT jama_parshuram_2018_oi_180015.pdf — main pp.4–5 analysis methods, REPORT jama_parshuram_2018_oi_180015.pdf — main pp.6–7 primary/main-secondary outputs and full REPORT joi180015supp3_prod.pdf — results pp.1–14.</t>
        </is>
      </c>
      <c r="D13" s="21" t="inlineStr">
        <is>
          <t>retain</t>
        </is>
      </c>
      <c r="E13" s="21" t="inlineStr">
        <is>
          <t>protocol_report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ID",IF(OR(A13="",COUNTIF($A$2:$A$13,A13)&lt;&gt;1,LEFT(A13,LEN("2018::jama.2018.0948::"))&lt;&gt;"2018::jama.2018.0948::"),"CHECK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 t="inlineStr">
        <is>
          <t>substantive_difference</t>
        </is>
      </c>
      <c r="M13" s="24" t="n"/>
      <c r="N13" s="23" t="n"/>
      <c r="O13" s="23" t="n"/>
      <c r="P13" s="23" t="n"/>
      <c r="Q13" s="23" t="n"/>
      <c r="R13" s="22" t="inlineStr">
        <is>
          <t>SAP pp.4-5 'Sensitivity to model choice' lists about 14 alternative models (GLMM, pre-post interaction, weighted linear, quasi-likelihood) for ORs, rate ratios and differences. No such results appear in the article or supp3 (eFigs 1-2, eTables 1-5).</t>
        </is>
      </c>
    </row>
  </sheetData>
  <autoFilter ref="A1:R13"/>
  <conditionalFormatting sqref="H2:H13">
    <cfRule type="expression" priority="8" dxfId="70">
      <formula>NOT(AND(OR($D2="retain",$D2=""),$E2="statistical_results"))</formula>
    </cfRule>
  </conditionalFormatting>
  <conditionalFormatting sqref="I2:I13">
    <cfRule type="expression" priority="9" dxfId="70">
      <formula>NOT(AND(OR($D2="retain",$D2=""),$E2="statistical_results"))</formula>
    </cfRule>
  </conditionalFormatting>
  <conditionalFormatting sqref="J2:J13">
    <cfRule type="expression" priority="10" dxfId="70">
      <formula>NOT(AND(OR($D2="retain",$D2=""),$E2="statistical_results"))</formula>
    </cfRule>
  </conditionalFormatting>
  <conditionalFormatting sqref="K2:K13">
    <cfRule type="expression" priority="11" dxfId="70">
      <formula>NOT(AND(OR($D2="retain",$D2=""),OR($E2="report_internal_inconsistency",$E2="plan_material")))</formula>
    </cfRule>
  </conditionalFormatting>
  <conditionalFormatting sqref="L2:L13">
    <cfRule type="expression" priority="12" dxfId="70">
      <formula>NOT(AND(OR($D2="retain",$D2=""),$E2="protocol_report"))</formula>
    </cfRule>
  </conditionalFormatting>
  <conditionalFormatting sqref="G2:G13">
    <cfRule type="expression" priority="13" dxfId="71">
      <formula>G2&lt;&gt;"PRIMARY READY"</formula>
    </cfRule>
  </conditionalFormatting>
  <dataValidations count="8">
    <dataValidation sqref="D2:D1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2018::jama.2018.14280::C001</t>
        </is>
      </c>
      <c r="B2" s="20" t="inlineStr">
        <is>
          <t>Binary risk-ratio identity requires clarification</t>
        </is>
      </c>
      <c r="C2" s="20" t="inlineStr">
        <is>
          <t>Physical PDF pages; contextual locations are identified in their link labels. jama_simonis_2018_oi_180108.pdf — main p1, abstract ARDS; jama_simonis_2018_oi_180108.pdf — main p4, secondary binary-outcome method; jama_simonis_2018_oi_180108.pdf — main p6, Table 2 ARDS and extrapulmonary-infection rows, all ten RR rows and footnote c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ID",IF(OR(A2="",COUNTIF($A$2:$A$11,A2)&lt;&gt;1,LEFT(A2,LEN("2018::jama.2018.14280::"))&lt;&gt;"2018::jama.2018.14280::"),"CHECK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direct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All 10 RRs in Table 2 (p.6; abstract p.1) reproduce as P(low group | event)/P(low group | no event), not as event-risk ratios. E.g., ARDS 17/448 vs 23/462: risk RR 0.76 (0.41-1.41); printed 0.86 (0.59-1.24) = transposed ratio 0.86 (0.59-1.24). Pneumonia printed 1.07 vs risk RR 1.15. Chi-square P values are unaffected.</t>
        </is>
      </c>
    </row>
    <row r="3" ht="92" customFormat="1" customHeight="1" s="14">
      <c r="A3" s="24" t="inlineStr">
        <is>
          <t>2018::jama.2018.14280::C002</t>
        </is>
      </c>
      <c r="B3" s="24" t="inlineStr">
        <is>
          <t>ARDS severity threshold is not resolved across plan and report</t>
        </is>
      </c>
      <c r="C3" s="24" t="inlineStr">
        <is>
          <t>Physical PDF pages; contextual locations are identified in their link labels. joi180108supp1_prod.pdf — protocol p26, generic development-of-ARDS endpoint; joi180108supp1_prod.pdf — p28, moderate/severe ARDS collection item; joi180108supp1_prod.pdf — p48, Berlin criteria with mild, moderate and severe grades; joi180108supp2_prod.pdf — SAP p9, new-ARDS endpoint; jama_simonis_2018_oi_180108.pdf — main p1, abstract ARDS result; jama_simonis_2018_oi_180108.pdf — p4, new-ARDS outcome and Berlin reference; jama_simonis_2018_oi_180108.pdf — p6, Table 2 ARDS counts/effect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ID",IF(OR(A3="",COUNTIF($A$2:$A$11,A3)&lt;&gt;1,LEFT(A3,LEN("2018::jama.2018.14280::"))&lt;&gt;"2018::jama.2018.14280::"),"CHECK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indeterminate</t>
        </is>
      </c>
      <c r="M3" s="24" t="n"/>
      <c r="N3" s="23" t="n"/>
      <c r="O3" s="23" t="n"/>
      <c r="P3" s="23" t="n"/>
      <c r="Q3" s="23" t="n"/>
      <c r="R3" s="22" t="inlineStr">
        <is>
          <t>Protocol endpoint 'development of ARDS' (p.26) refers to the Berlin definition with mild/moderate/severe grades (Appendix p.48), but the daily data item is 'moderate or severe ARDS' (p.28). SAP p.9 and the article (pp.1,4,6) say 'new ARDS' (Berlin) without a severity threshold. Which grades were counted cannot be determined.</t>
        </is>
      </c>
    </row>
    <row r="4" ht="92" customFormat="1" customHeight="1" s="14">
      <c r="A4" s="20" t="inlineStr">
        <is>
          <t>2018::jama.2018.14280::C003</t>
        </is>
      </c>
      <c r="B4" s="20" t="inlineStr">
        <is>
          <t>Low-oxygenation eligibility condition differs between supplied lists</t>
        </is>
      </c>
      <c r="C4" s="20" t="inlineStr">
        <is>
          <t>Physical PDF pages; contextual locations are identified in their link labels. joi180108supp1_prod.pdf — protocol p17, exclusions; joi180108supp1_prod.pdf — p18, low-oxygenation exception; joi180108supp2_prod.pdf — SAP p6, eligibility; joi180108supp2_prod.pdf — p7, exclusion list; jama_simonis_2018_oi_180108.pdf — main p2, Patients; jama_simonis_2018_oi_180108.pdf — p5, Table 1 oxygenation; joi180108supp3_prod.pdf — results supplement p9, oxygenation subgroup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ID",IF(OR(A4="",COUNTIF($A$2:$A$11,A4)&lt;&gt;1,LEFT(A4,LEN("2018::jama.2018.14280::"))&lt;&gt;"2018::jama.2018.14280::"),"CHECK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Protocol pp.17-18 excludes PaO2/FiO2 &lt;200 mm Hg unless the physician states no ARDS and no direct risk factor. SAP pp.6-7 and article p.2 list only clinical ARDS (Berlin) as the ARDS-related exclusion. Table 1 p.5: median baseline PaO2/FiO2 197 vs 195, so about half of patients were &lt;200 at baseline.</t>
        </is>
      </c>
    </row>
    <row r="5" ht="92" customFormat="1" customHeight="1" s="14">
      <c r="A5" s="24" t="inlineStr">
        <is>
          <t>2018::jama.2018.14280::C004</t>
        </is>
      </c>
      <c r="B5" s="24" t="inlineStr">
        <is>
          <t>Primary ventilator-free-day time origin differs</t>
        </is>
      </c>
      <c r="C5" s="24" t="inlineStr">
        <is>
          <t>Physical PDF pages; contextual locations are identified in their link labels. joi180108supp1_prod.pdf — protocol p10, primary endpoint summary; joi180108supp1_prod.pdf — p19, power endpoint; joi180108supp1_prod.pdf — p33, primary analysis; joi180108supp2_prod.pdf — SAP p8, day-1-to-day-28 endpoint; jama_simonis_2018_oi_180108.pdf — main p4, explicit randomization anchor; jama_simonis_2018_oi_180108.pdf — p5, ventilation/randomization timing; jama_simonis_2018_oi_180108.pdf — p6, Table 2 primary result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ID",IF(OR(A5="",COUNTIF($A$2:$A$11,A5)&lt;&gt;1,LEFT(A5,LEN("2018::jama.2018.14280::"))&lt;&gt;"2018::jama.2018.14280::"),"CHECK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minor_presentation</t>
        </is>
      </c>
      <c r="M5" s="24" t="n"/>
      <c r="N5" s="23" t="n"/>
      <c r="O5" s="23" t="n"/>
      <c r="P5" s="23" t="n"/>
      <c r="Q5" s="23" t="n"/>
      <c r="R5" s="22" t="inlineStr">
        <is>
          <t>Protocol (summary p.10, power p.19, analysis p.33) defines VFD at day 28 'after ICU admission'; SAP p.8 'day 1 to day 28'; article p.4 counts from randomization. Randomization was required within 1 h of ICU ventilation/admission (median 0.57 h after ICU ventilation start, p.5), so the anchors differ by about an hour at most.</t>
        </is>
      </c>
    </row>
    <row r="6" ht="92" customFormat="1" customHeight="1" s="14">
      <c r="A6" s="20" t="inlineStr">
        <is>
          <t>2018::jama.2018.14280::C005</t>
        </is>
      </c>
      <c r="B6" s="20" t="inlineStr">
        <is>
          <t>Original primary Cox analysis is replaced by a t-test analysis</t>
        </is>
      </c>
      <c r="C6" s="20" t="inlineStr">
        <is>
          <t>Physical PDF pages; contextual locations are identified in their link labels. joi180108supp1_prod.pdf — protocol p19, two-group t-test power inputs; joi180108supp1_prod.pdf — p33, Cox primary analysis; joi180108supp2_prod.pdf — SAP p12, primary Student's t test; joi180108supp2_prod.pdf — p21, modification matrix primary row; jama_simonis_2018_oi_180108.pdf — main p2, updated-plan disclosure; jama_simonis_2018_oi_180108.pdf — p4, primary method; jama_simonis_2018_oi_180108.pdf — p6, Table 2 primary mean difference; joi180108supp2_prod.pdf — PDF p. 22, matrix timing footnotes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ID",IF(OR(A6="",COUNTIF($A$2:$A$11,A6)&lt;&gt;1,LEFT(A6,LEN("2018::jama.2018.14280::"))&lt;&gt;"2018::jama.2018.14280::"),"CHECK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Protocol p.33: primary VFD analysed with Cox regression (power p.19 uses a t test). Updated SAP p.12 and article p.4: Student t test, mean difference. Disclosed: SAP modification table p.21 and article p.2 (updated SAP before database closure).</t>
        </is>
      </c>
    </row>
    <row r="7" ht="92" customFormat="1" customHeight="1" s="14">
      <c r="A7" s="24" t="inlineStr">
        <is>
          <t>2018::jama.2018.14280::C006</t>
        </is>
      </c>
      <c r="B7" s="24" t="inlineStr">
        <is>
          <t>Four planned clinical primary-outcome analysis families lack supplied results</t>
        </is>
      </c>
      <c r="C7" s="24" t="inlineStr">
        <is>
          <t>Physical PDF pages; contextual locations are identified in their link labels. joi180108supp1_prod.pdf — protocol p33, promised per-protocol analysis; joi180108supp2_prod.pdf — SAP p13, per-protocol exclusions; joi180108supp2_prod.pdf — p14, continued exclusions, nine subgroups and four-covariate sensitivity; joi180108supp2_prod.pdf — p15, continued covariates and mediation; joi180108supp2_prod.pdf — p21, additional-analysis and subgroup matrix; joi180108supp2_prod.pdf — p22, matrix continuation, per-protocol and mediation rows; jama_simonis_2018_oi_180108.pdf — main p4, all methods and subgroup categories; jama_simonis_2018_oi_180108.pdf — p6, sensitivity P=.72 and subgroup results; joi180108supp3_prod.pdf — results supplement p9, complete eTable 5; jama_simonis_2018_oi_180108.pdf — PDF p. 7, figure absence check; joi180108supp3_prod.pdf — PDF p. 10, figure absence check; joi180108supp3_prod.pdf — PDF p. 11, figure absence check; joi180108supp3_prod.pdf — PDF p. 12, figure absence check; joi180108supp3_prod.pdf — PDF p. 13, figure absence check; joi180108supp4_prod.pdf — PDF p. 1, no analysis results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ID",IF(OR(A7="",COUNTIF($A$2:$A$11,A7)&lt;&gt;1,LEFT(A7,LEN("2018::jama.2018.14280::"))&lt;&gt;"2018::jama.2018.14280::"),"CHECK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 t="inlineStr">
        <is>
          <t>Planned but not reported: per-protocol analysis (protocol p.33; SAP pp.13-14), respiratory-rate subgroup (SAP p.14 item 9; eTable 5 has 8 subgroups), covariate-adjusted zero-inflated GLM sensitivity (SAP pp.14-15), mediation analysis (SAP p.15). Only the GLMM sensitivity (P=.72, p.6) is reported. SAP matrix pp.21-22 partly discloses the omissions.</t>
        </is>
      </c>
    </row>
    <row r="8" ht="92" customFormat="1" customHeight="1" s="14">
      <c r="A8" s="20" t="inlineStr">
        <is>
          <t>2018::jama.2018.14280::C007</t>
        </is>
      </c>
      <c r="B8" s="20" t="inlineStr">
        <is>
          <t>Reported subgroup distribution replaces the planned zero-inflated model</t>
        </is>
      </c>
      <c r="C8" s="20" t="inlineStr">
        <is>
          <t>Physical PDF pages; contextual locations are identified in their link labels. joi180108supp2_prod.pdf — SAP p14, primary-VFD subgroup interactions; joi180108supp2_prod.pdf — p22, model-modification matrix and post-hoc definition; jama_simonis_2018_oi_180108.pdf — main p4, Gaussian GLM subgroup method; jama_simonis_2018_oi_180108.pdf — p6, intubation-location interaction/result; joi180108supp3_prod.pdf — results supplement p9, all eight eTable 5 subgroup pairs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ID",IF(OR(A8="",COUNTIF($A$2:$A$11,A8)&lt;&gt;1,LEFT(A8,LEN("2018::jama.2018.14280::"))&lt;&gt;"2018::jama.2018.14280::"),"CHECK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 t="inlineStr">
        <is>
          <t>SAP p.14: subgroup interactions by GLM with zero-inflated distributions and a forest plot. Article p.4 and eTable 5 p.9: Gaussian GLM, table only. Disclosed in SAP modification table p.22 as a post hoc change (CLT justification).</t>
        </is>
      </c>
    </row>
    <row r="9" ht="92" customFormat="1" customHeight="1" s="14">
      <c r="A9" s="24" t="inlineStr">
        <is>
          <t>2018::jama.2018.14280::C008</t>
        </is>
      </c>
      <c r="B9" s="24" t="inlineStr">
        <is>
          <t>Printed PEEP upper quartile does not reconcile with its median</t>
        </is>
      </c>
      <c r="C9" s="24" t="inlineStr">
        <is>
          <t>Physical PDF pages; contextual locations are identified in their link labels. joi180108supp3_prod.pdf — results supplement p6, eTable 2, Other Mode of Ventilation, after titration on randomization day, intermediate PEEP cell and summary footer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ID",IF(OR(A9="",COUNTIF($A$2:$A$11,A9)&lt;&gt;1,LEFT(A9,LEN("2018::jama.2018.14280::"))&lt;&gt;"2018::jama.2018.14280::"),"CHECK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eTable 2 p.6 (rendered), Other mode, after titration on randomization day, intermediate arm: PEEP '8 (5 - 1)'. An upper quartile of 1 below a median of 8 is impossible; most likely a dropped digit (e.g., 10). Descriptive cell for 28 patients.</t>
        </is>
      </c>
    </row>
    <row r="10" ht="92" customFormat="1" customHeight="1" s="14">
      <c r="A10" s="20" t="inlineStr">
        <is>
          <t>2018::jama.2018.14280::C009</t>
        </is>
      </c>
      <c r="B10" s="20" t="inlineStr">
        <is>
          <t>Prior-ventilation subgroup labels leave numerical attribution unclear</t>
        </is>
      </c>
      <c r="C10" s="20" t="inlineStr">
        <is>
          <t>Physical PDF pages; contextual locations are identified in their link labels. joi180108supp3_prod.pdf — results supplement p9, eTable 5, Ventilation before randomization block; jama_simonis_2018_oi_180108.pdf — main p4, &gt;6/≤6-hour categories</t>
        </is>
      </c>
      <c r="D10" s="21" t="inlineStr">
        <is>
          <t>retain</t>
        </is>
      </c>
      <c r="E10" s="21" t="inlineStr">
        <is>
          <t>report_internal_inconsistency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ID",IF(OR(A10="",COUNTIF($A$2:$A$11,A10)&lt;&gt;1,LEFT(A10,LEN("2018::jama.2018.14280::"))&lt;&gt;"2018::jama.2018.14280::"),"CHECK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 t="inlineStr">
        <is>
          <t>minor_presentation</t>
        </is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inlineStr">
        <is>
          <t>eTable 5 p.9 (rendered): the two value rows for 'Ventilation before randomization' sit on the wrapped header line and the '&gt;6 hours' line; the '&lt;=6 hours' line is blank. CI widths (13.49 vs 3.00) imply roughly 21 vs 456 patients per arm, consistent with first row = &gt;6 h (median ventilation before randomization 0.9 h), so attribution is recoverable.</t>
        </is>
      </c>
    </row>
    <row r="11" ht="92" customFormat="1" customHeight="1" s="14">
      <c r="A11" s="24" t="inlineStr">
        <is>
          <t>2018::jama.2018.14280::C010</t>
        </is>
      </c>
      <c r="B11" s="24" t="inlineStr">
        <is>
          <t>Vasopressor-duration window and counting unit remain unresolved</t>
        </is>
      </c>
      <c r="C11" s="24" t="inlineStr">
        <is>
          <t>Physical PDF pages; contextual locations are identified in their link labels. joi180108supp3_prod.pdf — results supplement p8, eTable 4 title, both Days of vasopressor use cells, summary footer and vasopressor footnote; joi180108supp3_prod.pdf — eTable 1 p5; joi180108supp3_prod.pdf — eTable 2 p6; joi180108supp3_prod.pdf — eTable 3 p7; jama_simonis_2018_oi_180108.pdf — main p4; jama_simonis_2018_oi_180108.pdf — main p6</t>
        </is>
      </c>
      <c r="D11" s="21" t="inlineStr">
        <is>
          <t>exclude</t>
        </is>
      </c>
      <c r="E11" s="21" t="inlineStr">
        <is>
          <t>report_internal_inconsistency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ID",IF(OR(A11="",COUNTIF($A$2:$A$11,A11)&lt;&gt;1,LEFT(A11,LEN("2018::jama.2018.14280::"))&lt;&gt;"2018::jama.2018.14280::"),"CHECK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eTable 4 p.8 title 'during the first three days'; days of vasopressor use 2 (1-4) in both arms. eTable 2 (p.6) structures this period as randomization day plus days 1-3, i.e., four calendar days, so Q3=4 is compatible with calendar-day counting. No contradiction established.</t>
        </is>
      </c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2018::jama.2018.14282::C001</t>
        </is>
      </c>
      <c r="B2" s="20" t="inlineStr">
        <is>
          <t>Oxygenation result assigned to different time origins</t>
        </is>
      </c>
      <c r="C2" s="20" t="inlineStr">
        <is>
          <t>jama_azoulay_2018_oi_180109.pdf — Main page 1, Main Outcomes and Measures and Results; jama_azoulay_2018_oi_180109.pdf — main page 6, Secondary Outcomes; joi180109supp2_prod.pdf — results supplement page 2, eTable title and PaO2/FIO2 row; joi180109supp2_prod.pdf — results supplement page 4, eFigure 2B axis. All four cited locations were found in direct page extraction.</t>
        </is>
      </c>
      <c r="D2" s="21" t="inlineStr">
        <is>
          <t>retain</t>
        </is>
      </c>
      <c r="E2" s="21" t="inlineStr">
        <is>
          <t>report_internal_inconsistency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ID",IF(OR(A2="",COUNTIF($A$2:$A$17,A2)&lt;&gt;1,LEFT(A2,LEN("2018::jama.2018.14282::"))&lt;&gt;"2018::jama.2018.14282::"),"CHECK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 t="inlineStr">
        <is>
          <t>substantive_inconsistency</t>
        </is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PaO2:FIO2 150 vs 119 (difference 19.5, 4.4 to 34.6): abstract outcome list p.1 says 'over the 3 days after intubation'; main p.6 says 'significantly higher until day 4'; eTable p.2 gives 150 [104-230] vs 119 [86-165] as the value 6 h after randomization. Time origin (intubation vs randomization) and time point (6 h vs days 1-4) conflict.</t>
        </is>
      </c>
    </row>
    <row r="3" ht="92" customFormat="1" customHeight="1" s="14">
      <c r="A3" s="24" t="inlineStr">
        <is>
          <t>2018::jama.2018.14282::C002</t>
        </is>
      </c>
      <c r="B3" s="24" t="inlineStr">
        <is>
          <t>Stratum and subgroup cutpoints change across specifications</t>
        </is>
      </c>
      <c r="C3" s="24" t="inlineStr">
        <is>
          <t>jama_azoulay_2018_oi_180109.pdf — Main page 2, Randomization; jama_azoulay_2018_oi_180109.pdf — main page 4, subgroup methods and all four ICU timing rows in Table 1; jama_azoulay_2018_oi_180109.pdf — main page 5, primary-outcome statement about three predefined subgroups; jama_azoulay_2018_oi_180109.pdf — main page 7, both Figure 3 panels' ICU-time and oxygen-flow rows; joi180109supp1_prod.pdf — plan page 98, lines 1600–1601; joi180109supp1_prod.pdf — plan page 99, lines 1602–1604. Each was found; both panel boundaries were also read visually. jama_azoulay_2018_oi_180109.pdf — p.7, Figure 3A ICU-time 0–1/≥2 rows; jama_azoulay_2018_oi_180109.pdf — p.7, Figure 3B ICU-time 0–1/≥2 rows; jama_azoulay_2018_oi_180109.pdf — p.7, Figure 3A oxygen-flow ≤9/&gt;9 rows; jama_azoulay_2018_oi_180109.pdf — p.7, Figure 3B oxygen-flow ≤9/&gt;9 rows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ID",IF(OR(A3="",COUNTIF($A$2:$A$17,A3)&lt;&gt;1,LEFT(A3,LEN("2018::jama.2018.14282::"))&lt;&gt;"2018::jama.2018.14282::"),"CHECK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Final SAP pp.98-99: strata time since ICU admission D0-D2 vs &gt;=D3, oxygen flow &lt;9 vs &gt;=9 L/min; interaction analyses on these strata. Article p.2 randomization uses &lt;=2 vs &gt;=3 days and &gt;9 vs &lt;=9 L/min; Figure 3 p.7 subgroups use ICU time 0-1 vs &gt;=2 days and flow &lt;=9 vs &gt;9.</t>
        </is>
      </c>
    </row>
    <row r="4" ht="92" customFormat="1" customHeight="1" s="14">
      <c r="A4" s="20" t="inlineStr">
        <is>
          <t>2018::jama.2018.14282::C003</t>
        </is>
      </c>
      <c r="B4" s="20" t="inlineStr">
        <is>
          <t>Control-group HFNO prohibition versus reported rescue allowance</t>
        </is>
      </c>
      <c r="C4" s="20" t="inlineStr">
        <is>
          <t>joi180109supp1_prod.pdf — Plan page 99, lines 1617–1623, especially 1621; jama_azoulay_2018_oi_180109.pdf — main page 3, control-treatment paragraph; jama_azoulay_2018_oi_180109.pdf — main page 5, Interventions. All locations were found directly.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ID",IF(OR(A4="",COUNTIF($A$2:$A$17,A4)&lt;&gt;1,LEFT(A4,LEN("2018::jama.2018.14282::"))&lt;&gt;"2018::jama.2018.14282::"),"CHECK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Final SAP p.99: 'HFNO will not be used in the control group.' Article p.3 permits HFNO in controls with do-not-intubate orders after standard-oxygen failure; p.5 reports 30 controls (7.7%) switched to HFNO. The report presents this as protocol, not as a deviation.</t>
        </is>
      </c>
    </row>
    <row r="5" ht="92" customFormat="1" customHeight="1" s="14">
      <c r="A5" s="24" t="inlineStr">
        <is>
          <t>2018::jama.2018.14282::C004</t>
        </is>
      </c>
      <c r="B5" s="24" t="inlineStr">
        <is>
          <t>Final-plan measurement components have no supplied outcome results</t>
        </is>
      </c>
      <c r="C5" s="24" t="inlineStr">
        <is>
          <t>joi180109supp1_prod.pdf — Plan page 38, lines 548–550; joi180109supp1_prod.pdf — page 46, lines 688–691; joi180109supp1_prod.pdf — page 90, secondary-outcome summary; joi180109supp1_prod.pdf — page 103, lines 1694–1697. REPORT locations found: jama_azoulay_2018_oi_180109.pdf — main page 1, abstract; jama_azoulay_2018_oi_180109.pdf — page 3, Study Outcomes; jama_azoulay_2018_oi_180109.pdf — page 4, VAS method; jama_azoulay_2018_oi_180109.pdf — page 6, Secondary Outcomes; joi180109supp2_prod.pdf — results supplement page 2, eTable; joi180109supp2_prod.pdf — page 4, eFigure 2B; joi180109supp2_prod.pdf — page 5, eFigure 3B.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ID",IF(OR(A5="",COUNTIF($A$2:$A$17,A5)&lt;&gt;1,LEFT(A5,LEN("2018::jama.2018.14282::"))&lt;&gt;"2018::jama.2018.14282::"),"CHECK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Final SAP p.103 secondary outcomes include dyspnea by VAS and Borg scale and oxygenation by lowest SpO2 and PaO2/FIO2 days 1-3 (also initial protocol pp.38,46; p.90 summary). Report gives dyspnea VAS only and PaO2/FIO2 only (pp.3,4,6; eFigs 2-3); no Borg scale or lowest-SpO2 result.</t>
        </is>
      </c>
    </row>
    <row r="6" ht="92" customFormat="1" customHeight="1" s="14">
      <c r="A6" s="20" t="inlineStr">
        <is>
          <t>2018::jama.2018.14282::C005</t>
        </is>
      </c>
      <c r="B6" s="20" t="inlineStr">
        <is>
          <t>Final-plan primary analyses are replaced or not identified</t>
        </is>
      </c>
      <c r="C6" s="20" t="inlineStr">
        <is>
          <t>PLAN joi180109supp1_prod.pdf — page 53, lines 786–787; joi180109supp1_prod.pdf — page 54, 808–814; joi180109supp1_prod.pdf — page 82, 1297–1302; joi180109supp1_prod.pdf — page 104, 1723 and 1730–1736. REPORT jama_azoulay_2018_oi_180109.pdf — main page 3, primary method/ITT/redesign; jama_azoulay_2018_oi_180109.pdf — page 4, methods; jama_azoulay_2018_oi_180109.pdf — page 5, Table 2/Primary Outcome; jama_azoulay_2018_oi_180109.pdf — page 6, Post Hoc Outcomes; jama_azoulay_2018_oi_180109.pdf — page 7, Figure 3; jama_azoulay_2018_oi_180109.pdf — page 8, unadjusted-treatment-effect limitation. Complete results supplement pages joi180109supp2_prod.pdf — 1, joi180109supp2_prod.pdf — 2, joi180109supp2_prod.pdf — 3, joi180109supp2_prod.pdf — 4, joi180109supp2_prod.pdf — 5 were directly read. Every registered location was found.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ID",IF(OR(A6="",COUNTIF($A$2:$A$17,A6)&lt;&gt;1,LEFT(A6,LEN("2018::jama.2018.14282::"))&lt;&gt;"2018::jama.2018.14282::"),"CHECK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Final SAP p.104: primary binary outcome analysed as relative risk of death with 95% CI, plus analyses adjusted for potential confounders and a per-protocol analysis. Report pp.3-5: Kaplan-Meier, unadjusted Cox HR and risk difference; no RR, no adjusted analysis (limitation p.8 notes no adjustment for strata), no per-protocol analysis.</t>
        </is>
      </c>
    </row>
    <row r="7" ht="92" customFormat="1" customHeight="1" s="14">
      <c r="A7" s="24" t="inlineStr">
        <is>
          <t>2018::jama.2018.14282::C006</t>
        </is>
      </c>
      <c r="B7" s="24" t="inlineStr">
        <is>
          <t>Final-plan competing-risk secondary analyses differ from the report</t>
        </is>
      </c>
      <c r="C7" s="24" t="inlineStr">
        <is>
          <t>PLAN joi180109supp1_prod.pdf — page 54, 816–821; joi180109supp1_prod.pdf — page 82, 1305–1310; joi180109supp1_prod.pdf — page 105, 1738–1742. REPORT jama_azoulay_2018_oi_180109.pdf — main page 3, IMV competing risk; jama_azoulay_2018_oi_180109.pdf — page 4, tests/models; jama_azoulay_2018_oi_180109.pdf — page 5, Table 2 and footnote d; jama_azoulay_2018_oi_180109.pdf — page 6, Secondary Outcomes. Every registered location was found.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ID",IF(OR(A7="",COUNTIF($A$2:$A$17,A7)&lt;&gt;1,LEFT(A7,LEN("2018::jama.2018.14282::"))&lt;&gt;"2018::jama.2018.14282::"),"CHECK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 t="inlineStr">
        <is>
          <t>Final SAP p.105: intubation and ICU-acquired infection analysed as competing-risk outcomes with death or discharge alive as competitors, Gray test, cause-specific Cox for adjustment. Report: IMV with death without IMV as the only competitor (p.3); infection compared by chi-square (p.4) though Table 2 prints a cause-specific HR.</t>
        </is>
      </c>
    </row>
    <row r="8" ht="92" customFormat="1" customHeight="1" s="14">
      <c r="A8" s="20" t="inlineStr">
        <is>
          <t>2018::jama.2018.14282::C007</t>
        </is>
      </c>
      <c r="B8" s="20" t="inlineStr">
        <is>
          <t>IMV cumulative-incidence P value assigned two test names</t>
        </is>
      </c>
      <c r="C8" s="20" t="inlineStr">
        <is>
          <t>jama_azoulay_2018_oi_180109.pdf — Main page 3, competitor definition; jama_azoulay_2018_oi_180109.pdf — page 4, Gray method; jama_azoulay_2018_oi_180109.pdf — page 5, Table 2 IMV P; jama_azoulay_2018_oi_180109.pdf — page 6, cumulative-incidence statement/eFigure pointer; joi180109supp2_prod.pdf — results supplement page 3, eFigure 1 title and P label. All were found; the current-source graph label was also read visually.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ID",IF(OR(A8="",COUNTIF($A$2:$A$17,A8)&lt;&gt;1,LEFT(A8,LEN("2018::jama.2018.14282::"))&lt;&gt;"2018::jama.2018.14282::"),"CHECK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IMV cumulative incidence: methods p.4 say compared with the Gray test; eFigure 1 (supp2 p.3) labels 'P (log Rank test) = 0.17'; Table 2 p.5 and text p.6 attach P=.17 to the cause-specific HR. One P value, two test names.</t>
        </is>
      </c>
    </row>
    <row r="9" ht="92" customFormat="1" customHeight="1" s="14">
      <c r="A9" s="24" t="inlineStr">
        <is>
          <t>2018::jama.2018.14282::C008</t>
        </is>
      </c>
      <c r="B9" s="24" t="inlineStr">
        <is>
          <t>Four Table 1 count/percentage pairs do not reconcile</t>
        </is>
      </c>
      <c r="C9" s="24" t="inlineStr">
        <is>
          <t>jama_azoulay_2018_oi_180109.pdf — Main page 4, Table 1 both n=388 column headers, H chronic liver cell, C chronic kidney cell, both postextubation cells, and all table footnotes. All four affected cells and denominator context were found directly and read in the current-source render. jama_azoulay_2018_oi_180109.pdf — p.4, Table 1 high-flow chronic liver 45 (13.3%); jama_azoulay_2018_oi_180109.pdf — p.4, Table 1 control chronic kidney 69 (20.4%); jama_azoulay_2018_oi_180109.pdf — p.4, Table 1 high-flow postextubation 14 (4.1%); jama_azoulay_2018_oi_180109.pdf — p.4, Table 1 control postextubation 18 (5.3%)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ID",IF(OR(A9="",COUNTIF($A$2:$A$17,A9)&lt;&gt;1,LEFT(A9,LEN("2018::jama.2018.14282::"))&lt;&gt;"2018::jama.2018.14282::"),"CHECK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1 p.4 (n=388 per arm): HF liver 45 (13.3) [45/388=11.6%], SO kidney 69 (20.4) [17.8%], HF postextubation 14 (4.1) [3.6%], SO postextubation 18 (5.3) [4.6%]. All four percentages reproduce with denominator 338 (13.3, 20.4, 4.1, 5.3); the other cells in the same rows use 388.</t>
        </is>
      </c>
    </row>
    <row r="10" ht="92" customFormat="1" customHeight="1" s="14">
      <c r="A10" s="20" t="inlineStr">
        <is>
          <t>2018::jama.2018.14282::C009</t>
        </is>
      </c>
      <c r="B10" s="20" t="inlineStr">
        <is>
          <t>Planned joint longitudinal analyses are not identified</t>
        </is>
      </c>
      <c r="C10" s="20" t="inlineStr">
        <is>
          <t>PLAN joi180109supp1_prod.pdf — page 55, 825–826; joi180109supp1_prod.pdf — page 82, 1314–1315; joi180109supp1_prod.pdf — page 105, 1745–1747. REPORT jama_azoulay_2018_oi_180109.pdf — main page 1, key-secondary abstract results; jama_azoulay_2018_oi_180109.pdf — page 4, Wilcoxon symptom methods; jama_azoulay_2018_oi_180109.pdf — page 6, oxygenation/comfort/dyspnea results; joi180109supp2_prod.pdf — results supplement page 4, eFigure 2; joi180109supp2_prod.pdf — page 5, eFigure 3. All locations were found.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ID",IF(OR(A10="",COUNTIF($A$2:$A$17,A10)&lt;&gt;1,LEFT(A10,LEN("2018::jama.2018.14282::"))&lt;&gt;"2018::jama.2018.14282::"),"CHECK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 t="inlineStr">
        <is>
          <t>Original and final SAP (pp.55,82,105): oxygenation, dyspnea and comfort to be analysed with joint longitudinal models accounting for censoring. Report p.4: Wilcoxon rank-sum comparisons at time points; eFigures 2-3 show per-time-point data with marked significance; no joint-model result.</t>
        </is>
      </c>
    </row>
    <row r="11" ht="92" customFormat="1" customHeight="1" s="14">
      <c r="A11" s="24" t="inlineStr">
        <is>
          <t>2018::jama.2018.14282::C010</t>
        </is>
      </c>
      <c r="B11" s="24" t="inlineStr">
        <is>
          <t>Planned ICU-stay estimators and populations are not identified</t>
        </is>
      </c>
      <c r="C11" s="24" t="inlineStr">
        <is>
          <t>PLAN joi180109supp1_prod.pdf — page 54, 822–824; joi180109supp1_prod.pdf — page 82, 1311–1313; joi180109supp1_prod.pdf — page 105, 1742–1745. REPORT jama_azoulay_2018_oi_180109.pdf — main page 1, abstract ICU stay; jama_azoulay_2018_oi_180109.pdf — page 4, Wilcoxon method; jama_azoulay_2018_oi_180109.pdf — page 5, Table 2 ICU stay/footnote e; jama_azoulay_2018_oi_180109.pdf — page 6, Secondary Outcomes. All were found; Table 2 was visually read.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ID",IF(OR(A11="",COUNTIF($A$2:$A$17,A11)&lt;&gt;1,LEFT(A11,LEN("2018::jama.2018.14282::"))&lt;&gt;"2018::jama.2018.14282::"),"CHECK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substantive_difference</t>
        </is>
      </c>
      <c r="M11" s="24" t="n"/>
      <c r="N11" s="23" t="n"/>
      <c r="O11" s="23" t="n"/>
      <c r="P11" s="23" t="n"/>
      <c r="Q11" s="23" t="n"/>
      <c r="R11" s="22" t="inlineStr">
        <is>
          <t>Final SAP p.105: ICU length of stay analysed overall by Kaplan-Meier and separately in survivors and decedents by competing-risk estimators. Report p.4: Wilcoxon rank-sum; Table 2 gives medians and a difference 0.6 (-1.0 to 2.2), all patients combined.</t>
        </is>
      </c>
    </row>
    <row r="12" ht="92" customFormat="1" customHeight="1" s="14">
      <c r="A12" s="20" t="inlineStr">
        <is>
          <t>2018::jama.2018.14282::C011</t>
        </is>
      </c>
      <c r="B12" s="20" t="inlineStr">
        <is>
          <t>Initially secondary intubated mortality receives post hoc status</t>
        </is>
      </c>
      <c r="C12" s="20" t="inlineStr">
        <is>
          <t>PLAN joi180109supp1_prod.pdf — page 6, 97–100; joi180109supp1_prod.pdf — page 7, 142–146; joi180109supp1_prod.pdf — page 38, 557–558; joi180109supp1_prod.pdf — page 45, 675–676; joi180109supp1_prod.pdf — page 47, 699–700; joi180109supp1_prod.pdf — page 103, final secondary list. REPORT jama_azoulay_2018_oi_180109.pdf — main page 3, disclosed redesign; jama_azoulay_2018_oi_180109.pdf — page 4, post hoc subset methods; jama_azoulay_2018_oi_180109.pdf — page 6, Post Hoc Outcomes; jama_azoulay_2018_oi_180109.pdf — page 8, secondary exploratory caution. Each location was found; page 7's summary content was read and is described here in English.</t>
        </is>
      </c>
      <c r="D12" s="21" t="inlineStr">
        <is>
          <t>exclude</t>
        </is>
      </c>
      <c r="E12" s="21" t="inlineStr">
        <is>
          <t>protocol_report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ID",IF(OR(A12="",COUNTIF($A$2:$A$17,A12)&lt;&gt;1,LEFT(A12,LEN("2018::jama.2018.14282::"))&lt;&gt;"2018::jama.2018.14282::"),"CHECK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Mortality in intubated patients was a secondary endpoint only in the initial grant protocol (noninferiority design, pp.6-7,38,45-47); the final SAP secondary list (p.103) omits it. The report labels it post hoc (p.6) and discloses the redesign (p.3). Consistent with the governing final plan.</t>
        </is>
      </c>
    </row>
    <row r="13" ht="92" customFormat="1" customHeight="1" s="14">
      <c r="A13" s="24" t="inlineStr">
        <is>
          <t>2018::jama.2018.14282::C012</t>
        </is>
      </c>
      <c r="B13" s="24" t="inlineStr">
        <is>
          <t>Figure 3 hazard-ratio direction and favors headings</t>
        </is>
      </c>
      <c r="C13" s="24" t="inlineStr">
        <is>
          <t>jama_azoulay_2018_oi_180109.pdf — Main page 4, high-flow versus standard Cox treatment-effect statement; jama_azoulay_2018_oi_180109.pdf — page 5, mortality/IMV Table 2 rows; jama_azoulay_2018_oi_180109.pdf — page 6, IMV narrative; jama_azoulay_2018_oi_180109.pdf — page 7, every HR row of both Figure 3 panels, favors headings, axes and caption. Current-source visual rendering confirmed the printed positions and all 26 rows, enumerated below. Each of the 26 affected forest rows has its own locator; the shared headings, axes and caption apply to both panels. jama_azoulay_2018_oi_180109.pdf — p.7, Figure 3A mortality — ICU time 0–1; jama_azoulay_2018_oi_180109.pdf — p.7, Figure 3A mortality — ICU time ≥2; jama_azoulay_2018_oi_180109.pdf — p.7, Figure 3A mortality — PaO2:FIO2 &lt;200; jama_azoulay_2018_oi_180109.pdf — p.7, Figure 3A mortality — PaO2:FIO2 ≥200; jama_azoulay_2018_oi_180109.pdf — p.7, Figure 3A mortality — Oxygen flow ≤9; jama_azoulay_2018_oi_180109.pdf — p.7, Figure 3A mortality — Oxygen flow &gt;9; jama_azoulay_2018_oi_180109.pdf — p.7, Figure 3A mortality — Catecholamines No; jama_azoulay_2018_oi_180109.pdf — p.7, Figure 3A mortality — Catecholamines Yes;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ICU time 0–1; jama_azoulay_2018_oi_180109.pdf — p.7, Figure 3B IMV — ICU time ≥2; jama_azoulay_2018_oi_180109.pdf — p.7, Figure 3B IMV — PaO2:FIO2 &lt;200; jama_azoulay_2018_oi_180109.pdf — p.7, Figure 3B IMV — PaO2:FIO2 ≥200; jama_azoulay_2018_oi_180109.pdf — p.7, Figure 3B IMV — Oxygen flow ≤9; jama_azoulay_2018_oi_180109.pdf — p.7, Figure 3B IMV — Oxygen flow &gt;9; jama_azoulay_2018_oi_180109.pdf — p.7, Figure 3B IMV — Catecholamines No; jama_azoulay_2018_oi_180109.pdf — p.7, Figure 3B IMV — Catecholamines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ID",IF(OR(A13="",COUNTIF($A$2:$A$17,A13)&lt;&gt;1,LEFT(A13,LEN("2018::jama.2018.14282::"))&lt;&gt;"2018::jama.2018.14282::"),"CHECK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substantive</t>
        </is>
      </c>
      <c r="J13" s="22" t="inlineStr">
        <is>
          <t>direct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Figure 3 p.7: every subgroup HR matches standard/high-flow, not high-flow/standard (e.g., IMV no hematologic malignancy 61/199 HF vs 89/198 SO, crude SO/HF ratio 1.47, printed HR 1.61), while headings place 'favors high-flow' left of 1. 'All patients' rows swap counts and invert Table 2 (deaths 140 vs 138; HR 1.02 vs 0.98; IMV 170 vs 150; HR 1.17 vs 0.85).</t>
        </is>
      </c>
    </row>
    <row r="14" ht="92" customFormat="1" customHeight="1" s="14">
      <c r="A14" s="20" t="inlineStr">
        <is>
          <t>2018::jama.2018.14282::C013</t>
        </is>
      </c>
      <c r="B14" s="20" t="inlineStr">
        <is>
          <t>Infection HR interval differs from a same-display reproducing construction</t>
        </is>
      </c>
      <c r="C14" s="20" t="inlineStr">
        <is>
          <t>jama_azoulay_2018_oi_180109.pdf — Main page 4, infection-proportion chi-square comparison; jama_azoulay_2018_oi_180109.pdf — main page 5, Table 2 all three HR rows, n=388 headers and cause-specific-HR footnote d. All were found and Table 2 was read in a current-source render.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ID",IF(OR(A14="",COUNTIF($A$2:$A$17,A14)&lt;&gt;1,LEFT(A14,LEN("2018::jama.2018.14282::"))&lt;&gt;"2018::jama.2018.14282::"),"CHECK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substantive</t>
        </is>
      </c>
      <c r="J14" s="22" t="inlineStr">
        <is>
          <t>direct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inlineStr">
        <is>
          <t>Table 2 p.5 ICU-acquired infection 39 vs 41 of 388: cause-specific HR 1.01 (0.96 to 1.06). With 80 events the log-HR SE is about sqrt(1/39+1/41)=0.224, giving a CI near 0.61-1.47; the printed interval is roughly 10 times too narrow. RD -0.6 (-4.6 to 4.1) is also not centered (Wald -0.5, -4.8 to 3.8).</t>
        </is>
      </c>
    </row>
    <row r="15" ht="92" customFormat="1" customHeight="1" s="14">
      <c r="A15" s="24" t="inlineStr">
        <is>
          <t>2018::jama.2018.14282::C014</t>
        </is>
      </c>
      <c r="B15" s="24" t="inlineStr">
        <is>
          <t>Therapy counts use pooled percentages but arm-specific attribution</t>
        </is>
      </c>
      <c r="C15" s="24" t="inlineStr">
        <is>
          <t>jama_azoulay_2018_oi_180109.pdf — Main page 6, first Post Hoc Outcomes paragraph; jama_azoulay_2018_oi_180109.pdf — main page 3, Figure 1 randomized/analyzed totals; jama_azoulay_2018_oi_180109.pdf — main page 5, Patients. All were found directly.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ID",IF(OR(A15="",COUNTIF($A$2:$A$17,A15)&lt;&gt;1,LEFT(A15,LEN("2018::jama.2018.14282::"))&lt;&gt;"2018::jama.2018.14282::"),"CHECK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substantive</t>
        </is>
      </c>
      <c r="J15" s="22" t="inlineStr">
        <is>
          <t>possible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inlineStr">
        <is>
          <t>Main p.6: 'vasopressors and renal replacement therapy were needed in 153 patients (19.7%) randomized to high-flow ... and 31 patients (4%) randomized to standard oxygen ..., with no statistical difference'. 153/776=19.7% and 31/776=4.0% (pooled), not 153/388=39.4% or 31/388=8.0%; 153 vs 31 of 388 each could not be nonsignificant.</t>
        </is>
      </c>
    </row>
    <row r="16" ht="92" customFormat="1" customHeight="1" s="14">
      <c r="A16" s="20" t="inlineStr">
        <is>
          <t>2018::jama.2018.14282::C015</t>
        </is>
      </c>
      <c r="B16" s="20" t="inlineStr">
        <is>
          <t>Figure 3 subgroup population accounting is not supplied</t>
        </is>
      </c>
      <c r="C16" s="20" t="inlineStr">
        <is>
          <t>jama_azoulay_2018_oi_180109.pdf — Main page 7, both panels' PaO2:FIO2, hematologic-malignancy and All patients rows and caption; jama_azoulay_2018_oi_180109.pdf — main page 4, Table 1 malignancy/oxygenation context; jama_azoulay_2018_oi_180109.pdf — main page 3, no missing/incomplete-data exclusion statement. Every cited row was found in direct extraction and the page 7 render. jama_azoulay_2018_oi_180109.pdf — p.7, Figure 3A mortality — PaO2:FIO2 &lt;200; jama_azoulay_2018_oi_180109.pdf — p.7, Figure 3A mortality — PaO2:FIO2 ≥200;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PaO2:FIO2 &lt;200; jama_azoulay_2018_oi_180109.pdf — p.7, Figure 3B IMV — PaO2:FIO2 ≥200;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6" s="21" t="inlineStr">
        <is>
          <t>retain</t>
        </is>
      </c>
      <c r="E16" s="21" t="inlineStr">
        <is>
          <t>statistical_results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ID",IF(OR(A16="",COUNTIF($A$2:$A$17,A16)&lt;&gt;1,LEFT(A16,LEN("2018::jama.2018.14282::"))&lt;&gt;"2018::jama.2018.14282::"),"CHECK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 t="inlineStr">
        <is>
          <t>probable_issue</t>
        </is>
      </c>
      <c r="I16" s="21" t="inlineStr">
        <is>
          <t>minor_presentation</t>
        </is>
      </c>
      <c r="J16" s="22" t="inlineStr">
        <is>
          <t>possible</t>
        </is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inlineStr">
        <is>
          <t>Figure 3 p.7 subgroup totals: PaO2:FIO2 &lt;200/&gt;=200 = 237+65=302 (HF) and 251+35=286 (SO); hematologic malignancy No/Yes = 199+167=366 and 198+181=379, vs 388 per arm. Table 1 gives 167/181 with malignancy, so 'No' should be 221/207. Other subgroups sum to 388. Methods p.3: no participants excluded for missing data.</t>
        </is>
      </c>
    </row>
    <row r="17" ht="92" customFormat="1" customHeight="1" s="14">
      <c r="A17" s="24" t="inlineStr">
        <is>
          <t>2018::jama.2018.14282::C016</t>
        </is>
      </c>
      <c r="B17" s="24" t="inlineStr">
        <is>
          <t>Two analyses called predefined have no supplied prospective specification</t>
        </is>
      </c>
      <c r="C17" s="24" t="inlineStr">
        <is>
          <t>REPORT jama_azoulay_2018_oi_180109.pdf — main page 7, Figure 3 title and unknown-diagnosis/hematologic-malignancy rows in both panels; jama_azoulay_2018_oi_180109.pdf — main page 4, subgroup methods. PLAN joi180109supp1_prod.pdf — page 45, 666–677; joi180109supp1_prod.pdf — page 46, 678–680; joi180109supp1_prod.pdf — page 53, 784–787; joi180109supp1_prod.pdf — page 82, interaction strategy; joi180109supp1_prod.pdf — page 98, stratification list; joi180109supp1_prod.pdf — page 99, continuation/interaction intention; joi180109supp1_prod.pdf — page 104, 1721–1723 and 1735–1736. Every registered location was found directly; the figure's predefined title and both sets of rows were also read visually.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</t>
        </is>
      </c>
      <c r="D17" s="21" t="inlineStr">
        <is>
          <t>retain</t>
        </is>
      </c>
      <c r="E17" s="21" t="inlineStr">
        <is>
          <t>protocol_report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ID",IF(OR(A17="",COUNTIF($A$2:$A$17,A17)&lt;&gt;1,LEFT(A17,LEN("2018::jama.2018.14282::"))&lt;&gt;"2018::jama.2018.14282::"),"CHECK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 t="inlineStr">
        <is>
          <t>substantive_difference</t>
        </is>
      </c>
      <c r="M17" s="24" t="n"/>
      <c r="N17" s="23" t="n"/>
      <c r="O17" s="23" t="n"/>
      <c r="P17" s="23" t="n"/>
      <c r="Q17" s="23" t="n"/>
      <c r="R17" s="22" t="inlineStr">
        <is>
          <t>Figure 3 title p.7 calls all subgroups 'predefined', and methods p.4 say subgroups were defined by stratification variables, but the unknown-diagnosis and hematologic-malignancy subgroups appear in neither the initial protocol (pp.45-46: PaO2/FIO2, organ dysfunction, intubated, post-extubation, DNI) nor the final SAP strata (pp.98-99,104).</t>
        </is>
      </c>
    </row>
  </sheetData>
  <autoFilter ref="A1:R17"/>
  <conditionalFormatting sqref="H2:H17">
    <cfRule type="expression" priority="8" dxfId="70">
      <formula>NOT(AND(OR($D2="retain",$D2=""),$E2="statistical_results"))</formula>
    </cfRule>
  </conditionalFormatting>
  <conditionalFormatting sqref="I2:I17">
    <cfRule type="expression" priority="9" dxfId="70">
      <formula>NOT(AND(OR($D2="retain",$D2=""),$E2="statistical_results"))</formula>
    </cfRule>
  </conditionalFormatting>
  <conditionalFormatting sqref="J2:J17">
    <cfRule type="expression" priority="10" dxfId="70">
      <formula>NOT(AND(OR($D2="retain",$D2=""),$E2="statistical_results"))</formula>
    </cfRule>
  </conditionalFormatting>
  <conditionalFormatting sqref="K2:K17">
    <cfRule type="expression" priority="11" dxfId="70">
      <formula>NOT(AND(OR($D2="retain",$D2=""),OR($E2="report_internal_inconsistency",$E2="plan_material")))</formula>
    </cfRule>
  </conditionalFormatting>
  <conditionalFormatting sqref="L2:L17">
    <cfRule type="expression" priority="12" dxfId="70">
      <formula>NOT(AND(OR($D2="retain",$D2=""),$E2="protocol_report"))</formula>
    </cfRule>
  </conditionalFormatting>
  <conditionalFormatting sqref="G2:G17">
    <cfRule type="expression" priority="13" dxfId="71">
      <formula>G2&lt;&gt;"PRIMARY READY"</formula>
    </cfRule>
  </conditionalFormatting>
  <dataValidations count="8">
    <dataValidation sqref="D2:D1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2018::jama.2018.17075::C001</t>
        </is>
      </c>
      <c r="B2" s="20" t="inlineStr">
        <is>
          <t>Protocolized temperature-management window</t>
        </is>
      </c>
      <c r="C2" s="20" t="inlineStr">
        <is>
          <t>Yes, at every registered location: REPORT jama_cooper_2018_oi_180132.pdf — DOC-001 p.1, Interventions and jama_cooper_2018_oi_180132.pdf — p.3, Rewarming and Normothermia; PLAN joi180132supp1_prod.pdf — DOC-002 p.77, §12.11, joi180132supp1_prod.pdf — p.89, Appendix A events table, and joi180132supp1_prod.pdf — p.101, Appendix F infection/pyrexia instructions.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ID",IF(OR(A2="",COUNTIF($A$2:$A$16,A2)&lt;&gt;1,LEFT(A2,LEN("2018::jama.2018.17075::"))&lt;&gt;"2018::jama.2018.17075::"),"CHECK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Report (abstract p.1; p.3) says temperature was managed in both groups for 7 days. Final protocol v9 §12.11 (p.77) and Appendix F (p.101): control-arm pyrexia avoidance only up to 96 h after randomization, then unit protocol; post-rewarming normothermia 'up to 7 days' (p.77) but '96 hours' (p.101).</t>
        </is>
      </c>
    </row>
    <row r="3" ht="92" customFormat="1" customHeight="1" s="14">
      <c r="A3" s="24" t="inlineStr">
        <is>
          <t>2018::jama.2018.17075::C002</t>
        </is>
      </c>
      <c r="B3" s="24" t="inlineStr">
        <is>
          <t>Signed primary risk difference</t>
        </is>
      </c>
      <c r="C3" s="24" t="inlineStr">
        <is>
          <t>Yes: REPORT jama_cooper_2018_oi_180132.pdf — DOC-001 p.1, abstract Results, jama_cooper_2018_oi_180132.pdf — p.5, Primary Outcome, and jama_cooper_2018_oi_180132.pdf — p.7, Table 2 primary row.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ID",IF(OR(A3="",COUNTIF($A$2:$A$16,A3)&lt;&gt;1,LEFT(A3,LEN("2018::jama.2018.17075::"))&lt;&gt;"2018::jama.2018.17075::"),"CHECK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inlineStr">
        <is>
          <t>Abstract p.1: 'risk difference, 0.4% [95% CI, -9.4% to 8.7%]'; main p.5 and Table 2 p.7: -0.4 (-9.4 to 8.7). 117/240 vs 111/226 gives RD -0.4 (-9.4 to 8.7), RR 0.99 (0.82-1.19), P=.94. The abstract drops the minus sign.</t>
        </is>
      </c>
    </row>
    <row r="4" ht="92" customFormat="1" customHeight="1" s="14">
      <c r="A4" s="20" t="inlineStr">
        <is>
          <t>2018::jama.2018.17075::C003</t>
        </is>
      </c>
      <c r="B4" s="20" t="inlineStr">
        <is>
          <t>Cooling-duration anchor and late-cooling minimum</t>
        </is>
      </c>
      <c r="C4" s="20" t="inlineStr">
        <is>
          <t>Yes: REPORT jama_cooper_2018_oi_180132.pdf — DOC-001 p.3, Maintenance/Rewarming, jama_cooper_2018_oi_180132.pdf — p.4, target-attainment results; PLAN joi180132supp1_prod.pdf — DOC-002 p.69, §6.5, joi180132supp1_prod.pdf — p.77, §12.11, joi180132supp1_prod.pdf — p.97, §26.3.1, and joi180132supp1_prod.pdf — p.99, rewarming flowchart and late-start note.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ID",IF(OR(A4="",COUNTIF($A$2:$A$16,A4)&lt;&gt;1,LEFT(A4,LEN("2018::jama.2018.17075::"))&lt;&gt;"2018::jama.2018.17075::"),"CHECK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minor_presentation</t>
        </is>
      </c>
      <c r="M4" s="20" t="n"/>
      <c r="N4" s="23" t="n"/>
      <c r="O4" s="23" t="n"/>
      <c r="P4" s="23" t="n"/>
      <c r="Q4" s="23" t="n"/>
      <c r="R4" s="22" t="inlineStr">
        <is>
          <t>Report p.3: 33°C maintained for at least 72 h after randomization; rewarming assessed at 72 h. Plan anchors differ: synopsis §6.5 (p.69) 'a further 72 hours' after reaching 33°C; Appendix F (p.97) 72 h 'after severe head injury'; §12.11 and flowchart (pp.77,99) 72 h after randomisation with a 48-h minimum if cooling started late. Report matches the operative rewarming rule but omits the late-start minimum.</t>
        </is>
      </c>
    </row>
    <row r="5" ht="92" customFormat="1" customHeight="1" s="14">
      <c r="A5" s="24" t="inlineStr">
        <is>
          <t>2018::jama.2018.17075::C004</t>
        </is>
      </c>
      <c r="B5" s="24" t="inlineStr">
        <is>
          <t>Routine rewarming rate</t>
        </is>
      </c>
      <c r="C5" s="24" t="inlineStr">
        <is>
          <t>Yes: REPORT jama_cooper_2018_oi_180132.pdf — DOC-001 p.3, Rewarming; PLAN joi180132supp1_prod.pdf — DOC-002 p.77, §12.11, joi180132supp1_prod.pdf — p.99, flowchart rate aim, joi180132supp1_prod.pdf — p.100, management and special considerations. Historical joi180132supp1_prod.pdf — PLAN p.21, V1 §12.11 was also found and read.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ID",IF(OR(A5="",COUNTIF($A$2:$A$16,A5)&lt;&gt;1,LEFT(A5,LEN("2018::jama.2018.17075::"))&lt;&gt;"2018::jama.2018.17075::"),"CHECK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minor_presentation</t>
        </is>
      </c>
      <c r="M5" s="24" t="n"/>
      <c r="N5" s="23" t="n"/>
      <c r="O5" s="23" t="n"/>
      <c r="P5" s="23" t="n"/>
      <c r="Q5" s="23" t="n"/>
      <c r="R5" s="22" t="inlineStr">
        <is>
          <t>Report p.3: rewarming 'at a target rate up to 0.25°C/h'. Final protocol v9 §12.11 (p.77) and Appendix F (pp.99-100): 0.17°C/h (0.5°C every 3 h, max). The 0.25°C/h figure is from protocol v1 (2009, p.21). Reported median rewarming 22.5 h (p.4) fits about 0.17°C/h.</t>
        </is>
      </c>
    </row>
    <row r="6" ht="92" customFormat="1" customHeight="1" s="14">
      <c r="A6" s="20" t="inlineStr">
        <is>
          <t>2018::jama.2018.17075::C005</t>
        </is>
      </c>
      <c r="B6" s="20" t="inlineStr">
        <is>
          <t>Primary analysis-population definition</t>
        </is>
      </c>
      <c r="C6" s="20" t="inlineStr">
        <is>
          <t>Yes: REPORT jama_cooper_2018_oi_180132.pdf — DOC-001 p.3, a-priori analyses definition, jama_cooper_2018_oi_180132.pdf — p.4, Figure1 and evaluable population, joi180132supp2_prod.pdf — DOC-003 p.12, per-protocol definition, joi180132supp2_prod.pdf — p.17, as-treated definition; PLAN joi180132supp1_prod.pdf — DOC-002 p.84, §15.2, joi180132supp1_prod.pdf — p.174, V8 modified-ITT amendment, and joi180132supp1_prod.pdf — p.175, amendment continuation.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ID",IF(OR(A6="",COUNTIF($A$2:$A$16,A6)&lt;&gt;1,LEFT(A6,LEN("2018::jama.2018.17075::"))&lt;&gt;"2018::jama.2018.17075::"),"CHECK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Protocol v8 amendment (pp.174-175) and v9 §15.2 (p.84): modified ITT excludes consent withdrawals and patients not fulfilling inclusion criteria who never received the intervention. Report p.3: a priori analyses by randomized group excluding only consent withdrawals; ineligible patients are excluded only from PP/AS-treated (p.4; supp2 pp.12,17).</t>
        </is>
      </c>
    </row>
    <row r="7" ht="92" customFormat="1" customHeight="1" s="14">
      <c r="A7" s="24" t="inlineStr">
        <is>
          <t>2018::jama.2018.17075::C006</t>
        </is>
      </c>
      <c r="B7" s="24" t="inlineStr">
        <is>
          <t>Planned binary primary odds ratio not supplied</t>
        </is>
      </c>
      <c r="C7" s="24" t="inlineStr">
        <is>
          <t>Yes: PLAN joi180132supp1_prod.pdf — DOC-002 p.84, §15.2; REPORT jama_cooper_2018_oi_180132.pdf — DOC-001 p.1, abstract primary results, jama_cooper_2018_oi_180132.pdf — p.3, primary statistical method, jama_cooper_2018_oi_180132.pdf — p.5, primary and ordinal outcomes, jama_cooper_2018_oi_180132.pdf — p.7, Table2, and joi180132supp2_prod.pdf — DOC-003 p.22, post-hoc OR results. Full source-native search/read covered DOC-003 physical pages1–24: joi180132supp2_prod.pdf — 1, joi180132supp2_prod.pdf — 2, joi180132supp2_prod.pdf — 3, joi180132supp2_prod.pdf — 4, joi180132supp2_prod.pdf — 5, joi180132supp2_prod.pdf — 6, joi180132supp2_prod.pdf — 7, joi180132supp2_prod.pdf — 8, joi180132supp2_prod.pdf — 9, joi180132supp2_prod.pdf — 10, joi180132supp2_prod.pdf — 11, joi180132supp2_prod.pdf — 12, joi180132supp2_prod.pdf — 13, joi180132supp2_prod.pdf — 14, joi180132supp2_prod.pdf — 15, joi180132supp2_prod.pdf — 16, joi180132supp2_prod.pdf — 17, joi180132supp2_prod.pdf — 18, joi180132supp2_prod.pdf — 19, joi180132supp2_prod.pdf — 20, joi180132supp2_prod.pdf — 21, joi180132supp2_prod.pdf — 22, joi180132supp2_prod.pdf — 23, joi180132supp2_prod.pdf — 24. joi180132supp3_prod.pdf — DOC-004 p.1 supplies data-sharing statements, not such an output.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ID",IF(OR(A7="",COUNTIF($A$2:$A$16,A7)&lt;&gt;1,LEFT(A7,LEN("2018::jama.2018.17075::"))&lt;&gt;"2018::jama.2018.17075::"),"CHECK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minor_presentation</t>
        </is>
      </c>
      <c r="M7" s="24" t="n"/>
      <c r="N7" s="23" t="n"/>
      <c r="O7" s="23" t="n"/>
      <c r="P7" s="23" t="n"/>
      <c r="Q7" s="23" t="n"/>
      <c r="R7" s="22" t="inlineStr">
        <is>
          <t>Protocol v9 §15.2 (p.84): primary outcome reported as RR, RD and OR, each with 95% CI. Report (pp.1,3,5,7) gives RR and RD only; the only primary-outcome ORs are in the post hoc adequate-cooling analysis (supp2 p.22). No ITT primary OR in the main text or supp2 pp.1-24.</t>
        </is>
      </c>
    </row>
    <row r="8" ht="92" customFormat="1" customHeight="1" s="14">
      <c r="A8" s="20" t="inlineStr">
        <is>
          <t>2018::jama.2018.17075::C007</t>
        </is>
      </c>
      <c r="B8" s="20" t="inlineStr">
        <is>
          <t>Survival analysis window</t>
        </is>
      </c>
      <c r="C8" s="20" t="inlineStr">
        <is>
          <t>Yes: REPORT jama_cooper_2018_oi_180132.pdf — DOC-001 p.2, Data Collection, jama_cooper_2018_oi_180132.pdf — p.4, Statistical Analysis survival method, joi180132supp2_prod.pdf — DOC-003 p.5, eFigure2 plot, risk table and caption. The repeated HR result was also confirmed at jama_cooper_2018_oi_180132.pdf — DOC-001 p.5, Secondary Outcomes.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ID",IF(OR(A8="",COUNTIF($A$2:$A$16,A8)&lt;&gt;1,LEFT(A8,LEN("2018::jama.2018.17075::"))&lt;&gt;"2018::jama.2018.17075::"),"CHECK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Methods p.4: survival censored at 6 months; data collection p.2: follow-up to death or 6 months. eFigure 2 (supp2 p.5, rendered) plots survival to 250 days with 23 and 17 still at risk at day 250, and n=260/240 at time 0 (6-month mortality analysis n=256/239). Caption: probability of death at 6 months; HR 1.13 (0.76-1.69).</t>
        </is>
      </c>
    </row>
    <row r="9" ht="92" customFormat="1" customHeight="1" s="14">
      <c r="A9" s="24" t="inlineStr">
        <is>
          <t>2018::jama.2018.17075::C008</t>
        </is>
      </c>
      <c r="B9" s="24" t="inlineStr">
        <is>
          <t>Cooling-time equal-proportions test</t>
        </is>
      </c>
      <c r="C9" s="24" t="inlineStr">
        <is>
          <t>Yes: REPORT jama_cooper_2018_oi_180132.pdf — DOC-001 p.4, favorable outcome versus time-to33°C method, jama_cooper_2018_oi_180132.pdf — p.5, Additional Outcomes nonsignificance statement, joi180132supp2_prod.pdf — DOC-003 p.11, eTable7 four categories and P value.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ID",IF(OR(A9="",COUNTIF($A$2:$A$16,A9)&lt;&gt;1,LEFT(A9,LEN("2018::jama.2018.17075::"))&lt;&gt;"2018::jama.2018.17075::"),"CHECK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probable_issue</t>
        </is>
      </c>
      <c r="I9" s="21" t="inlineStr">
        <is>
          <t>substantive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eTable 7 (supp2 p.11): favorable outcome by time to 33°C 18/49, 28/67, 32/59, 39/65 (never), P=.09; methods p.4 specify a chi-square test for equal proportions; main p.5 reports no significant difference. R: 4-group chi-square P=.043 (Fisher .044); 3 groups excluding 'never' P=.16; trend tests .005 (4 groups) and .064 (3 groups). None gives .09.</t>
        </is>
      </c>
    </row>
    <row r="10" ht="92" customFormat="1" customHeight="1" s="14">
      <c r="A10" s="20" t="inlineStr">
        <is>
          <t>2018::jama.2018.17075::C009</t>
        </is>
      </c>
      <c r="B10" s="20" t="inlineStr">
        <is>
          <t>Final significance-rule specification</t>
        </is>
      </c>
      <c r="C10" s="20" t="inlineStr">
        <is>
          <t>jama_cooper_2018_oi_180132.pdf — PDF p. 4, REPORT significance paragraph p.4; joi180132supp1_prod.pdf — PDF p. 84, PLAN final §15.1.3 p.84; joi180132supp1_prod.pdf — PDF p. 188, earlier charter p.188.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ID",IF(OR(A10="",COUNTIF($A$2:$A$16,A10)&lt;&gt;1,LEFT(A10,LEN("2018::jama.2018.17075::"))&lt;&gt;"2018::jama.2018.17075::"),"CHECK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version_timing</t>
        </is>
      </c>
      <c r="M10" s="20" t="n"/>
      <c r="N10" s="23" t="n"/>
      <c r="O10" s="23" t="n"/>
      <c r="P10" s="23" t="n"/>
      <c r="Q10" s="23" t="n"/>
      <c r="R10" s="22" t="inlineStr">
        <is>
          <t>Final protocol v9 §15.1.3 (p.84, July 2017): with 11 interim looks the final analysis uses ±1.996 SD (P=0.0459). DSMC charter transcription (p.188): final critical value 1.975 (P .048) but 'all final analyses were conducted with alpha 0.05'. Report p.4: 2-sided P&lt;.05.</t>
        </is>
      </c>
    </row>
    <row r="11" ht="92" customFormat="1" customHeight="1" s="14">
      <c r="A11" s="24" t="inlineStr">
        <is>
          <t>2018::jama.2018.17075::C010</t>
        </is>
      </c>
      <c r="B11" s="24" t="inlineStr">
        <is>
          <t>Bleeding RR, CI and P attribution pattern</t>
        </is>
      </c>
      <c r="C11" s="24" t="inlineStr">
        <is>
          <t>jama_cooper_2018_oi_180132.pdf — PDF p. 3, unadjusted method p.3; jama_cooper_2018_oi_180132.pdf — PDF p. 7, Table2 both bleeding rows p.7; joi180132supp2_prod.pdf — PDF p. 10, eTable6 both bleeding rows p.10; corroborating jama_cooper_2018_oi_180132.pdf — PDF p. 1, abstract p.1 and jama_cooper_2018_oi_180132.pdf — PDF p. 5, narrative p.5.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ID",IF(OR(A11="",COUNTIF($A$2:$A$16,A11)&lt;&gt;1,LEFT(A11,LEN("2018::jama.2018.17075::"))&lt;&gt;"2018::jama.2018.17075::"),"CHECK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Table 2 p.7 bleeding rows have RR/CI/P swapped. Intracranial 47/260 vs 37/240: RR 1.17 (0.79-1.74), P=.43; printed 1.23 (0.43-3.5), P=.70. Extracranial 8/260 vs 6/240: RR 1.23 (0.43-3.50), P=.70; printed 1.17 (0.79-1.74), P=.43. eTable 6 (supp2 p.10) gives the correct P values (.43, .70). RDs are correct.</t>
        </is>
      </c>
    </row>
    <row r="12" ht="92" customFormat="1" customHeight="1" s="14">
      <c r="A12" s="20" t="inlineStr">
        <is>
          <t>2018::jama.2018.17075::C011</t>
        </is>
      </c>
      <c r="B12" s="20" t="inlineStr">
        <is>
          <t>Interim normal boundary and P threshold</t>
        </is>
      </c>
      <c r="C12" s="20" t="inlineStr">
        <is>
          <t>joi180132supp1_prod.pdf — PDF p. 188, charter boundary paragraph p.188; joi180132supp1_prod.pdf — PDF p. 84, final 3SD/two-sided convention p.84; joi180132supp1_prod.pdf — PDF p. 152, historical amendment p.152.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ID",IF(OR(A12="",COUNTIF($A$2:$A$16,A12)&lt;&gt;1,LEFT(A12,LEN("2018::jama.2018.17075::"))&lt;&gt;"2018::jama.2018.17075::"),"CHECK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minor_presentation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Interim rule |Z|&gt;=3 (Haybittle-Peto 3 SD) is attached to different P thresholds in plan documents: 2010 amendment (p.152, rendered; scanned and rotated) 'P&lt;0.005'; DSMC charter (p.188) 'approximate P &lt;0.001'; final protocol p.84 states 3SD without a P. Two-sided P at |Z|=3 is 0.0027.</t>
        </is>
      </c>
    </row>
    <row r="13" ht="92" customFormat="1" customHeight="1" s="14">
      <c r="A13" s="24" t="inlineStr">
        <is>
          <t>2018::jama.2018.17075::C012</t>
        </is>
      </c>
      <c r="B13" s="24" t="inlineStr">
        <is>
          <t>July 2016 cumulative primary-outcome Y series</t>
        </is>
      </c>
      <c r="C13" s="24" t="inlineStr">
        <is>
          <t>joi180132supp1_prod.pdf — PDF p. 192, favorable block table and cumulative chart p.192; joi180132supp1_prod.pdf — PDF p. 191, July2016 GOSE totals p.191.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ID",IF(OR(A13="",COUNTIF($A$2:$A$16,A13)&lt;&gt;1,LEFT(A13,LEN("2018::jama.2018.17075::"))&lt;&gt;"2018::jama.2018.17075::"),"CHECK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DSMB report July 2016 (supp1 pp.191-192, rendered): block favorable counts for Y sum to 73 (7,2,11,5,8,6,3,5,6,5,2,4,3,6), matching the table (GROUPy 73), but the cumulative Y line runs 6,12,17,...,80. The X cumulative line (10,18,...,86) matches its blocks.</t>
        </is>
      </c>
    </row>
    <row r="14" ht="92" customFormat="1" customHeight="1" s="14">
      <c r="A14" s="20" t="inlineStr">
        <is>
          <t>2018::jama.2018.17075::C013</t>
        </is>
      </c>
      <c r="B14" s="20" t="inlineStr">
        <is>
          <t>As-treated CT count and percentage ordering</t>
        </is>
      </c>
      <c r="C14" s="20" t="inlineStr">
        <is>
          <t>joi180132supp2_prod.pdf — PDF p. 18, eTable10 normothermia CT V/VI cells and headings p.18.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ID",IF(OR(A14="",COUNTIF($A$2:$A$16,A14)&lt;&gt;1,LEFT(A14,LEN("2018::jama.2018.17075::"))&lt;&gt;"2018::jama.2018.17075::"),"CHECK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inlineStr">
        <is>
          <t>eTable 10 (supp2 p.18) as-treated baseline, normothermia (n=196), evacuated mass lesion V printed '34.7 (68)': count and percentage transposed (68/196 = 34.7%). Same table: nonevacuated VI '1 (2)' where 1/196 = 0.5%.</t>
        </is>
      </c>
    </row>
    <row r="15" ht="92" customFormat="1" customHeight="1" s="14">
      <c r="A15" s="24" t="inlineStr">
        <is>
          <t>2018::jama.2018.17075::C014</t>
        </is>
      </c>
      <c r="B15" s="24" t="inlineStr">
        <is>
          <t>Adjusted odds-ratio interval token</t>
        </is>
      </c>
      <c r="C15" s="24" t="inlineStr">
        <is>
          <t>joi180132supp2_prod.pdf — PDF p. 22, post hoc adjusted OR statement p.22.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ID",IF(OR(A15="",COUNTIF($A$2:$A$16,A15)&lt;&gt;1,LEFT(A15,LEN("2018::jama.2018.17075::"))&lt;&gt;"2018::jama.2018.17075::"),"CHECK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inlineStr">
        <is>
          <t>Supp2 p.22 (rendered): 'adjusted odds ratio ... 0.95 (0.55-275 1.64) P = .84'. A stray '275' sits inside the CI; the intended interval is evidently 0.55-1.64. Unadjusted OR 58/124 vs 111/226 = 0.91 reproduces.</t>
        </is>
      </c>
    </row>
    <row r="16" ht="92" customFormat="1" customHeight="1" s="14">
      <c r="A16" s="20" t="inlineStr">
        <is>
          <t>2018::jama.2018.17075::C015</t>
        </is>
      </c>
      <c r="B16" s="20" t="inlineStr">
        <is>
          <t>Planned adjusted key-secondary sensitivity analyses</t>
        </is>
      </c>
      <c r="C16" s="20" t="inlineStr">
        <is>
          <t>PLAN joi180132supp1_prod.pdf — PDF p. 84, binary models p.84, joi180132supp1_prod.pdf — PDF p. 85, adjusted primary/secondary promise p.85, joi180132supp1_prod.pdf — PDF p. 183, update p.183, joi180132supp1_prod.pdf — PDF p. 184, adjustment footnotes p.184, joi180132supp1_prod.pdf — PDF p. 187, aligned update p.187, joi180132supp1_prod.pdf — PDF p. 181, SAP pointer p.181. REPORT jama_cooper_2018_oi_180132.pdf — PDF p. 1, abstract p.1, jama_cooper_2018_oi_180132.pdf — PDF p. 3, outcomes/methods p.3, jama_cooper_2018_oi_180132.pdf — PDF p. 4, continuation p.4, jama_cooper_2018_oi_180132.pdf — PDF p. 5, results p.5, jama_cooper_2018_oi_180132.pdf — PDF p. 6, unadjusted sensitivity pneumonia p.6, jama_cooper_2018_oi_180132.pdf — PDF p. 7, Table2 p.7; joi180132supp2_prod.pdf — PDF p. 10, eTable6 p.10, joi180132supp2_prod.pdf — PDF p. 14, eTable9 p.14, joi180132supp2_prod.pdf — PDF p. 19, eTable11 p.19, GOSE outputs joi180132supp2_prod.pdf — PDF p. 16, p.16, joi180132supp2_prod.pdf — PDF p. 20, p.20, joi180132supp2_prod.pdf — PDF p. 21, p.21, joi180132supp2_prod.pdf — PDF p. 22, p.22. Absence scope: all DOC-001 physical pp.1–10, DOC-003 pp.1–24 and joi180132supp3_prod.pdf — PDF p. 1, DOC-004 p.1.</t>
        </is>
      </c>
      <c r="D16" s="21" t="inlineStr">
        <is>
          <t>retain</t>
        </is>
      </c>
      <c r="E16" s="21" t="inlineStr">
        <is>
          <t>protocol_report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ID",IF(OR(A16="",COUNTIF($A$2:$A$16,A16)&lt;&gt;1,LEFT(A16,LEN("2018::jama.2018.17075::"))&lt;&gt;"2018::jama.2018.17075::"),"CHECK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 t="inlineStr">
        <is>
          <t>substantive_difference</t>
        </is>
      </c>
      <c r="M16" s="20" t="n"/>
      <c r="N16" s="23" t="n"/>
      <c r="O16" s="23" t="n"/>
      <c r="P16" s="23" t="n"/>
      <c r="Q16" s="23" t="n"/>
      <c r="R16" s="22" t="inlineStr">
        <is>
          <t>Protocol v9 p.85: sensitivity analyses of primary and secondary outcomes adjusted for prespecified baseline covariates and any imbalanced covariate. SAP update (pp.183-184,187; scanned, OCR'd) restricts PP/as-treated adjustment to IMPACT-TBI. Report gives an IMPACT-adjusted RR for the primary outcome only (Table 2); no adjusted results for mortality or adverse events.</t>
        </is>
      </c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2018::jama.2018.18020::C001</t>
        </is>
      </c>
      <c r="B2" s="20" t="inlineStr">
        <is>
          <t>Abstract male percentage differs from the enrolled sex counts</t>
        </is>
      </c>
      <c r="C2" s="20" t="inlineStr">
        <is>
          <t>jama_stunnenberg_2018_oi_180136.pdf — main abstract p.1, jama_stunnenberg_2018_oi_180136.pdf — main Baseline Data p.4, and corroborating joi180136supp2_prod.pdf — eTable 2 patient rows 1–19 p.3 and joi180136supp2_prod.pdf — rows 20–30 p.4, all visually read from fresh exact-source renders.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ID",IF(OR(A2="",COUNTIF($A$2:$A$23,A2)&lt;&gt;1,LEFT(A2,LEN("2018::jama.2018.18020::"))&lt;&gt;"2018::jama.2018.18020::"),"CHECK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direct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inlineStr">
        <is>
          <t>Abstract p.1: '22% men'. Main p.4: 22 men and 8 women of 30 enrolled = 73.3% men; eTable 2 (supp2 pp.3-4) lists 22 male and 8 female patients. The abstract percentage is wrong (22 is the count; women are 26.7%).</t>
        </is>
      </c>
    </row>
    <row r="3" ht="92" customFormat="1" customHeight="1" s="14">
      <c r="A3" s="24" t="inlineStr">
        <is>
          <t>2018::jama.2018.18020::C002</t>
        </is>
      </c>
      <c r="B3" s="24" t="inlineStr">
        <is>
          <t>Planned primary priors and robustness analyses differ from the supplied implementation</t>
        </is>
      </c>
      <c r="C3" s="24" t="inlineStr">
        <is>
          <t>Yes, separately: PLAN joi180136supp1_prod.pdf — study design p.12, joi180136supp1_prod.pdf — primary/prior model p.40, joi180136supp1_prod.pdf — variation/clinical priors and robustness p.41; REPORT jama_stunnenberg_2018_oi_180136.pdf — main Bayesian method p.3, jama_stunnenberg_2018_oi_180136.pdf — primary effects p.4, jama_stunnenberg_2018_oi_180136.pdf — Figure 3 p.6; REPORT joi180136supp2_prod.pdf — individual model p.10, joi180136supp2_prod.pdf — group model p.11, joi180136supp2_prod.pdf — group glossary continuation p.12, joi180136supp2_prod.pdf — subgroup model p.13, joi180136supp2_prod.pdf — subgroup glossary/encoding p.14. Each cited page was visually inspected. Complete current-source main/results-supplement text was read/searched for informative/clinical priors and robustness counterparts; none is identifiable as an observed primary analysis. The report's virtual-data sample-size simulations are distinguishable from this planned observed-data comparison.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ID",IF(OR(A3="",COUNTIF($A$2:$A$23,A3)&lt;&gt;1,LEFT(A3,LEN("2018::jama.2018.18020::"))&lt;&gt;"2018::jama.2018.18020::"),"CHECK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Protocol pp.12,40-41: hierarchical model with patient random intercept and slope, elicited clinical priors (e.g., mean effect N(1.75, 0.89)) for main parameters, inverse-gamma(0.001,0.001) variance priors, and a robustness comparison with noninformative priors. Report (p.3; eMethods 1-3, supp2 pp.10-14): vague normal priors on period means, uniform(0.01,10) SDs; no clinical-prior analysis or robustness comparison.</t>
        </is>
      </c>
    </row>
    <row r="4" ht="92" customFormat="1" customHeight="1" s="14">
      <c r="A4" s="20" t="inlineStr">
        <is>
          <t>2018::jama.2018.18020::C003</t>
        </is>
      </c>
      <c r="B4" s="20" t="inlineStr">
        <is>
          <t>Non-IVR secondary analysis specification differs from the plan</t>
        </is>
      </c>
      <c r="C4" s="20" t="inlineStr">
        <is>
          <t>PLAN joi180136supp1_prod.pdf — summary p.7, joi180136supp1_prod.pdf — secondary endpoints p.31, joi180136supp1_prod.pdf — analysis p.40; REPORT jama_stunnenberg_2018_oi_180136.pdf — secondary definitions and frequentist methods p.3, jama_stunnenberg_2018_oi_180136.pdf — exploratory interpretation p.4, jama_stunnenberg_2018_oi_180136.pdf — Table 2 p.7, jama_stunnenberg_2018_oi_180136.pdf — methods footnotes p.8. Every cited passage/heading was visually read.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ID",IF(OR(A4="",COUNTIF($A$2:$A$23,A4)&lt;&gt;1,LEFT(A4,LEN("2018::jama.2018.18020::"))&lt;&gt;"2018::jama.2018.18020::"),"CHECK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Protocol p.40: secondary endpoints 'analyzed in the same way' (Bayesian hierarchical model). Report p.3 and Table 2 (pp.7-8): non-IVR secondary outcomes analysed with frequentist dependent t tests and genotype interaction tests; Bayesian results only for IVR scores.</t>
        </is>
      </c>
    </row>
    <row r="5" ht="92" customFormat="1" customHeight="1" s="14">
      <c r="A5" s="24" t="inlineStr">
        <is>
          <t>2018::jama.2018.18020::C004</t>
        </is>
      </c>
      <c r="B5" s="24" t="inlineStr">
        <is>
          <t>Myotonia measurement definitions differ between the plan and report</t>
        </is>
      </c>
      <c r="C5" s="24" t="inlineStr">
        <is>
          <t>PLAN joi180136supp1_prod.pdf — clinical and quantitative grip procedure p.32, joi180136supp1_prod.pdf — three relaxation cutoffs p.33; REPORT jama_stunnenberg_2018_oi_180136.pdf — outcome definitions p.3, jama_stunnenberg_2018_oi_180136.pdf — Table 1 footnote d p.5, jama_stunnenberg_2018_oi_180136.pdf — Table 2 handgrip/eyelid/dynamometry rows p.7, jama_stunnenberg_2018_oi_180136.pdf — footnotes h/j p.8. Both bedside procedures, every first/fifth/mean affected result group and all three planned relaxation endpoints were inspected.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ID",IF(OR(A5="",COUNTIF($A$2:$A$23,A5)&lt;&gt;1,LEFT(A5,LEN("2018::jama.2018.18020::"))&lt;&gt;"2018::jama.2018.18020::"),"CHECK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Protocol pp.32-33: eye closure and handgrip myotonia after 3-s contractions; dynamometry relaxation measured as 90%-10%, 90%-50% and 90%-75% of MVIC, three sets. Report p.3 and Table 2 fn h/j: 5-s contractions; relaxation 90%-5% only; adds peak force and transient paresis.</t>
        </is>
      </c>
    </row>
    <row r="6" ht="92" customFormat="1" customHeight="1" s="14">
      <c r="A6" s="20" t="inlineStr">
        <is>
          <t>2018::jama.2018.18020::C005</t>
        </is>
      </c>
      <c r="B6" s="20" t="inlineStr">
        <is>
          <t>Primary-data eligibility differs from the planned withdrawal-data rule</t>
        </is>
      </c>
      <c r="C6" s="20" t="inlineStr">
        <is>
          <t>PLAN joi180136supp1_prod.pdf — withdrawal-data clause p.35; REPORT jama_stunnenberg_2018_oi_180136.pdf — aggregate eligibility p.3, jama_stunnenberg_2018_oi_180136.pdf — flow and Numbers Analyzed p.4, jama_stunnenberg_2018_oi_180136.pdf — SAE exclusion p.8, joi180136supp2_prod.pdf — eTable 3 participant rows and dropout footnote p.5. All affected participant IDs 3, 6 and 7 were checked as absent from eTable 3 and named as dropouts in its footnote.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ID",IF(OR(A6="",COUNTIF($A$2:$A$23,A6)&lt;&gt;1,LEFT(A6,LEN("2018::jama.2018.18020::"))&lt;&gt;"2018::jama.2018.18020::"),"CHECK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 t="inlineStr">
        <is>
          <t>Protocol p.35: intent-to-treat; all data acquired before termination included in the primary analysis unless consent withdrawn. Report: 27 completers analysed (Figure 1 p.4; eTable 3 excludes dropouts 3, 6, 7); p.3 states patients completing at least one treatment period were included.</t>
        </is>
      </c>
    </row>
    <row r="7" ht="92" customFormat="1" customHeight="1" s="14">
      <c r="A7" s="24" t="inlineStr">
        <is>
          <t>2018::jama.2018.18020::C006</t>
        </is>
      </c>
      <c r="B7" s="24" t="inlineStr">
        <is>
          <t>Planned primary treatment interactions have no identifiable reported result</t>
        </is>
      </c>
      <c r="C7" s="24" t="inlineStr">
        <is>
          <t>PLAN joi180136supp1_prod.pdf — primary model p.40; REPORT jama_stunnenberg_2018_oi_180136.pdf — frequentist model p.3, jama_stunnenberg_2018_oi_180136.pdf — order/period results p.4, joi180136supp2_prod.pdf — Bayesian group code p.11, joi180136supp2_prod.pdf — glossary p.12, joi180136supp2_prod.pdf — subgroup code p.13, joi180136supp2_prod.pdf — genotype encoding/glossary p.14. All cited pages were read visually; complete current-source main/results-supplement searches for pair/order/interaction found no separately identified planned interaction counterpart.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ID",IF(OR(A7="",COUNTIF($A$2:$A$23,A7)&lt;&gt;1,LEFT(A7,LEN("2018::jama.2018.18020::"))&lt;&gt;"2018::jama.2018.18020::"),"CHECK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indeterminate</t>
        </is>
      </c>
      <c r="M7" s="24" t="n"/>
      <c r="N7" s="23" t="n"/>
      <c r="O7" s="23" t="n"/>
      <c r="P7" s="23" t="n"/>
      <c r="Q7" s="23" t="n"/>
      <c r="R7" s="22" t="inlineStr">
        <is>
          <t>Protocol p.40: investigate interactions between treatment effect and treatment pair, and treatment effect and treatment order, in the Bayesian model. Report p.3-4: frequentist candidate covariables 'randomization order' and 'period effect' (P=.85, .22) dropped from the model; no Bayesian interaction result.</t>
        </is>
      </c>
    </row>
    <row r="8" ht="92" customFormat="1" customHeight="1" s="14">
      <c r="A8" s="20" t="inlineStr">
        <is>
          <t>2018::jama.2018.18020::C007</t>
        </is>
      </c>
      <c r="B8" s="20" t="inlineStr">
        <is>
          <t>Three clinical nonresponders are attributed to a Bayesian rule met by two</t>
        </is>
      </c>
      <c r="C8" s="20" t="inlineStr">
        <is>
          <t>REPORT jama_stunnenberg_2018_oi_180136.pdf — main stopping criterion p.3, jama_stunnenberg_2018_oi_180136.pdf — main response attribution p.4, joi180136supp2_prod.pdf — eTable 3 patients 11/13/22, criterion and override footnote p.5. All three rows and the complete starred footnote were read visually.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ID",IF(OR(A8="",COUNTIF($A$2:$A$23,A8)&lt;&gt;1,LEFT(A8,LEN("2018::jama.2018.18020::"))&lt;&gt;"2018::jama.2018.18020::"),"CHECK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substantive</t>
        </is>
      </c>
      <c r="J8" s="22" t="inlineStr">
        <is>
          <t>possible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Main p.4: 'In 3 patients (11%), Bayesian analysis showed the predefined clinical ineffectiveness' (posterior &lt;20%). eTable 3 (supp2 p.5): patients 13 (2%) and 22 (1%) meet it; patient 11 had 38% and was stopped because stiffness was absent in both periods (footnote). Also patients 8 and 20 at exactly 80% are counted as responders under the reported '&gt;80%' rule.</t>
        </is>
      </c>
    </row>
    <row r="9" ht="92" customFormat="1" customHeight="1" s="14">
      <c r="A9" s="24" t="inlineStr">
        <is>
          <t>2018::jama.2018.18020::C008</t>
        </is>
      </c>
      <c r="B9" s="24" t="inlineStr">
        <is>
          <t>INQoL baseline upper quartiles exceed the stated scale range</t>
        </is>
      </c>
      <c r="C9" s="24" t="inlineStr">
        <is>
          <t>REPORT jama_stunnenberg_2018_oi_180136.pdf — Table 1 INQoL row and footnote f p.5, corroborating jama_stunnenberg_2018_oi_180136.pdf — Table 2 footnote g p.8, both visually read.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ID",IF(OR(A9="",COUNTIF($A$2:$A$23,A9)&lt;&gt;1,LEFT(A9,LEN("2018::jama.2018.18020::"))&lt;&gt;"2018::jama.2018.18020::"),"CHECK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indeterminate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1 p.5: INQoL composite median (IQR) 84.0 (74.5-110.3) and 98.0 (56.0-120.0), but footnote f (and Table 2 fn g) give the scale as 0-100. Upper quartiles 110.3 and 120.0 exceed the stated maximum; Table 2 baseline mean 96.89 (SD 38.49) is also implausible on a 0-100 scale.</t>
        </is>
      </c>
    </row>
    <row r="10" ht="92" customFormat="1" customHeight="1" s="14">
      <c r="A10" s="20" t="inlineStr">
        <is>
          <t>2018::jama.2018.18020::C009</t>
        </is>
      </c>
      <c r="B10" s="20" t="inlineStr">
        <is>
          <t>Other-medication P does not reproduce the adjacent-row binary comparison</t>
        </is>
      </c>
      <c r="C10" s="20" t="inlineStr">
        <is>
          <t>REPORT jama_stunnenberg_2018_oi_180136.pdf — Table 1 subgroup N, Men, Mexiletine, Other rows and footnote a p.5, each read from the exact-source render.</t>
        </is>
      </c>
      <c r="D10" s="21" t="inlineStr">
        <is>
          <t>retain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ID",IF(OR(A10="",COUNTIF($A$2:$A$23,A10)&lt;&gt;1,LEFT(A10,LEN("2018::jama.2018.18020::"))&lt;&gt;"2018::jama.2018.18020::"),"CHECK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 t="inlineStr">
        <is>
          <t>confirmed_issue</t>
        </is>
      </c>
      <c r="I10" s="21" t="inlineStr">
        <is>
          <t>minor_presentation</t>
        </is>
      </c>
      <c r="J10" s="22" t="inlineStr">
        <is>
          <t>unlikely</t>
        </is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inlineStr">
        <is>
          <t>Table 1 p.5 'Other' pretrial medication 7/16 (44%) vs 5/11 (46%), P=.62. Fisher exact P=1.00 (chi-square .93); the adjacent rows reproduce with Fisher (men 13/16 vs 7/11 P=.39; mexiletine 2/16 vs 0/11 P=.50). Footnote a says Mann-Whitney (computed .95). 5/11 = 45.5%.</t>
        </is>
      </c>
    </row>
    <row r="11" ht="92" customFormat="1" customHeight="1" s="14">
      <c r="A11" s="24" t="inlineStr">
        <is>
          <t>2018::jama.2018.18020::C010</t>
        </is>
      </c>
      <c r="B11" s="24" t="inlineStr">
        <is>
          <t>SCN4A transient-paresis interval crosses zero while its P is significant</t>
        </is>
      </c>
      <c r="C11" s="24" t="inlineStr">
        <is>
          <t>REPORT jama_stunnenberg_2018_oi_180136.pdf — Table 2 fifth transient paresis SCN4A p.7, jama_stunnenberg_2018_oi_180136.pdf — repeated narrative p.6, jama_stunnenberg_2018_oi_180136.pdf — two-sided strict significance rule p.4, jama_stunnenberg_2018_oi_180136.pdf — method and scale footnotes p.8.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ID",IF(OR(A11="",COUNTIF($A$2:$A$23,A11)&lt;&gt;1,LEFT(A11,LEN("2018::jama.2018.18020::"))&lt;&gt;"2018::jama.2018.18020::"),"CHECK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Table 2 p.7 (render) and text p.6: SCN4A fifth transient paresis effect 13.71 (-1.96 to 25.47), P=.02. The CI crosses 0 while P&lt;.05 and is not centred on 13.71; with lower limit +1.96 the CI is centred (13.715) and P≈.02. Likely a spurious minus sign.</t>
        </is>
      </c>
    </row>
    <row r="12" ht="92" customFormat="1" customHeight="1" s="14">
      <c r="A12" s="20" t="inlineStr">
        <is>
          <t>2018::jama.2018.18020::C011</t>
        </is>
      </c>
      <c r="B12" s="20" t="inlineStr">
        <is>
          <t>Lower Table 2 contrast header reverses the represented effect direction</t>
        </is>
      </c>
      <c r="C12" s="20" t="inlineStr">
        <is>
          <t>REPORT jama_stunnenberg_2018_oi_180136.pdf — Table 2 lower header and every lower row p.7 and jama_stunnenberg_2018_oi_180136.pdf — footnotes a/c/d/f–l p.8. All 27 affected lower outcome rows were visually inspected. Interaction-only rows were read as separate tests, not treatment-effect contrasts. The needle-EMG continuation p.8 has a separate header without the lower-section subtraction label and is not added to this pattern.</t>
        </is>
      </c>
      <c r="D12" s="21" t="inlineStr">
        <is>
          <t>retain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ID",IF(OR(A12="",COUNTIF($A$2:$A$23,A12)&lt;&gt;1,LEFT(A12,LEN("2018::jama.2018.18020::"))&lt;&gt;"2018::jama.2018.18020::"),"CHECK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 t="inlineStr">
        <is>
          <t>confirmed_issue</t>
        </is>
      </c>
      <c r="I12" s="21" t="inlineStr">
        <is>
          <t>substantive</t>
        </is>
      </c>
      <c r="J12" s="22" t="inlineStr">
        <is>
          <t>direct</t>
        </is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Table 2 lower section (p.7) header 'Treatment Effect (Placebo-Mexiletine)', but values equal mexiletine minus placebo change: SF-36 physical 8.66-1.04=+7.62 (printed +7.81); INQoL -21.44-(-7.22)=-14.22 (printed -14.22); first handgrip -2.39-0.46=-2.85 (printed -2.85). The upper IVR section is placebo minus mexiletine (5.55-2.42=3.12).</t>
        </is>
      </c>
    </row>
    <row r="13" ht="92" customFormat="1" customHeight="1" s="14">
      <c r="A13" s="24" t="inlineStr">
        <is>
          <t>2018::jama.2018.18020::C012</t>
        </is>
      </c>
      <c r="B13" s="24" t="inlineStr">
        <is>
          <t>Physical SF-36 placebo interval does not center on its printed mean</t>
        </is>
      </c>
      <c r="C13" s="24" t="inlineStr">
        <is>
          <t>REPORT jama_stunnenberg_2018_oi_180136.pdf — physical SF-36 placebo and comparator rows p.7, jama_stunnenberg_2018_oi_180136.pdf — dependent-t description p.3, jama_stunnenberg_2018_oi_180136.pdf — footnote a p.8. All three comparator period intervals were visually read separately.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ID",IF(OR(A13="",COUNTIF($A$2:$A$23,A13)&lt;&gt;1,LEFT(A13,LEN("2018::jama.2018.18020::"))&lt;&gt;"2018::jama.2018.18020::"),"CHECK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Table 2 p.7: SF-36 physical placebo change 1.04 (-0.60 to 2.96). The interval midpoint is 1.18, not 1.04; a symmetric t interval around 1.04 with upper 2.96 would have lower -0.88. Other period CIs in the table are centred on their means.</t>
        </is>
      </c>
    </row>
    <row r="14" ht="92" customFormat="1" customHeight="1" s="14">
      <c r="A14" s="20" t="inlineStr">
        <is>
          <t>2018::jama.2018.18020::C013</t>
        </is>
      </c>
      <c r="B14" s="20" t="inlineStr">
        <is>
          <t>Mental SF-36 estimate and interval do not yield the printed P under the stated test</t>
        </is>
      </c>
      <c r="C14" s="20" t="inlineStr">
        <is>
          <t>REPORT jama_stunnenberg_2018_oi_180136.pdf — Table 2 mental SF-36 p.7, jama_stunnenberg_2018_oi_180136.pdf — dependent-t method p.3, jama_stunnenberg_2018_oi_180136.pdf — two-sided rule/available data p.4, jama_stunnenberg_2018_oi_180136.pdf — method footnote a p.8.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ID",IF(OR(A14="",COUNTIF($A$2:$A$23,A14)&lt;&gt;1,LEFT(A14,LEN("2018::jama.2018.18020::"))&lt;&gt;"2018::jama.2018.18020::"),"CHECK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probable_issue</t>
        </is>
      </c>
      <c r="I14" s="21" t="inlineStr">
        <is>
          <t>minor_presentation</t>
        </is>
      </c>
      <c r="J14" s="22" t="inlineStr">
        <is>
          <t>possible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inlineStr">
        <is>
          <t>Table 2 p.7: SF-36 mental treatment effect 6.78 (1.64 to 11.92), P=.001. A dependent t test with this CI implies P≈.012 (df 26) or .010 (normal). Printed .001 is about 10 times too small.</t>
        </is>
      </c>
    </row>
    <row r="15" ht="92" customFormat="1" customHeight="1" s="14">
      <c r="A15" s="24" t="inlineStr">
        <is>
          <t>2018::jama.2018.18020::C014</t>
        </is>
      </c>
      <c r="B15" s="24" t="inlineStr">
        <is>
          <t>Placebo first-handgrip mean lies outside its descending interval</t>
        </is>
      </c>
      <c r="C15" s="24" t="inlineStr">
        <is>
          <t>REPORT jama_stunnenberg_2018_oi_180136.pdf — first handgrip placebo row p.7 and jama_stunnenberg_2018_oi_180136.pdf — methods/handgrip footnotes a/h p.8. The minus sign before 1.23 was visually confirmed in the supplied-source render, not inferred from text.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ID",IF(OR(A15="",COUNTIF($A$2:$A$23,A15)&lt;&gt;1,LEFT(A15,LEN("2018::jama.2018.18020::"))&lt;&gt;"2018::jama.2018.18020::"),"CHECK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inlineStr">
        <is>
          <t>Table 2 p.7 (render): first handgrip placebo change 0.46 (-0.30 to -1.23): the mean lies outside its interval and the limits descend. With upper limit +1.23 the interval is centred at 0.465; a dropped/added minus sign.</t>
        </is>
      </c>
    </row>
    <row r="16" ht="92" customFormat="1" customHeight="1" s="14">
      <c r="A16" s="20" t="inlineStr">
        <is>
          <t>2018::jama.2018.18020::C015</t>
        </is>
      </c>
      <c r="B16" s="20" t="inlineStr">
        <is>
          <t>Eleven non-IVR effects do not reproduce the period-mean difference pattern</t>
        </is>
      </c>
      <c r="C16" s="20" t="inlineStr">
        <is>
          <t>REPORT jama_stunnenberg_2018_oi_180136.pdf — every named row in Table 2 p.7, jama_stunnenberg_2018_oi_180136.pdf — dependent-t method p.3, jama_stunnenberg_2018_oi_180136.pdf — available/missing data and 27 patients/31 sets p.4, jama_stunnenberg_2018_oi_180136.pdf — method/subgroup footnotes a/c p.8. All 11 rows and each period/effect alignment were individually visually read.</t>
        </is>
      </c>
      <c r="D16" s="21" t="inlineStr">
        <is>
          <t>retain</t>
        </is>
      </c>
      <c r="E16" s="21" t="inlineStr">
        <is>
          <t>statistical_results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ID",IF(OR(A16="",COUNTIF($A$2:$A$23,A16)&lt;&gt;1,LEFT(A16,LEN("2018::jama.2018.18020::"))&lt;&gt;"2018::jama.2018.18020::"),"CHECK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 t="inlineStr">
        <is>
          <t>indeterminate</t>
        </is>
      </c>
      <c r="I16" s="21" t="inlineStr">
        <is>
          <t>indeterminate</t>
        </is>
      </c>
      <c r="J16" s="22" t="inlineStr">
        <is>
          <t>unknown</t>
        </is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inlineStr">
        <is>
          <t>Lower Table 2 effects vs difference of period mean changes: many rows match (INQoL, handgrip, eyelid, TUG), but several do not: SF-36 physical 7.62 vs 7.81, mental 6.62 vs 6.78, CLCN1 fifth handgrip -0.29 vs 0.04, peak force first 26.73 vs 32.92, fifth 21.81 vs 24.08, mean 33.75 vs 37.23, transient paresis first -3.09 vs -3.7, fifth -9.29 vs -12.25, mean -6.30 vs -7.34.</t>
        </is>
      </c>
    </row>
    <row r="17" ht="92" customFormat="1" customHeight="1" s="14">
      <c r="A17" s="24" t="inlineStr">
        <is>
          <t>2018::jama.2018.18020::C016</t>
        </is>
      </c>
      <c r="B17" s="24" t="inlineStr">
        <is>
          <t>SCN4A fifth-handgrip interval crosses zero while its P is significant</t>
        </is>
      </c>
      <c r="C17" s="24" t="inlineStr">
        <is>
          <t>REPORT jama_stunnenberg_2018_oi_180136.pdf — Table 2 SCN4A fifth handgrip p.7, jama_stunnenberg_2018_oi_180136.pdf — repeated narrative p.8, jama_stunnenberg_2018_oi_180136.pdf — two-sided significance rule p.4. Both printed +.51 upper limits were visually confirmed.</t>
        </is>
      </c>
      <c r="D17" s="21" t="inlineStr">
        <is>
          <t>retain</t>
        </is>
      </c>
      <c r="E17" s="21" t="inlineStr">
        <is>
          <t>statistical_results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ID",IF(OR(A17="",COUNTIF($A$2:$A$23,A17)&lt;&gt;1,LEFT(A17,LEN("2018::jama.2018.18020::"))&lt;&gt;"2018::jama.2018.18020::"),"CHECK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 t="inlineStr">
        <is>
          <t>confirmed_issue</t>
        </is>
      </c>
      <c r="I17" s="21" t="inlineStr">
        <is>
          <t>substantive</t>
        </is>
      </c>
      <c r="J17" s="22" t="inlineStr">
        <is>
          <t>direct</t>
        </is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inlineStr">
        <is>
          <t>Table 2 p.7 and text p.8: SCN4A fifth handgrip effect -1.96 (-3.41 to 0.51), P=.009. CI crosses 0 while P&lt;.05; with upper limit -0.51 the CI is centred exactly on -1.96 (P≈.01). Dropped minus sign.</t>
        </is>
      </c>
    </row>
    <row r="18" ht="92" customFormat="1" customHeight="1" s="14">
      <c r="A18" s="20" t="inlineStr">
        <is>
          <t>2018::jama.2018.18020::C017</t>
        </is>
      </c>
      <c r="B18" s="20" t="inlineStr">
        <is>
          <t>First-eyelid interval excludes zero while printed P equals the strict threshold</t>
        </is>
      </c>
      <c r="C18" s="20" t="inlineStr">
        <is>
          <t>REPORT jama_stunnenberg_2018_oi_180136.pdf — first-eyelid row p.7, jama_stunnenberg_2018_oi_180136.pdf — strict P&lt;.05/two-sided rule p.4, jama_stunnenberg_2018_oi_180136.pdf — method footnotes p.8.</t>
        </is>
      </c>
      <c r="D18" s="21" t="inlineStr">
        <is>
          <t>exclude</t>
        </is>
      </c>
      <c r="E18" s="21" t="inlineStr">
        <is>
          <t>statistical_results</t>
        </is>
      </c>
      <c r="F18" s="21" t="inlineStr">
        <is>
          <t>primary_done</t>
        </is>
      </c>
      <c r="G18" s="20">
        <f>IFERROR(IF(LEN(TRIM(CLEAN(SUBSTITUTE(Setup!$B$2,CHAR(160)," "))))=0,"CHECK REVIEWER ID",IF(OR(A18="",COUNTIF($A$2:$A$23,A18)&lt;&gt;1,LEFT(A18,LEN("2018::jama.2018.18020::"))&lt;&gt;"2018::jama.2018.18020::"),"CHECK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inlineStr">
        <is>
          <t>Table 2 p.7: first eyelid effect -4.25 (-8.45 to -0.05), P=.05. CI implies P=.047 (t, df 26-30), which rounds to .05; a CI just excluding 0 with P just under .05 is consistent. No conflict.</t>
        </is>
      </c>
    </row>
    <row r="19" ht="92" customFormat="1" customHeight="1" s="14">
      <c r="A19" s="24" t="inlineStr">
        <is>
          <t>2018::jama.2018.18020::C018</t>
        </is>
      </c>
      <c r="B19" s="24" t="inlineStr">
        <is>
          <t>Placebo mean Timed Up and Go change exceeds its interval upper bound</t>
        </is>
      </c>
      <c r="C19" s="24" t="inlineStr">
        <is>
          <t>REPORT jama_stunnenberg_2018_oi_180136.pdf — Timed Up&amp;Go Mean placebo row p.7, jama_stunnenberg_2018_oi_180136.pdf — methods/measurement footnotes a/i p.8.</t>
        </is>
      </c>
      <c r="D19" s="21" t="inlineStr">
        <is>
          <t>retain</t>
        </is>
      </c>
      <c r="E19" s="21" t="inlineStr">
        <is>
          <t>statistical_results</t>
        </is>
      </c>
      <c r="F19" s="21" t="inlineStr">
        <is>
          <t>primary_done</t>
        </is>
      </c>
      <c r="G19" s="24">
        <f>IFERROR(IF(LEN(TRIM(CLEAN(SUBSTITUTE(Setup!$B$2,CHAR(160)," "))))=0,"CHECK REVIEWER ID",IF(OR(A19="",COUNTIF($A$2:$A$23,A19)&lt;&gt;1,LEFT(A19,LEN("2018::jama.2018.18020::"))&lt;&gt;"2018::jama.2018.18020::"),"CHECK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 t="inlineStr">
        <is>
          <t>confirmed_issue</t>
        </is>
      </c>
      <c r="I19" s="21" t="inlineStr">
        <is>
          <t>minor_presentation</t>
        </is>
      </c>
      <c r="J19" s="22" t="inlineStr">
        <is>
          <t>unlikely</t>
        </is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inlineStr">
        <is>
          <t>Table 2 p.7 (render): Timed Up&amp;Go mean, placebo change 0.07 (-0.67 to 0.01): mean exceeds the upper limit. With upper limit 0.81 the interval is centred at 0.07; likely a dropped digit.</t>
        </is>
      </c>
    </row>
    <row r="20" ht="92" customFormat="1" customHeight="1" s="14">
      <c r="A20" s="20" t="inlineStr">
        <is>
          <t>2018::jama.2018.18020::C019</t>
        </is>
      </c>
      <c r="B20" s="20" t="inlineStr">
        <is>
          <t>Needle-EMG estimate and interval do not yield the printed P under the stated test</t>
        </is>
      </c>
      <c r="C20" s="20" t="inlineStr">
        <is>
          <t>REPORT jama_stunnenberg_2018_oi_180136.pdf — Table 2 continuation needle EMG row and footnotes a/m p.8, jama_stunnenberg_2018_oi_180136.pdf — dependent-t method p.3, jama_stunnenberg_2018_oi_180136.pdf — two-sided rule/missing data p.4, each visually inspected.</t>
        </is>
      </c>
      <c r="D20" s="21" t="inlineStr">
        <is>
          <t>retain</t>
        </is>
      </c>
      <c r="E20" s="21" t="inlineStr">
        <is>
          <t>statistical_results</t>
        </is>
      </c>
      <c r="F20" s="21" t="inlineStr">
        <is>
          <t>primary_done</t>
        </is>
      </c>
      <c r="G20" s="20">
        <f>IFERROR(IF(LEN(TRIM(CLEAN(SUBSTITUTE(Setup!$B$2,CHAR(160)," "))))=0,"CHECK REVIEWER ID",IF(OR(A20="",COUNTIF($A$2:$A$23,A20)&lt;&gt;1,LEFT(A20,LEN("2018::jama.2018.18020::"))&lt;&gt;"2018::jama.2018.18020::"),"CHECK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 t="inlineStr">
        <is>
          <t>indeterminate</t>
        </is>
      </c>
      <c r="I20" s="21" t="inlineStr">
        <is>
          <t>minor_presentation</t>
        </is>
      </c>
      <c r="J20" s="22" t="inlineStr">
        <is>
          <t>unlikely</t>
        </is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inlineStr">
        <is>
          <t>Table 2 p.8: needle-EMG grading effect 0.67 (0.23 to 1.11), P&lt;.001. A dependent t test with this CI gives P≈.004 (df 26) or .003 (normal). The outcome is an ordinal 0-3 grade; methods (p.3) apply t tests to normally distributed outcomes, so another test may have produced the P.</t>
        </is>
      </c>
    </row>
    <row r="21" ht="92" customFormat="1" customHeight="1" s="14">
      <c r="A21" s="24" t="inlineStr">
        <is>
          <t>2018::jama.2018.18020::C020</t>
        </is>
      </c>
      <c r="B21" s="24" t="inlineStr">
        <is>
          <t>Plan text and diagram specify different DSMB review triggers</t>
        </is>
      </c>
      <c r="C21" s="24" t="inlineStr">
        <is>
          <t>PLAN joi180136supp1_prod.pdf — DSMB operative text p.38 and joi180136supp1_prod.pdf — Figure 3 adverse-reaction/event decision box p.39. Exact rendered figure confirms separate individual-stop and population-review arrows and the first population trigger.</t>
        </is>
      </c>
      <c r="D21" s="21" t="inlineStr">
        <is>
          <t>retain</t>
        </is>
      </c>
      <c r="E21" s="21" t="inlineStr">
        <is>
          <t>plan_material</t>
        </is>
      </c>
      <c r="F21" s="21" t="inlineStr">
        <is>
          <t>primary_done</t>
        </is>
      </c>
      <c r="G21" s="24">
        <f>IFERROR(IF(LEN(TRIM(CLEAN(SUBSTITUTE(Setup!$B$2,CHAR(160)," "))))=0,"CHECK REVIEWER ID",IF(OR(A21="",COUNTIF($A$2:$A$23,A21)&lt;&gt;1,LEFT(A21,LEN("2018::jama.2018.18020::"))&lt;&gt;"2018::jama.2018.18020::"),"CHECK KEY",IF(OR(AND(NOT(AND(D21="retain",E21="statistical_results")),H21&lt;&gt;"",NOT(EXACT(H21,"not_applicable"))),AND(NOT(AND(D21="retain",E21="statistical_results")),I21&lt;&gt;"",NOT(EXACT(I21,"not_applicable"))),AND(NOT(AND(D21="retain",E21="statistical_results")),J21&lt;&gt;"",NOT(EXACT(J21,"not_applicable"))),AND(NOT(AND(D21="retain",OR(E21="report_internal_inconsistency",E21="plan_material"))),K21&lt;&gt;"",NOT(EXACT(K21,"not_applicable"))),AND(NOT(AND(D21="retain",E21="protocol_report")),L21&lt;&gt;"",NOT(EXACT(L21,"not_applicable")))),"CLEAR INACTIVE VALUES",IF(OR(NOT(OR(EXACT(D21,"retain"),EXACT(D21,"exclude"),EXACT(D21,"discuss"))),NOT(OR(EXACT(E21,"statistical_results"),EXACT(E21,"report_internal_inconsistency"),EXACT(E21,"plan_material"),EXACT(E21,"protocol_report"))),AND(AND(D21="retain",E21="statistical_results"),NOT(OR(EXACT(H21,"confirmed_issue"),EXACT(H21,"probable_issue"),EXACT(H21,"not_issue"),EXACT(H21,"indeterminate")))),AND(AND(D21="retain",E21="statistical_results"),NOT(OR(EXACT(I21,"substantive"),EXACT(I21,"minor_presentation"),EXACT(I21,"indeterminate")))),AND(AND(D21="retain",E21="statistical_results"),J21&lt;&gt;"",NOT(OR(EXACT(J21,"direct"),EXACT(J21,"possible"),EXACT(J21,"unlikely"),EXACT(J21,"unknown")))),AND(AND(D21="retain",OR(E21="report_internal_inconsistency",E21="plan_material")),NOT(OR(EXACT(K21,"substantive_inconsistency"),EXACT(K21,"minor_presentation"),EXACT(K21,"non_inconsistency"),EXACT(K21,"indeterminate")))),AND(AND(D21="retain",E21="protocol_report"),L21&lt;&gt;"",NOT(OR(EXACT(L21,"substantive_difference"),EXACT(L21,"minor_presentation"),EXACT(L21,"version_timing"),EXACT(L21,"non_inconsistency"),EXACT(L21,"indeterminate"))))),"CHECK FIELDS",IF(AND(F21&lt;&gt;"",NOT(OR(EXACT(F21,"no"),EXACT(F21,"primary_done")))),"CHECK COMPLETE",IF(EXACT(F21,"primary_done"),"PRIMARY READY","PRIMARY DRAFT")))))),"CHECK INPUT / KEY")</f>
        <v/>
      </c>
      <c r="H21" s="21">
        <f>IF(AND(OR(D21="retain",D21=""),E21="statistical_results"),"","not_applicable")</f>
        <v/>
      </c>
      <c r="I21" s="21">
        <f>IF(AND(OR(D21="retain",D21=""),E21="statistical_results"),"","not_applicable")</f>
        <v/>
      </c>
      <c r="J21" s="22">
        <f>IF(AND(OR(D21="retain",D21=""),E21="statistical_results"),"","not_applicable")</f>
        <v/>
      </c>
      <c r="K21" s="21" t="inlineStr">
        <is>
          <t>substantive_inconsistency</t>
        </is>
      </c>
      <c r="L21" s="22">
        <f>IF(AND(OR(D21="retain",D21=""),E21="protocol_report"),"","not_applicable")</f>
        <v/>
      </c>
      <c r="M21" s="24" t="n"/>
      <c r="N21" s="23" t="n"/>
      <c r="O21" s="23" t="n"/>
      <c r="P21" s="23" t="n"/>
      <c r="Q21" s="23" t="n"/>
      <c r="R21" s="22" t="inlineStr">
        <is>
          <t>Protocol p.38: DSMB convenes if accumulated study-related serious adverse events are &gt;=10% (three patients) or &gt;=2 identical cardiac events. Figure 3 (p.39, rendered): convene if cardiac events (AE/SAE) occur in &gt;10% (three patients) or &gt;=2 identical cardiac events; any single cardiac event stops the individual trial.</t>
        </is>
      </c>
    </row>
    <row r="22" ht="92" customFormat="1" customHeight="1" s="14">
      <c r="A22" s="20" t="inlineStr">
        <is>
          <t>2018::jama.2018.18020::C021</t>
        </is>
      </c>
      <c r="B22" s="20" t="inlineStr">
        <is>
          <t>Plan interim text and diagram specify different prior information</t>
        </is>
      </c>
      <c r="C22" s="20" t="inlineStr">
        <is>
          <t>PLAN joi180136supp1_prod.pdf — noninformative-only interim clause p.42, joi180136supp1_prod.pdf — Figure 4 decision arrows p.43; corroborating REPORT joi180136supp2_prod.pdf — individual interim code p.10. Both informative-prior arrows and their attachment to LR1/LR2 paths were visually inspected.</t>
        </is>
      </c>
      <c r="D22" s="21" t="inlineStr">
        <is>
          <t>retain</t>
        </is>
      </c>
      <c r="E22" s="21" t="inlineStr">
        <is>
          <t>plan_material</t>
        </is>
      </c>
      <c r="F22" s="21" t="inlineStr">
        <is>
          <t>primary_done</t>
        </is>
      </c>
      <c r="G22" s="20">
        <f>IFERROR(IF(LEN(TRIM(CLEAN(SUBSTITUTE(Setup!$B$2,CHAR(160)," "))))=0,"CHECK REVIEWER ID",IF(OR(A22="",COUNTIF($A$2:$A$23,A22)&lt;&gt;1,LEFT(A22,LEN("2018::jama.2018.18020::"))&lt;&gt;"2018::jama.2018.18020::"),"CHECK KEY",IF(OR(AND(NOT(AND(D22="retain",E22="statistical_results")),H22&lt;&gt;"",NOT(EXACT(H22,"not_applicable"))),AND(NOT(AND(D22="retain",E22="statistical_results")),I22&lt;&gt;"",NOT(EXACT(I22,"not_applicable"))),AND(NOT(AND(D22="retain",E22="statistical_results")),J22&lt;&gt;"",NOT(EXACT(J22,"not_applicable"))),AND(NOT(AND(D22="retain",OR(E22="report_internal_inconsistency",E22="plan_material"))),K22&lt;&gt;"",NOT(EXACT(K22,"not_applicable"))),AND(NOT(AND(D22="retain",E22="protocol_report")),L22&lt;&gt;"",NOT(EXACT(L22,"not_applicable")))),"CLEAR INACTIVE VALUES",IF(OR(NOT(OR(EXACT(D22,"retain"),EXACT(D22,"exclude"),EXACT(D22,"discuss"))),NOT(OR(EXACT(E22,"statistical_results"),EXACT(E22,"report_internal_inconsistency"),EXACT(E22,"plan_material"),EXACT(E22,"protocol_report"))),AND(AND(D22="retain",E22="statistical_results"),NOT(OR(EXACT(H22,"confirmed_issue"),EXACT(H22,"probable_issue"),EXACT(H22,"not_issue"),EXACT(H22,"indeterminate")))),AND(AND(D22="retain",E22="statistical_results"),NOT(OR(EXACT(I22,"substantive"),EXACT(I22,"minor_presentation"),EXACT(I22,"indeterminate")))),AND(AND(D22="retain",E22="statistical_results"),J22&lt;&gt;"",NOT(OR(EXACT(J22,"direct"),EXACT(J22,"possible"),EXACT(J22,"unlikely"),EXACT(J22,"unknown")))),AND(AND(D22="retain",OR(E22="report_internal_inconsistency",E22="plan_material")),NOT(OR(EXACT(K22,"substantive_inconsistency"),EXACT(K22,"minor_presentation"),EXACT(K22,"non_inconsistency"),EXACT(K22,"indeterminate")))),AND(AND(D22="retain",E22="protocol_report"),L22&lt;&gt;"",NOT(OR(EXACT(L22,"substantive_difference"),EXACT(L22,"minor_presentation"),EXACT(L22,"version_timing"),EXACT(L22,"non_inconsistency"),EXACT(L22,"indeterminate"))))),"CHECK FIELDS",IF(AND(F22&lt;&gt;"",NOT(OR(EXACT(F22,"no"),EXACT(F22,"primary_done")))),"CHECK COMPLETE",IF(EXACT(F22,"primary_done"),"PRIMARY READY","PRIMARY DRAFT")))))),"CHECK INPUT / KEY")</f>
        <v/>
      </c>
      <c r="H22" s="21">
        <f>IF(AND(OR(D22="retain",D22=""),E22="statistical_results"),"","not_applicable")</f>
        <v/>
      </c>
      <c r="I22" s="21">
        <f>IF(AND(OR(D22="retain",D22=""),E22="statistical_results"),"","not_applicable")</f>
        <v/>
      </c>
      <c r="J22" s="22">
        <f>IF(AND(OR(D22="retain",D22=""),E22="statistical_results"),"","not_applicable")</f>
        <v/>
      </c>
      <c r="K22" s="21" t="inlineStr">
        <is>
          <t>minor_presentation</t>
        </is>
      </c>
      <c r="L22" s="22">
        <f>IF(AND(OR(D22="retain",D22=""),E22="protocol_report"),"","not_applicable")</f>
        <v/>
      </c>
      <c r="M22" s="20" t="n"/>
      <c r="N22" s="23" t="n"/>
      <c r="O22" s="23" t="n"/>
      <c r="P22" s="23" t="n"/>
      <c r="Q22" s="23" t="n"/>
      <c r="R22" s="22" t="inlineStr">
        <is>
          <t>Protocol p.42: interim analyses use noninformative priors only. Figure 4 (p.43, rendered) shows '+ informative priors' feeding the LR1 and LR2 interim evaluations. The reported interim model (eMethods 1, supp2 p.10) uses vague priors, consistent with the text.</t>
        </is>
      </c>
    </row>
    <row r="23" ht="92" customFormat="1" customHeight="1" s="14">
      <c r="A23" s="24" t="inlineStr">
        <is>
          <t>2018::jama.2018.18020::C022</t>
        </is>
      </c>
      <c r="B23" s="24" t="inlineStr">
        <is>
          <t>Two baseline total means do not reconcile with displayed genotype aggregation</t>
        </is>
      </c>
      <c r="C23" s="24" t="inlineStr">
        <is>
          <t>Every affected row and supporting location is individually linked in the source-evidence table below: total and genotype fifth handgrip, total and genotype fifth transient paresis, comparator stiffness, population/method/baseline footnotes, nominal genotype labels and available-data context.</t>
        </is>
      </c>
      <c r="D23" s="21" t="inlineStr">
        <is>
          <t>retain</t>
        </is>
      </c>
      <c r="E23" s="21" t="inlineStr">
        <is>
          <t>statistical_results</t>
        </is>
      </c>
      <c r="F23" s="21" t="inlineStr">
        <is>
          <t>primary_done</t>
        </is>
      </c>
      <c r="G23" s="24">
        <f>IFERROR(IF(LEN(TRIM(CLEAN(SUBSTITUTE(Setup!$B$2,CHAR(160)," "))))=0,"CHECK REVIEWER ID",IF(OR(A23="",COUNTIF($A$2:$A$23,A23)&lt;&gt;1,LEFT(A23,LEN("2018::jama.2018.18020::"))&lt;&gt;"2018::jama.2018.18020::"),"CHECK KEY",IF(OR(AND(NOT(AND(D23="retain",E23="statistical_results")),H23&lt;&gt;"",NOT(EXACT(H23,"not_applicable"))),AND(NOT(AND(D23="retain",E23="statistical_results")),I23&lt;&gt;"",NOT(EXACT(I23,"not_applicable"))),AND(NOT(AND(D23="retain",E23="statistical_results")),J23&lt;&gt;"",NOT(EXACT(J23,"not_applicable"))),AND(NOT(AND(D23="retain",OR(E23="report_internal_inconsistency",E23="plan_material"))),K23&lt;&gt;"",NOT(EXACT(K23,"not_applicable"))),AND(NOT(AND(D23="retain",E23="protocol_report")),L23&lt;&gt;"",NOT(EXACT(L23,"not_applicable")))),"CLEAR INACTIVE VALUES",IF(OR(NOT(OR(EXACT(D23,"retain"),EXACT(D23,"exclude"),EXACT(D23,"discuss"))),NOT(OR(EXACT(E23,"statistical_results"),EXACT(E23,"report_internal_inconsistency"),EXACT(E23,"plan_material"),EXACT(E23,"protocol_report"))),AND(AND(D23="retain",E23="statistical_results"),NOT(OR(EXACT(H23,"confirmed_issue"),EXACT(H23,"probable_issue"),EXACT(H23,"not_issue"),EXACT(H23,"indeterminate")))),AND(AND(D23="retain",E23="statistical_results"),NOT(OR(EXACT(I23,"substantive"),EXACT(I23,"minor_presentation"),EXACT(I23,"indeterminate")))),AND(AND(D23="retain",E23="statistical_results"),J23&lt;&gt;"",NOT(OR(EXACT(J23,"direct"),EXACT(J23,"possible"),EXACT(J23,"unlikely"),EXACT(J23,"unknown")))),AND(AND(D23="retain",OR(E23="report_internal_inconsistency",E23="plan_material")),NOT(OR(EXACT(K23,"substantive_inconsistency"),EXACT(K23,"minor_presentation"),EXACT(K23,"non_inconsistency"),EXACT(K23,"indeterminate")))),AND(AND(D23="retain",E23="protocol_report"),L23&lt;&gt;"",NOT(OR(EXACT(L23,"substantive_difference"),EXACT(L23,"minor_presentation"),EXACT(L23,"version_timing"),EXACT(L23,"non_inconsistency"),EXACT(L23,"indeterminate"))))),"CHECK FIELDS",IF(AND(F23&lt;&gt;"",NOT(OR(EXACT(F23,"no"),EXACT(F23,"primary_done")))),"CHECK COMPLETE",IF(EXACT(F23,"primary_done"),"PRIMARY READY","PRIMARY DRAFT")))))),"CHECK INPUT / KEY")</f>
        <v/>
      </c>
      <c r="H23" s="21" t="inlineStr">
        <is>
          <t>probable_issue</t>
        </is>
      </c>
      <c r="I23" s="21" t="inlineStr">
        <is>
          <t>minor_presentation</t>
        </is>
      </c>
      <c r="J23" s="22" t="inlineStr">
        <is>
          <t>unlikely</t>
        </is>
      </c>
      <c r="K23" s="21">
        <f>IF(AND(OR(D23="retain",D23=""),OR(E23="report_internal_inconsistency",E23="plan_material")),"","not_applicable")</f>
        <v/>
      </c>
      <c r="L23" s="22">
        <f>IF(AND(OR(D23="retain",D23=""),E23="protocol_report"),"","not_applicable")</f>
        <v/>
      </c>
      <c r="M23" s="24" t="n"/>
      <c r="N23" s="23" t="n"/>
      <c r="O23" s="23" t="n"/>
      <c r="P23" s="23" t="n"/>
      <c r="Q23" s="23" t="n"/>
      <c r="R23" s="22" t="inlineStr">
        <is>
          <t>Table 2 baseline means (N=27; CLCN1 16, SCN4A 11): fifth handgrip total 1.36 vs genotype-weighted (16*0.93+11*2.59)/27 = 1.61; fifth transient paresis 20.30 vs 18.15; mean transient paresis 24.11 vs 22.59. IVR stiffness reconciles (5.59 vs 5.65).</t>
        </is>
      </c>
    </row>
  </sheetData>
  <autoFilter ref="A1:R23"/>
  <conditionalFormatting sqref="H2:H23">
    <cfRule type="expression" priority="8" dxfId="70">
      <formula>NOT(AND(OR($D2="retain",$D2=""),$E2="statistical_results"))</formula>
    </cfRule>
  </conditionalFormatting>
  <conditionalFormatting sqref="I2:I23">
    <cfRule type="expression" priority="9" dxfId="70">
      <formula>NOT(AND(OR($D2="retain",$D2=""),$E2="statistical_results"))</formula>
    </cfRule>
  </conditionalFormatting>
  <conditionalFormatting sqref="J2:J23">
    <cfRule type="expression" priority="10" dxfId="70">
      <formula>NOT(AND(OR($D2="retain",$D2=""),$E2="statistical_results"))</formula>
    </cfRule>
  </conditionalFormatting>
  <conditionalFormatting sqref="K2:K23">
    <cfRule type="expression" priority="11" dxfId="70">
      <formula>NOT(AND(OR($D2="retain",$D2=""),OR($E2="report_internal_inconsistency",$E2="plan_material")))</formula>
    </cfRule>
  </conditionalFormatting>
  <conditionalFormatting sqref="L2:L23">
    <cfRule type="expression" priority="12" dxfId="70">
      <formula>NOT(AND(OR($D2="retain",$D2=""),$E2="protocol_report"))</formula>
    </cfRule>
  </conditionalFormatting>
  <conditionalFormatting sqref="G2:G23">
    <cfRule type="expression" priority="13" dxfId="71">
      <formula>G2&lt;&gt;"PRIMARY READY"</formula>
    </cfRule>
  </conditionalFormatting>
  <dataValidations count="8">
    <dataValidation sqref="D2:D2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2018::jama.2018.6496::C001</t>
        </is>
      </c>
      <c r="B2" s="20" t="inlineStr">
        <is>
          <t>Primary difficult-airway subgroup criteria</t>
        </is>
      </c>
      <c r="C2" s="20" t="inlineStr">
        <is>
          <t>PLAN joi180054supp1_prod.pdf — protocol p.13 §5.1, printed lines 427–431; REPORT jama_driver_2018_oi_180054.pdf — main p.1 Main Outcomes, jama_driver_2018_oi_180054.pdf — p.2 Patient Selection, jama_driver_2018_oi_180054.pdf — p.4 Figure 1 definition, jama_driver_2018_oi_180054.pdf — p.7 Table 3 primary row; PLAN joi180054supp2_prod.pdf — operational form p.7 item 3a and joi180054supp2_prod.pdf — p.9 item 12.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ID",IF(OR(A2="",COUNTIF($A$2:$A$14,A2)&lt;&gt;1,LEFT(A2,LEN("2018::jama.2018.6496::"))&lt;&gt;"2018::jama.2018.6496::"),"CHECK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Protocol §5.1 (p.13): difficult-airway characteristics defining the primary population include facial or neck trauma, airway edema, blood or vomit. Report (pp.1,2,4; Table 3) and the data form (supp2 p.9 item 12): facial trauma only (no neck trauma), and adds airway obstruction (obstruction/edema).</t>
        </is>
      </c>
    </row>
    <row r="3" ht="92" customFormat="1" customHeight="1" s="14">
      <c r="A3" s="24" t="inlineStr">
        <is>
          <t>2018::jama.2018.6496::C002</t>
        </is>
      </c>
      <c r="B3" s="24" t="inlineStr">
        <is>
          <t>Randomization stratification criteria</t>
        </is>
      </c>
      <c r="C3" s="24" t="inlineStr">
        <is>
          <t>PLAN joi180054supp1_prod.pdf — protocol p.11 §4.1.1, lines 373–378; REPORT jama_driver_2018_oi_180054.pdf — main p.2 Randomization opening, jama_driver_2018_oi_180054.pdf — p.3 continuation, and jama_driver_2018_oi_180054.pdf — p.7 primary result.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ID",IF(OR(A3="",COUNTIF($A$2:$A$14,A3)&lt;&gt;1,LEFT(A3,LEN("2018::jama.2018.6496::"))&lt;&gt;"2018::jama.2018.6496::"),"CHECK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Protocol §4.1.1 (p.11): randomization strata = cervical collar, obesity, or apparent facial or neck trauma vs none. Report pp.2-3: strata = obesity or cervical immobilization vs neither; facial/neck trauma not mentioned.</t>
        </is>
      </c>
    </row>
    <row r="4" ht="92" customFormat="1" customHeight="1" s="14">
      <c r="A4" s="20" t="inlineStr">
        <is>
          <t>2018::jama.2018.6496::C003</t>
        </is>
      </c>
      <c r="B4" s="20" t="inlineStr">
        <is>
          <t>Hypoxemia ascertainment window</t>
        </is>
      </c>
      <c r="C4" s="20" t="inlineStr">
        <is>
          <t>PLAN joi180054supp1_prod.pdf — protocol p.9 §2.2(1),(4), lines 304–325 and joi180054supp1_prod.pdf — p.10 §3.2, lines 340–344,353–354. REPORT jama_driver_2018_oi_180054.pdf — main p.1 hypoxemia context, jama_driver_2018_oi_180054.pdf — p.3 Measurements/Trial Outcomes, jama_driver_2018_oi_180054.pdf — p.7 Table 3 composite rows/note b, jama_driver_2018_oi_180054.pdf — p.9 Table 5 hypoxemia row/note b, joi180054supp2_prod.pdf — supplement p.2 composite rows and joi180054supp2_prod.pdf — p.3 hypoxemia note.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ID",IF(OR(A4="",COUNTIF($A$2:$A$14,A4)&lt;&gt;1,LEFT(A4,LEN("2018::jama.2018.6496::"))&lt;&gt;"2018::jama.2018.6496::"),"CHECK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minor_presentation</t>
        </is>
      </c>
      <c r="M4" s="20" t="n"/>
      <c r="N4" s="23" t="n"/>
      <c r="O4" s="23" t="n"/>
      <c r="P4" s="23" t="n"/>
      <c r="Q4" s="23" t="n"/>
      <c r="R4" s="22" t="inlineStr">
        <is>
          <t>Protocol §2.2/§3.2 (pp.9-10): hypoxemia ascertained from start of the first attempt until 1 min after ETT cuff inflation, SpO2 recorded every 20 s plus lowest value. Report (p.3; Table 3 fn b; Table 5 fn b): during or within 1 min after completion of the attempt (laryngoscope removal).</t>
        </is>
      </c>
    </row>
    <row r="5" ht="92" customFormat="1" customHeight="1" s="14">
      <c r="A5" s="24" t="inlineStr">
        <is>
          <t>2018::jama.2018.6496::C004</t>
        </is>
      </c>
      <c r="B5" s="24" t="inlineStr">
        <is>
          <t>Duration endpoint</t>
        </is>
      </c>
      <c r="C5" s="24" t="inlineStr">
        <is>
          <t>PLAN joi180054supp1_prod.pdf — protocol p.9 §2.2(2), lines 315–317, joi180054supp1_prod.pdf — p.10 §3.2, lines 346–347, joi180054supp1_prod.pdf — p.19 §8.1, lines 657–660. REPORT jama_driver_2018_oi_180054.pdf — main p.1 secondary/median result, jama_driver_2018_oi_180054.pdf — p.3 Trial Outcomes, jama_driver_2018_oi_180054.pdf — p.4 time methods, jama_driver_2018_oi_180054.pdf — p.5 secondary time results, jama_driver_2018_oi_180054.pdf — p.7 Table 3 duration rows/note c, jama_driver_2018_oi_180054.pdf — p.8 Figure 2, joi180054supp2_prod.pdf — supplement p.2 duration rows, joi180054supp2_prod.pdf — p.3 duration note, and joi180054supp2_prod.pdf — p.4 eFigure 1.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ID",IF(OR(A5="",COUNTIF($A$2:$A$14,A5)&lt;&gt;1,LEFT(A5,LEN("2018::jama.2018.6496::"))&lt;&gt;"2018::jama.2018.6496::"),"CHECK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 t="inlineStr">
        <is>
          <t>Protocol §2.2(2) (p.9): time to intubation from start of attempt to ETT cuff inflation with the tube in the trachea (successful intubations). Report (pp.3,4; Table 3 fn c): first-attempt duration from blade insertion to blade removal, for all first attempts including failures; KM 'time until first-attempt success'.</t>
        </is>
      </c>
    </row>
    <row r="6" ht="92" customFormat="1" customHeight="1" s="14">
      <c r="A6" s="20" t="inlineStr">
        <is>
          <t>2018::jama.2018.6496::C005</t>
        </is>
      </c>
      <c r="B6" s="20" t="inlineStr">
        <is>
          <t>Enrollment stopping rule</t>
        </is>
      </c>
      <c r="C6" s="20" t="inlineStr">
        <is>
          <t>PLAN joi180054supp1_prod.pdf — protocol p.19 §8.2, lines 665–674; REPORT jama_driver_2018_oi_180054.pdf — main p.1 study interval/final sample, jama_driver_2018_oi_180054.pdf — p.2 Trial Design dates, jama_driver_2018_oi_180054.pdf — p.3 Statistical Analysis, jama_driver_2018_oi_180054.pdf — p.4 Figure 1/final population, and jama_driver_2018_oi_180054.pdf — p.7 Table 3 primary size.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ID",IF(OR(A6="",COUNTIF($A$2:$A$14,A6)&lt;&gt;1,LEFT(A6,LEN("2018::jama.2018.6496::"))&lt;&gt;"2018::jama.2018.6496::"),"CHECK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indeterminate</t>
        </is>
      </c>
      <c r="M6" s="20" t="n"/>
      <c r="N6" s="23" t="n"/>
      <c r="O6" s="23" t="n"/>
      <c r="P6" s="23" t="n"/>
      <c r="Q6" s="23" t="n"/>
      <c r="R6" s="22" t="inlineStr">
        <is>
          <t>Protocol §8.2 (p.19): enrol for 1 calendar year or until 1000 patients; if &lt;374 difficult-airway patients by then, discuss extension with the IRB. Report p.3: trial stopped when more than 374 difficult-airway patients were enrolled (380 of 757), September 2016-August 2017.</t>
        </is>
      </c>
    </row>
    <row r="7" ht="92" customFormat="1" customHeight="1" s="14">
      <c r="A7" s="24" t="inlineStr">
        <is>
          <t>2018::jama.2018.6496::C006</t>
        </is>
      </c>
      <c r="B7" s="24" t="inlineStr">
        <is>
          <t>Planned Kaplan–Meier percentile and censoring summaries</t>
        </is>
      </c>
      <c r="C7" s="24" t="inlineStr">
        <is>
          <t>PLAN joi180054supp1_prod.pdf — protocol p.9 §2.2(2) and joi180054supp1_prod.pdf — p.19 §8.1, lines 657–660. REPORT jama_driver_2018_oi_180054.pdf — main p.1 duration result, jama_driver_2018_oi_180054.pdf — p.4 time methods, jama_driver_2018_oi_180054.pdf — p.5 secondary time results, jama_driver_2018_oi_180054.pdf — p.7 duration rows, jama_driver_2018_oi_180054.pdf — p.8 Figure 2, joi180054supp2_prod.pdf — supplement p.2 eTable 1, joi180054supp2_prod.pdf — p.3 notes, and joi180054supp2_prod.pdf — p.4 eFigure 1. Fresh full-report native text searches for percentile, censoring, Kaplan and duration were combined with visual inspection of both figures.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ID",IF(OR(A7="",COUNTIF($A$2:$A$14,A7)&lt;&gt;1,LEFT(A7,LEN("2018::jama.2018.6496::"))&lt;&gt;"2018::jama.2018.6496::"),"CHECK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minor_presentation</t>
        </is>
      </c>
      <c r="M7" s="24" t="n"/>
      <c r="N7" s="23" t="n"/>
      <c r="O7" s="23" t="n"/>
      <c r="P7" s="23" t="n"/>
      <c r="Q7" s="23" t="n"/>
      <c r="R7" s="22" t="inlineStr">
        <is>
          <t>Protocol §8.1 (p.19): time-to-event data summarized by Kaplan-Meier 25th/50th/75th percentiles with 95% CIs and percentage censored. Report: KM curves (Figure 2, eFigure 1), log-rank, Cox HR; durations summarized as median (IQR) of observed times; no KM percentiles with CIs or censoring proportions.</t>
        </is>
      </c>
    </row>
    <row r="8" ht="92" customFormat="1" customHeight="1" s="14">
      <c r="A8" s="20" t="inlineStr">
        <is>
          <t>2018::jama.2018.6496::C007</t>
        </is>
      </c>
      <c r="B8" s="20" t="inlineStr">
        <is>
          <t>Initial oxygen-saturation denominators and missingness</t>
        </is>
      </c>
      <c r="C8" s="20" t="inlineStr">
        <is>
          <t>REPORT jama_driver_2018_oi_180054.pdf — main p.5 Table 1 headers, saturation median/threshold rows and footnote b, confirmed with a new direct-source image.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ID",IF(OR(A8="",COUNTIF($A$2:$A$14,A8)&lt;&gt;1,LEFT(A8,LEN("2018::jama.2018.6496::"))&lt;&gt;"2018::jama.2018.6496::"),"CHECK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Table 1 p.5: SpO2 &lt;90% 44/352 and 40/344; &lt;80% 21/352, 11/344. Footnote b: SpO2 missing for 19 (bougie) and 24 (ETT), implying denominators 362 and 352. Denominators do not match the stated missingness (10 and 8 extra missing).</t>
        </is>
      </c>
    </row>
    <row r="9" ht="92" customFormat="1" customHeight="1" s="14">
      <c r="A9" s="24" t="inlineStr">
        <is>
          <t>2018::jama.2018.6496::C008</t>
        </is>
      </c>
      <c r="B9" s="24" t="inlineStr">
        <is>
          <t>Medical-indication percentage denominator pattern</t>
        </is>
      </c>
      <c r="C9" s="24" t="inlineStr">
        <is>
          <t>REPORT jama_driver_2018_oi_180054.pdf — main p.5 Table 1 arm headers, medical parent and all six nested medical indication rows, confirmed visually from the supplied PDF.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ID",IF(OR(A9="",COUNTIF($A$2:$A$14,A9)&lt;&gt;1,LEFT(A9,LEN("2018::jama.2018.6496::"))&lt;&gt;"2018::jama.2018.6496::"),"CHECK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1 p.5 nested medical indications mix denominators: altered mental status 185 (49) = 185/381; cardiac arrest 32 (8) = /381; but 'Asthma, COPD...' 16 (5) = 16/318 (16/381 = 4.2%) and Other 44 (14) = 44/318 (11.5% of 381); ETT arm 23 (7) and 41 (13) = /315.</t>
        </is>
      </c>
    </row>
    <row r="10" ht="92" customFormat="1" customHeight="1" s="14">
      <c r="A10" s="20" t="inlineStr">
        <is>
          <t>2018::jama.2018.6496::C009</t>
        </is>
      </c>
      <c r="B10" s="20" t="inlineStr">
        <is>
          <t>Three process confidence intervals and tests</t>
        </is>
      </c>
      <c r="C10" s="20" t="inlineStr">
        <is>
          <t>REPORT jama_driver_2018_oi_180054.pdf — main p.6 Table 2 senior-resident/fellow, junior-resident and video-screen-during-passage rows; REPORT jama_driver_2018_oi_180054.pdf — p.4 statistical methods. All three numerical rows were visually confirmed on a new direct-source render.</t>
        </is>
      </c>
      <c r="D10" s="21" t="inlineStr">
        <is>
          <t>exclude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ID",IF(OR(A10="",COUNTIF($A$2:$A$14,A10)&lt;&gt;1,LEFT(A10,LEN("2018::jama.2018.6496::"))&lt;&gt;"2018::jama.2018.6496::"),"CHECK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inlineStr">
        <is>
          <t>Table 2 p.6: senior resident -5 (-10 to 0), P=.03; junior resident 5 (0 to 10), .03; screen during passage -6 (-12 to 0), .04. Wald CIs are -10.3 to -0.5, 0.4 to 9.8, -12.5 to -0.4; chi-square P .033, .033, .036. The '0' limits are integer rounding of limits that exclude 0. Consistent.</t>
        </is>
      </c>
    </row>
    <row r="11" ht="92" customFormat="1" customHeight="1" s="14">
      <c r="A11" s="24" t="inlineStr">
        <is>
          <t>2018::jama.2018.6496::C010</t>
        </is>
      </c>
      <c r="B11" s="24" t="inlineStr">
        <is>
          <t>All-patient duration interval ordering</t>
        </is>
      </c>
      <c r="C11" s="24" t="inlineStr">
        <is>
          <t>REPORT jama_driver_2018_oi_180054.pdf — main p.7 Table 3 all-patient duration row and jama_driver_2018_oi_180054.pdf — p.4 continuous-analysis methods; REPORT joi180054supp2_prod.pdf — supplement p.2 corresponding eTable 1 row and joi180054supp2_prod.pdf — p.3 clustering explanation. The main interval was visually confirmed from the supplied PDF.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ID",IF(OR(A11="",COUNTIF($A$2:$A$14,A11)&lt;&gt;1,LEFT(A11,LEN("2018::jama.2018.6496::"))&lt;&gt;"2018::jama.2018.6496::"),"CHECK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minor_presentation</t>
        </is>
      </c>
      <c r="J11" s="22" t="inlineStr">
        <is>
          <t>unlikely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inlineStr">
        <is>
          <t>Table 3 p.7, all-patient first-attempt duration difference '1 (4 to -1)': limits reversed. eTable 1 (supp2 p.2) gives 1 s (-1 s to 4 s).</t>
        </is>
      </c>
    </row>
    <row r="12" ht="92" customFormat="1" customHeight="1" s="14">
      <c r="A12" s="20" t="inlineStr">
        <is>
          <t>2018::jama.2018.6496::C011</t>
        </is>
      </c>
      <c r="B12" s="20" t="inlineStr">
        <is>
          <t>Grade-4 confidence interval and test</t>
        </is>
      </c>
      <c r="C12" s="20" t="inlineStr">
        <is>
          <t>REPORT jama_driver_2018_oi_180054.pdf — main p.7 Table 3 Cormack–Lehane Grade 4 row, confirmed visually; REPORT jama_driver_2018_oi_180054.pdf — main p.4 significance methods.</t>
        </is>
      </c>
      <c r="D12" s="21" t="inlineStr">
        <is>
          <t>retain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ID",IF(OR(A12="",COUNTIF($A$2:$A$14,A12)&lt;&gt;1,LEFT(A12,LEN("2018::jama.2018.6496::"))&lt;&gt;"2018::jama.2018.6496::"),"CHECK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 t="inlineStr">
        <is>
          <t>probable_issue</t>
        </is>
      </c>
      <c r="I12" s="21" t="inlineStr">
        <is>
          <t>minor_presentation</t>
        </is>
      </c>
      <c r="J12" s="22" t="inlineStr">
        <is>
          <t>unlikely</t>
        </is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Table 3 p.7 Cormack-Lehane grade 4: 3/3 vs 2/5, difference 60 (17 to 100), P=.09. Wald CI 17.1 to 102.9 (truncated) excludes 0; uncorrected chi-square P=.090 (Fisher .196). The CI and P give opposite readings because both methods are unreliable with n=3 and 5 and a 100% cell.</t>
        </is>
      </c>
    </row>
    <row r="13" ht="92" customFormat="1" customHeight="1" s="14">
      <c r="A13" s="24" t="inlineStr">
        <is>
          <t>2018::jama.2018.6496::C012</t>
        </is>
      </c>
      <c r="B13" s="24" t="inlineStr">
        <is>
          <t>Primary missing-data recovery target inside the plan</t>
        </is>
      </c>
      <c r="C13" s="24" t="inlineStr">
        <is>
          <t>PLAN joi180054supp1_prod.pdf — protocol p.8 §2.1, lines280–282, joi180054supp1_prod.pdf — p.9 primary continuation/secondary1, lines284–312, joi180054supp1_prod.pdf — p.20 §8.4.1 and §8.6.1, lines693–697,719–720, joi180054supp1_prod.pdf — p.21 §8.6.1, lines721–722. REPORT jama_driver_2018_oi_180054.pdf — main p.7 primary/composite rows is affected-result context only.</t>
        </is>
      </c>
      <c r="D13" s="21" t="inlineStr">
        <is>
          <t>retain</t>
        </is>
      </c>
      <c r="E13" s="21" t="inlineStr">
        <is>
          <t>plan_material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ID",IF(OR(A13="",COUNTIF($A$2:$A$14,A13)&lt;&gt;1,LEFT(A13,LEN("2018::jama.2018.6496::"))&lt;&gt;"2018::jama.2018.6496::"),"CHECK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 t="inlineStr">
        <is>
          <t>minor_presentation</t>
        </is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inlineStr">
        <is>
          <t>Protocol §8.6.1 (pp.20-21): for the primary outcome, if both data forms are missing, video is reviewed 'to determine if first pass success without hypoxemia was achieved', which is the secondary outcome; the primary outcome (§2.1, pp.8-9) is first pass success.</t>
        </is>
      </c>
    </row>
    <row r="14" ht="92" customFormat="1" customHeight="1" s="14">
      <c r="A14" s="20" t="inlineStr">
        <is>
          <t>2018::jama.2018.6496::C013</t>
        </is>
      </c>
      <c r="B14" s="20" t="inlineStr">
        <is>
          <t>Interim analysis population and continuation basis</t>
        </is>
      </c>
      <c r="C14" s="20" t="inlineStr">
        <is>
          <t>PLAN joi180054supp1_prod.pdf — protocol p.20 §8.4.1/§8.5, lines693–706, joi180054supp1_prod.pdf — p.21 §8.6.2, lines730–742. REPORT joi180054supp2_prod.pdf — supplement p.6 eAppendix1 observed interim rates/continuation; REPORT jama_driver_2018_oi_180054.pdf — main p.3 primary-population paragraph corroborates population context. The prospective protocol quotation on supplement p.6 was also found and matched.</t>
        </is>
      </c>
      <c r="D14" s="21" t="inlineStr">
        <is>
          <t>retain</t>
        </is>
      </c>
      <c r="E14" s="21" t="inlineStr">
        <is>
          <t>protocol_report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ID",IF(OR(A14="",COUNTIF($A$2:$A$14,A14)&lt;&gt;1,LEFT(A14,LEN("2018::jama.2018.6496::"))&lt;&gt;"2018::jama.2018.6496::"),"CHECK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 t="inlineStr">
        <is>
          <t>substantive_difference</t>
        </is>
      </c>
      <c r="M14" s="20" t="n"/>
      <c r="N14" s="23" t="n"/>
      <c r="O14" s="23" t="n"/>
      <c r="P14" s="23" t="n"/>
      <c r="Q14" s="23" t="n"/>
      <c r="R14" s="22" t="inlineStr">
        <is>
          <t>Protocol §8.4.1/8.5/8.6.2 (pp.20-21): interim after 500 patients on the primary outcome, defined for the difficult-airway subgroup. eAppendix 1 (supp2 p.6): interim at 507 patients reports first-pass success in all patients (250/257 vs 213/250) and states the trial was continued, without the planned projection result or the difficult-airway subgroup.</t>
        </is>
      </c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2018::jama.2018.8802::C001</t>
        </is>
      </c>
      <c r="B2" s="20" t="inlineStr">
        <is>
          <t>Primary composite definition and weighting</t>
        </is>
      </c>
      <c r="C2" s="20" t="inlineStr">
        <is>
          <t>joi180070supp1_prod.pdf — Protocol p.16, lines216–220; joi180070supp2_prod.pdf — results supplement p.2, eAppendix; jama_wang_2018_oi_180070.pdf — main p.3, Outcomes composite definition; jama_wang_2018_oi_180070.pdf — main p.7, Table 2 composite row. Opportunity-analysis context: joi180070supp1_prod.pdf — protocol p.18, joi180070supp1_prod.pdf — protocol p.19, and jama_wang_2018_oi_180070.pdf — main p.4. The higher-precision result is in the jama_wang_2018_oi_180070.pdf — main abstract p.1.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ID",IF(OR(A2="",COUNTIF($A$2:$A$6,A2)&lt;&gt;1,LEFT(A2,LEN("2018::jama.2018.8802::"))&lt;&gt;"2018::jama.2018.8802::"),"CHECK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Protocol p.16 (and baseline survey, supp2 p.2): composite = total interventions performed among eligible patients / total possible interventions (opportunity-pooled). Report p.3: composite calculated for each patient and then averaged (patient-weighted); Table 2 reports mean (SD) 88.2 vs 84.8 and RD 3.5. The OR_PA model remains opportunity-based as planned (protocol pp.18-19; report p.4).</t>
        </is>
      </c>
    </row>
    <row r="3" ht="92" customFormat="1" customHeight="1" s="14">
      <c r="A3" s="24" t="inlineStr">
        <is>
          <t>2018::jama.2018.8802::C002</t>
        </is>
      </c>
      <c r="B3" s="24" t="inlineStr">
        <is>
          <t>Primary-analysis population counts</t>
        </is>
      </c>
      <c r="C3" s="24" t="inlineStr">
        <is>
          <t>jama_wang_2018_oi_180070.pdf — Main p.4, Results opening and follow-up paragraph; jama_wang_2018_oi_180070.pdf — main p.5, Figure 1 lower follow-up and primary-analysis boxes, both arms; jama_wang_2018_oi_180070.pdf — main p.7, Table 2 all-or-none row; corroborating jama_wang_2018_oi_180070.pdf — abstract p.1, follow-up total.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ID",IF(OR(A3="",COUNTIF($A$2:$A$6,A3)&lt;&gt;1,LEFT(A3,LEN("2018::jama.2018.8802::"))&lt;&gt;"2018::jama.2018.8802::"),"CHECK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inlineStr">
        <is>
          <t>Figure 1 p.5 (rendered) labels 2003 (intervention) and 1977 (control) patients, i.e., 12-month completers, as 'included in primary analysis'. Text p.4 states all 4800 patients were included in the primary analysis, and Table 2 uses 2400/2400 for the all-or-none measure.</t>
        </is>
      </c>
    </row>
    <row r="4" ht="92" customFormat="1" customHeight="1" s="14">
      <c r="A4" s="20" t="inlineStr">
        <is>
          <t>2018::jama.2018.8802::C003</t>
        </is>
      </c>
      <c r="B4" s="20" t="inlineStr">
        <is>
          <t>Clinical follow-up time origin</t>
        </is>
      </c>
      <c r="C4" s="20" t="inlineStr">
        <is>
          <t>jama_wang_2018_oi_180070.pdf — Main p.5, Clinical Events paragraph; jama_wang_2018_oi_180070.pdf — main p.3, secondary outcomes; jama_wang_2018_oi_180070.pdf — main p.4, time-to-event methods; jama_wang_2018_oi_180070.pdf — main p.8, Table 3 disability footnote and both Figure 2 axes/caption. Supporting hospital-stay medians: jama_wang_2018_oi_180070.pdf — main p.6, Table 1. Corroboration: joi180070supp1_prod.pdf — protocol p.16 and joi180070supp1_prod.pdf — protocol p.19.</t>
        </is>
      </c>
      <c r="D4" s="21" t="inlineStr">
        <is>
          <t>retain</t>
        </is>
      </c>
      <c r="E4" s="21" t="inlineStr">
        <is>
          <t>report_internal_inconsistency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ID",IF(OR(A4="",COUNTIF($A$2:$A$6,A4)&lt;&gt;1,LEFT(A4,LEN("2018::jama.2018.8802::"))&lt;&gt;"2018::jama.2018.8802::"),"CHECK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 t="inlineStr">
        <is>
          <t>minor_presentation</t>
        </is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inlineStr">
        <is>
          <t>Main p.5 Clinical Events: outcomes 'at 3, 6, and 12 months after discharge'. Methods p.3-4, Table 3 fn b (p.8), Figure 2 axes ('Days After Stroke Symptom Onset') and protocol p.16: after initial symptom onset. Median length of stay is 12-13 days (Table 1).</t>
        </is>
      </c>
    </row>
    <row r="5" ht="92" customFormat="1" customHeight="1" s="14">
      <c r="A5" s="24" t="inlineStr">
        <is>
          <t>2018::jama.2018.8802::C004</t>
        </is>
      </c>
      <c r="B5" s="24" t="inlineStr">
        <is>
          <t>In-hospital mortality interval and P value</t>
        </is>
      </c>
      <c r="C5" s="24" t="inlineStr">
        <is>
          <t>jama_wang_2018_oi_180070.pdf — Main p.8, Table 3 Death/In hospital row, difference/CI and immediately adjacent P; jama_wang_2018_oi_180070.pdf — main p.4, Data Analysis confidence/significance rules; contextual jama_wang_2018_oi_180070.pdf — main p.5, mortality narrative.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ID",IF(OR(A5="",COUNTIF($A$2:$A$6,A5)&lt;&gt;1,LEFT(A5,LEN("2018::jama.2018.8802::"))&lt;&gt;"2018::jama.2018.8802::"),"CHECK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inlineStr">
        <is>
          <t>Table 3 p.8 in-hospital death 11/2400 vs 23/2400: adjusted difference -0.7 (-1.1 to 0.2), P=.009. The CI includes 0 while P&lt;.01, and is not centred on -0.7; with upper limit -0.2 it is centred (-0.65) and gives P≈.005. Text p.5 says in-hospital mortality did not differ significantly; HR 0.96 (0.90-1.02), P=.14 in the same row.</t>
        </is>
      </c>
    </row>
    <row r="6" ht="92" customFormat="1" customHeight="1" s="14">
      <c r="A6" s="20" t="inlineStr">
        <is>
          <t>2018::jama.2018.8802::C005</t>
        </is>
      </c>
      <c r="B6" s="20" t="inlineStr">
        <is>
          <t>Three-month vascular-death interval and P relationship</t>
        </is>
      </c>
      <c r="C6" s="20" t="inlineStr">
        <is>
          <t>joi180070supp2_prod.pdf — Results supplement p.6, eTable 3 three-month vascular-death difference/CI/P and all eleven other difference rows; joi180070supp2_prod.pdf — results supplement p.7, adjustment footnote; corroborating jama_wang_2018_oi_180070.pdf — main p.4, Data Analysis confidence and sidedness conventions. Comparator rows are ischemic stroke, hemorrhagic stroke and myocardial infarction at 3/6/12 months, plus vascular death at 6/12 months.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ID",IF(OR(A6="",COUNTIF($A$2:$A$6,A6)&lt;&gt;1,LEFT(A6,LEN("2018::jama.2018.8802::"))&lt;&gt;"2018::jama.2018.8802::"),"CHECK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eTable 3 (supp2 p.6) 3-month vascular death -1.43 (-2.33 to -0.54), P=0.001. The CI implies z≈3.1-3.2, P≈.0016-.0019 across display-precision bounds, i.e., '.002' if rounded, '.001' if truncated. Other rows reproduce. Immaterial difference; no inferential conflict.</t>
        </is>
      </c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2018::jama.2018.9128::C001</t>
        </is>
      </c>
      <c r="B2" s="20" t="inlineStr">
        <is>
          <t>Revised versus reported session-duration pattern</t>
        </is>
      </c>
      <c r="C2" s="20" t="inlineStr">
        <is>
          <t>REPORT jama_barkin_2018_oi_180075.pdf — main p.2, Intervention Description and jama_barkin_2018_oi_180075.pdf — p.3, control-condition paragraph; PLAN joi180075supp1_prod.pdf — revised p.63, design figure and lines 2380–2383 and joi180075supp1_prod.pdf — p.64, lines 2394–2398 and 2407–2408.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ID",IF(OR(A2="",COUNTIF($A$2:$A$8,A2)&lt;&gt;1,LEFT(A2,LEN("2018::jama.2018.9128::"))&lt;&gt;"2018::jama.2018.9128::"),"CHECK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 t="inlineStr">
        <is>
          <t>Revised protocol pp.63-64: intensive phase 90-min in-person sessions or 20-min phone sessions; control receives a 45-min school-readiness program at each of 7 data-collection points plus quarterly newsletters and library field trips. Report pp.2-3: weekly 90-min sessions 'via either in-person groups or telephone calls'; control = six 30-min group activities.</t>
        </is>
      </c>
    </row>
    <row r="3" ht="92" customFormat="1" customHeight="1" s="14">
      <c r="A3" s="24" t="inlineStr">
        <is>
          <t>2018::jama.2018.9128::C002</t>
        </is>
      </c>
      <c r="B3" s="24" t="inlineStr">
        <is>
          <t>Anthropometric outcome-status change</t>
        </is>
      </c>
      <c r="C3" s="24" t="inlineStr">
        <is>
          <t>REPORT jama_barkin_2018_oi_180075.pdf — main p.3, Outcomes, jama_barkin_2018_oi_180075.pdf — p.1, abstract hierarchy, and jama_barkin_2018_oi_180075.pdf — p.8, Table 2; PLAN joi180075supp1_prod.pdf — original p.16, lines 558–575, Tables 2–3, joi180075supp1_prod.pdf — revised p.67, lines 2571–2576; associated parental-measure context joi180075supp1_prod.pdf — original p.45, lines 1593–1596 and joi180075supp1_prod.pdf — revised p.98, lines 3700–3703.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ID",IF(OR(A3="",COUNTIF($A$2:$A$8,A3)&lt;&gt;1,LEFT(A3,LEN("2018::jama.2018.9128::"))&lt;&gt;"2018::jama.2018.9128::"),"CHECK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 t="inlineStr">
        <is>
          <t>Original protocol p.16 (Tables 2-3): child triceps skinfold and waist circumference are listed with BMI under primary outcomes; parental BMI, skinfold and waist are secondary outcomes. Revised protocol p.67 lists 7 secondary outcomes 'specified after the study began' without anthropometrics. Report p.3: these measures were collected but are not secondary outcomes; the 7 are called prespecified.</t>
        </is>
      </c>
    </row>
    <row r="4" ht="92" customFormat="1" customHeight="1" s="14">
      <c r="A4" s="20" t="inlineStr">
        <is>
          <t>2018::jama.2018.9128::C003</t>
        </is>
      </c>
      <c r="B4" s="20" t="inlineStr">
        <is>
          <t>Retained primary-outcome sensitivity analyses without supplied results</t>
        </is>
      </c>
      <c r="C4" s="20" t="inlineStr">
        <is>
          <t>PLAN joi180075supp1_prod.pdf — original p.40, lines 1371–1404, joi180075supp1_prod.pdf — p.41, lines 1435–1440, joi180075supp1_prod.pdf — p.42, conditional continuation; joi180075supp1_prod.pdf — revised p.93, lines 3478–3511, joi180075supp1_prod.pdf — p.94, lines 3542–3548, joi180075supp1_prod.pdf — p.95, conditional continuation; joi180075supp1_prod.pdf — final p.113, lines 4129–4133 and 4144–4148. Principal REPORT locations: jama_barkin_2018_oi_180075.pdf — main p.4, Statistical Methods, jama_barkin_2018_oi_180075.pdf — p.6, Primary Outcome, jama_barkin_2018_oi_180075.pdf — p.7, Figure 3. Complete results REPORT: joi180075supp2_prod.pdf — p.1 contents, joi180075supp2_prod.pdf — p.2 eTable 1, joi180075supp2_prod.pdf — p.3 eTable 2, joi180075supp2_prod.pdf — p.4 continuation, joi180075supp2_prod.pdf — p.5 eFigure 1, joi180075supp2_prod.pdf — p.6 copyright-only page, joi180075supp2_prod.pdf — p.7 eFigure 2, joi180075supp2_prod.pdf — p.8 eFigure 3. Complete main absence-search context also includes jama_barkin_2018_oi_180075.pdf — p.1, jama_barkin_2018_oi_180075.pdf — p.2, jama_barkin_2018_oi_180075.pdf — p.3, jama_barkin_2018_oi_180075.pdf — p.5, jama_barkin_2018_oi_180075.pdf — p.8, jama_barkin_2018_oi_180075.pdf — p.9, jama_barkin_2018_oi_180075.pdf — p.10, and jama_barkin_2018_oi_180075.pdf — p.11.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ID",IF(OR(A4="",COUNTIF($A$2:$A$8,A4)&lt;&gt;1,LEFT(A4,LEN("2018::jama.2018.9128::"))&lt;&gt;"2018::jama.2018.9128::"),"CHECK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 t="inlineStr">
        <is>
          <t>Original and revised protocols (pp.40-42, 93-95) plan sensitivity analyses of the primary model: multiple imputation (100 imputations, constrained MI), spline age specifications, clustered standard errors, baseline BMI interaction. Final SAP summary p.113 says the MI analyses are still planned. Report pp.4-7 and supp2: none reported (ML only; baseline BMI percentile appears only among post hoc moderators).</t>
        </is>
      </c>
    </row>
    <row r="5" ht="92" customFormat="1" customHeight="1" s="14">
      <c r="A5" s="24" t="inlineStr">
        <is>
          <t>2018::jama.2018.9128::C004</t>
        </is>
      </c>
      <c r="B5" s="24" t="inlineStr">
        <is>
          <t>Claimed prespecified Poisson models absent from supplied plans</t>
        </is>
      </c>
      <c r="C5" s="24" t="inlineStr">
        <is>
          <t>REPORT jama_barkin_2018_oi_180075.pdf — main p.4, Statistical Methods, jama_barkin_2018_oi_180075.pdf — p.8, Table 2 footnote f, jama_barkin_2018_oi_180075.pdf — p.9, Table 3 footnote b; PLAN joi180075supp1_prod.pdf — revised p.67 outcome list; original secondary sections joi180075supp1_prod.pdf — p.45, joi180075supp1_prod.pdf — p.46, joi180075supp1_prod.pdf — p.47, joi180075supp1_prod.pdf — p.48; revised sections joi180075supp1_prod.pdf — p.98, joi180075supp1_prod.pdf — p.99, joi180075supp1_prod.pdf — p.100, joi180075supp1_prod.pdf — p.101; final SAP/summary joi180075supp1_prod.pdf — p.110, joi180075supp1_prod.pdf — p.111, joi180075supp1_prod.pdf — p.112, joi180075supp1_prod.pdf — p.113.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ID",IF(OR(A5="",COUNTIF($A$2:$A$8,A5)&lt;&gt;1,LEFT(A5,LEN("2018::jama.2018.9128::"))&lt;&gt;"2018::jama.2018.9128::"),"CHECK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indeterminate</t>
        </is>
      </c>
      <c r="M5" s="24" t="n"/>
      <c r="N5" s="23" t="n"/>
      <c r="O5" s="23" t="n"/>
      <c r="P5" s="23" t="n"/>
      <c r="Q5" s="23" t="n"/>
      <c r="R5" s="22" t="inlineStr">
        <is>
          <t>Report p.4 says secondary-outcome models (OLS for continuous, Poisson with robust SEs for binary) 'were prespecified'; Table 2 fn f and Table 3 fn b use Poisson risk ratios. No Poisson or robust-SE model for secondary outcomes appears in the original protocol, revised protocol, original SAP or final SAP (text search pp.1-113).</t>
        </is>
      </c>
    </row>
    <row r="6" ht="92" customFormat="1" customHeight="1" s="14">
      <c r="A6" s="20" t="inlineStr">
        <is>
          <t>2018::jama.2018.9128::C005</t>
        </is>
      </c>
      <c r="B6" s="20" t="inlineStr">
        <is>
          <t>Three-month obesity interval versus corrected-P conflict</t>
        </is>
      </c>
      <c r="C6" s="20" t="inlineStr">
        <is>
          <t>jama_barkin_2018_oi_180075.pdf — Main p.9, Table 3 three-month row and footnotes b/c, jama_barkin_2018_oi_180075.pdf — p.7, Post-hoc Analyses, jama_barkin_2018_oi_180075.pdf — p.4, Statistical Methods.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ID",IF(OR(A6="",COUNTIF($A$2:$A$8,A6)&lt;&gt;1,LEFT(A6,LEN("2018::jama.2018.9128::"))&lt;&gt;"2018::jama.2018.9128::"),"CHECK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Table 3 p.9: 3-month obesity RR 0.51 (0.29-0.92), P=.02, BH-corrected P=.10. The CI is unadjusted; the corrected P is adjusted for 5 time points. BH check: .02x5/1 = .10; .13x5/2 = .325 and .16x5/3 = .267 give .27 and .27; .57x5/4 = .71; .90. All reproduce. No conflict.</t>
        </is>
      </c>
    </row>
    <row r="7" ht="92" customFormat="1" customHeight="1" s="14">
      <c r="A7" s="24" t="inlineStr">
        <is>
          <t>2018::jama.2018.9128::C006</t>
        </is>
      </c>
      <c r="B7" s="24" t="inlineStr">
        <is>
          <t>Original cohort and regional sample-count attribution</t>
        </is>
      </c>
      <c r="C7" s="24" t="inlineStr">
        <is>
          <t>PLAN joi180075supp1_prod.pdf — original p.36, lines 1255–1258, joi180075supp1_prod.pdf — p.37, line 1259, joi180075supp1_prod.pdf — p.9, lines 317–323, joi180075supp1_prod.pdf — p.13, lines 468–473, joi180075supp1_prod.pdf — p.39, lines 1343–1349, joi180075supp1_prod.pdf — p.40, lines 1406–1413, joi180075supp1_prod.pdf — revised p.94, lines 3513–3520. Corroborating REPORT jama_barkin_2018_oi_180075.pdf — main p.4, Sample Size. Additional regional context: joi180075supp1_prod.pdf — original p.12, lines 422–425.</t>
        </is>
      </c>
      <c r="D7" s="21" t="inlineStr">
        <is>
          <t>retain</t>
        </is>
      </c>
      <c r="E7" s="21" t="inlineStr">
        <is>
          <t>plan_material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ID",IF(OR(A7="",COUNTIF($A$2:$A$8,A7)&lt;&gt;1,LEFT(A7,LEN("2018::jama.2018.9128::"))&lt;&gt;"2018::jama.2018.9128::"),"CHECK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 t="inlineStr">
        <is>
          <t>minor_presentation</t>
        </is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Original protocol design section (pp.36-37): '600 dyads per cohort (300 per region/site), and a total sample size of 600'; attrition section (p.40; revised p.94): 'each planned cohort of 200 dyads per three cohorts'. Recruitment section (pp.9,13) describes rolling enrollment to 600. The cohort/region attribution conflicts; the total of 600 is consistent.</t>
        </is>
      </c>
    </row>
    <row r="8" ht="92" customFormat="1" customHeight="1" s="14">
      <c r="A8" s="20" t="inlineStr">
        <is>
          <t>2018::jama.2018.9128::C007</t>
        </is>
      </c>
      <c r="B8" s="20" t="inlineStr">
        <is>
          <t>Three-month adjusted BMI estimate versus same-table interval center</t>
        </is>
      </c>
      <c r="C8" s="20" t="inlineStr">
        <is>
          <t>joi180075supp2_prod.pdf, physical p.2, eTable 1 three-month row, nine-, twelve-, twenty-four- and thirty-six-month comparator rows, footnotes b/c.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ID",IF(OR(A8="",COUNTIF($A$2:$A$8,A8)&lt;&gt;1,LEFT(A8,LEN("2018::jama.2018.9128::"))&lt;&gt;"2018::jama.2018.9128::"),"CHECK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probable_issue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eTable 1 (supp2 p.2): 3-month adjusted BMI difference -0.01 (-0.12, 0.13), P=.83. The interval midpoint is +0.005; with display precision the midpoint lies in [0, 0.01] while the estimate lies in [-0.015, -0.005]. All other rows are centred (e.g., -0.04 (-0.20, 0.12)). A sign or limit typo is likely.</t>
        </is>
      </c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2026-10-14T05:13:13Z</dcterms:modified>
</cp:coreProperties>
</file>