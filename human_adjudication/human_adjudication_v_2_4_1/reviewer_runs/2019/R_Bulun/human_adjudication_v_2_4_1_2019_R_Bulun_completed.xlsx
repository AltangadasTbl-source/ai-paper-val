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19.0556" sheetId="4" state="visible" r:id="rId4"/>
    <sheet name="C_jama.2019.10517" sheetId="5" state="visible" r:id="rId5"/>
    <sheet name="C_jama.2019.12618" sheetId="6" state="visible" r:id="rId6"/>
    <sheet name="C_jama.2019.14231" sheetId="7" state="visible" r:id="rId7"/>
    <sheet name="C_jama.2019.14630" sheetId="8" state="visible" r:id="rId8"/>
    <sheet name="C_jama.2019.14901" sheetId="9" state="visible" r:id="rId9"/>
    <sheet name="C_jama.2019.17380" sheetId="10" state="visible" r:id="rId10"/>
    <sheet name="C_jama.2019.2210" sheetId="11" state="visible" r:id="rId11"/>
    <sheet name="C_jama.2019.4755" sheetId="12" state="visible" r:id="rId12"/>
    <sheet name="C_jama.2019.7505" sheetId="13" state="visible" r:id="rId13"/>
    <sheet name="Codebook" sheetId="14" state="visible" r:id="rId14"/>
  </sheets>
  <definedNames>
    <definedName name="_xlnm._FilterDatabase" localSheetId="3" hidden="1">'C_jama.2019.0556'!$A$1:$R$12</definedName>
    <definedName name="_xlnm._FilterDatabase" localSheetId="4" hidden="1">'C_jama.2019.10517'!$A$1:$R$6</definedName>
    <definedName name="_xlnm._FilterDatabase" localSheetId="5" hidden="1">'C_jama.2019.12618'!$A$1:$R$11</definedName>
    <definedName name="_xlnm._FilterDatabase" localSheetId="6" hidden="1">'C_jama.2019.14231'!$A$1:$R$9</definedName>
    <definedName name="_xlnm._FilterDatabase" localSheetId="7" hidden="1">'C_jama.2019.14630'!$A$1:$R$10</definedName>
    <definedName name="_xlnm._FilterDatabase" localSheetId="8" hidden="1">'C_jama.2019.14901'!$A$1:$R$6</definedName>
    <definedName name="_xlnm._FilterDatabase" localSheetId="9" hidden="1">'C_jama.2019.17380'!$A$1:$R$19</definedName>
    <definedName name="_xlnm._FilterDatabase" localSheetId="10" hidden="1">'C_jama.2019.2210'!$A$1:$R$8</definedName>
    <definedName name="_xlnm._FilterDatabase" localSheetId="11" hidden="1">'C_jama.2019.4755'!$A$1:$R$2</definedName>
    <definedName name="_xlnm._FilterDatabase" localSheetId="12" hidden="1">'C_jama.2019.7505'!$A$1:$R$14</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5">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1" fillId="0"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65" customWidth="1" style="14" min="2" max="2"/>
  </cols>
  <sheetData>
    <row r="1" ht="42" customFormat="1" customHeight="1" s="14">
      <c r="A1" s="15" t="inlineStr">
        <is>
          <t>Field</t>
        </is>
      </c>
      <c r="B1" s="15" t="inlineStr">
        <is>
          <t>Value</t>
        </is>
      </c>
    </row>
    <row r="2" ht="42" customFormat="1" customHeight="1" s="14">
      <c r="A2" s="16" t="inlineStr">
        <is>
          <t>reviewerId</t>
        </is>
      </c>
      <c r="B2" s="18" t="inlineStr">
        <is>
          <t>R_Bulun</t>
        </is>
      </c>
    </row>
    <row r="3" ht="42" customFormat="1" customHeight="1" s="14">
      <c r="A3" s="17" t="inlineStr">
        <is>
          <t>reviewerName (optional)</t>
        </is>
      </c>
      <c r="B3" s="18" t="n"/>
    </row>
    <row r="4" ht="42" customFormat="1" customHeight="1" s="14">
      <c r="A4" s="16" t="inlineStr">
        <is>
          <t>reviewerRole</t>
        </is>
      </c>
      <c r="B4" s="16" t="inlineStr">
        <is>
          <t>R_Bulun</t>
        </is>
      </c>
    </row>
    <row r="5" ht="42" customFormat="1" customHeight="1" s="14">
      <c r="A5" s="17" t="inlineStr">
        <is>
          <t>year</t>
        </is>
      </c>
      <c r="B5" s="17" t="n">
        <v>2019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100" customWidth="1" style="14" min="2" max="2"/>
  </cols>
  <sheetData>
    <row r="1" ht="42" customFormat="1" customHeight="1" s="14">
      <c r="A1" s="15" t="inlineStr">
        <is>
          <t>Check</t>
        </is>
      </c>
      <c r="B1" s="15" t="inlineStr">
        <is>
          <t>Result</t>
        </is>
      </c>
    </row>
    <row r="2" ht="55" customFormat="1" customHeight="1" s="14">
      <c r="A2" s="16" t="inlineStr">
        <is>
          <t>Reviewer role</t>
        </is>
      </c>
      <c r="B2" s="16">
        <f>Setup!B4</f>
        <v/>
      </c>
    </row>
    <row r="3" ht="55" customFormat="1" customHeight="1" s="14">
      <c r="A3" s="17" t="inlineStr">
        <is>
          <t>Candidates</t>
        </is>
      </c>
      <c r="B3" s="17" t="n">
        <v>87</v>
      </c>
    </row>
    <row r="4" ht="55" customFormat="1" customHeight="1" s="14">
      <c r="A4" s="16" t="inlineStr">
        <is>
          <t>Primary ready rows</t>
        </is>
      </c>
      <c r="B4" s="16">
        <f>COUNTIF('C_jama.2019.0556'!$G$2:$G$12,"PRIMARY READY")+COUNTIF('C_jama.2019.10517'!$G$2:$G$6,"PRIMARY READY")+COUNTIF('C_jama.2019.12618'!$G$2:$G$11,"PRIMARY READY")+COUNTIF('C_jama.2019.14231'!$G$2:$G$9,"PRIMARY READY")+COUNTIF('C_jama.2019.14630'!$G$2:$G$10,"PRIMARY READY")+COUNTIF('C_jama.2019.14901'!$G$2:$G$6,"PRIMARY READY")+COUNTIF('C_jama.2019.17380'!$G$2:$G$19,"PRIMARY READY")+COUNTIF('C_jama.2019.2210'!$G$2:$G$8,"PRIMARY READY")+COUNTIF('C_jama.2019.4755'!$G$2:$G$2,"PRIMARY READY")+COUNTIF('C_jama.2019.7505'!$G$2:$G$14,"PRIMARY READY")</f>
        <v/>
      </c>
    </row>
    <row r="5" ht="55" customFormat="1" customHeight="1" s="14">
      <c r="A5" s="17" t="inlineStr">
        <is>
          <t>Discuss / unresolved rows</t>
        </is>
      </c>
      <c r="B5" s="17">
        <f>COUNTIF('C_jama.2019.0556'!$D$2:$D$12,"discuss")+COUNTIF('C_jama.2019.10517'!$D$2:$D$6,"discuss")+COUNTIF('C_jama.2019.12618'!$D$2:$D$11,"discuss")+COUNTIF('C_jama.2019.14231'!$D$2:$D$9,"discuss")+COUNTIF('C_jama.2019.14630'!$D$2:$D$10,"discuss")+COUNTIF('C_jama.2019.14901'!$D$2:$D$6,"discuss")+COUNTIF('C_jama.2019.17380'!$D$2:$D$19,"discuss")+COUNTIF('C_jama.2019.2210'!$D$2:$D$8,"discuss")+COUNTIF('C_jama.2019.4755'!$D$2:$D$2,"discuss")+COUNTIF('C_jama.2019.7505'!$D$2:$D$14,"discuss")</f>
        <v/>
      </c>
    </row>
    <row r="6" ht="55" customFormat="1" customHeight="1" s="14">
      <c r="A6" s="16" t="inlineStr">
        <is>
          <t>Unfinished rows</t>
        </is>
      </c>
      <c r="B6" s="16">
        <f>B3-B4</f>
        <v/>
      </c>
    </row>
    <row r="7" ht="55" customFormat="1" customHeight="1" s="14">
      <c r="A7" s="17" t="inlineStr">
        <is>
          <t>Workflow status</t>
        </is>
      </c>
      <c r="B7" s="17">
        <f>IF(B4=B3,"PRIMARY READY","ACTION NEEDED")</f>
        <v/>
      </c>
    </row>
    <row r="8" ht="55" customFormat="1" customHeight="1" s="14">
      <c r="A8" s="16" t="inlineStr">
        <is>
          <t>Meaning</t>
        </is>
      </c>
      <c r="B8" s="16" t="inlineStr">
        <is>
          <t>PRIMARY READY means independent entry is complete. Discuss remains unresolved and is not counted as absence of error.</t>
        </is>
      </c>
    </row>
    <row r="9" ht="55" customFormat="1" customHeight="1" s="14">
      <c r="A9" s="17" t="inlineStr">
        <is>
          <t>Next action</t>
        </is>
      </c>
      <c r="B9" s="17" t="inlineStr">
        <is>
          <t>Inspect G on the C_ sheets. Save and deliver this file after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14" min="1" max="1"/>
    <col width="38" customWidth="1" style="14" min="2" max="2"/>
    <col width="18" customWidth="1" style="14" min="3" max="3"/>
  </cols>
  <sheetData>
    <row r="1" ht="42" customFormat="1" customHeight="1" s="14">
      <c r="A1" s="15" t="inlineStr">
        <is>
          <t>Paper</t>
        </is>
      </c>
      <c r="B1" s="15" t="inlineStr">
        <is>
          <t>Review worksheet</t>
        </is>
      </c>
      <c r="C1" s="15" t="inlineStr">
        <is>
          <t>Candidates</t>
        </is>
      </c>
    </row>
    <row r="2" ht="36" customFormat="1" customHeight="1" s="14">
      <c r="A2" s="16" t="inlineStr">
        <is>
          <t>jama.2019.0556</t>
        </is>
      </c>
      <c r="B2" s="16" t="inlineStr">
        <is>
          <t>C_jama.2019.0556</t>
        </is>
      </c>
      <c r="C2" s="16" t="n">
        <v>11</v>
      </c>
    </row>
    <row r="3" ht="36" customFormat="1" customHeight="1" s="14">
      <c r="A3" s="17" t="inlineStr">
        <is>
          <t>jama.2019.10517</t>
        </is>
      </c>
      <c r="B3" s="17" t="inlineStr">
        <is>
          <t>C_jama.2019.10517</t>
        </is>
      </c>
      <c r="C3" s="17" t="n">
        <v>5</v>
      </c>
    </row>
    <row r="4" ht="36" customFormat="1" customHeight="1" s="14">
      <c r="A4" s="16" t="inlineStr">
        <is>
          <t>jama.2019.12618</t>
        </is>
      </c>
      <c r="B4" s="16" t="inlineStr">
        <is>
          <t>C_jama.2019.12618</t>
        </is>
      </c>
      <c r="C4" s="16" t="n">
        <v>10</v>
      </c>
    </row>
    <row r="5" ht="36" customFormat="1" customHeight="1" s="14">
      <c r="A5" s="17" t="inlineStr">
        <is>
          <t>jama.2019.14231</t>
        </is>
      </c>
      <c r="B5" s="17" t="inlineStr">
        <is>
          <t>C_jama.2019.14231</t>
        </is>
      </c>
      <c r="C5" s="17" t="n">
        <v>8</v>
      </c>
    </row>
    <row r="6" ht="36" customFormat="1" customHeight="1" s="14">
      <c r="A6" s="16" t="inlineStr">
        <is>
          <t>jama.2019.14630</t>
        </is>
      </c>
      <c r="B6" s="16" t="inlineStr">
        <is>
          <t>C_jama.2019.14630</t>
        </is>
      </c>
      <c r="C6" s="16" t="n">
        <v>9</v>
      </c>
    </row>
    <row r="7" ht="36" customFormat="1" customHeight="1" s="14">
      <c r="A7" s="17" t="inlineStr">
        <is>
          <t>jama.2019.14901</t>
        </is>
      </c>
      <c r="B7" s="17" t="inlineStr">
        <is>
          <t>C_jama.2019.14901</t>
        </is>
      </c>
      <c r="C7" s="17" t="n">
        <v>5</v>
      </c>
    </row>
    <row r="8" ht="36" customFormat="1" customHeight="1" s="14">
      <c r="A8" s="16" t="inlineStr">
        <is>
          <t>jama.2019.17380</t>
        </is>
      </c>
      <c r="B8" s="16" t="inlineStr">
        <is>
          <t>C_jama.2019.17380</t>
        </is>
      </c>
      <c r="C8" s="16" t="n">
        <v>18</v>
      </c>
    </row>
    <row r="9" ht="36" customFormat="1" customHeight="1" s="14">
      <c r="A9" s="17" t="inlineStr">
        <is>
          <t>jama.2019.2210</t>
        </is>
      </c>
      <c r="B9" s="17" t="inlineStr">
        <is>
          <t>C_jama.2019.2210</t>
        </is>
      </c>
      <c r="C9" s="17" t="n">
        <v>7</v>
      </c>
    </row>
    <row r="10" ht="36" customFormat="1" customHeight="1" s="14">
      <c r="A10" s="16" t="inlineStr">
        <is>
          <t>jama.2019.4755</t>
        </is>
      </c>
      <c r="B10" s="16" t="inlineStr">
        <is>
          <t>C_jama.2019.4755</t>
        </is>
      </c>
      <c r="C10" s="16" t="n">
        <v>1</v>
      </c>
    </row>
    <row r="11" ht="36" customFormat="1" customHeight="1" s="14">
      <c r="A11" s="17" t="inlineStr">
        <is>
          <t>jama.2019.7505</t>
        </is>
      </c>
      <c r="B11" s="17" t="inlineStr">
        <is>
          <t>C_jama.2019.7505</t>
        </is>
      </c>
      <c r="C11" s="17" t="n">
        <v>13</v>
      </c>
    </row>
  </sheetData>
  <hyperlinks>
    <hyperlink ref="B2" location="'C_jama.2017.21906'!A1"/>
    <hyperlink ref="B3" location="'C_jama.2018.0156'!A1"/>
    <hyperlink ref="B4" location="'C_jama.2018.0948'!A1"/>
    <hyperlink ref="B5" location="'C_jama.2018.14280'!A1"/>
    <hyperlink ref="B6" location="'C_jama.2018.14282'!A1"/>
    <hyperlink ref="B7" location="'C_jama.2018.17075'!A1"/>
    <hyperlink ref="B8" location="'C_jama.2018.18020'!A1"/>
    <hyperlink ref="B9" location="'C_jama.2018.6496'!A1"/>
    <hyperlink ref="B10" location="'C_jama.2018.8802'!A1"/>
    <hyperlink ref="B11" location="'C_jama.2018.9128'!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2"/>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2019::jama.2019.0556::C001</t>
        </is>
      </c>
      <c r="B2" s="20" t="inlineStr">
        <is>
          <t>Planned and reported daily EPA+DHA dose does not reconcile</t>
        </is>
      </c>
      <c r="C2" s="20" t="inlineStr">
        <is>
          <t>jama_bot_2019_oi_190007.pdf — Main p. 1, abstract Interventions; jama_bot_2019_oi_190007.pdf — Main p. 2, Multinutrient Supplements; joi190007supp3_prod.pdf — Results supplement p. 4, eAppendix 2; joi190007supp1_prod.pdf — Protocol p. 8, Summary intervention; joi190007supp1_prod.pdf — Protocol p. 18, intervention box; joi190007supp1_prod.pdf — Protocol p. 20, composition box; joi190007supp1_prod.pdf — Protocol p. 23, Omega-3 PUFA fish oils.</t>
        </is>
      </c>
      <c r="D2" s="21" t="inlineStr">
        <is>
          <t>retain</t>
        </is>
      </c>
      <c r="E2" s="21" t="inlineStr">
        <is>
          <t>protocol_report</t>
        </is>
      </c>
      <c r="F2" s="21" t="inlineStr">
        <is>
          <t>primary_done</t>
        </is>
      </c>
      <c r="G2" s="20">
        <f>IFERROR(IF(LEN(TRIM(CLEAN(SUBSTITUTE(Setup!$B$2,CHAR(160)," "))))=0,"CHECK REVIEWER ID",IF(OR(A2="",COUNTIF($A$2:$A$12,A2)&lt;&gt;1,LEFT(A2,LEN("2019::jama.2019.0556::"))&lt;&gt;"2019::jama.2019.0556::"),"CHECK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pp. 8, 18 specify 1000 mg omega-3 per capsule and p. 23 an intended EPA+DHA dose of 1.0 g/day; article pp. 1-2 and eAppendix 2 (supp3 p. 4) report 1412 mg EPA+DHA/day. 1412/1000 = 141%, outside the protocol's 90%-125% manufacturing allowance (p. 20). Not explained in the supplied documents.</t>
        </is>
      </c>
    </row>
    <row r="3" ht="92" customFormat="1" customHeight="1" s="14">
      <c r="A3" s="24" t="inlineStr">
        <is>
          <t>2019::jama.2019.0556::C002</t>
        </is>
      </c>
      <c r="B3" s="24" t="inlineStr">
        <is>
          <t>Planned primary analysis suite is replaced or not reported as specified</t>
        </is>
      </c>
      <c r="C3" s="24" t="inlineStr">
        <is>
          <t>joi190007supp1_prod.pdf — Protocol p. 43, §§10.1–10.2; joi190007supp2_prod.pdf — SAP p. 2, Outcomes; joi190007supp2_prod.pdf — SAP p. 3, Fourth analysis; joi190007supp2_prod.pdf — SAP p. 4, Secondary analysis; jama_bot_2019_oi_190007.pdf — Main p. 1, abstract main measures; jama_bot_2019_oi_190007.pdf — Main p. 4, Statistical Methods; jama_bot_2019_oi_190007.pdf — Main p. 6, Table 2 and continuation; jama_bot_2019_oi_190007.pdf — Main p. 8, Table 3 and footnotes.</t>
        </is>
      </c>
      <c r="D3" s="21" t="inlineStr">
        <is>
          <t>retain</t>
        </is>
      </c>
      <c r="E3" s="21" t="inlineStr">
        <is>
          <t>protocol_report</t>
        </is>
      </c>
      <c r="F3" s="21" t="inlineStr">
        <is>
          <t>primary_done</t>
        </is>
      </c>
      <c r="G3" s="24">
        <f>IFERROR(IF(LEN(TRIM(CLEAN(SUBSTITUTE(Setup!$B$2,CHAR(160)," "))))=0,"CHECK REVIEWER ID",IF(OR(A3="",COUNTIF($A$2:$A$12,A3)&lt;&gt;1,LEFT(A3,LEN("2019::jama.2019.0556::"))&lt;&gt;"2019::jama.2019.0556::"),"CHECK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version_timing</t>
        </is>
      </c>
      <c r="M3" s="24" t="n"/>
      <c r="N3" s="23" t="n"/>
      <c r="O3" s="23" t="n"/>
      <c r="P3" s="23" t="n"/>
      <c r="Q3" s="23" t="n"/>
      <c r="R3" s="22" t="inlineStr">
        <is>
          <t>Protocol v7 §10.1 (p. 43) plans Kaplan-Meier/log-rank and Cox PH as the primary time-to-event analysis plus mixed models for MDD onset and IDS; the SAP (pp. 3-4) and the article (pp. 4, 6) use logistic regression for cumulative MDD with Cox only secondary/post hoc. KM/log-rank and mixed-model MDD results are not reported. Report matches the undated SAP, so plan sequence is unclear.</t>
        </is>
      </c>
    </row>
    <row r="4" ht="92" customFormat="1" customHeight="1" s="14">
      <c r="A4" s="20" t="inlineStr">
        <is>
          <t>2019::jama.2019.0556::C003</t>
        </is>
      </c>
      <c r="B4" s="20" t="inlineStr">
        <is>
          <t>Online-screening BMI cutoff differs between report locations</t>
        </is>
      </c>
      <c r="C4" s="20" t="inlineStr">
        <is>
          <t>jama_bot_2019_oi_190007.pdf — Main p. 3, Figure 1 online exclusions; joi190007supp3_prod.pdf — Results supplement p. 3, inclusion criteria assessed with the online screening tool; jama_bot_2019_oi_190007.pdf — Main p. 2, eligibility; jama_bot_2019_oi_190007.pdf — main p. 1, abstract population; joi190007supp1_prod.pdf — Protocol p. 16, inclusion criteria.</t>
        </is>
      </c>
      <c r="D4" s="21" t="inlineStr">
        <is>
          <t>retain</t>
        </is>
      </c>
      <c r="E4" s="21" t="inlineStr">
        <is>
          <t>statistical_results</t>
        </is>
      </c>
      <c r="F4" s="21" t="inlineStr">
        <is>
          <t>primary_done</t>
        </is>
      </c>
      <c r="G4" s="20">
        <f>IFERROR(IF(LEN(TRIM(CLEAN(SUBSTITUTE(Setup!$B$2,CHAR(160)," "))))=0,"CHECK REVIEWER ID",IF(OR(A4="",COUNTIF($A$2:$A$12,A4)&lt;&gt;1,LEFT(A4,LEN("2019::jama.2019.0556::"))&lt;&gt;"2019::jama.2019.0556::"),"CHECK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unlikely</t>
        </is>
      </c>
      <c r="K4" s="21">
        <f>IF(AND(OR(D4="retain",D4=""),OR(E4="report_internal_inconsistency",E4="plan_material")),"","not_applicable")</f>
        <v/>
      </c>
      <c r="L4" s="22">
        <f>IF(AND(OR(D4="retain",D4=""),E4="protocol_report"),"","not_applicable")</f>
        <v/>
      </c>
      <c r="M4" s="20" t="n"/>
      <c r="N4" s="23" t="n"/>
      <c r="O4" s="23" t="n"/>
      <c r="P4" s="23" t="n"/>
      <c r="Q4" s="23" t="n"/>
      <c r="R4" s="22" t="inlineStr">
        <is>
          <t>Figure 1 (main p. 3, rendered) labels 1451 online exclusions 'BMI &lt;15 or &gt;40', while eAppendix 1 (supp3 p. 3) states the online tool used BMI 25-40, as do the abstract and Methods. The lower cutoff of 15 contradicts 25; the later 18 telephone exclusions for BMI &lt;25 leave open which cutoff was applied online.</t>
        </is>
      </c>
    </row>
    <row r="5" ht="92" customFormat="1" customHeight="1" s="14">
      <c r="A5" s="24" t="inlineStr">
        <is>
          <t>2019::jama.2019.0556::C004</t>
        </is>
      </c>
      <c r="B5" s="24" t="inlineStr">
        <is>
          <t>Sample-size total does not reconcile with four stated cell sizes</t>
        </is>
      </c>
      <c r="C5" s="24" t="inlineStr">
        <is>
          <t>jama_bot_2019_oi_190007.pdf — Main p. 4, Sample Size upper right column.</t>
        </is>
      </c>
      <c r="D5" s="21" t="inlineStr">
        <is>
          <t>retain</t>
        </is>
      </c>
      <c r="E5" s="21" t="inlineStr">
        <is>
          <t>statistical_results</t>
        </is>
      </c>
      <c r="F5" s="21" t="inlineStr">
        <is>
          <t>primary_done</t>
        </is>
      </c>
      <c r="G5" s="24">
        <f>IFERROR(IF(LEN(TRIM(CLEAN(SUBSTITUTE(Setup!$B$2,CHAR(160)," "))))=0,"CHECK REVIEWER ID",IF(OR(A5="",COUNTIF($A$2:$A$12,A5)&lt;&gt;1,LEFT(A5,LEN("2019::jama.2019.0556::"))&lt;&gt;"2019::jama.2019.0556::"),"CHECK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Main p. 4: '392 participants (196 in each of the 4 possible intervention combinations)'; 4 x 196 = 784, not 392. power.prop.test(p1=.20, p2=.30, power=.90) gives n = 391.9 per group, so 392 is the size of each main-effect arm (2 cells x 196), not the total. 196/0.78 = 251.3, consistent with 250 per cell.</t>
        </is>
      </c>
    </row>
    <row r="6" ht="92" customFormat="1" customHeight="1" s="14">
      <c r="A6" s="20" t="inlineStr">
        <is>
          <t>2019::jama.2019.0556::C005</t>
        </is>
      </c>
      <c r="B6" s="20" t="inlineStr">
        <is>
          <t>Primary power assumptions differ between the protocol and report</t>
        </is>
      </c>
      <c r="C6" s="20" t="inlineStr">
        <is>
          <t>joi190007supp1_prod.pdf — Protocol p. 16, §4.4; joi190007supp1_prod.pdf — Protocol p. 17, calculation continuation; jama_bot_2019_oi_190007.pdf — Main p. 4, Sample Size.</t>
        </is>
      </c>
      <c r="D6" s="21" t="inlineStr">
        <is>
          <t>retain</t>
        </is>
      </c>
      <c r="E6" s="21" t="inlineStr">
        <is>
          <t>protocol_report</t>
        </is>
      </c>
      <c r="F6" s="21" t="inlineStr">
        <is>
          <t>primary_done</t>
        </is>
      </c>
      <c r="G6" s="20">
        <f>IFERROR(IF(LEN(TRIM(CLEAN(SUBSTITUTE(Setup!$B$2,CHAR(160)," "))))=0,"CHECK REVIEWER ID",IF(OR(A6="",COUNTIF($A$2:$A$12,A6)&lt;&gt;1,LEFT(A6,LEN("2019::jama.2019.0556::"))&lt;&gt;"2019::jama.2019.0556::"),"CHECK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§4.4 (pp. 16-17): control 30% vs intervention 15%, additive interaction, 180 per group, 20% dropout, 250 per arm. Article p. 4: 30% vs 20% (33% reduction), main effects, 196 per cell, 22% attrition, 250 per cell. Event-rate assumption and target contrast differ; final 250 per arm agrees.</t>
        </is>
      </c>
    </row>
    <row r="7" ht="92" customFormat="1" customHeight="1" s="14">
      <c r="A7" s="24" t="inlineStr">
        <is>
          <t>2019::jama.2019.0556::C006</t>
        </is>
      </c>
      <c r="B7" s="24" t="inlineStr">
        <is>
          <t>Prespecified outcome hierarchy differs across plan and report materials</t>
        </is>
      </c>
      <c r="C7" s="24" t="inlineStr">
        <is>
          <t>joi190007supp1_prod.pdf — Protocol p. 8, main study parameters; joi190007supp1_prod.pdf — p. 9, continuation; joi190007supp1_prod.pdf — Protocol p. 28, §§8.1.1–8.1.2; joi190007supp1_prod.pdf — Protocol p. 43, §10.1; joi190007supp2_prod.pdf — SAP p. 2, Outcomes; jama_bot_2019_oi_190007.pdf — Main p. 4, Outcomes; jama_bot_2019_oi_190007.pdf — Main p. 8, Table 3 heading.</t>
        </is>
      </c>
      <c r="D7" s="21" t="inlineStr">
        <is>
          <t>retain</t>
        </is>
      </c>
      <c r="E7" s="21" t="inlineStr">
        <is>
          <t>protocol_report</t>
        </is>
      </c>
      <c r="F7" s="21" t="inlineStr">
        <is>
          <t>primary_done</t>
        </is>
      </c>
      <c r="G7" s="24">
        <f>IFERROR(IF(LEN(TRIM(CLEAN(SUBSTITUTE(Setup!$B$2,CHAR(160)," "))))=0,"CHECK REVIEWER ID",IF(OR(A7="",COUNTIF($A$2:$A$12,A7)&lt;&gt;1,LEFT(A7,LEN("2019::jama.2019.0556::"))&lt;&gt;"2019::jama.2019.0556::"),"CHECK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version_timing</t>
        </is>
      </c>
      <c r="M7" s="24" t="n"/>
      <c r="N7" s="23" t="n"/>
      <c r="O7" s="23" t="n"/>
      <c r="P7" s="23" t="n"/>
      <c r="Q7" s="23" t="n"/>
      <c r="R7" s="22" t="inlineStr">
        <is>
          <t>Protocol v7 lists IDS with MDD incidence under main study parameters/endpoints (pp. 8-9, 28 §8.1.1; p. 43 §10.1); SAP p. 2 and article p. 4 make IDS secondary. GAD-7 and EQ-5D are protocol secondary, SAP 'Other', article secondary. Report follows the SAP for IDS; SAP is undated.</t>
        </is>
      </c>
    </row>
    <row r="8" ht="92" customFormat="1" customHeight="1" s="14">
      <c r="A8" s="20" t="inlineStr">
        <is>
          <t>2019::jama.2019.0556::C007</t>
        </is>
      </c>
      <c r="B8" s="20" t="inlineStr">
        <is>
          <t>Planned Cox and site/history analyses receive post hoc report designations</t>
        </is>
      </c>
      <c r="C8" s="20" t="inlineStr">
        <is>
          <t>joi190007supp1_prod.pdf — Protocol p. 43, §10.1; joi190007supp1_prod.pdf — Protocol p. 44, interaction paragraph; joi190007supp2_prod.pdf — SAP p. 4, Secondary analysis and Effect modification; joi190007supp2_prod.pdf — SAP p. 5, Effect modification continuation; jama_bot_2019_oi_190007.pdf — Main p. 4, Outcomes/Statistical Methods; jama_bot_2019_oi_190007.pdf — Main p. 6, Table 2; jama_bot_2019_oi_190007.pdf — Main p. 7, MDD results continuation; jama_bot_2019_oi_190007.pdf — Main p. 8, Effect Modification and Sensitivity Analyses; joi190007supp3_prod.pdf — Results supplement p. 18, eAppendix 10; joi190007supp3_prod.pdf — Results supplement p. 19, GAD Table B; joi190007supp3_prod.pdf — Results supplement p. 20, utility Tables C1/C2.</t>
        </is>
      </c>
      <c r="D8" s="21" t="inlineStr">
        <is>
          <t>retain</t>
        </is>
      </c>
      <c r="E8" s="21" t="inlineStr">
        <is>
          <t>protocol_report</t>
        </is>
      </c>
      <c r="F8" s="21" t="inlineStr">
        <is>
          <t>primary_done</t>
        </is>
      </c>
      <c r="G8" s="20">
        <f>IFERROR(IF(LEN(TRIM(CLEAN(SUBSTITUTE(Setup!$B$2,CHAR(160)," "))))=0,"CHECK REVIEWER ID",IF(OR(A8="",COUNTIF($A$2:$A$12,A8)&lt;&gt;1,LEFT(A8,LEN("2019::jama.2019.0556::"))&lt;&gt;"2019::jama.2019.0556::"),"CHECK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minor_presentation</t>
        </is>
      </c>
      <c r="M8" s="20" t="n"/>
      <c r="N8" s="23" t="n"/>
      <c r="O8" s="23" t="n"/>
      <c r="P8" s="23" t="n"/>
      <c r="Q8" s="23" t="n"/>
      <c r="R8" s="22" t="inlineStr">
        <is>
          <t>Cox time-to-MDD is planned in protocol §10.1 (as primary) and SAP p. 4 (secondary), and effect modification by site and MDD history in SAP pp. 4-5, yet article p. 4 and Table 2 call Cox 'post hoc' and p. 8 calls the site/history/baseline moderation analyses 'post hoc'. Analyses were done; only their prespecification status is mislabeled.</t>
        </is>
      </c>
    </row>
    <row r="9" ht="92" customFormat="1" customHeight="1" s="14">
      <c r="A9" s="24" t="inlineStr">
        <is>
          <t>2019::jama.2019.0556::C008</t>
        </is>
      </c>
      <c r="B9" s="24" t="inlineStr">
        <is>
          <t>Planned additive primary-outcome interaction result is not reported</t>
        </is>
      </c>
      <c r="C9" s="24" t="inlineStr">
        <is>
          <t>joi190007supp2_prod.pdf — SAP p. 4, Interaction of intervention strategies for our primary outcome; jama_bot_2019_oi_190007.pdf — Main p. 4, Statistical Methods; jama_bot_2019_oi_190007.pdf — Main p. 6, Table 2; jama_bot_2019_oi_190007.pdf — Main p. 7, narrative; joi190007supp3_prod.pdf — p. 18 moderation; joi190007supp3_prod.pdf — p. 19 GAD moderation; joi190007supp3_prod.pdf — p. 20 utility moderation; joi190007supp3_prod.pdf — p. 21 no-MI sensitivity; joi190007supp3_prod.pdf — p. 22 CACE.</t>
        </is>
      </c>
      <c r="D9" s="21" t="inlineStr">
        <is>
          <t>retain</t>
        </is>
      </c>
      <c r="E9" s="21" t="inlineStr">
        <is>
          <t>protocol_report</t>
        </is>
      </c>
      <c r="F9" s="21" t="inlineStr">
        <is>
          <t>primary_done</t>
        </is>
      </c>
      <c r="G9" s="24">
        <f>IFERROR(IF(LEN(TRIM(CLEAN(SUBSTITUTE(Setup!$B$2,CHAR(160)," "))))=0,"CHECK REVIEWER ID",IF(OR(A9="",COUNTIF($A$2:$A$12,A9)&lt;&gt;1,LEFT(A9,LEN("2019::jama.2019.0556::"))&lt;&gt;"2019::jama.2019.0556::"),"CHECK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substantive_difference</t>
        </is>
      </c>
      <c r="M9" s="24" t="n"/>
      <c r="N9" s="23" t="n"/>
      <c r="O9" s="23" t="n"/>
      <c r="P9" s="23" t="n"/>
      <c r="Q9" s="23" t="n"/>
      <c r="R9" s="22" t="inlineStr">
        <is>
          <t>SAP p. 4 plans a RERI (additive interaction) sensitivity analysis for the primary outcome with likelihood-based CIs. No RERI or additive-interaction result appears in the article or eSupplement (text search for RERI/additive/relative excess: no hits in report PDFs). Only multiplicative OR/HR interactions are reported.</t>
        </is>
      </c>
    </row>
    <row r="10" ht="92" customFormat="1" customHeight="1" s="14">
      <c r="A10" s="20" t="inlineStr">
        <is>
          <t>2019::jama.2019.0556::C009</t>
        </is>
      </c>
      <c r="B10" s="20" t="inlineStr">
        <is>
          <t>Planned primary-outcome missingness sensitivity is not reported</t>
        </is>
      </c>
      <c r="C10" s="20" t="inlineStr">
        <is>
          <t>joi190007supp2_prod.pdf — SAP p. 5, Missing data and drop-out; jama_bot_2019_oi_190007.pdf — Main p. 4, Statistical Methods; jama_bot_2019_oi_190007.pdf — Main p. 6, Table 2 and missingness narrative; jama_bot_2019_oi_190007.pdf — Main p. 8, sensitivity/CACE narrative; joi190007supp3_prod.pdf — Results supplement p. 21, eAppendix 11; joi190007supp3_prod.pdf — Results supplement p. 22, eAppendix 12.</t>
        </is>
      </c>
      <c r="D10" s="21" t="inlineStr">
        <is>
          <t>retain</t>
        </is>
      </c>
      <c r="E10" s="21" t="inlineStr">
        <is>
          <t>protocol_report</t>
        </is>
      </c>
      <c r="F10" s="21" t="inlineStr">
        <is>
          <t>primary_done</t>
        </is>
      </c>
      <c r="G10" s="20">
        <f>IFERROR(IF(LEN(TRIM(CLEAN(SUBSTITUTE(Setup!$B$2,CHAR(160)," "))))=0,"CHECK REVIEWER ID",IF(OR(A10="",COUNTIF($A$2:$A$12,A10)&lt;&gt;1,LEFT(A10,LEN("2019::jama.2019.0556::"))&lt;&gt;"2019::jama.2019.0556::"),"CHECK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substantive_difference</t>
        </is>
      </c>
      <c r="M10" s="20" t="n"/>
      <c r="N10" s="23" t="n"/>
      <c r="O10" s="23" t="n"/>
      <c r="P10" s="23" t="n"/>
      <c r="Q10" s="23" t="n"/>
      <c r="R10" s="22" t="inlineStr">
        <is>
          <t>SAP p. 5 commits to reported sensitivity analyses for the MAR assumption of the primary-outcome multiple imputation. The report's only no-imputation sensitivity (eAppendix 11, supp3 p. 21) covers secondary continuous outcomes; CACE (p. 22) uses MI and is not a missingness sensitivity. No primary-MDD missing-data sensitivity found.</t>
        </is>
      </c>
    </row>
    <row r="11" ht="92" customFormat="1" customHeight="1" s="14">
      <c r="A11" s="24" t="inlineStr">
        <is>
          <t>2019::jama.2019.0556::C010</t>
        </is>
      </c>
      <c r="B11" s="24" t="inlineStr">
        <is>
          <t>CACE explanation does not identify the mapping to the printed MDD estimates</t>
        </is>
      </c>
      <c r="C11" s="24" t="inlineStr">
        <is>
          <t>jama_bot_2019_oi_190007.pdf — Main p. 6, Table 2; jama_bot_2019_oi_190007.pdf — Main p. 8, CACE narrative; joi190007supp3_prod.pdf — Results supplement p. 14, eAppendix 7 opening; joi190007supp3_prod.pdf — Results supplement p. 15, eAppendix 7 continuation; joi190007supp3_prod.pdf — Results supplement p. 16, adherence table; joi190007supp3_prod.pdf — Results supplement p. 22, eAppendix 12.</t>
        </is>
      </c>
      <c r="D11" s="21" t="inlineStr">
        <is>
          <t>retain</t>
        </is>
      </c>
      <c r="E11" s="21" t="inlineStr">
        <is>
          <t>statistical_results</t>
        </is>
      </c>
      <c r="F11" s="21" t="inlineStr">
        <is>
          <t>primary_done</t>
        </is>
      </c>
      <c r="G11" s="24">
        <f>IFERROR(IF(LEN(TRIM(CLEAN(SUBSTITUTE(Setup!$B$2,CHAR(160)," "))))=0,"CHECK REVIEWER ID",IF(OR(A11="",COUNTIF($A$2:$A$12,A11)&lt;&gt;1,LEFT(A11,LEN("2019::jama.2019.0556::"))&lt;&gt;"2019::jama.2019.0556::"),"CHECK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probable_issue</t>
        </is>
      </c>
      <c r="I11" s="21" t="inlineStr">
        <is>
          <t>substantive</t>
        </is>
      </c>
      <c r="J11" s="22" t="inlineStr">
        <is>
          <t>possible</t>
        </is>
      </c>
      <c r="K11" s="21">
        <f>IF(AND(OR(D11="retain",D11=""),OR(E11="report_internal_inconsistency",E11="plan_material")),"","not_applicable")</f>
        <v/>
      </c>
      <c r="L11" s="22">
        <f>IF(AND(OR(D11="retain",D11=""),E11="protocol_report"),"","not_applicable")</f>
        <v/>
      </c>
      <c r="M11" s="24" t="n"/>
      <c r="N11" s="23" t="n"/>
      <c r="O11" s="23" t="n"/>
      <c r="P11" s="23" t="n"/>
      <c r="Q11" s="23" t="n"/>
      <c r="R11" s="22" t="inlineStr">
        <is>
          <t>eAppendix 7 (supp3 p. 15) defines CACE as ITT effect / complier proportion. ITT ORs (Table 2): supplements 1.06, therapy 0.93; CACE ORs (p. 22): 0.84 and 0.78. Any such ratio keeps the ITT direction, yet supplement CACE reverses it (crude ITT RD +0.6 pp). Therapy: exp(log 0.93/0.713) = 0.90, not 0.78. Values cannot be reproduced from the stated method.</t>
        </is>
      </c>
    </row>
    <row r="12" ht="92" customFormat="1" customHeight="1" s="14">
      <c r="A12" s="20" t="inlineStr">
        <is>
          <t>2019::jama.2019.0556::C011</t>
        </is>
      </c>
      <c r="B12" s="20" t="inlineStr">
        <is>
          <t>Three site coefficient and interval tuples do not reproduce the same-table relationship</t>
        </is>
      </c>
      <c r="C12" s="20" t="inlineStr">
        <is>
          <t>joi190007supp3_prod.pdf — results supplement p. 19, Table B.</t>
        </is>
      </c>
      <c r="D12" s="21" t="inlineStr">
        <is>
          <t>retain</t>
        </is>
      </c>
      <c r="E12" s="21" t="inlineStr">
        <is>
          <t>statistical_results</t>
        </is>
      </c>
      <c r="F12" s="21" t="inlineStr">
        <is>
          <t>primary_done</t>
        </is>
      </c>
      <c r="G12" s="20">
        <f>IFERROR(IF(LEN(TRIM(CLEAN(SUBSTITUTE(Setup!$B$2,CHAR(160)," "))))=0,"CHECK REVIEWER ID",IF(OR(A12="",COUNTIF($A$2:$A$12,A12)&lt;&gt;1,LEFT(A12,LEN("2019::jama.2019.0556::"))&lt;&gt;"2019::jama.2019.0556::"),"CHECK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eAppendix 10 Table B (supp3 p. 19, rendered): Spain 0.107 (-0.424 to 0.520), UK 0.117 (-0.371 to 0.638), Germany 0.058 (-0.401 to 0.606) are not centered (midpoints 0.048, 0.134, 0.102) while all six other rows are. 2B-L gives 0.638, 0.605, 0.517: the upper limits appear rotated among the three site rows.</t>
        </is>
      </c>
    </row>
  </sheetData>
  <autoFilter ref="A1:R12"/>
  <conditionalFormatting sqref="H2:H12">
    <cfRule type="expression" priority="8" dxfId="70">
      <formula>NOT(AND(OR($D2="retain",$D2=""),$E2="statistical_results"))</formula>
    </cfRule>
  </conditionalFormatting>
  <conditionalFormatting sqref="I2:I12">
    <cfRule type="expression" priority="9" dxfId="70">
      <formula>NOT(AND(OR($D2="retain",$D2=""),$E2="statistical_results"))</formula>
    </cfRule>
  </conditionalFormatting>
  <conditionalFormatting sqref="J2:J12">
    <cfRule type="expression" priority="10" dxfId="70">
      <formula>NOT(AND(OR($D2="retain",$D2=""),$E2="statistical_results"))</formula>
    </cfRule>
  </conditionalFormatting>
  <conditionalFormatting sqref="K2:K12">
    <cfRule type="expression" priority="11" dxfId="70">
      <formula>NOT(AND(OR($D2="retain",$D2=""),OR($E2="report_internal_inconsistency",$E2="plan_material")))</formula>
    </cfRule>
  </conditionalFormatting>
  <conditionalFormatting sqref="L2:L12">
    <cfRule type="expression" priority="12" dxfId="70">
      <formula>NOT(AND(OR($D2="retain",$D2=""),$E2="protocol_report"))</formula>
    </cfRule>
  </conditionalFormatting>
  <conditionalFormatting sqref="G2:G12">
    <cfRule type="expression" priority="13" dxfId="71">
      <formula>G2&lt;&gt;"PRIMARY READY"</formula>
    </cfRule>
  </conditionalFormatting>
  <dataValidations count="8">
    <dataValidation sqref="D2:D12" showDropDown="0" showInputMessage="0" showErrorMessage="1" allowBlank="1" errorTitle="Use a listed option" error="Choose an option; G also checks pasted entries." type="list" errorStyle="stop">
      <formula1>"retain,exclude,discuss"</formula1>
    </dataValidation>
    <dataValidation sqref="E2:E12"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2" showDropDown="0" showInputMessage="0" showErrorMessage="1" allowBlank="1" errorTitle="Use a listed option" error="Choose an option; G also checks pasted entries." type="list" errorStyle="stop">
      <formula1>"no,primary_done"</formula1>
    </dataValidation>
    <dataValidation sqref="H2:H12"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2"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2" showDropDown="0" showInputMessage="0" showErrorMessage="1" allowBlank="1" errorTitle="Use a listed option" error="Choose an option; G also checks pasted entries." type="list" errorStyle="stop">
      <formula1>"direct,possible,unlikely,unknown,not_applicable"</formula1>
    </dataValidation>
    <dataValidation sqref="K2:K12"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2"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6"/>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2019::jama.2019.10517::C001</t>
        </is>
      </c>
      <c r="B2" s="20" t="inlineStr">
        <is>
          <t>Primary relapse score component differs from the plan</t>
        </is>
      </c>
      <c r="C2" s="20" t="inlineStr">
        <is>
          <t>PLAN joi190079supp1_prod.pdf — PDF p.12, §3.9.8, lines 553–568; REPORT jama_flint_2019_oi_190079.pdf — PDF p.4, Primary Outcome: Relapse. Affected outputs and context: jama_flint_2019_oi_190079.pdf — main PDF p.1, abstract, jama_flint_2019_oi_190079.pdf — main PDF p.6, primary results and jama_flint_2019_oi_190079.pdf — main PDF p.7, Table 3 and footnotes.</t>
        </is>
      </c>
      <c r="D2" s="21" t="inlineStr">
        <is>
          <t>retain</t>
        </is>
      </c>
      <c r="E2" s="21" t="inlineStr">
        <is>
          <t>protocol_report</t>
        </is>
      </c>
      <c r="F2" s="21" t="inlineStr">
        <is>
          <t>primary_done</t>
        </is>
      </c>
      <c r="G2" s="20">
        <f>IFERROR(IF(LEN(TRIM(CLEAN(SUBSTITUTE(Setup!$B$2,CHAR(160)," "))))=0,"CHECK REVIEWER ID",IF(OR(A2="",COUNTIF($A$2:$A$6,A2)&lt;&gt;1,LEFT(A2,LEN("2019::jama.2019.10517::"))&lt;&gt;"2019::jama.2019.10517::"),"CHECK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§3.9.8 (p. 12): relapse criterion 2 is HAM-D &gt;=18 AND a 5-point increase from RCT entry (preferably sustained 1 week). Article p. 4 lists HDRS &gt;=18 alone. Primary composite definition differs as printed; the extra condition matters only for participants entering near 13-15, so the practical effect is probably small.</t>
        </is>
      </c>
    </row>
    <row r="3" ht="92" customFormat="1" customHeight="1" s="14">
      <c r="A3" s="24" t="inlineStr">
        <is>
          <t>2019::jama.2019.10517::C002</t>
        </is>
      </c>
      <c r="B3" s="24" t="inlineStr">
        <is>
          <t>Four prespecified key secondary counterparts are absent</t>
        </is>
      </c>
      <c r="C3" s="24" t="inlineStr">
        <is>
          <t>PLAN joi190079supp1_prod.pdf — PDF p.10, lines 473–488, joi190079supp1_prod.pdf — PLAN PDF p.14, analysis context and joi190079supp1_prod.pdf — PLAN PDF p.16, Strategies for Attrition, lines 769–772. The complete supplied REPORT absence-check union is listed page by page below; every linked page was inspected in the mechanical recheck. jama_flint_2019_oi_190079.pdf — PDF p.1: Abstract and eight headline secondary effects; jama_flint_2019_oi_190079.pdf — main PDF p.2: Key Points and explicit Aims 1–2 scope; jama_flint_2019_oi_190079.pdf — main PDF p.3: Participant flow and methods; jama_flint_2019_oi_190079.pdf — main PDF p.4: Outcome collection and model definitions; jama_flint_2019_oi_190079.pdf — main PDF p.5: Premorbid-weight description and missingness/sensitivity methods; jama_flint_2019_oi_190079.pdf — main PDF p.6: Primary results and safety/multiplicity context; jama_flint_2019_oi_190079.pdf — main PDF p.7: Secondary effects and tolerability results; jama_flint_2019_oi_190079.pdf — main PDF p.8: Table 4 and discussion; jama_flint_2019_oi_190079.pdf — main PDF p.9: Table 5, limitations and conclusion; jama_flint_2019_oi_190079.pdf — main PDF p.10: End matter and references; joi190079supp2_prod.pdf — PDF p.1: Complete eFigure index; joi190079supp2_prod.pdf — results supplement PDF p.2: Weight model means; joi190079supp2_prod.pdf — results supplement PDF p.3: Waist model means; joi190079supp2_prod.pdf — results supplement PDF p.4: Total-cholesterol model means; joi190079supp2_prod.pdf — results supplement PDF p.5: LDL model means; joi190079supp2_prod.pdf — results supplement PDF p.6: HDL model means; joi190079supp2_prod.pdf — results supplement PDF p.7: Triglyceride pattern-mixture means; joi190079supp2_prod.pdf — results supplement PDF p.8: Glucose model means; joi190079supp2_prod.pdf — results supplement PDF p.9: HbA1c model means; joi190079supp2_prod.pdf — results supplement PDF p.10: Simpson-Angus model means; joi190079supp3_prod.pdf — PDF p.1: Administrative data-sharing statement.</t>
        </is>
      </c>
      <c r="D3" s="21" t="inlineStr">
        <is>
          <t>retain</t>
        </is>
      </c>
      <c r="E3" s="21" t="inlineStr">
        <is>
          <t>protocol_report</t>
        </is>
      </c>
      <c r="F3" s="21" t="inlineStr">
        <is>
          <t>primary_done</t>
        </is>
      </c>
      <c r="G3" s="24">
        <f>IFERROR(IF(LEN(TRIM(CLEAN(SUBSTITUTE(Setup!$B$2,CHAR(160)," "))))=0,"CHECK REVIEWER ID",IF(OR(A3="",COUNTIF($A$2:$A$6,A3)&lt;&gt;1,LEFT(A3,LEN("2019::jama.2019.10517::"))&lt;&gt;"2019::jama.2019.10517::"),"CHECK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p. 10 names HOMA insulin resistance as the primary glycemic measure, a separate BMI alternative analysis and a secondary weight analysis accounting for depression-related weight loss; p. 16 plans an Intent-to-Attend attrition model. None appears in the article or eFigures (text search: no HOMA/insulin/BMI/intent hits). Article limits scope to Aims 1-2 but these belong to Aim 2.</t>
        </is>
      </c>
    </row>
    <row r="4" ht="92" customFormat="1" customHeight="1" s="14">
      <c r="A4" s="20" t="inlineStr">
        <is>
          <t>2019::jama.2019.10517::C003</t>
        </is>
      </c>
      <c r="B4" s="20" t="inlineStr">
        <is>
          <t>Adverse-event baseline differs between plan and report</t>
        </is>
      </c>
      <c r="C4" s="20" t="inlineStr">
        <is>
          <t>PLAN joi190079supp1_prod.pdf — PDF p.15, Non-Metabolic Safety Data, lines 705–717; REPORT jama_flint_2019_oi_190079.pdf — PDF p.4, Other Measures of Tolerability and jama_flint_2019_oi_190079.pdf — main PDF p.7, adverse-effect/akathisia results. Phase context: jama_flint_2019_oi_190079.pdf — main PDF p.2 and jama_flint_2019_oi_190079.pdf — main PDF p.3.</t>
        </is>
      </c>
      <c r="D4" s="21" t="inlineStr">
        <is>
          <t>retain</t>
        </is>
      </c>
      <c r="E4" s="21" t="inlineStr">
        <is>
          <t>protocol_report</t>
        </is>
      </c>
      <c r="F4" s="21" t="inlineStr">
        <is>
          <t>primary_done</t>
        </is>
      </c>
      <c r="G4" s="20">
        <f>IFERROR(IF(LEN(TRIM(CLEAN(SUBSTITUTE(Setup!$B$2,CHAR(160)," "))))=0,"CHECK REVIEWER ID",IF(OR(A4="",COUNTIF($A$2:$A$6,A4)&lt;&gt;1,LEFT(A4,LEN("2019::jama.2019.10517::"))&lt;&gt;"2019::jama.2019.10517::"),"CHECK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p. 15 defines phase-specific adverse-event incidence among participants not meeting the criterion at acute-phase baseline (plus week-8-onward reporting); article p. 4 defines UKU adverse effects and incident akathisia relative to RCT baseline. Reference epoch for incidence differs.</t>
        </is>
      </c>
    </row>
    <row r="5" ht="92" customFormat="1" customHeight="1" s="14">
      <c r="A5" s="24" t="inlineStr">
        <is>
          <t>2019::jama.2019.10517::C004</t>
        </is>
      </c>
      <c r="B5" s="24" t="inlineStr">
        <is>
          <t>Safety treatment classification differs from the plan</t>
        </is>
      </c>
      <c r="C5" s="24" t="inlineStr">
        <is>
          <t>PLAN joi190079supp1_prod.pdf — PDF p.14, H2 and joi190079supp1_prod.pdf — PLAN PDF p.16, attrition/classification; REPORT jama_flint_2019_oi_190079.pdf — PDF p.3, Figure 1, jama_flint_2019_oi_190079.pdf — main PDF p.4, Statistical Analyses, jama_flint_2019_oi_190079.pdf — main PDF p.7, secondary effects and jama_flint_2019_oi_190079.pdf — main PDF p.8, Table 4. Every affected randomized-group model title is linked separately: Weight: joi190079supp2_prod.pdf — PDF p.2, eFigure 1; Waist: joi190079supp2_prod.pdf — results supplement PDF p.3, eFigure 2; Total cholesterol: joi190079supp2_prod.pdf — results supplement PDF p.4, eFigure 3; LDL cholesterol: joi190079supp2_prod.pdf — results supplement PDF p.5, eFigure 4; HDL cholesterol: joi190079supp2_prod.pdf — results supplement PDF p.6, eFigure 5; Triglycerides: joi190079supp2_prod.pdf — results supplement PDF p.7, eFigure 6; Glucose: joi190079supp2_prod.pdf — results supplement PDF p.8, eFigure 7; HbA1c: joi190079supp2_prod.pdf — results supplement PDF p.9, eFigure 8.</t>
        </is>
      </c>
      <c r="D5" s="21" t="inlineStr">
        <is>
          <t>retain</t>
        </is>
      </c>
      <c r="E5" s="21" t="inlineStr">
        <is>
          <t>protocol_report</t>
        </is>
      </c>
      <c r="F5" s="21" t="inlineStr">
        <is>
          <t>primary_done</t>
        </is>
      </c>
      <c r="G5" s="24">
        <f>IFERROR(IF(LEN(TRIM(CLEAN(SUBSTITUTE(Setup!$B$2,CHAR(160)," "))))=0,"CHECK REVIEWER ID",IF(OR(A5="",COUNTIF($A$2:$A$6,A5)&lt;&gt;1,LEFT(A5,LEN("2019::jama.2019.10517::"))&lt;&gt;"2019::jama.2019.10517::"),"CHECK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pp. 14, 16: safety (H2) models classify participants 'based on medications taken during protocolized treatment' (regulatory approach). Article p. 4: 'Analyses included all randomized participants'; eFigures 1-8 titles say 'Randomized Groups'. Figure 1 shows 5 + 2 participants not treated as randomized (59+5 = 64; 60+2 = 62).</t>
        </is>
      </c>
    </row>
    <row r="6" ht="92" customFormat="1" customHeight="1" s="14">
      <c r="A6" s="20" t="inlineStr">
        <is>
          <t>2019::jama.2019.10517::C005</t>
        </is>
      </c>
      <c r="B6" s="20" t="inlineStr">
        <is>
          <t>Planned metabolic observation exclusion is placed in sensitivity analysis</t>
        </is>
      </c>
      <c r="C6" s="20" t="inlineStr">
        <is>
          <t>PLAN joi190079supp1_prod.pdf — PDF p.14, H2, lines 673–679; REPORT jama_flint_2019_oi_190079.pdf — PDF p.1, abstract secondary effects, jama_flint_2019_oi_190079.pdf — main PDF p.5, final Statistical Analyses paragraph and jama_flint_2019_oi_190079.pdf — main PDF p.7, secondary/drug-change results.</t>
        </is>
      </c>
      <c r="D6" s="21" t="inlineStr">
        <is>
          <t>retain</t>
        </is>
      </c>
      <c r="E6" s="21" t="inlineStr">
        <is>
          <t>protocol_report</t>
        </is>
      </c>
      <c r="F6" s="21" t="inlineStr">
        <is>
          <t>primary_done</t>
        </is>
      </c>
      <c r="G6" s="20">
        <f>IFERROR(IF(LEN(TRIM(CLEAN(SUBSTITUTE(Setup!$B$2,CHAR(160)," "))))=0,"CHECK REVIEWER ID",IF(OR(A6="",COUNTIF($A$2:$A$6,A6)&lt;&gt;1,LEFT(A6,LEN("2019::jama.2019.10517::"))&lt;&gt;"2019::jama.2019.10517::"),"CHECK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p. 14 builds exclusion of metabolic data after a new/changed hyperlipidemia treatment into the H2 mixed model; article pp. 5, 7 present the exclusion (statins 6+6 = 12, hypoglycemics 2+1 = 3) as a post hoc sensitivity analysis, with the main models including all data. Planned primary rule became a sensitivity analysis and is labeled post hoc.</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0" showErrorMessage="1" allowBlank="1" errorTitle="Use a listed option" error="Choose an option; G also checks pasted entries." type="list" errorStyle="stop">
      <formula1>"retain,exclude,discuss"</formula1>
    </dataValidation>
    <dataValidation sqref="E2:E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6" showDropDown="0" showInputMessage="0" showErrorMessage="1" allowBlank="1" errorTitle="Use a listed option" error="Choose an option; G also checks pasted entries." type="list" errorStyle="stop">
      <formula1>"no,primary_done"</formula1>
    </dataValidation>
    <dataValidation sqref="H2:H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6" showDropDown="0" showInputMessage="0" showErrorMessage="1" allowBlank="1" errorTitle="Use a listed option" error="Choose an option; G also checks pasted entries." type="list" errorStyle="stop">
      <formula1>"direct,possible,unlikely,unknown,not_applicable"</formula1>
    </dataValidation>
    <dataValidation sqref="K2:K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11"/>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2019::jama.2019.12618::C001</t>
        </is>
      </c>
      <c r="B2" s="20" t="inlineStr">
        <is>
          <t>Planned anatomical relative-risk regression outputs are not reported</t>
        </is>
      </c>
      <c r="C2" s="20" t="inlineStr">
        <is>
          <t>PLAN joi190092supp3_prod.pdf — original SAP p.17, Prespecified Subgroup Analysis. PLAN joi190092supp3_prod.pdf — final SAP p.58, corresponding subgroup section. REPORT jama_rathinam_2019_oi_190092.pdf — main p.1, abstract anatomical results. REPORT jama_rathinam_2019_oi_190092.pdf — main p.4, anatomical analysis methods. REPORT jama_rathinam_2019_oi_190092.pdf — main p.5, posterior/panuveitis narrative. REPORT jama_rathinam_2019_oi_190092.pdf — main p.6, Table 2 and intermediate-uveitis narrative. REPORT joi190092supp1_prod.pdf — results supplement p.1, contents identifying the complete pp.1–16 output set.</t>
        </is>
      </c>
      <c r="D2" s="21" t="inlineStr">
        <is>
          <t>retain</t>
        </is>
      </c>
      <c r="E2" s="21" t="inlineStr">
        <is>
          <t>protocol_report</t>
        </is>
      </c>
      <c r="F2" s="21" t="inlineStr">
        <is>
          <t>primary_done</t>
        </is>
      </c>
      <c r="G2" s="20">
        <f>IFERROR(IF(LEN(TRIM(CLEAN(SUBSTITUTE(Setup!$B$2,CHAR(160)," "))))=0,"CHECK REVIEWER ID",IF(OR(A2="",COUNTIF($A$2:$A$11,A2)&lt;&gt;1,LEFT(A2,LEN("2019::jama.2019.12618::"))&lt;&gt;"2019::jama.2019.12618::"),"CHECK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minor_presentation</t>
        </is>
      </c>
      <c r="M2" s="20" t="n"/>
      <c r="N2" s="23" t="n"/>
      <c r="O2" s="23" t="n"/>
      <c r="P2" s="23" t="n"/>
      <c r="Q2" s="23" t="n"/>
      <c r="R2" s="22" t="inlineStr">
        <is>
          <t>Original and final SAP (supp3 pp. 17, 58) promise relative risks in each anatomical stratum from relative-risk regression. Article (pp. 1, 4-6, Table 2) and eSupplement give only ORs and risk differences for the subgroups. Counts allow crude RRs (58/78 vs 42/76: 1.35; 6/18 vs 14/22: 0.52), so the omission is of a planned effect measure, not of the subgroup result.</t>
        </is>
      </c>
    </row>
    <row r="3" ht="92" customFormat="1" customHeight="1" s="14">
      <c r="A3" s="24" t="inlineStr">
        <is>
          <t>2019::jama.2019.12618::C002</t>
        </is>
      </c>
      <c r="B3" s="24" t="inlineStr">
        <is>
          <t>Primary success composite differs in its late-injection component</t>
        </is>
      </c>
      <c r="C3" s="24" t="inlineStr">
        <is>
          <t>PLAN joi190092supp2_prod.pdf — final protocol p.80, §2.5.1 primary endpoint. REPORT jama_rathinam_2019_oi_190092.pdf — main p.3, Treatment and Outcomes. REPORT jama_rathinam_2019_oi_190092.pdf — main p.4, primary analysis population. REPORT jama_rathinam_2019_oi_190092.pdf — main p.6, late-injection and primary-result narrative. PLAN contextual joi190092supp3_prod.pdf — final SAP p.70, §3.5.1 injection sensitivity. PLAN contextual joi190092supp3_prod.pdf — SAP p.81, injection amendment. PLAN historical joi190092supp2_prod.pdf — original protocol p.15, earlier primary definition.</t>
        </is>
      </c>
      <c r="D3" s="21" t="inlineStr">
        <is>
          <t>retain</t>
        </is>
      </c>
      <c r="E3" s="21" t="inlineStr">
        <is>
          <t>protocol_report</t>
        </is>
      </c>
      <c r="F3" s="21" t="inlineStr">
        <is>
          <t>primary_done</t>
        </is>
      </c>
      <c r="G3" s="24">
        <f>IFERROR(IF(LEN(TRIM(CLEAN(SUBSTITUTE(Setup!$B$2,CHAR(160)," "))))=0,"CHECK REVIEWER ID",IF(OR(A3="",COUNTIF($A$2:$A$11,A3)&lt;&gt;1,LEFT(A3,LEN("2019::jama.2019.12618::"))&lt;&gt;"2019::jama.2019.12618::"),"CHECK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Final protocol v4.5 §2.5.1 (supp2 p. 80, scanned; OCR) defines success to include 'no periocular or intravitreal corticosteroid injections after the first 90 days'. Article p. 3 omits this component and calls late injections protocol deviations (4 + 4 patients, p. 6); how these 8 were scored is not stated. Original protocol (p. 15, OCR) lacks the component, so the report matches the earlier definition.</t>
        </is>
      </c>
    </row>
    <row r="4" ht="92" customFormat="1" customHeight="1" s="14">
      <c r="A4" s="20" t="inlineStr">
        <is>
          <t>2019::jama.2019.12618::C003</t>
        </is>
      </c>
      <c r="B4" s="20" t="inlineStr">
        <is>
          <t>Prespecified primary-endpoint robustness outputs are not reported</t>
        </is>
      </c>
      <c r="C4" s="20" t="inlineStr">
        <is>
          <t>PLAN joi190092supp3_prod.pdf — original SAP p.22, §3.3.1 lost-followup sensitivity. PLAN joi190092supp3_prod.pdf — original SAP p.28, §3.5 four-method reporting commitment. PLAN joi190092supp3_prod.pdf — original SAP p.29, longitudinal-model continuation. PLAN joi190092supp3_prod.pdf — final SAP p.62, §3.3.1. PLAN joi190092supp3_prod.pdf — final SAP p.68, §3.5 robustness introduction. PLAN joi190092supp3_prod.pdf — final SAP p.69, four methods and longitudinal structure. PLAN joi190092supp3_prod.pdf — final SAP p.70, injection-time sensitivity. PLAN joi190092supp3_prod.pdf — SAP p.81, injection-sensitivity addition. REPORT jama_rathinam_2019_oi_190092.pdf — main p.4, Statistical Analyses. REPORT jama_rathinam_2019_oi_190092.pdf — main p.6, injection and sensitivity narrative. REPORT jama_rathinam_2019_oi_190092.pdf — main p.7, Figure 2 and imputation result. REPORT joi190092supp1_prod.pdf — results supplement p.1, contents; complete pp.1–16 inspected.</t>
        </is>
      </c>
      <c r="D4" s="21" t="inlineStr">
        <is>
          <t>retain</t>
        </is>
      </c>
      <c r="E4" s="21" t="inlineStr">
        <is>
          <t>protocol_report</t>
        </is>
      </c>
      <c r="F4" s="21" t="inlineStr">
        <is>
          <t>primary_done</t>
        </is>
      </c>
      <c r="G4" s="20">
        <f>IFERROR(IF(LEN(TRIM(CLEAN(SUBSTITUTE(Setup!$B$2,CHAR(160)," "))))=0,"CHECK REVIEWER ID",IF(OR(A4="",COUNTIF($A$2:$A$11,A4)&lt;&gt;1,LEFT(A4,LEN("2019::jama.2019.12618::"))&lt;&gt;"2019::jama.2019.12618::"),"CHECK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Final SAP §3.5 (supp3 pp. 68-69) commits to reporting four missing-data approaches (regression MI, longitudinal GLMM, assigned success/failure, complete case) plus hot-deck MI; §3.3.1 a tipping-point analysis; §3.5.1 an injection-time sensitivity. Article reports complete case (primary) and one MI sensitivity only (p. 7). The rest are absent.</t>
        </is>
      </c>
    </row>
    <row r="5" ht="92" customFormat="1" customHeight="1" s="14">
      <c r="A5" s="24" t="inlineStr">
        <is>
          <t>2019::jama.2019.12618::C004</t>
        </is>
      </c>
      <c r="B5" s="24" t="inlineStr">
        <is>
          <t>Planned rescue primary model and individual confidence intervals are not reported</t>
        </is>
      </c>
      <c r="C5" s="24" t="inlineStr">
        <is>
          <t>PLAN joi190092supp3_prod.pdf — original SAP p.21, §3.2.3 rescue model. PLAN joi190092supp3_prod.pdf — original SAP p.25, Specific Aim 2 primary probability estimates. PLAN joi190092supp3_prod.pdf — final SAP p.61, §3.2.3. PLAN joi190092supp3_prod.pdf — final SAP p.62, interval-reporting continuation. PLAN joi190092supp3_prod.pdf — final SAP p.66, two primary Aim 2 estimates. REPORT jama_rathinam_2019_oi_190092.pdf — main p.4, twelve-month model statement. REPORT jama_rathinam_2019_oi_190092.pdf — main p.6, Table 2 switching row and footnote b. REPORT jama_rathinam_2019_oi_190092.pdf — main p.7, Prespecified 12-Month Outcomes. REPORT joi190092supp1_prod.pdf — results supplement p.1, complete output-set contents. PLAN contextual joi190092supp2_prod.pdf — final protocol p.72, same primary/secondary outcomes within Aim 2. PLAN contextual joi190092supp2_prod.pdf — final protocol p.73, trial-wide secondary rescue designation.</t>
        </is>
      </c>
      <c r="D5" s="21" t="inlineStr">
        <is>
          <t>retain</t>
        </is>
      </c>
      <c r="E5" s="21" t="inlineStr">
        <is>
          <t>protocol_report</t>
        </is>
      </c>
      <c r="F5" s="21" t="inlineStr">
        <is>
          <t>primary_done</t>
        </is>
      </c>
      <c r="G5" s="24">
        <f>IFERROR(IF(LEN(TRIM(CLEAN(SUBSTITUTE(Setup!$B$2,CHAR(160)," "))))=0,"CHECK REVIEWER ID",IF(OR(A5="",COUNTIF($A$2:$A$11,A5)&lt;&gt;1,LEFT(A5,LEN("2019::jama.2019.12618::"))&lt;&gt;"2019::jama.2019.12618::"),"CHECK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Final SAP §3.2.3 (supp3 pp. 61-62, 66): Aim 2 primary analysis is logistic regression with treatment group and reason for first-drug failure, plus success probabilities with 95% CIs for each rescue group. Article Table 2 footnote b and p. 4 use the primary model (treatment fixed, site random) for 20/29 vs 7/20; no failure-reason term and no per-group CIs are reported.</t>
        </is>
      </c>
    </row>
    <row r="6" ht="92" customFormat="1" customHeight="1" s="14">
      <c r="A6" s="20" t="inlineStr">
        <is>
          <t>2019::jama.2019.12618::C005</t>
        </is>
      </c>
      <c r="B6" s="20" t="inlineStr">
        <is>
          <t>Adherence summary inputs do not reproduce the printed Welch P value</t>
        </is>
      </c>
      <c r="C6" s="20" t="inlineStr">
        <is>
          <t>REPORT jama_rathinam_2019_oi_190092.pdf — main p.4, Welch t-test statement and two-sided significance level. REPORT jama_rathinam_2019_oi_190092.pdf — main p.6, Table 2 missed-dose mean (SD) row and n=96/98 headings. REPORT jama_rathinam_2019_oi_190092.pdf — main p.6, repeated adherence narrative and dose-definition footnote j. REPORT contextual jama_rathinam_2019_oi_190092.pdf — main p.7, Figure 2 per-protocol counts and footnote e.</t>
        </is>
      </c>
      <c r="D6" s="21" t="inlineStr">
        <is>
          <t>retain</t>
        </is>
      </c>
      <c r="E6" s="21" t="inlineStr">
        <is>
          <t>statistical_results</t>
        </is>
      </c>
      <c r="F6" s="21" t="inlineStr">
        <is>
          <t>primary_done</t>
        </is>
      </c>
      <c r="G6" s="20">
        <f>IFERROR(IF(LEN(TRIM(CLEAN(SUBSTITUTE(Setup!$B$2,CHAR(160)," "))))=0,"CHECK REVIEWER ID",IF(OR(A6="",COUNTIF($A$2:$A$11,A6)&lt;&gt;1,LEFT(A6,LEN("2019::jama.2019.12618::"))&lt;&gt;"2019::jama.2019.12618::"),"CHECK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Main p. 6/Table 2: missed doses 4.6% (SD 1.0) vs 4.3% (SD 0.5), Welch t test P = .87. Welch with n = 96/98: t = 2.63, df = 139, P = .009 (n = 107/109: P = .006). P = .87 would need SDs of about 12.5 points. Summary statistics and P value are incompatible; one is misreported. The 0.3-point difference is clinically trivial either way.</t>
        </is>
      </c>
    </row>
    <row r="7" ht="92" customFormat="1" customHeight="1" s="14">
      <c r="A7" s="24" t="inlineStr">
        <is>
          <t>2019::jama.2019.12618::C006</t>
        </is>
      </c>
      <c r="B7" s="24" t="inlineStr">
        <is>
          <t>Reported per-protocol adherence cutoff differs from the planned cutoff</t>
        </is>
      </c>
      <c r="C7" s="24" t="inlineStr">
        <is>
          <t>PLAN joi190092supp3_prod.pdf — original SAP p.31, §4.1 per-protocol exclusions. PLAN joi190092supp3_prod.pdf — final SAP p.71, §4.1. PLAN joi190092supp3_prod.pdf — final SAP p.72, §4.2 major-deviation examples. REPORT jama_rathinam_2019_oi_190092.pdf — main p.6, adherence sensitivity narrative. REPORT jama_rathinam_2019_oi_190092.pdf — main p.7, Figure 2 per-protocol model and footnote e.</t>
        </is>
      </c>
      <c r="D7" s="21" t="inlineStr">
        <is>
          <t>retain</t>
        </is>
      </c>
      <c r="E7" s="21" t="inlineStr">
        <is>
          <t>protocol_report</t>
        </is>
      </c>
      <c r="F7" s="21" t="inlineStr">
        <is>
          <t>primary_done</t>
        </is>
      </c>
      <c r="G7" s="24">
        <f>IFERROR(IF(LEN(TRIM(CLEAN(SUBSTITUTE(Setup!$B$2,CHAR(160)," "))))=0,"CHECK REVIEWER ID",IF(OR(A7="",COUNTIF($A$2:$A$11,A7)&lt;&gt;1,LEFT(A7,LEN("2019::jama.2019.12618::"))&lt;&gt;"2019::jama.2019.12618::"),"CHECK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SAP §4.1 (supp3 pp. 31, 71): per-protocol population excludes major protocol deviations and noncompliance &lt;50% of study drug received. Article p. 6 and Figure 2 (p. 7) define the per-protocol model as patients who missed &lt;20% of doses (&gt;80% received), n = 184, with no deviation criterion.</t>
        </is>
      </c>
    </row>
    <row r="8" ht="92" customFormat="1" customHeight="1" s="14">
      <c r="A8" s="20" t="inlineStr">
        <is>
          <t>2019::jama.2019.12618::C007</t>
        </is>
      </c>
      <c r="B8" s="20" t="inlineStr">
        <is>
          <t>Switching-group serious diarrhea percentage does not reconcile</t>
        </is>
      </c>
      <c r="C8" s="20" t="inlineStr">
        <is>
          <t>REPORT joi190092supp1_prod.pdf — results supplement p.15, eTable 9 mycophenolate N=20 heading. REPORT joi190092supp1_prod.pdf — results supplement p.15, Serious Systemic → Diarrhea, mycophenolate 1 (3.4). REPORT joi190092supp1_prod.pdf — results supplement p.15, same-column hemoglobin, allergic-reaction and fever 1 (5.0) entries. REPORT joi190092supp1_prod.pdf — results supplement p.15, adjacent methotrexate N=29 and serious systemic rows. REPORT joi190092supp1_prod.pdf — results supplement p.16, eTable 9 footnote b.</t>
        </is>
      </c>
      <c r="D8" s="21" t="inlineStr">
        <is>
          <t>retain</t>
        </is>
      </c>
      <c r="E8" s="21" t="inlineStr">
        <is>
          <t>statistical_results</t>
        </is>
      </c>
      <c r="F8" s="21" t="inlineStr">
        <is>
          <t>primary_done</t>
        </is>
      </c>
      <c r="G8" s="20">
        <f>IFERROR(IF(LEN(TRIM(CLEAN(SUBSTITUTE(Setup!$B$2,CHAR(160)," "))))=0,"CHECK REVIEWER ID",IF(OR(A8="",COUNTIF($A$2:$A$11,A8)&lt;&gt;1,LEFT(A8,LEN("2019::jama.2019.12618::"))&lt;&gt;"2019::jama.2019.12618::"),"CHECK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minor_presentation</t>
        </is>
      </c>
      <c r="J8" s="22" t="inlineStr">
        <is>
          <t>unlikely</t>
        </is>
      </c>
      <c r="K8" s="21">
        <f>IF(AND(OR(D8="retain",D8=""),OR(E8="report_internal_inconsistency",E8="plan_material")),"","not_applicable")</f>
        <v/>
      </c>
      <c r="L8" s="22">
        <f>IF(AND(OR(D8="retain",D8=""),E8="protocol_report"),"","not_applicable")</f>
        <v/>
      </c>
      <c r="M8" s="20" t="n"/>
      <c r="N8" s="23" t="n"/>
      <c r="O8" s="23" t="n"/>
      <c r="P8" s="23" t="n"/>
      <c r="Q8" s="23" t="n"/>
      <c r="R8" s="22" t="inlineStr">
        <is>
          <t>eTable 9 (supp1 p. 15, rendered): serious systemic diarrhea, mycophenolate column (N = 20) shows 1 (3.4). 1/20 = 5.0%; 1/29 = 3.4% (the methotrexate column N). Other entries in the same column use N = 20 (e.g., allergic reaction 1 (5.0)). Percentage computed with wrong denominator.</t>
        </is>
      </c>
    </row>
    <row r="9" ht="92" customFormat="1" customHeight="1" s="14">
      <c r="A9" s="24" t="inlineStr">
        <is>
          <t>2019::jama.2019.12618::C008</t>
        </is>
      </c>
      <c r="B9" s="24" t="inlineStr">
        <is>
          <t>Rescue power table sequence sizes differ from planned availability</t>
        </is>
      </c>
      <c r="C9" s="24" t="inlineStr">
        <is>
          <t>PLAN joi190092supp3_prod.pdf — original SAP p.25, Aim 2 planning and coding. PLAN joi190092supp3_prod.pdf — original SAP p.26, availability inputs/table and n0/n1. PLAN joi190092supp3_prod.pdf — original SAP p.27, Power Table for Specific Aim 2. PLAN joi190092supp3_prod.pdf — final SAP p.66, repeated Aim 2 planning. PLAN joi190092supp3_prod.pdf — final SAP p.67, availability and power-table headings. PLAN joi190092supp3_prod.pdf — final SAP p.68, seven power scenario rows.</t>
        </is>
      </c>
      <c r="D9" s="21" t="inlineStr">
        <is>
          <t>retain</t>
        </is>
      </c>
      <c r="E9" s="21" t="inlineStr">
        <is>
          <t>plan_material</t>
        </is>
      </c>
      <c r="F9" s="21" t="inlineStr">
        <is>
          <t>primary_done</t>
        </is>
      </c>
      <c r="G9" s="24">
        <f>IFERROR(IF(LEN(TRIM(CLEAN(SUBSTITUTE(Setup!$B$2,CHAR(160)," "))))=0,"CHECK REVIEWER ID",IF(OR(A9="",COUNTIF($A$2:$A$11,A9)&lt;&gt;1,LEFT(A9,LEN("2019::jama.2019.12618::"))&lt;&gt;"2019::jama.2019.12618::"),"CHECK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minor_presentation</t>
        </is>
      </c>
      <c r="L9" s="22">
        <f>IF(AND(OR(D9="retain",D9=""),E9="protocol_report"),"","not_applicable")</f>
        <v/>
      </c>
      <c r="M9" s="24" t="n"/>
      <c r="N9" s="23" t="n"/>
      <c r="O9" s="23" t="n"/>
      <c r="P9" s="23" t="n"/>
      <c r="Q9" s="23" t="n"/>
      <c r="R9" s="22" t="inlineStr">
        <is>
          <t>SAP availability table (supp3 pp. 26, 67, rendered) gives B/A = 58.3 and A/B = 38.9, but the power table headings put 58 under 'Drug A, then Drug B' and the 0.42 rescue success under 'Drug B in patients failing Drug A'. Text defines n1 = 58 and p1 = 0.42 consistently, so the power values reproduce (87%, 80%, 83%...); headings are swapped. Also 58/38 ignore the stated r2 = 0.95 (55.4/36.9 gives 86%).</t>
        </is>
      </c>
    </row>
    <row r="10" ht="92" customFormat="1" customHeight="1" s="14">
      <c r="A10" s="20" t="inlineStr">
        <is>
          <t>2019::jama.2019.12618::C009</t>
        </is>
      </c>
      <c r="B10" s="20" t="inlineStr">
        <is>
          <t>Printed detectable rescue difference does not reconcile with probability inputs</t>
        </is>
      </c>
      <c r="C10" s="20" t="inlineStr">
        <is>
          <t>PLAN joi190092supp3_prod.pdf — original SAP p.26, rescue power formula and definitions. PLAN joi190092supp3_prod.pdf — original SAP p.27, 17% sentence. PLAN joi190092supp3_prod.pdf — original SAP p.27, probability table and 25% summary. PLAN joi190092supp3_prod.pdf — final SAP p.67, repeated formula and 17% sentence. PLAN joi190092supp3_prod.pdf — final SAP p.68, probability table and summary.</t>
        </is>
      </c>
      <c r="D10" s="21" t="inlineStr">
        <is>
          <t>retain</t>
        </is>
      </c>
      <c r="E10" s="21" t="inlineStr">
        <is>
          <t>plan_material</t>
        </is>
      </c>
      <c r="F10" s="21" t="inlineStr">
        <is>
          <t>primary_done</t>
        </is>
      </c>
      <c r="G10" s="20">
        <f>IFERROR(IF(LEN(TRIM(CLEAN(SUBSTITUTE(Setup!$B$2,CHAR(160)," "))))=0,"CHECK REVIEWER ID",IF(OR(A10="",COUNTIF($A$2:$A$11,A10)&lt;&gt;1,LEFT(A10,LEN("2019::jama.2019.12618::"))&lt;&gt;"2019::jama.2019.12618::"),"CHECK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t="inlineStr">
        <is>
          <t>minor_presentation</t>
        </is>
      </c>
      <c r="L10" s="22">
        <f>IF(AND(OR(D10="retain",D10=""),E10="protocol_report"),"","not_applicable")</f>
        <v/>
      </c>
      <c r="M10" s="20" t="n"/>
      <c r="N10" s="23" t="n"/>
      <c r="O10" s="23" t="n"/>
      <c r="P10" s="23" t="n"/>
      <c r="Q10" s="23" t="n"/>
      <c r="R10" s="22" t="inlineStr">
        <is>
          <t>SAP (supp3 pp. 27, 67) says '80% power to detect a difference of 17% if the probability of success with mycophenolate mofetil is 0.42'; the table row 0.42 vs 0.17 gives 80% (recomputed 0.802) and the summary says a 25% difference. 0.42 - 0.17 = 0.25. A literal 17-point difference (0.42 vs 0.25) gives 43% power. '17%' is the comparator probability, not the difference.</t>
        </is>
      </c>
    </row>
    <row r="11" ht="92" customFormat="1" customHeight="1" s="14">
      <c r="A11" s="24" t="inlineStr">
        <is>
          <t>2019::jama.2019.12618::C010</t>
        </is>
      </c>
      <c r="B11" s="24" t="inlineStr">
        <is>
          <t>Final primary safety-failure laboratory cutoffs differ at exact boundaries</t>
        </is>
      </c>
      <c r="C11" s="24" t="inlineStr">
        <is>
          <t>PLAN joi190092supp2_prod.pdf — final protocol p.80, §2.5.1 primary success composite. PLAN joi190092supp2_prod.pdf — final protocol p.81, §2.5.2/Table 3 safety failure and laboratory thresholds. PLAN joi190092supp2_prod.pdf — final protocol p.136, immediate laboratory serious-event failure. REPORT jama_rathinam_2019_oi_190092.pdf — main p.3, primary success/failure definition. REPORT jama_rathinam_2019_oi_190092.pdf — main p.6, Table 2 safety-failure counts and footnote. REPORT jama_rathinam_2019_oi_190092.pdf — main p.7, drug-related serious liver-function events. REPORT jama_rathinam_2019_oi_190092.pdf — main p.8, Table 3 laboratory rows and definition pointer. REPORT joi190092supp1_prod.pdf — results supplement p.5, eTable 1 laboratory definitions. PLAN historical joi190092supp2_prod.pdf — original protocol p.16, earlier thresholds. PLAN contextual joi190092supp2_prod.pdf — revision p.148, version 2.2 laboratory-wording revision. PLAN contextual joi190092supp2_prod.pdf — revision p.153, versions 4.4/4.5 persistence and later changes.</t>
        </is>
      </c>
      <c r="D11" s="21" t="inlineStr">
        <is>
          <t>retain</t>
        </is>
      </c>
      <c r="E11" s="21" t="inlineStr">
        <is>
          <t>protocol_report</t>
        </is>
      </c>
      <c r="F11" s="21" t="inlineStr">
        <is>
          <t>primary_done</t>
        </is>
      </c>
      <c r="G11" s="24">
        <f>IFERROR(IF(LEN(TRIM(CLEAN(SUBSTITUTE(Setup!$B$2,CHAR(160)," "))))=0,"CHECK REVIEWER ID",IF(OR(A11="",COUNTIF($A$2:$A$11,A11)&lt;&gt;1,LEFT(A11,LEN("2019::jama.2019.12618::"))&lt;&gt;"2019::jama.2019.12618::"),"CHECK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t="inlineStr">
        <is>
          <t>minor_presentation</t>
        </is>
      </c>
      <c r="M11" s="24" t="n"/>
      <c r="N11" s="23" t="n"/>
      <c r="O11" s="23" t="n"/>
      <c r="P11" s="23" t="n"/>
      <c r="Q11" s="23" t="n"/>
      <c r="R11" s="22" t="inlineStr">
        <is>
          <t>Final protocol Table 3 (supp2 p. 81, scanned; OCR): serious lab events AST/ALT &gt;=5x ULN, leukocytes &lt;=1000/uL, hemoglobin &lt;6.5; nonserious Hb &gt;=6.5 to &lt;9. Report Table 3 (p. 8) and eTable 1 (supp1 p. 5): AST/ALT &gt;5x, leukocytes &lt;1000, Hb &gt;6.5 to &lt;9. Only exact boundary values are treated differently; cutoffs otherwise agree.</t>
        </is>
      </c>
    </row>
  </sheetData>
  <autoFilter ref="A1:R11"/>
  <conditionalFormatting sqref="H2:H11">
    <cfRule type="expression" priority="8" dxfId="70">
      <formula>NOT(AND(OR($D2="retain",$D2=""),$E2="statistical_results"))</formula>
    </cfRule>
  </conditionalFormatting>
  <conditionalFormatting sqref="I2:I11">
    <cfRule type="expression" priority="9" dxfId="70">
      <formula>NOT(AND(OR($D2="retain",$D2=""),$E2="statistical_results"))</formula>
    </cfRule>
  </conditionalFormatting>
  <conditionalFormatting sqref="J2:J11">
    <cfRule type="expression" priority="10" dxfId="70">
      <formula>NOT(AND(OR($D2="retain",$D2=""),$E2="statistical_results"))</formula>
    </cfRule>
  </conditionalFormatting>
  <conditionalFormatting sqref="K2:K11">
    <cfRule type="expression" priority="11" dxfId="70">
      <formula>NOT(AND(OR($D2="retain",$D2=""),OR($E2="report_internal_inconsistency",$E2="plan_material")))</formula>
    </cfRule>
  </conditionalFormatting>
  <conditionalFormatting sqref="L2:L11">
    <cfRule type="expression" priority="12" dxfId="70">
      <formula>NOT(AND(OR($D2="retain",$D2=""),$E2="protocol_report"))</formula>
    </cfRule>
  </conditionalFormatting>
  <conditionalFormatting sqref="G2:G11">
    <cfRule type="expression" priority="13" dxfId="71">
      <formula>G2&lt;&gt;"PRIMARY READY"</formula>
    </cfRule>
  </conditionalFormatting>
  <dataValidations count="8">
    <dataValidation sqref="D2:D11" showDropDown="0" showInputMessage="0" showErrorMessage="1" allowBlank="1" errorTitle="Use a listed option" error="Choose an option; G also checks pasted entries." type="list" errorStyle="stop">
      <formula1>"retain,exclude,discuss"</formula1>
    </dataValidation>
    <dataValidation sqref="E2:E11"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1" showDropDown="0" showInputMessage="0" showErrorMessage="1" allowBlank="1" errorTitle="Use a listed option" error="Choose an option; G also checks pasted entries." type="list" errorStyle="stop">
      <formula1>"no,primary_done"</formula1>
    </dataValidation>
    <dataValidation sqref="H2:H11"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1"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1" showDropDown="0" showInputMessage="0" showErrorMessage="1" allowBlank="1" errorTitle="Use a listed option" error="Choose an option; G also checks pasted entries." type="list" errorStyle="stop">
      <formula1>"direct,possible,unlikely,unknown,not_applicable"</formula1>
    </dataValidation>
    <dataValidation sqref="K2:K11"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1"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2019::jama.2019.14231::C001</t>
        </is>
      </c>
      <c r="B2" s="20" t="inlineStr">
        <is>
          <t>Primary matching allocation differs between plan and report</t>
        </is>
      </c>
      <c r="C2" s="20" t="inlineStr">
        <is>
          <t>PLAN joi190103supp2_prod.pdf — p3, Matching Process, joi190103supp2_prod.pdf — p6, sensitivity ratios and joi190103supp2_prod.pdf — p7, amendment; REPORT jama_aminian_2019_oi_190103.pdf — p1, abstract, jama_aminian_2019_oi_190103.pdf — p3, Figure 1 and matching caption and jama_aminian_2019_oi_190103.pdf — p4, statistical analysis.</t>
        </is>
      </c>
      <c r="D2" s="21" t="inlineStr">
        <is>
          <t>retain</t>
        </is>
      </c>
      <c r="E2" s="21" t="inlineStr">
        <is>
          <t>protocol_report</t>
        </is>
      </c>
      <c r="F2" s="21" t="inlineStr">
        <is>
          <t>primary_done</t>
        </is>
      </c>
      <c r="G2" s="20">
        <f>IFERROR(IF(LEN(TRIM(CLEAN(SUBSTITUTE(Setup!$B$2,CHAR(160)," "))))=0,"CHECK REVIEWER ID",IF(OR(A2="",COUNTIF($A$2:$A$9,A2)&lt;&gt;1,LEFT(A2,LEN("2019::jama.2019.14231::"))&lt;&gt;"2019::jama.2019.14231::"),"CHECK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minor_presentation</t>
        </is>
      </c>
      <c r="M2" s="20" t="n"/>
      <c r="N2" s="23" t="n"/>
      <c r="O2" s="23" t="n"/>
      <c r="P2" s="23" t="n"/>
      <c r="Q2" s="23" t="n"/>
      <c r="R2" s="22" t="inlineStr">
        <is>
          <t>Protocol (supp2 p. 3): 'Each non-surgical patient will be matched ... to five (5) surgical patients'; article (pp. 1, 3-4): each surgical patient matched to 5 nonsurgical (2287 and 11 435; 11 435/2287 = 5.0). The protocol's own sensitivity section (p. 6) refers to reporting the 1:5 dataset, so the plan sentence reads as transposed wording; the conduct is clear.</t>
        </is>
      </c>
    </row>
    <row r="3" ht="92" customFormat="1" customHeight="1" s="14">
      <c r="A3" s="24" t="inlineStr">
        <is>
          <t>2019::jama.2019.14231::C002</t>
        </is>
      </c>
      <c r="B3" s="24" t="inlineStr">
        <is>
          <t>Five absolute risk differences do not reproduce displayed risk subtraction</t>
        </is>
      </c>
      <c r="C3" s="24" t="inlineStr">
        <is>
          <t>Each affected row is in jama_aminian_2019_oi_190103.pdf — p7, Table 2: jama_aminian_2019_oi_190103.pdf — heart failure, jama_aminian_2019_oi_190103.pdf — coronary artery disease, jama_aminian_2019_oi_190103.pdf — cerebrovascular disease, jama_aminian_2019_oi_190103.pdf — nephropathy and jama_aminian_2019_oi_190103.pdf — atrial fibrillation, comparing group-risk columns, difference column and footnote a. jama_aminian_2019_oi_190103.pdf — Main p4 describes methods; joi190103supp1_prod.pdf — p7, eTable 5 corroborates every group risk.</t>
        </is>
      </c>
      <c r="D3" s="21" t="inlineStr">
        <is>
          <t>retain</t>
        </is>
      </c>
      <c r="E3" s="21" t="inlineStr">
        <is>
          <t>statistical_results</t>
        </is>
      </c>
      <c r="F3" s="21" t="inlineStr">
        <is>
          <t>primary_done</t>
        </is>
      </c>
      <c r="G3" s="24">
        <f>IFERROR(IF(LEN(TRIM(CLEAN(SUBSTITUTE(Setup!$B$2,CHAR(160)," "))))=0,"CHECK REVIEWER ID",IF(OR(A3="",COUNTIF($A$2:$A$9,A3)&lt;&gt;1,LEFT(A3,LEN("2019::jama.2019.14231::"))&lt;&gt;"2019::jama.2019.14231::"),"CHECK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substantive</t>
        </is>
      </c>
      <c r="J3" s="22" t="inlineStr">
        <is>
          <t>direct</t>
        </is>
      </c>
      <c r="K3" s="21">
        <f>IF(AND(OR(D3="retain",D3=""),OR(E3="report_internal_inconsistency",E3="plan_material")),"","not_applicable")</f>
        <v/>
      </c>
      <c r="L3" s="22">
        <f>IF(AND(OR(D3="retain",D3=""),E3="protocol_report"),"","not_applicable")</f>
        <v/>
      </c>
      <c r="M3" s="24" t="n"/>
      <c r="N3" s="23" t="n"/>
      <c r="O3" s="23" t="n"/>
      <c r="P3" s="23" t="n"/>
      <c r="Q3" s="23" t="n"/>
      <c r="R3" s="22" t="inlineStr">
        <is>
          <t>Table 2 (main p. 7): ARD = control minus surgery 8-y risk reproduces for primary, secondary and mortality (16.9, 10.6, 7.8) but not for HF (18.9-6.8 = 12.1 vs 12.9), CAD (3.7 vs 4.2), cerebrovascular (1.5 vs 1.8), nephropathy (10.2 vs 11.1) or AF (5.7 vs 6.5); eTable 5 confirms the group risks. Gaps 0.3-0.9 points exceed rounding. The five rows are exactly those with outcome-specific risk sets.</t>
        </is>
      </c>
    </row>
    <row r="4" ht="92" customFormat="1" customHeight="1" s="14">
      <c r="A4" s="20" t="inlineStr">
        <is>
          <t>2019::jama.2019.14231::C003</t>
        </is>
      </c>
      <c r="B4" s="20" t="inlineStr">
        <is>
          <t>Cerebrovascular interval and treatment test give different null readings</t>
        </is>
      </c>
      <c r="C4" s="20" t="inlineStr">
        <is>
          <t>jama_aminian_2019_oi_190103.pdf — p7, Table 2 cerebrovascular row and footnotes a/b, jama_aminian_2019_oi_190103.pdf — p4, inference methods and narrative beginning and jama_aminian_2019_oi_190103.pdf — p6, lower-incidence narrative continuation; corroborating adjusted estimates in jama_aminian_2019_oi_190103.pdf — p8, Figure 3D and joi190103supp1_prod.pdf — p9, eTable 6.</t>
        </is>
      </c>
      <c r="D4" s="21" t="inlineStr">
        <is>
          <t>exclude</t>
        </is>
      </c>
      <c r="E4" s="21" t="inlineStr">
        <is>
          <t>statistical_results</t>
        </is>
      </c>
      <c r="F4" s="21" t="inlineStr">
        <is>
          <t>primary_done</t>
        </is>
      </c>
      <c r="G4" s="20">
        <f>IFERROR(IF(LEN(TRIM(CLEAN(SUBSTITUTE(Setup!$B$2,CHAR(160)," "))))=0,"CHECK REVIEWER ID",IF(OR(A4="",COUNTIF($A$2:$A$9,A4)&lt;&gt;1,LEFT(A4,LEN("2019::jama.2019.14231::"))&lt;&gt;"2019::jama.2019.14231::"),"CHECK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inlineStr">
        <is>
          <t>Cerebrovascular row: unadjusted 8-year KM ARD 1.8 (bootstrap 95% CI -0.03 to 3.4) vs adjusted Cox HR 0.67 (0.48-0.94), P = .02 (P implied by HR CI = .0195). Different estimands and models (fixed-time unadjusted risk difference vs adjusted hazard ratio over follow-up); differing null readings are not a contradiction.</t>
        </is>
      </c>
    </row>
    <row r="5" ht="92" customFormat="1" customHeight="1" s="14">
      <c r="A5" s="24" t="inlineStr">
        <is>
          <t>2019::jama.2019.14231::C004</t>
        </is>
      </c>
      <c r="B5" s="24" t="inlineStr">
        <is>
          <t>Coronary diagnosis-position criteria differ between printed plan and report</t>
        </is>
      </c>
      <c r="C5" s="24" t="inlineStr">
        <is>
          <t>joi190103supp2_prod.pdf — p4, opening eTable 1 reference, coronary Other criteria and primary endpoint and joi190103supp2_prod.pdf — p7, amendment; joi190103supp1_prod.pdf — p2, eTable 1 coronary row and bold-text footnote; jama_aminian_2019_oi_190103.pdf — p2, endpoint definition and jama_aminian_2019_oi_190103.pdf — p7, Table 2.</t>
        </is>
      </c>
      <c r="D5" s="21" t="inlineStr">
        <is>
          <t>retain</t>
        </is>
      </c>
      <c r="E5" s="21" t="inlineStr">
        <is>
          <t>protocol_report</t>
        </is>
      </c>
      <c r="F5" s="21" t="inlineStr">
        <is>
          <t>primary_done</t>
        </is>
      </c>
      <c r="G5" s="24">
        <f>IFERROR(IF(LEN(TRIM(CLEAN(SUBSTITUTE(Setup!$B$2,CHAR(160)," "))))=0,"CHECK REVIEWER ID",IF(OR(A5="",COUNTIF($A$2:$A$9,A5)&lt;&gt;1,LEFT(A5,LEN("2019::jama.2019.14231::"))&lt;&gt;"2019::jama.2019.14231::"),"CHECK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indeterminate</t>
        </is>
      </c>
      <c r="M5" s="24" t="n"/>
      <c r="N5" s="23" t="n"/>
      <c r="O5" s="23" t="n"/>
      <c r="P5" s="23" t="n"/>
      <c r="Q5" s="23" t="n"/>
      <c r="R5" s="22" t="inlineStr">
        <is>
          <t>Protocol p. 4 lists CAD 'Other' codes (ICD9 411.X, 411.X AND 414.X) with no diagnosis-position condition; report eTable 1 (supp1 p. 2, rendered) bolds 411.X and 414.X with footnote 'must be a primary diagnosis'. The protocol also says 'see eTable 1 for diagnosis codes/definitions', so the plan may already have carried the restriction; the plan's eTable is not supplied.</t>
        </is>
      </c>
    </row>
    <row r="6" ht="92" customFormat="1" customHeight="1" s="14">
      <c r="A6" s="20" t="inlineStr">
        <is>
          <t>2019::jama.2019.14231::C005</t>
        </is>
      </c>
      <c r="B6" s="20" t="inlineStr">
        <is>
          <t>Atrial-fibrillation code criterion differs between printed plan and report</t>
        </is>
      </c>
      <c r="C6" s="20" t="inlineStr">
        <is>
          <t>joi190103supp2_prod.pdf — p4, opening eTable 1 reference, AF list and primary endpoint and joi190103supp2_prod.pdf — p7, amendment; joi190103supp1_prod.pdf — p2, eTable 1 AF row; jama_aminian_2019_oi_190103.pdf — p2, endpoint definition and jama_aminian_2019_oi_190103.pdf — p7, Table 2 AF/primary rows.</t>
        </is>
      </c>
      <c r="D6" s="21" t="inlineStr">
        <is>
          <t>retain</t>
        </is>
      </c>
      <c r="E6" s="21" t="inlineStr">
        <is>
          <t>protocol_report</t>
        </is>
      </c>
      <c r="F6" s="21" t="inlineStr">
        <is>
          <t>primary_done</t>
        </is>
      </c>
      <c r="G6" s="20">
        <f>IFERROR(IF(LEN(TRIM(CLEAN(SUBSTITUTE(Setup!$B$2,CHAR(160)," "))))=0,"CHECK REVIEWER ID",IF(OR(A6="",COUNTIF($A$2:$A$9,A6)&lt;&gt;1,LEFT(A6,LEN("2019::jama.2019.14231::"))&lt;&gt;"2019::jama.2019.14231::"),"CHECK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p. 4 lists AF ICD-10 codes i48.0, i48.2, i48.91; report eTable 1 (supp1 p. 2, rendered) lists i48.0, i48.1, i48.2, i48.91. Persistent AF (i48.1) is added to a component of the primary composite. The protocol refers to eTable 1, so the plan's governing list is uncertain, but the printed lists differ.</t>
        </is>
      </c>
    </row>
    <row r="7" ht="92" customFormat="1" customHeight="1" s="14">
      <c r="A7" s="24" t="inlineStr">
        <is>
          <t>2019::jama.2019.14231::C006</t>
        </is>
      </c>
      <c r="B7" s="24" t="inlineStr">
        <is>
          <t>Planned multiplicity rule and reported longitudinal intervals differ</t>
        </is>
      </c>
      <c r="C7" s="24" t="inlineStr">
        <is>
          <t>joi190103supp2_prod.pdf — p6, weight/HbA1c paragraph and subsequent inference rule and joi190103supp2_prod.pdf — p7, nutritional amendment; joi190103supp1_prod.pdf — p12, eTable 8, all 52 entries, confidence heading and both method/confidence footnotes; jama_aminian_2019_oi_190103.pdf — p4, general inference context.</t>
        </is>
      </c>
      <c r="D7" s="21" t="inlineStr">
        <is>
          <t>retain</t>
        </is>
      </c>
      <c r="E7" s="21" t="inlineStr">
        <is>
          <t>protocol_report</t>
        </is>
      </c>
      <c r="F7" s="21" t="inlineStr">
        <is>
          <t>primary_done</t>
        </is>
      </c>
      <c r="G7" s="24">
        <f>IFERROR(IF(LEN(TRIM(CLEAN(SUBSTITUTE(Setup!$B$2,CHAR(160)," "))))=0,"CHECK REVIEWER ID",IF(OR(A7="",COUNTIF($A$2:$A$9,A7)&lt;&gt;1,LEFT(A7,LEN("2019::jama.2019.14231::"))&lt;&gt;"2019::jama.2019.14231::"),"CHECK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p. 6: no adjustment for multiple comparisons of secondary end points; 95% CIs reported. Report eTable 8 (supp1 p. 12, rendered) gives Bonferroni-corrected 98.8% CIs for weight, HbA1c, nutritional and medication changes at 1, 2, 5, 8 years. The main text (p. 7, Figure 4) labels the same 8-year HbA1c interval (1.0-1.2) as 95%.</t>
        </is>
      </c>
    </row>
    <row r="8" ht="92" customFormat="1" customHeight="1" s="14">
      <c r="A8" s="20" t="inlineStr">
        <is>
          <t>2019::jama.2019.14231::C007</t>
        </is>
      </c>
      <c r="B8" s="20" t="inlineStr">
        <is>
          <t>Year-5 hemoglobin interval and P value give different null readings</t>
        </is>
      </c>
      <c r="C8" s="20" t="inlineStr">
        <is>
          <t>joi190103supp1_prod.pdf — p12, eTable 8 hemoglobin year-5 estimate/interval/P, confidence heading and both footnotes; jama_aminian_2019_oi_190103.pdf — p4, two-sided and spline methods.</t>
        </is>
      </c>
      <c r="D8" s="21" t="inlineStr">
        <is>
          <t>exclude</t>
        </is>
      </c>
      <c r="E8" s="21" t="inlineStr">
        <is>
          <t>statistical_results</t>
        </is>
      </c>
      <c r="F8" s="21" t="inlineStr">
        <is>
          <t>primary_done</t>
        </is>
      </c>
      <c r="G8" s="20">
        <f>IFERROR(IF(LEN(TRIM(CLEAN(SUBSTITUTE(Setup!$B$2,CHAR(160)," "))))=0,"CHECK REVIEWER ID",IF(OR(A8="",COUNTIF($A$2:$A$9,A8)&lt;&gt;1,LEFT(A8,LEN("2019::jama.2019.14231::"))&lt;&gt;"2019::jama.2019.14231::"),"CHECK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inlineStr">
        <is>
          <t>eTable 8 year-5 hemoglobin -0.1 (98.8% CI -0.2, 0), P &lt;.001. With one-decimal display, e.g. estimate -0.15, limits -0.25 and -0.05 print as -0.1 (-0.2, 0) [-0.05 rounds to -0.0/0]; then SE = 0.1/2.51 = 0.040, z = 3.8, P = .0002. Display precision explains the apparent conflict.</t>
        </is>
      </c>
    </row>
    <row r="9" ht="92" customFormat="1" customHeight="1" s="14">
      <c r="A9" s="24" t="inlineStr">
        <is>
          <t>2019::jama.2019.14231::C008</t>
        </is>
      </c>
      <c r="B9" s="24" t="inlineStr">
        <is>
          <t>Primary E-values do not reproduce the comparator supported by other rows</t>
        </is>
      </c>
      <c r="C9" s="24" t="inlineStr">
        <is>
          <t>joi190103supp1_prod.pdf — p20, eTable 12 primary pair and all seven comparator pairs, joi190103supp1_prod.pdf — p19, E-value definition and repeated primary 2.15/1.92 interpretation and joi190103supp1_prod.pdf — p9, eTable 6 corresponding treatment HR/upper limits; jama_aminian_2019_oi_190103.pdf — p7, Table 2 matching inputs and jama_aminian_2019_oi_190103.pdf — p9, generic robustness discussion. joi190103supp2_prod.pdf — PLAN amendment p7 only corroborates intended eight-outcome E-value scope.</t>
        </is>
      </c>
      <c r="D9" s="21" t="inlineStr">
        <is>
          <t>retain</t>
        </is>
      </c>
      <c r="E9" s="21" t="inlineStr">
        <is>
          <t>statistical_results</t>
        </is>
      </c>
      <c r="F9" s="21" t="inlineStr">
        <is>
          <t>primary_done</t>
        </is>
      </c>
      <c r="G9" s="24">
        <f>IFERROR(IF(LEN(TRIM(CLEAN(SUBSTITUTE(Setup!$B$2,CHAR(160)," "))))=0,"CHECK REVIEWER ID",IF(OR(A9="",COUNTIF($A$2:$A$9,A9)&lt;&gt;1,LEFT(A9,LEN("2019::jama.2019.14231::"))&lt;&gt;"2019::jama.2019.14231::"),"CHECK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possible</t>
        </is>
      </c>
      <c r="K9" s="21">
        <f>IF(AND(OR(D9="retain",D9=""),OR(E9="report_internal_inconsistency",E9="plan_material")),"","not_applicable")</f>
        <v/>
      </c>
      <c r="L9" s="22">
        <f>IF(AND(OR(D9="retain",D9=""),E9="protocol_report"),"","not_applicable")</f>
        <v/>
      </c>
      <c r="M9" s="24" t="n"/>
      <c r="N9" s="23" t="n"/>
      <c r="O9" s="23" t="n"/>
      <c r="P9" s="23" t="n"/>
      <c r="Q9" s="23" t="n"/>
      <c r="R9" s="22" t="inlineStr">
        <is>
          <t>eTable 12 (supp1 p. 20): rare-outcome E-value 1/HR + sqrt(1/HR(1/HR-1)) reproduces all 7 non-primary rows (e.g., HF 0.38: 4.70; printed 4.69) but not the primary (HR 0.61: 2.66, upper 0.69: 2.26; printed 2.15/1.92). The primary pair matches the common-outcome conversion RR = (1-0.5^sqrt(HR))/(1-0.5^sqrt(1/HR)): 2.16/1.91. Methods differ across rows without statement.</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10"/>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2019::jama.2019.14630::C001</t>
        </is>
      </c>
      <c r="B2" s="20" t="inlineStr">
        <is>
          <t>Outcome hierarchy in the interim report</t>
        </is>
      </c>
      <c r="C2" s="20" t="inlineStr">
        <is>
          <t>REPORT jama_saynorea_2019_oi_190106_1635377898.43062.pdf — main p.1 abstract, jama_saynorea_2019_oi_190106_1635377898.43062.pdf — p.2 interim scope, jama_saynorea_2019_oi_190106_1635377898.43062.pdf — p.3 Outcomes, jama_saynorea_2019_oi_190106_1635377898.43062.pdf — p.4 secondary/exploratory status; PLAN joi190106supp1_prod_1635377898.47058.pdf — protocol p.13 objectives, joi190106supp1_prod_1635377898.47058.pdf — p.31 weight outcome, joi190106supp1_prod_1635377898.47058.pdf — p.38 intermediate markers, joi190106supp2_prod_1635377898.49605.pdf — SAP p.5 objectives, joi190106supp2_prod_1635377898.49605.pdf — p.9 weight/Y1 schedule and joi190106supp2_prod_1635377898.49605.pdf — p.10 diet/nutrient/marker schedule.</t>
        </is>
      </c>
      <c r="D2" s="21" t="inlineStr">
        <is>
          <t>retain</t>
        </is>
      </c>
      <c r="E2" s="21" t="inlineStr">
        <is>
          <t>protocol_report</t>
        </is>
      </c>
      <c r="F2" s="21" t="inlineStr">
        <is>
          <t>primary_done</t>
        </is>
      </c>
      <c r="G2" s="20">
        <f>IFERROR(IF(LEN(TRIM(CLEAN(SUBSTITUTE(Setup!$B$2,CHAR(160)," "))))=0,"CHECK REVIEWER ID",IF(OR(A2="",COUNTIF($A$2:$A$10,A2)&lt;&gt;1,LEFT(A2,LEN("2019::jama.2019.14630::"))&lt;&gt;"2019::jama.2019.14630::"),"CHECK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p. 13 and SAP pp. 5, 9-10: primary outcomes are CVD and weight change; dietary scores and nutrient intake are 'other intermediate outcomes'. Interim report (pp. 1-4) makes 12-month er-MedDiet score change the primary end point and weight/waist/risk factors secondary. Disclosed as an interim exploratory analysis (p. 2), but no prospective interim hierarchy is supplied.</t>
        </is>
      </c>
    </row>
    <row r="3" ht="92" customFormat="1" customHeight="1" s="14">
      <c r="A3" s="24" t="inlineStr">
        <is>
          <t>2019::jama.2019.14630::C002</t>
        </is>
      </c>
      <c r="B3" s="24" t="inlineStr">
        <is>
          <t>Baseline nutritional filtering and the weight analysis set</t>
        </is>
      </c>
      <c r="C3" s="24" t="inlineStr">
        <is>
          <t>PLAN joi190106supp1_prod_1635377898.47058.pdf — protocol p.52 lines1636–1639 and joi190106supp2_prod_1635377898.49605.pdf — SAP p.13 lines304–308; REPORT jama_saynorea_2019_oi_190106_1635377898.43062.pdf — main p.3 Figure1, jama_saynorea_2019_oi_190106_1635377898.43062.pdf — p.4 cohort restriction and joi190106supp3_prod_1635377898.49725.pdf — results p.23 eTable9 weight.</t>
        </is>
      </c>
      <c r="D3" s="21" t="inlineStr">
        <is>
          <t>retain</t>
        </is>
      </c>
      <c r="E3" s="21" t="inlineStr">
        <is>
          <t>protocol_report</t>
        </is>
      </c>
      <c r="F3" s="21" t="inlineStr">
        <is>
          <t>primary_done</t>
        </is>
      </c>
      <c r="G3" s="24">
        <f>IFERROR(IF(LEN(TRIM(CLEAN(SUBSTITUTE(Setup!$B$2,CHAR(160)," "))))=0,"CHECK REVIEWER ID",IF(OR(A3="",COUNTIF($A$2:$A$10,A3)&lt;&gt;1,LEFT(A3,LEN("2019::jama.2019.14630::"))&lt;&gt;"2019::jama.2019.14630::"),"CHECK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p. 52 and SAP p. 13: all analyses ITT, each participant remaining in the allocated group. Report (p. 4, Figure 1, eTable 9) excludes 291 randomized participants (53 without baseline FFQ, 238 with implausible energy intake) from all principal analyses, including weight: 3406-134 = 3272, 3468-157 = 3311, total 6583. This dietary-plausibility filter is not a planned membership rule for weight.</t>
        </is>
      </c>
    </row>
    <row r="4" ht="92" customFormat="1" customHeight="1" s="14">
      <c r="A4" s="20" t="inlineStr">
        <is>
          <t>2019::jama.2019.14630::C003</t>
        </is>
      </c>
      <c r="B4" s="20" t="inlineStr">
        <is>
          <t>Principal and sensitivity analysis ordering</t>
        </is>
      </c>
      <c r="C4" s="20" t="inlineStr">
        <is>
          <t>PLAN joi190106supp2_prod_1635377898.49605.pdf — SAP p.13 population alternatives and joi190106supp2_prod_1635377898.49605.pdf — p.26 lines776–779; REPORT jama_saynorea_2019_oi_190106_1635377898.43062.pdf — main p.4 Statistical Analysis, jama_saynorea_2019_oi_190106_1635377898.43062.pdf — p.5 Table2 MI header, joi190106supp3_prod_1635377898.49725.pdf — results p.9 completer sensitivity title and joi190106supp3_prod_1635377898.49725.pdf — p.23 eTable9 weight columns.</t>
        </is>
      </c>
      <c r="D4" s="21" t="inlineStr">
        <is>
          <t>retain</t>
        </is>
      </c>
      <c r="E4" s="21" t="inlineStr">
        <is>
          <t>protocol_report</t>
        </is>
      </c>
      <c r="F4" s="21" t="inlineStr">
        <is>
          <t>primary_done</t>
        </is>
      </c>
      <c r="G4" s="20">
        <f>IFERROR(IF(LEN(TRIM(CLEAN(SUBSTITUTE(Setup!$B$2,CHAR(160)," "))))=0,"CHECK REVIEWER ID",IF(OR(A4="",COUNTIF($A$2:$A$10,A4)&lt;&gt;1,LEFT(A4,LEN("2019::jama.2019.14630::"))&lt;&gt;"2019::jama.2019.14630::"),"CHECK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SAP p. 26: 'Main analyses will be based on an intention-to-treat approach with completers only. As sensitivity analysis, ... repeated with multiple imputation.' Report p. 4 reverses this: multiple imputation is principal and completers-only analyses are called 'post hoc sensitivity analyses' (eTables 3-5, 9), although the SAP had planned them as main.</t>
        </is>
      </c>
    </row>
    <row r="5" ht="92" customFormat="1" customHeight="1" s="14">
      <c r="A5" s="24" t="inlineStr">
        <is>
          <t>2019::jama.2019.14630::C004</t>
        </is>
      </c>
      <c r="B5" s="24" t="inlineStr">
        <is>
          <t>Imputation specification</t>
        </is>
      </c>
      <c r="C5" s="24" t="inlineStr">
        <is>
          <t>PLAN joi190106supp2_prod_1635377898.49605.pdf — SAP p.26 lines788–794; REPORT jama_saynorea_2019_oi_190106_1635377898.43062.pdf — main p.4 complete imputation paragraph and joi190106supp3_prod_1635377898.49725.pdf — results p.24 eTable9 imputation footnote.</t>
        </is>
      </c>
      <c r="D5" s="21" t="inlineStr">
        <is>
          <t>retain</t>
        </is>
      </c>
      <c r="E5" s="21" t="inlineStr">
        <is>
          <t>protocol_report</t>
        </is>
      </c>
      <c r="F5" s="21" t="inlineStr">
        <is>
          <t>primary_done</t>
        </is>
      </c>
      <c r="G5" s="24">
        <f>IFERROR(IF(LEN(TRIM(CLEAN(SUBSTITUTE(Setup!$B$2,CHAR(160)," "))))=0,"CHECK REVIEWER ID",IF(OR(A5="",COUNTIF($A$2:$A$10,A5)&lt;&gt;1,LEFT(A5,LEN("2019::jama.2019.14630::"))&lt;&gt;"2019::jama.2019.14630::"),"CHECK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SAP p. 26: chained equations, 20 imputations, predictors sex, age, smoking, leisure-time PA, baseline BMI and weight, diabetes, hypertension, hypercholesterolemia, family history of CHD, group, second household member, education, for participants lost &gt;=2 years. Report p. 4: iterative MCMC, 8 imputations, predictors sex, age, smoking, education, BMI, PA, group, total energy, baseline value. eTable 9 footnote (p. 24) instead says chained equations, so the report is also internally inconsistent.</t>
        </is>
      </c>
    </row>
    <row r="6" ht="92" customFormat="1" customHeight="1" s="14">
      <c r="A6" s="20" t="inlineStr">
        <is>
          <t>2019::jama.2019.14630::C005</t>
        </is>
      </c>
      <c r="B6" s="20" t="inlineStr">
        <is>
          <t>Additional planned primary-weight analyses not reported</t>
        </is>
      </c>
      <c r="C6" s="20" t="inlineStr">
        <is>
          <t>PLAN joi190106supp1_prod_1635377898.47058.pdf — protocol p.52 lines1661–1664 household exclusion, joi190106supp2_prod_1635377898.49605.pdf — SAP p.5 primary weight, joi190106supp2_prod_1635377898.49605.pdf — p.9 primary-weight/Y1 key, joi190106supp2_prod_1635377898.49605.pdf — p.25 lines724–728 weight methods and764–765 additional adjustment, joi190106supp2_prod_1635377898.49605.pdf — p.26 lines766–767 adjustment continuation and781–785 complete subgroup paragraph. REPORT jama_saynorea_2019_oi_190106_1635377898.43062.pdf — main p.4 analysis listing, jama_saynorea_2019_oi_190106_1635377898.43062.pdf — p.8 risk reporting, jama_saynorea_2019_oi_190106_1635377898.43062.pdf — p.9 Figure 3, jama_saynorea_2019_oi_190106_1635377898.43062.pdf — p.10 Figure 4, joi190106supp3_prod_1635377898.49725.pdf — results p.1 contents, joi190106supp3_prod_1635377898.49725.pdf — p.23 eTable9 weight, joi190106supp3_prod_1635377898.49725.pdf — p.24 complete model/imputation footnotes, and corroborating joi190106supp4_prod_1635377898.50723.pdf — data-sharing p.1.</t>
        </is>
      </c>
      <c r="D6" s="21" t="inlineStr">
        <is>
          <t>retain</t>
        </is>
      </c>
      <c r="E6" s="21" t="inlineStr">
        <is>
          <t>protocol_report</t>
        </is>
      </c>
      <c r="F6" s="21" t="inlineStr">
        <is>
          <t>primary_done</t>
        </is>
      </c>
      <c r="G6" s="20">
        <f>IFERROR(IF(LEN(TRIM(CLEAN(SUBSTITUTE(Setup!$B$2,CHAR(160)," "))))=0,"CHECK REVIEWER ID",IF(OR(A6="",COUNTIF($A$2:$A$10,A6)&lt;&gt;1,LEFT(A6,LEN("2019::jama.2019.14630::"))&lt;&gt;"2019::jama.2019.14630::"),"CHECK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SAP pp. 25-26 plan weight models additionally adjusted for center, sex, age, education, smoking, hypertension, dyslipidemia, diabetes, family history and PA, plus subgroup analyses (8 factors); protocol p. 52 plans sensitivity excluding second household members. The report gives only crude mixed-model weight results (eTable 9, Figures 3-4); no adjusted, subgroup or household-exclusion analyses.</t>
        </is>
      </c>
    </row>
    <row r="7" ht="92" customFormat="1" customHeight="1" s="14">
      <c r="A7" s="24" t="inlineStr">
        <is>
          <t>2019::jama.2019.14630::C006</t>
        </is>
      </c>
      <c r="B7" s="24" t="inlineStr">
        <is>
          <t>Ancillary multiplicity intervals for Y1 waist</t>
        </is>
      </c>
      <c r="C7" s="24" t="inlineStr">
        <is>
          <t>PLAN joi190106supp2_prod_1635377898.49605.pdf — SAP p.9 Y1 secondary waist and joi190106supp2_prod_1635377898.49605.pdf — p.12 lines282–291/27-comparison footnote; REPORT jama_saynorea_2019_oi_190106_1635377898.43062.pdf — main p.4 exploratory/no-adjustment rule, jama_saynorea_2019_oi_190106_1635377898.43062.pdf — p.8 waist result and joi190106supp3_prod_1635377898.49725.pdf — results p.23 eTable9 waist.</t>
        </is>
      </c>
      <c r="D7" s="21" t="inlineStr">
        <is>
          <t>retain</t>
        </is>
      </c>
      <c r="E7" s="21" t="inlineStr">
        <is>
          <t>protocol_report</t>
        </is>
      </c>
      <c r="F7" s="21" t="inlineStr">
        <is>
          <t>primary_done</t>
        </is>
      </c>
      <c r="G7" s="24">
        <f>IFERROR(IF(LEN(TRIM(CLEAN(SUBSTITUTE(Setup!$B$2,CHAR(160)," "))))=0,"CHECK REVIEWER ID",IF(OR(A7="",COUNTIF($A$2:$A$10,A7)&lt;&gt;1,LEFT(A7,LEN("2019::jama.2019.14630::"))&lt;&gt;"2019::jama.2019.14630::"),"CHECK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SAP p. 12: secondary outcomes (27 listed, incl. waist circumference) get nominal 95% CIs plus ancillary Bonferroni-adjusted CIs (1 - 0.05/27 = 99.81%). Report p. 4 states no adjustment for type I error, and the 12-month waist difference -3.3 cm (95% CI -3.6 to -2.9) is shown with nominal CI only. Disclosed in report (p. 4).</t>
        </is>
      </c>
    </row>
    <row r="8" ht="92" customFormat="1" customHeight="1" s="14">
      <c r="A8" s="20" t="inlineStr">
        <is>
          <t>2019::jama.2019.14630::C007</t>
        </is>
      </c>
      <c r="B8" s="20" t="inlineStr">
        <is>
          <t>Repeated alcohol interval-versus-P conflict</t>
        </is>
      </c>
      <c r="C8" s="20" t="inlineStr">
        <is>
          <t>REPORT jama_saynorea_2019_oi_190106_1635377898.43062.pdf — main p.7 Table3 alcohol M6 and M12, contextual jama_saynorea_2019_oi_190106_1635377898.43062.pdf — main p.4 two-sided/P&lt;.05 rule and jama_saynorea_2019_oi_190106_1635377898.43062.pdf — p.8 Table3 footnote b; REPORT joi190106supp3_prod_1635377898.49725.pdf — results p.15 eTable5 alcohol M6 and footnote and joi190106supp3_prod_1635377898.49725.pdf — p.22 eTable8 alcohol M6 and footnote.</t>
        </is>
      </c>
      <c r="D8" s="21" t="inlineStr">
        <is>
          <t>retain</t>
        </is>
      </c>
      <c r="E8" s="21" t="inlineStr">
        <is>
          <t>statistical_results</t>
        </is>
      </c>
      <c r="F8" s="21" t="inlineStr">
        <is>
          <t>primary_done</t>
        </is>
      </c>
      <c r="G8" s="20">
        <f>IFERROR(IF(LEN(TRIM(CLEAN(SUBSTITUTE(Setup!$B$2,CHAR(160)," "))))=0,"CHECK REVIEWER ID",IF(OR(A8="",COUNTIF($A$2:$A$10,A8)&lt;&gt;1,LEFT(A8,LEN("2019::jama.2019.14630::"))&lt;&gt;"2019::jama.2019.14630::"),"CHECK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minor_presentation</t>
        </is>
      </c>
      <c r="J8" s="22" t="inlineStr">
        <is>
          <t>possible</t>
        </is>
      </c>
      <c r="K8" s="21">
        <f>IF(AND(OR(D8="retain",D8=""),OR(E8="report_internal_inconsistency",E8="plan_material")),"","not_applicable")</f>
        <v/>
      </c>
      <c r="L8" s="22">
        <f>IF(AND(OR(D8="retain",D8=""),E8="protocol_report"),"","not_applicable")</f>
        <v/>
      </c>
      <c r="M8" s="20" t="n"/>
      <c r="N8" s="23" t="n"/>
      <c r="O8" s="23" t="n"/>
      <c r="P8" s="23" t="n"/>
      <c r="Q8" s="23" t="n"/>
      <c r="R8" s="22" t="inlineStr">
        <is>
          <t>Main Table 3 (p. 7, rendered 200 dpi): alcohol 12-mo difference -0.2 (95% CI -0.4 to 0.1), P = .01; eTables 5 and 8 give the 12-mo CI as -0.4 to -0.1 and -0.3 to -0.1, so the main-table '0.1' has likely lost its minus sign. The 6-mo rows with an upper limit of 0 and P = .01/.02 can be reproduced by rounding (e.g., -0.18, -0.33 to -0.03 gives P = .02).</t>
        </is>
      </c>
    </row>
    <row r="9" ht="92" customFormat="1" customHeight="1" s="14">
      <c r="A9" s="24" t="inlineStr">
        <is>
          <t>2019::jama.2019.14630::C008</t>
        </is>
      </c>
      <c r="B9" s="24" t="inlineStr">
        <is>
          <t>Red-wine median and upper quartile</t>
        </is>
      </c>
      <c r="C9" s="24" t="inlineStr">
        <is>
          <t>REPORT joi190106supp3_prod_1635377898.49725.pdf — results p.7 eTable2, Red wine intervention baseline median(IQR), header and footnote.</t>
        </is>
      </c>
      <c r="D9" s="21" t="inlineStr">
        <is>
          <t>retain</t>
        </is>
      </c>
      <c r="E9" s="21" t="inlineStr">
        <is>
          <t>statistical_results</t>
        </is>
      </c>
      <c r="F9" s="21" t="inlineStr">
        <is>
          <t>primary_done</t>
        </is>
      </c>
      <c r="G9" s="24">
        <f>IFERROR(IF(LEN(TRIM(CLEAN(SUBSTITUTE(Setup!$B$2,CHAR(160)," "))))=0,"CHECK REVIEWER ID",IF(OR(A9="",COUNTIF($A$2:$A$10,A9)&lt;&gt;1,LEFT(A9,LEN("2019::jama.2019.14630::"))&lt;&gt;"2019::jama.2019.14630::"),"CHECK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possible</t>
        </is>
      </c>
      <c r="K9" s="21">
        <f>IF(AND(OR(D9="retain",D9=""),OR(E9="report_internal_inconsistency",E9="plan_material")),"","not_applicable")</f>
        <v/>
      </c>
      <c r="L9" s="22">
        <f>IF(AND(OR(D9="retain",D9=""),E9="protocol_report"),"","not_applicable")</f>
        <v/>
      </c>
      <c r="M9" s="24" t="n"/>
      <c r="N9" s="23" t="n"/>
      <c r="O9" s="23" t="n"/>
      <c r="P9" s="23" t="n"/>
      <c r="Q9" s="23" t="n"/>
      <c r="R9" s="22" t="inlineStr">
        <is>
          <t>eTable 2 (supp3 p. 7, rendered): intervention baseline red wine median (IQR) 33 (0, 29) g/week. A median cannot exceed the upper quartile (33 &gt; 29). Control prints 4 (0, 29), so 33 is probably a typographic error (e.g., 3).</t>
        </is>
      </c>
    </row>
    <row r="10" ht="92" customFormat="1" customHeight="1" s="14">
      <c r="A10" s="20" t="inlineStr">
        <is>
          <t>2019::jama.2019.14630::C009</t>
        </is>
      </c>
      <c r="B10" s="20" t="inlineStr">
        <is>
          <t>eFigure2 labels versus bars and confidence intervals</t>
        </is>
      </c>
      <c r="C10" s="20" t="inlineStr">
        <is>
          <t>REPORT joi190106supp3_prod_1635377898.49725.pdf — results p.26 eFigure2, all seven pairs with printed labels, colored bars, 95% intervals, axis, legend, P annotations and 12-month caption.</t>
        </is>
      </c>
      <c r="D10" s="21" t="inlineStr">
        <is>
          <t>retain</t>
        </is>
      </c>
      <c r="E10" s="21" t="inlineStr">
        <is>
          <t>statistical_results</t>
        </is>
      </c>
      <c r="F10" s="21" t="inlineStr">
        <is>
          <t>primary_done</t>
        </is>
      </c>
      <c r="G10" s="20">
        <f>IFERROR(IF(LEN(TRIM(CLEAN(SUBSTITUTE(Setup!$B$2,CHAR(160)," "))))=0,"CHECK REVIEWER ID",IF(OR(A10="",COUNTIF($A$2:$A$10,A10)&lt;&gt;1,LEFT(A10,LEN("2019::jama.2019.14630::"))&lt;&gt;"2019::jama.2019.14630::"),"CHECK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t="inlineStr">
        <is>
          <t>direct</t>
        </is>
      </c>
      <c r="K10" s="21">
        <f>IF(AND(OR(D10="retain",D10=""),OR(E10="report_internal_inconsistency",E10="plan_material")),"","not_applicable")</f>
        <v/>
      </c>
      <c r="L10" s="22">
        <f>IF(AND(OR(D10="retain",D10=""),E10="protocol_report"),"","not_applicable")</f>
        <v/>
      </c>
      <c r="M10" s="20" t="n"/>
      <c r="N10" s="23" t="n"/>
      <c r="O10" s="23" t="n"/>
      <c r="P10" s="23" t="n"/>
      <c r="Q10" s="23" t="n"/>
      <c r="R10" s="22" t="inlineStr">
        <is>
          <t>eFigure 2 (supp3 p. 26, rendered): printed percentages inside the bars contradict bar heights: e.g., MUFA:SFA bars about 87% (intervention) and 79% (control) but labels 79% and 86%; fruit about 63/58 vs labels 58/63; vegetables about 65/56 vs 56/64; dessert about 68/60 vs 59/58. Labels look swapped between arms for most pairs, and dessert fits no swap.</t>
        </is>
      </c>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onditionalFormatting>
  <dataValidations count="8">
    <dataValidation sqref="D2:D10" showDropDown="0" showInputMessage="0" showErrorMessage="1" allowBlank="1" errorTitle="Use a listed option" error="Choose an option; G also checks pasted entries." type="list" errorStyle="stop">
      <formula1>"retain,exclude,discuss"</formula1>
    </dataValidation>
    <dataValidation sqref="E2:E10"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0" showDropDown="0" showInputMessage="0" showErrorMessage="1" allowBlank="1" errorTitle="Use a listed option" error="Choose an option; G also checks pasted entries." type="list" errorStyle="stop">
      <formula1>"no,primary_done"</formula1>
    </dataValidation>
    <dataValidation sqref="H2:H10"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0"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0" showDropDown="0" showInputMessage="0" showErrorMessage="1" allowBlank="1" errorTitle="Use a listed option" error="Choose an option; G also checks pasted entries." type="list" errorStyle="stop">
      <formula1>"direct,possible,unlikely,unknown,not_applicable"</formula1>
    </dataValidation>
    <dataValidation sqref="K2:K10"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0"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6"/>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2019::jama.2019.14901::C001</t>
        </is>
      </c>
      <c r="B2" s="20" t="inlineStr">
        <is>
          <t>Reported respiratory-failure definition omits planned tachypnea duration</t>
        </is>
      </c>
      <c r="C2" s="20" t="inlineStr">
        <is>
          <t>PLAN joi190108supp1_prod.pdf — PDF p. 30, acute respiratory-failure criteria; REPORT jama_thille_2019_oi_190108.pdf — PDF p. 4, Outcomes, jama_thille_2019_oi_190108.pdf — PDF p. 1, abstract endpoint/result and jama_thille_2019_oi_190108.pdf — PDF p. 8, Table 2 respiratory-failure row. Corroborating endpoint identity is at joi190108supp1_prod.pdf — protocol PDF p. 25; the shortened criterion/counts are also at joi190108supp2_prod.pdf — results supplement PDF p. 2, eTable 1.</t>
        </is>
      </c>
      <c r="D2" s="21" t="inlineStr">
        <is>
          <t>retain</t>
        </is>
      </c>
      <c r="E2" s="21" t="inlineStr">
        <is>
          <t>protocol_report</t>
        </is>
      </c>
      <c r="F2" s="21" t="inlineStr">
        <is>
          <t>primary_done</t>
        </is>
      </c>
      <c r="G2" s="20">
        <f>IFERROR(IF(LEN(TRIM(CLEAN(SUBSTITUTE(Setup!$B$2,CHAR(160)," "))))=0,"CHECK REVIEWER ID",IF(OR(A2="",COUNTIF($A$2:$A$6,A2)&lt;&gt;1,LEFT(A2,LEN("2019::jama.2019.14901::"))&lt;&gt;"2019::jama.2019.14901::"),"CHECK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v4 p. 30 defines acute respiratory failure with 'Respiratory rate &gt; 25 breaths/min during at least 2 hours'; article p. 4 (and eTable 1, supp2 p. 2) states respiratory rate &gt;25 without the 2-hour duration. This defines a key secondary outcome (29% vs 21%). The article may have condensed the rule; the printed definitions differ.</t>
        </is>
      </c>
    </row>
    <row r="3" ht="92" customFormat="1" customHeight="1" s="14">
      <c r="A3" s="24" t="inlineStr">
        <is>
          <t>2019::jama.2019.14901::C002</t>
        </is>
      </c>
      <c r="B3" s="24" t="inlineStr">
        <is>
          <t>Planned primary and key mortality Cox results are not reported</t>
        </is>
      </c>
      <c r="C3" s="24" t="inlineStr">
        <is>
          <t>PLAN joi190108supp1_prod.pdf — PDF p. 33, section 6.2 primary Cox specification and joi190108supp1_prod.pdf — PDF p. 34, mortality specification for ICU, hospital, day 28 and day 90. REPORT jama_thille_2019_oi_190108.pdf — PDF p. 1, primary/key mortality results, jama_thille_2019_oi_190108.pdf — PDF p. 4, methods, jama_thille_2019_oi_190108.pdf — PDF p. 6, results, jama_thille_2019_oi_190108.pdf — PDF p. 7, adjusted OR and reintubation curves and jama_thille_2019_oi_190108.pdf — PDF p. 8, Table 2 and Figure 3. Every results-supplement page was inspected: joi190108supp2_prod.pdf — PDF p. 1, contents, joi190108supp2_prod.pdf — p. 2, eTable 1, joi190108supp2_prod.pdf — p. 3, baseline, joi190108supp2_prod.pdf — p. 4, baseline continuation, joi190108supp2_prod.pdf — p. 5, footnotes, joi190108supp2_prod.pdf — p. 6, hypercapnic outcomes, joi190108supp2_prod.pdf — p. 7, nonhypercapnic outcomes, joi190108supp2_prod.pdf — p. 8, center counts and joi190108supp2_prod.pdf — p. 9, survival figure. All eleven article pages and the joi190108supp3_prod.pdf — data-sharing PDF p. 1 were additionally covered by the full presence audit in the recheck.</t>
        </is>
      </c>
      <c r="D3" s="21" t="inlineStr">
        <is>
          <t>retain</t>
        </is>
      </c>
      <c r="E3" s="21" t="inlineStr">
        <is>
          <t>protocol_report</t>
        </is>
      </c>
      <c r="F3" s="21" t="inlineStr">
        <is>
          <t>primary_done</t>
        </is>
      </c>
      <c r="G3" s="24">
        <f>IFERROR(IF(LEN(TRIM(CLEAN(SUBSTITUTE(Setup!$B$2,CHAR(160)," "))))=0,"CHECK REVIEWER ID",IF(OR(A3="",COUNTIF($A$2:$A$6,A3)&lt;&gt;1,LEFT(A3,LEN("2019::jama.2019.14901::"))&lt;&gt;"2019::jama.2019.14901::"),"CHECK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§6.2-6.3 (pp. 33-34) plans Cox proportional hazards models with backward selection for reintubation and for ICU, hospital, day-28 and day-90 mortality, expressed as adjusted HRs. The article reports chi-square tests, Kaplan-Meier/log-rank and one logistic model; no Cox model or HR appears in the article or eSupplement.</t>
        </is>
      </c>
    </row>
    <row r="4" ht="92" customFormat="1" customHeight="1" s="14">
      <c r="A4" s="20" t="inlineStr">
        <is>
          <t>2019::jama.2019.14901::C003</t>
        </is>
      </c>
      <c r="B4" s="20" t="inlineStr">
        <is>
          <t>Primary adjusted logistic model prespecification mapping is unclear</t>
        </is>
      </c>
      <c r="C4" s="20" t="inlineStr">
        <is>
          <t>PLAN joi190108supp1_prod.pdf — PDF p. 33, section 6.2 logistic selection; REPORT jama_thille_2019_oi_190108.pdf — PDF p. 4, Statistical Analysis and jama_thille_2019_oi_190108.pdf — PDF p. 7, Subgroup Analysis and Additional Analyses. jama_thille_2019_oi_190108.pdf — Article PDF p. 6, Table 1 footnote corroborates chronic lung disease as the sole baseline characteristic with P=.02.</t>
        </is>
      </c>
      <c r="D4" s="21" t="inlineStr">
        <is>
          <t>retain</t>
        </is>
      </c>
      <c r="E4" s="21" t="inlineStr">
        <is>
          <t>protocol_report</t>
        </is>
      </c>
      <c r="F4" s="21" t="inlineStr">
        <is>
          <t>primary_done</t>
        </is>
      </c>
      <c r="G4" s="20">
        <f>IFERROR(IF(LEN(TRIM(CLEAN(SUBSTITUTE(Setup!$B$2,CHAR(160)," "))))=0,"CHECK REVIEWER ID",IF(OR(A4="",COUNTIF($A$2:$A$6,A4)&lt;&gt;1,LEFT(A4,LEN("2019::jama.2019.14901::"))&lt;&gt;"2019::jama.2019.14901::"),"CHECK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p. 33: multivariable logistic model with all variables associated with reintubation at P&lt;.20 plus forced variables, simplified by backward elimination (retain P&lt;.05). Article p. 4: model adjusted for the stratification variable (PaCO2) and baseline variables unbalanced between arms at P&lt;.05 (only chronic lung disease); aOR 0.60 (0.38-0.93). Covariate-selection rules differ; the article says analyses followed a 'predefined statistical analysis plan', which is not supplied.</t>
        </is>
      </c>
    </row>
    <row r="5" ht="92" customFormat="1" customHeight="1" s="14">
      <c r="A5" s="24" t="inlineStr">
        <is>
          <t>2019::jama.2019.14901::C004</t>
        </is>
      </c>
      <c r="B5" s="24" t="inlineStr">
        <is>
          <t>Two planned primary-outcome subgroup families are not reported</t>
        </is>
      </c>
      <c r="C5" s="24" t="inlineStr">
        <is>
          <t>PLAN joi190108supp1_prod.pdf — PDF p. 34, section 6.4; REPORT jama_thille_2019_oi_190108.pdf — PDF p. 4, subgroup methods, jama_thille_2019_oi_190108.pdf — PDF p. 7, subgroup results and jama_thille_2019_oi_190108.pdf — PDF p. 8, Figure 3; REPORT joi190108supp2_prod.pdf — PDF p. 1, contents, joi190108supp2_prod.pdf — p. 3, disease baseline entries, joi190108supp2_prod.pdf — p. 4, breathing-test baseline entries, joi190108supp2_prod.pdf — p. 5, category footnotes, joi190108supp2_prod.pdf — p. 6, hypercapnic outcomes and joi190108supp2_prod.pdf — p. 7, nonhypercapnic outcomes. Complete REPORT-page inspection, including all other article, results and data-sharing pages, is recorded in the evidence_recheck.md — mechanical recheck.</t>
        </is>
      </c>
      <c r="D5" s="21" t="inlineStr">
        <is>
          <t>retain</t>
        </is>
      </c>
      <c r="E5" s="21" t="inlineStr">
        <is>
          <t>protocol_report</t>
        </is>
      </c>
      <c r="F5" s="21" t="inlineStr">
        <is>
          <t>primary_done</t>
        </is>
      </c>
      <c r="G5" s="24">
        <f>IFERROR(IF(LEN(TRIM(CLEAN(SUBSTITUTE(Setup!$B$2,CHAR(160)," "))))=0,"CHECK REVIEWER ID",IF(OR(A5="",COUNTIF($A$2:$A$6,A5)&lt;&gt;1,LEFT(A5,LEN("2019::jama.2019.14901::"))&lt;&gt;"2019::jama.2019.14901::"),"CHECK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§6.4 (p. 34) plans subgroup analyses of primary and secondary outcomes by PaCO2 (&gt;45 vs &lt;=45), by underlying cardiac or respiratory disease, and by type of weaning test (T-piece vs low pressure support). Only the PaCO2 subgroups are reported (main p. 7, Figure 3; eTables 2-4). The other two families are absent.</t>
        </is>
      </c>
    </row>
    <row r="6" ht="92" customFormat="1" customHeight="1" s="14">
      <c r="A6" s="20" t="inlineStr">
        <is>
          <t>2019::jama.2019.14901::C005</t>
        </is>
      </c>
      <c r="B6" s="20" t="inlineStr">
        <is>
          <t>Four hypercapnic cough and secretion percentages do not reconcile</t>
        </is>
      </c>
      <c r="C6" s="20" t="inlineStr">
        <is>
          <t>Four separate affected cells in joi190108supp2_prod.pdf — PDF p. 4, eTable 2: joi190108supp2_prod.pdf — ineffective cough, hypercapnic HFNC alone, 14/45 (69); joi190108supp2_prod.pdf — ineffective cough, hypercapnic HFNC with NIV, 16/59 (73); joi190108supp2_prod.pdf — abundant secretions, hypercapnic HFNC alone, 20/46 (57); joi190108supp2_prod.pdf — abundant secretions, hypercapnic HFNC with NIV, 23/61 (62). Row footnotes are at joi190108supp2_prod.pdf — PDF p. 5. Corroboration is at jama_thille_2019_oi_190108.pdf — PDF p. 6, Table 1; a possible explanatory percentage pair is at joi190108supp2_prod.pdf — results supplement PDF p. 3, chronic lung disease.</t>
        </is>
      </c>
      <c r="D6" s="21" t="inlineStr">
        <is>
          <t>retain</t>
        </is>
      </c>
      <c r="E6" s="21" t="inlineStr">
        <is>
          <t>statistical_results</t>
        </is>
      </c>
      <c r="F6" s="21" t="inlineStr">
        <is>
          <t>primary_done</t>
        </is>
      </c>
      <c r="G6" s="20">
        <f>IFERROR(IF(LEN(TRIM(CLEAN(SUBSTITUTE(Setup!$B$2,CHAR(160)," "))))=0,"CHECK REVIEWER ID",IF(OR(A6="",COUNTIF($A$2:$A$6,A6)&lt;&gt;1,LEFT(A6,LEN("2019::jama.2019.14901::"))&lt;&gt;"2019::jama.2019.14901::"),"CHECK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possible</t>
        </is>
      </c>
      <c r="K6" s="21">
        <f>IF(AND(OR(D6="retain",D6=""),OR(E6="report_internal_inconsistency",E6="plan_material")),"","not_applicable")</f>
        <v/>
      </c>
      <c r="L6" s="22">
        <f>IF(AND(OR(D6="retain",D6=""),E6="protocol_report"),"","not_applicable")</f>
        <v/>
      </c>
      <c r="M6" s="20" t="n"/>
      <c r="N6" s="23" t="n"/>
      <c r="O6" s="23" t="n"/>
      <c r="P6" s="23" t="n"/>
      <c r="Q6" s="23" t="n"/>
      <c r="R6" s="22" t="inlineStr">
        <is>
          <t>eTable 2 (supp2 p. 4, rendered): hypercapnic cells 14/45 (69), 16/59 (73), 20/46 (57), 23/61 (62). Correct percentages are 31.1, 27.1, 43.5, 37.7; each printed value equals 100 minus the correct one (68.9, 72.9, 56.5, 62.3). Counts are correct: they sum with the nonhypercapnic cells to Table 1 totals (65/284, 86/322, 121/288, 114/326).</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0" showErrorMessage="1" allowBlank="1" errorTitle="Use a listed option" error="Choose an option; G also checks pasted entries." type="list" errorStyle="stop">
      <formula1>"retain,exclude,discuss"</formula1>
    </dataValidation>
    <dataValidation sqref="E2:E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6" showDropDown="0" showInputMessage="0" showErrorMessage="1" allowBlank="1" errorTitle="Use a listed option" error="Choose an option; G also checks pasted entries." type="list" errorStyle="stop">
      <formula1>"no,primary_done"</formula1>
    </dataValidation>
    <dataValidation sqref="H2:H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6" showDropDown="0" showInputMessage="0" showErrorMessage="1" allowBlank="1" errorTitle="Use a listed option" error="Choose an option; G also checks pasted entries." type="list" errorStyle="stop">
      <formula1>"direct,possible,unlikely,unknown,not_applicable"</formula1>
    </dataValidation>
    <dataValidation sqref="K2:K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2019::jama.2019.17380::C001</t>
        </is>
      </c>
      <c r="B2" s="20" t="inlineStr">
        <is>
          <t>Documented outcome-hierarchy and composite amendment</t>
        </is>
      </c>
      <c r="C2" s="20" t="inlineStr">
        <is>
          <t>joi190122supp1_prod.pdf — p.11 aims; joi190122supp1_prod.pdf — p.17 VI.b–c; joi190122supp1_prod.pdf — p.19 Table 2; joi190122supp1_prod.pdf — p.31 dates; joi190122supp1_prod.pdf — p.32 §15b; jama_de_boer_2019_oi_190122.pdf — p.1 primary outcome; jama_de_boer_2019_oi_190122.pdf — p.2 Outcomes; jama_de_boer_2019_oi_190122.pdf — p.3 secondary definitions; jama_de_boer_2019_oi_190122.pdf — p.4 composite narrative; jama_de_boer_2019_oi_190122.pdf — p.9 Table 3.</t>
        </is>
      </c>
      <c r="D2" s="21" t="inlineStr">
        <is>
          <t>retain</t>
        </is>
      </c>
      <c r="E2" s="21" t="inlineStr">
        <is>
          <t>protocol_report</t>
        </is>
      </c>
      <c r="F2" s="21" t="inlineStr">
        <is>
          <t>primary_done</t>
        </is>
      </c>
      <c r="G2" s="20">
        <f>IFERROR(IF(LEN(TRIM(CLEAN(SUBSTITUTE(Setup!$B$2,CHAR(160)," "))))=0,"CHECK REVIEWER ID",IF(OR(A2="",COUNTIF($A$2:$A$19,A2)&lt;&gt;1,LEFT(A2,LEN("2019::jama.2019.17380::"))&lt;&gt;"2019::jama.2019.17380::"),"CHECK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Original protocol (2010; supp1 pp. 11, 17, 19): primary = 4-year change in urine ACR; secondary = eGFR change and a composite (ACR doubling to &gt;=30, eGFR loss &gt;=12, ESRD, death). Addendum (submitted 3/2015, implemented 2/2016; pp. 31-32 §15b) makes 5-year eGFR change primary and uses a &gt;=40% eGFR loss/ESRD/death composite; the report follows the addendum. Disclosed in report (p. 2).</t>
        </is>
      </c>
    </row>
    <row r="3" ht="92" customFormat="1" customHeight="1" s="14">
      <c r="A3" s="24" t="inlineStr">
        <is>
          <t>2019::jama.2019.17380::C002</t>
        </is>
      </c>
      <c r="B3" s="24" t="inlineStr">
        <is>
          <t>Age eligibility thresholds differ between plan and report</t>
        </is>
      </c>
      <c r="C3" s="24" t="inlineStr">
        <is>
          <t>joi190122supp1_prod.pdf — p.4 abstract; joi190122supp1_prod.pdf — p.11 aims/population; joi190122supp1_prod.pdf — p.12 Table 1/population; jama_de_boer_2019_oi_190122.pdf — p.2 Study Population; joi190122supp1_prod.pdf — p.31; joi190122supp1_prod.pdf — p.32; joi190122supp1_prod.pdf — p.33.</t>
        </is>
      </c>
      <c r="D3" s="21" t="inlineStr">
        <is>
          <t>retain</t>
        </is>
      </c>
      <c r="E3" s="21" t="inlineStr">
        <is>
          <t>protocol_report</t>
        </is>
      </c>
      <c r="F3" s="21" t="inlineStr">
        <is>
          <t>primary_done</t>
        </is>
      </c>
      <c r="G3" s="24">
        <f>IFERROR(IF(LEN(TRIM(CLEAN(SUBSTITUTE(Setup!$B$2,CHAR(160)," "))))=0,"CHECK REVIEWER ID",IF(OR(A3="",COUNTIF($A$2:$A$19,A3)&lt;&gt;1,LEFT(A3,LEN("2019::jama.2019.17380::"))&lt;&gt;"2019::jama.2019.17380::"),"CHECK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(pp. 4, 11, 12 Table 1): parent and ancillary eligibility men &gt;=60 y, women &gt;=65 y. Article p. 2: men &gt;=50 y, women &gt;=55 y. The addendum (pp. 31-33) does not revise eligibility. Not disclosed as a change in the article.</t>
        </is>
      </c>
    </row>
    <row r="4" ht="92" customFormat="1" customHeight="1" s="14">
      <c r="A4" s="20" t="inlineStr">
        <is>
          <t>2019::jama.2019.17380::C003</t>
        </is>
      </c>
      <c r="B4" s="20" t="inlineStr">
        <is>
          <t>Diabetes exclusion criteria use different insulin rules</t>
        </is>
      </c>
      <c r="C4" s="20" t="inlineStr">
        <is>
          <t>joi190122supp1_prod.pdf — p.12 Table 1 and population narrative; joi190122supp1_prod.pdf — p.14 IV.a enrollment algorithm; jama_de_boer_2019_oi_190122.pdf — p.2 Study Population.</t>
        </is>
      </c>
      <c r="D4" s="21" t="inlineStr">
        <is>
          <t>retain</t>
        </is>
      </c>
      <c r="E4" s="21" t="inlineStr">
        <is>
          <t>protocol_report</t>
        </is>
      </c>
      <c r="F4" s="21" t="inlineStr">
        <is>
          <t>primary_done</t>
        </is>
      </c>
      <c r="G4" s="20">
        <f>IFERROR(IF(LEN(TRIM(CLEAN(SUBSTITUTE(Setup!$B$2,CHAR(160)," "))))=0,"CHECK REVIEWER ID",IF(OR(A4="",COUNTIF($A$2:$A$19,A4)&lt;&gt;1,LEFT(A4,LEN("2019::jama.2019.17380::"))&lt;&gt;"2019::jama.2019.17380::"),"CHECK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p. 12 (and Table 1) and p. 14: exclude diabetes diagnosed before age 30 and 'first treated with insulin'. Article p. 2: exclude diabetes diagnosed before age 30 'treated with insulin for more than 20 years'. The type 1 diabetes proxy uses a different insulin rule.</t>
        </is>
      </c>
    </row>
    <row r="5" ht="92" customFormat="1" customHeight="1" s="14">
      <c r="A5" s="24" t="inlineStr">
        <is>
          <t>2019::jama.2019.17380::C004</t>
        </is>
      </c>
      <c r="B5" s="24" t="inlineStr">
        <is>
          <t>Randomization stratifiers differ between plan and report</t>
        </is>
      </c>
      <c r="C5" s="24" t="inlineStr">
        <is>
          <t>joi190122supp1_prod.pdf — p.14 IV.c Treatment Assignment; jama_de_boer_2019_oi_190122.pdf — p.2 Interventions; joi190122supp1_prod.pdf — pp.31–33 analytic addendum; joi190122supp1_prod.pdf — p.32; joi190122supp1_prod.pdf — p.33.</t>
        </is>
      </c>
      <c r="D5" s="21" t="inlineStr">
        <is>
          <t>retain</t>
        </is>
      </c>
      <c r="E5" s="21" t="inlineStr">
        <is>
          <t>protocol_report</t>
        </is>
      </c>
      <c r="F5" s="21" t="inlineStr">
        <is>
          <t>primary_done</t>
        </is>
      </c>
      <c r="G5" s="24">
        <f>IFERROR(IF(LEN(TRIM(CLEAN(SUBSTITUTE(Setup!$B$2,CHAR(160)," "))))=0,"CHECK REVIEWER ID",IF(OR(A5="",COUNTIF($A$2:$A$19,A5)&lt;&gt;1,LEFT(A5,LEN("2019::jama.2019.17380::"))&lt;&gt;"2019::jama.2019.17380::"),"CHECK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§IV.c (p. 14): randomization stratified by 5-year age group, blocks of 8 (two per factorial cell). Article p. 2: blocks of 8 'stratified by age, sex, and race'. Sex and race are added as stratifiers in the report; not mentioned in the addendum.</t>
        </is>
      </c>
    </row>
    <row r="6" ht="92" customFormat="1" customHeight="1" s="14">
      <c r="A6" s="20" t="inlineStr">
        <is>
          <t>2019::jama.2019.17380::C005</t>
        </is>
      </c>
      <c r="B6" s="20" t="inlineStr">
        <is>
          <t>Primary eGFR estimator identity differs from the supplied plan</t>
        </is>
      </c>
      <c r="C6" s="20" t="inlineStr">
        <is>
          <t>joi190122supp1_prod.pdf — p.17 VI.c Equation 1; joi190122supp1_prod.pdf — p.30; joi190122supp1_prod.pdf — p.32 §15b; jama_de_boer_2019_oi_190122.pdf — p.3 Outcomes; jama_de_boer_2019_oi_190122.pdf — p.11; joi190122supp2_prod.pdf — p.2; joi190122supp2_prod.pdf — p.3; joi190122supp2_prod.pdf — p.4.</t>
        </is>
      </c>
      <c r="D6" s="21" t="inlineStr">
        <is>
          <t>retain</t>
        </is>
      </c>
      <c r="E6" s="21" t="inlineStr">
        <is>
          <t>protocol_report</t>
        </is>
      </c>
      <c r="F6" s="21" t="inlineStr">
        <is>
          <t>primary_done</t>
        </is>
      </c>
      <c r="G6" s="20">
        <f>IFERROR(IF(LEN(TRIM(CLEAN(SUBSTITUTE(Setup!$B$2,CHAR(160)," "))))=0,"CHECK REVIEWER ID",IF(OR(A6="",COUNTIF($A$2:$A$19,A6)&lt;&gt;1,LEFT(A6,LEN("2019::jama.2019.17380::"))&lt;&gt;"2019::jama.2019.17380::"),"CHECK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§VI.c Equation 1 (p. 17): eGFR = 177.6 x SCr^-0.65 x CysC^-0.57 x age^-0.20 x 0.82 (female) x 1.11 (black) [Stevens 2008]. Article p. 3: CKD-EPI creatinine-cystatin C equation (ref 19, 2012). The addendum (p. 32) does not name an estimator. The primary outcome is computed with a different equation.</t>
        </is>
      </c>
    </row>
    <row r="7" ht="92" customFormat="1" customHeight="1" s="14">
      <c r="A7" s="24" t="inlineStr">
        <is>
          <t>2019::jama.2019.17380::C006</t>
        </is>
      </c>
      <c r="B7" s="24" t="inlineStr">
        <is>
          <t>Standalone categorical ACR analysis is called prespecified</t>
        </is>
      </c>
      <c r="C7" s="24" t="inlineStr">
        <is>
          <t>joi190122supp1_prod.pdf — p.17 original composite; joi190122supp1_prod.pdf — p.32 §15b/e; joi190122supp1_prod.pdf — p.33 categorical-model continuation; jama_de_boer_2019_oi_190122.pdf — p.3 Outcomes; jama_de_boer_2019_oi_190122.pdf — p.4 secondary narrative; jama_de_boer_2019_oi_190122.pdf — p.9 Table 3 and footnote a.</t>
        </is>
      </c>
      <c r="D7" s="21" t="inlineStr">
        <is>
          <t>retain</t>
        </is>
      </c>
      <c r="E7" s="21" t="inlineStr">
        <is>
          <t>protocol_report</t>
        </is>
      </c>
      <c r="F7" s="21" t="inlineStr">
        <is>
          <t>primary_done</t>
        </is>
      </c>
      <c r="G7" s="24">
        <f>IFERROR(IF(LEN(TRIM(CLEAN(SUBSTITUTE(Setup!$B$2,CHAR(160)," "))))=0,"CHECK REVIEWER ID",IF(OR(A7="",COUNTIF($A$2:$A$19,A7)&lt;&gt;1,LEFT(A7,LEN("2019::jama.2019.17380::"))&lt;&gt;"2019::jama.2019.17380::"),"CHECK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Article p. 3 and Table 3 footnote a call 'time to doubling of urine ACR to a final ACR &gt;=30 mg/g' a prespecified secondary outcome. The addendum (§15b, p. 32) lists ACR change as continuous plus &gt;=40% eGFR loss and a composite; the original protocol had ACR doubling only inside a different composite. This standalone result (vitamin D HR 1.34, 1.00-1.80, P = .05) lacks a supplied plan basis.</t>
        </is>
      </c>
    </row>
    <row r="8" ht="92" customFormat="1" customHeight="1" s="14">
      <c r="A8" s="20" t="inlineStr">
        <is>
          <t>2019::jama.2019.17380::C007</t>
        </is>
      </c>
      <c r="B8" s="20" t="inlineStr">
        <is>
          <t>Adherence sensitivity populations use different criteria</t>
        </is>
      </c>
      <c r="C8" s="20" t="inlineStr">
        <is>
          <t>joi190122supp1_prod.pdf — p.19 VI.g; joi190122supp1_prod.pdf — p.33 §15g; jama_de_boer_2019_oi_190122.pdf — p.3 Covariates/Data Analysis; jama_de_boer_2019_oi_190122.pdf — p.4 sensitivity narrative; joi190122supp2_prod.pdf — p.6 eTable 1 footnote; joi190122supp2_prod.pdf — p.10 eTable 5 definition; joi190122supp2_prod.pdf — p.13 eTable 8 definition.</t>
        </is>
      </c>
      <c r="D8" s="21" t="inlineStr">
        <is>
          <t>retain</t>
        </is>
      </c>
      <c r="E8" s="21" t="inlineStr">
        <is>
          <t>protocol_report</t>
        </is>
      </c>
      <c r="F8" s="21" t="inlineStr">
        <is>
          <t>primary_done</t>
        </is>
      </c>
      <c r="G8" s="20">
        <f>IFERROR(IF(LEN(TRIM(CLEAN(SUBSTITUTE(Setup!$B$2,CHAR(160)," "))))=0,"CHECK REVIEWER ID",IF(OR(A8="",COUNTIF($A$2:$A$19,A8)&lt;&gt;1,LEFT(A8,LEN("2019::jama.2019.17380::"))&lt;&gt;"2019::jama.2019.17380::"),"CHECK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Protocol §VI.g (p. 19) and addendum §15g (p. 33): adherence sensitivity among participants reporting (continuous) adherence to &gt;=80% of study medications. Article p. 3 and eTables 1, 5, 8: highly adherent defined as using study medications at least two-thirds of the time.</t>
        </is>
      </c>
    </row>
    <row r="9" ht="92" customFormat="1" customHeight="1" s="14">
      <c r="A9" s="24" t="inlineStr">
        <is>
          <t>2019::jama.2019.17380::C008</t>
        </is>
      </c>
      <c r="B9" s="24" t="inlineStr">
        <is>
          <t>Primary analysis population drops the planned follow-up condition</t>
        </is>
      </c>
      <c r="C9" s="24" t="inlineStr">
        <is>
          <t>joi190122supp1_prod.pdf — p.32 §15c; jama_de_boer_2019_oi_190122.pdf — p.3 Data Analysis; jama_de_boer_2019_oi_190122.pdf — p.4 Retention; jama_de_boer_2019_oi_190122.pdf — p.6 Figure 1; jama_de_boer_2019_oi_190122.pdf — p.8 Table 2 footnotes.</t>
        </is>
      </c>
      <c r="D9" s="21" t="inlineStr">
        <is>
          <t>retain</t>
        </is>
      </c>
      <c r="E9" s="21" t="inlineStr">
        <is>
          <t>protocol_report</t>
        </is>
      </c>
      <c r="F9" s="21" t="inlineStr">
        <is>
          <t>primary_done</t>
        </is>
      </c>
      <c r="G9" s="24">
        <f>IFERROR(IF(LEN(TRIM(CLEAN(SUBSTITUTE(Setup!$B$2,CHAR(160)," "))))=0,"CHECK REVIEWER ID",IF(OR(A9="",COUNTIF($A$2:$A$19,A9)&lt;&gt;1,LEFT(A9,LEN("2019::jama.2019.17380::"))&lt;&gt;"2019::jama.2019.17380::"),"CHECK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substantive_difference</t>
        </is>
      </c>
      <c r="M9" s="24" t="n"/>
      <c r="N9" s="23" t="n"/>
      <c r="O9" s="23" t="n"/>
      <c r="P9" s="23" t="n"/>
      <c r="Q9" s="23" t="n"/>
      <c r="R9" s="22" t="inlineStr">
        <is>
          <t>Addendum §15c (p. 32): ITT population = all participants who return at least one follow-up biosample, with MI for missing year-5 eGFR. Article p. 3: all randomized participants 'regardless of adherence or follow-up' (n = 1312), imputing outcomes also for the 222 without any follow-up blood sample (1312 - 1090).</t>
        </is>
      </c>
    </row>
    <row r="10" ht="92" customFormat="1" customHeight="1" s="14">
      <c r="A10" s="20" t="inlineStr">
        <is>
          <t>2019::jama.2019.17380::C009</t>
        </is>
      </c>
      <c r="B10" s="20" t="inlineStr">
        <is>
          <t>Primary imputation count differs between plan and report</t>
        </is>
      </c>
      <c r="C10" s="20" t="inlineStr">
        <is>
          <t>joi190122supp1_prod.pdf — p.32 §15c; jama_de_boer_2019_oi_190122.pdf — p.3 Data Analysis; jama_de_boer_2019_oi_190122.pdf — p.8 Table 2 footnotes.</t>
        </is>
      </c>
      <c r="D10" s="21" t="inlineStr">
        <is>
          <t>retain</t>
        </is>
      </c>
      <c r="E10" s="21" t="inlineStr">
        <is>
          <t>protocol_report</t>
        </is>
      </c>
      <c r="F10" s="21" t="inlineStr">
        <is>
          <t>primary_done</t>
        </is>
      </c>
      <c r="G10" s="20">
        <f>IFERROR(IF(LEN(TRIM(CLEAN(SUBSTITUTE(Setup!$B$2,CHAR(160)," "))))=0,"CHECK REVIEWER ID",IF(OR(A10="",COUNTIF($A$2:$A$19,A10)&lt;&gt;1,LEFT(A10,LEN("2019::jama.2019.17380::"))&lt;&gt;"2019::jama.2019.17380::"),"CHECK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minor_presentation</t>
        </is>
      </c>
      <c r="M10" s="20" t="n"/>
      <c r="N10" s="23" t="n"/>
      <c r="O10" s="23" t="n"/>
      <c r="P10" s="23" t="n"/>
      <c r="Q10" s="23" t="n"/>
      <c r="R10" s="22" t="inlineStr">
        <is>
          <t>Addendum §15c (p. 32): 10 imputed datasets (chained equations) combined by Rubin's rules; article p. 3: M = 20 imputations combined by Rubin's rules. A real but technically minor difference; more imputations reduce Monte Carlo error without changing the estimand.</t>
        </is>
      </c>
    </row>
    <row r="11" ht="92" customFormat="1" customHeight="1" s="14">
      <c r="A11" s="24" t="inlineStr">
        <is>
          <t>2019::jama.2019.17380::C010</t>
        </is>
      </c>
      <c r="B11" s="24" t="inlineStr">
        <is>
          <t>Reported primary covariates differ from the planned primary model</t>
        </is>
      </c>
      <c r="C11" s="24" t="inlineStr">
        <is>
          <t>joi190122supp1_prod.pdf — p.32 §15e Equation 2 and conditional sensitivity clause; joi190122supp1_prod.pdf — p.33; jama_de_boer_2019_oi_190122.pdf — p.3 Data Analysis; jama_de_boer_2019_oi_190122.pdf — p.8 Table 2 footnote a; joi190122supp2_prod.pdf — p.9 eTable 4; joi190122supp2_prod.pdf — p.10 eTable 5.</t>
        </is>
      </c>
      <c r="D11" s="21" t="inlineStr">
        <is>
          <t>retain</t>
        </is>
      </c>
      <c r="E11" s="21" t="inlineStr">
        <is>
          <t>protocol_report</t>
        </is>
      </c>
      <c r="F11" s="21" t="inlineStr">
        <is>
          <t>primary_done</t>
        </is>
      </c>
      <c r="G11" s="24">
        <f>IFERROR(IF(LEN(TRIM(CLEAN(SUBSTITUTE(Setup!$B$2,CHAR(160)," "))))=0,"CHECK REVIEWER ID",IF(OR(A11="",COUNTIF($A$2:$A$19,A11)&lt;&gt;1,LEFT(A11,LEN("2019::jama.2019.17380::"))&lt;&gt;"2019::jama.2019.17380::"),"CHECK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t="inlineStr">
        <is>
          <t>substantive_difference</t>
        </is>
      </c>
      <c r="M11" s="24" t="n"/>
      <c r="N11" s="23" t="n"/>
      <c r="O11" s="23" t="n"/>
      <c r="P11" s="23" t="n"/>
      <c r="Q11" s="23" t="n"/>
      <c r="R11" s="22" t="inlineStr">
        <is>
          <t>Addendum Equation 2 (p. 32): eGFR ~ treatment + time + treatment x time + random intercept, with baseline covariates only in sensitivity analyses if imbalance is observed. Article p. 3 and Table 2 footnote a: primary model adds age, sex and their time interactions, and (for eGFR) baseline urine ACR and its time interaction.</t>
        </is>
      </c>
    </row>
    <row r="12" ht="92" customFormat="1" customHeight="1" s="14">
      <c r="A12" s="20" t="inlineStr">
        <is>
          <t>2019::jama.2019.17380::C011</t>
        </is>
      </c>
      <c r="B12" s="20" t="inlineStr">
        <is>
          <t>Planned bioavailable vitamin-D subgroup result is absent</t>
        </is>
      </c>
      <c r="C12" s="20" t="inlineStr">
        <is>
          <t>joi190122supp1_prod.pdf — p.33 §15f; jama_de_boer_2019_oi_190122.pdf — p.3 subgroup methods; jama_de_boer_2019_oi_190122.pdf — p.8 Figure 3; jama_de_boer_2019_oi_190122.pdf — p.9 interpretation; jama_de_boer_2019_oi_190122.pdf — p.10 interpretation/disclosure; joi190122supp2_prod.pdf — p.18 eFigure 2; joi190122supp2_prod.pdf — p.17 eFigure 1; joi190122supp3_prod.pdf — data-sharing statement p.1.</t>
        </is>
      </c>
      <c r="D12" s="21" t="inlineStr">
        <is>
          <t>retain</t>
        </is>
      </c>
      <c r="E12" s="21" t="inlineStr">
        <is>
          <t>protocol_report</t>
        </is>
      </c>
      <c r="F12" s="21" t="inlineStr">
        <is>
          <t>primary_done</t>
        </is>
      </c>
      <c r="G12" s="20">
        <f>IFERROR(IF(LEN(TRIM(CLEAN(SUBSTITUTE(Setup!$B$2,CHAR(160)," "))))=0,"CHECK REVIEWER ID",IF(OR(A12="",COUNTIF($A$2:$A$19,A12)&lt;&gt;1,LEFT(A12,LEN("2019::jama.2019.17380::"))&lt;&gt;"2019::jama.2019.17380::"),"CHECK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t="inlineStr">
        <is>
          <t>substantive_difference</t>
        </is>
      </c>
      <c r="M12" s="20" t="n"/>
      <c r="N12" s="23" t="n"/>
      <c r="O12" s="23" t="n"/>
      <c r="P12" s="23" t="n"/>
      <c r="Q12" s="23" t="n"/>
      <c r="R12" s="22" t="inlineStr">
        <is>
          <t>Addendum §15f (p. 33) prespecifies vitamin D subgroups by baseline total AND bioavailable 25(OH)D. Article p. 3, Figure 3 and eFigure 2 report total 25(OH)D only; bioavailable 25(OH)D is not reported anywhere in the supplied documents.</t>
        </is>
      </c>
    </row>
    <row r="13" ht="92" customFormat="1" customHeight="1" s="14">
      <c r="A13" s="24" t="inlineStr">
        <is>
          <t>2019::jama.2019.17380::C012</t>
        </is>
      </c>
      <c r="B13" s="24" t="inlineStr">
        <is>
          <t>Forest figures associate counts with opposite treatment columns</t>
        </is>
      </c>
      <c r="C13" s="24" t="inlineStr">
        <is>
          <t>jama_de_boer_2019_oi_190122.pdf — main p.8 Figure 3 and Table 2; jama_de_boer_2019_oi_190122.pdf — main p.9 Figure 4; joi190122supp2_prod.pdf — supplement p.18 eFigure 2; joi190122supp2_prod.pdf — supplement p.19 eFigure 3; jama_de_boer_2019_oi_190122.pdf — main p.1 allocation; jama_de_boer_2019_oi_190122.pdf — p.5 Table 1; jama_de_boer_2019_oi_190122.pdf — p.6 Figure 1; joi190122supp2_prod.pdf — supplement p.11 eTable 6; joi190122supp2_prod.pdf — p.16 eTable 11 marginal allocations.</t>
        </is>
      </c>
      <c r="D13" s="21" t="inlineStr">
        <is>
          <t>retain</t>
        </is>
      </c>
      <c r="E13" s="21" t="inlineStr">
        <is>
          <t>statistical_results</t>
        </is>
      </c>
      <c r="F13" s="21" t="inlineStr">
        <is>
          <t>primary_done</t>
        </is>
      </c>
      <c r="G13" s="24">
        <f>IFERROR(IF(LEN(TRIM(CLEAN(SUBSTITUTE(Setup!$B$2,CHAR(160)," "))))=0,"CHECK REVIEWER ID",IF(OR(A13="",COUNTIF($A$2:$A$19,A13)&lt;&gt;1,LEFT(A13,LEN("2019::jama.2019.17380::"))&lt;&gt;"2019::jama.2019.17380::"),"CHECK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possible</t>
        </is>
      </c>
      <c r="K13" s="21">
        <f>IF(AND(OR(D13="retain",D13=""),OR(E13="report_internal_inconsistency",E13="plan_material")),"","not_applicable")</f>
        <v/>
      </c>
      <c r="L13" s="22">
        <f>IF(AND(OR(D13="retain",D13=""),E13="protocol_report"),"","not_applicable")</f>
        <v/>
      </c>
      <c r="M13" s="24" t="n"/>
      <c r="N13" s="23" t="n"/>
      <c r="O13" s="23" t="n"/>
      <c r="P13" s="23" t="n"/>
      <c r="Q13" s="23" t="n"/>
      <c r="R13" s="22" t="inlineStr">
        <is>
          <t>Figure 3 (main p. 8, rendered) lists 703 under Placebo and 609 under Vitamin D, but vitamin D arms total 370+333 = 703 and placebo 289+320 = 609; Figure 4 lists 659 placebo / 653 omega-3, whereas omega-3 = 370+289 = 659. Stratum rows confirm the swap (e.g., omega-3-placebo stratum: 333 under Placebo = vitamin D+placebo arm). eFigures 2-3 repeat it. Mean changes sit in the correct columns.</t>
        </is>
      </c>
    </row>
    <row r="14" ht="92" customFormat="1" customHeight="1" s="14">
      <c r="A14" s="20" t="inlineStr">
        <is>
          <t>2019::jama.2019.17380::C013</t>
        </is>
      </c>
      <c r="B14" s="20" t="inlineStr">
        <is>
          <t>Omega-3 contributor rows repeat vitamin-D counts</t>
        </is>
      </c>
      <c r="C14" s="20" t="inlineStr">
        <is>
          <t>jama_de_boer_2019_oi_190122.pdf — main p.7 Figure 2 A–D and caption; jama_de_boer_2019_oi_190122.pdf — main p.8 Table 2; joi190122supp2_prod.pdf — supplement p.11 eTable 6; jama_de_boer_2019_oi_190122.pdf — main p.1 allocation.</t>
        </is>
      </c>
      <c r="D14" s="21" t="inlineStr">
        <is>
          <t>retain</t>
        </is>
      </c>
      <c r="E14" s="21" t="inlineStr">
        <is>
          <t>statistical_results</t>
        </is>
      </c>
      <c r="F14" s="21" t="inlineStr">
        <is>
          <t>primary_done</t>
        </is>
      </c>
      <c r="G14" s="20">
        <f>IFERROR(IF(LEN(TRIM(CLEAN(SUBSTITUTE(Setup!$B$2,CHAR(160)," "))))=0,"CHECK REVIEWER ID",IF(OR(A14="",COUNTIF($A$2:$A$19,A14)&lt;&gt;1,LEFT(A14,LEN("2019::jama.2019.17380::"))&lt;&gt;"2019::jama.2019.17380::"),"CHECK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Figure 2 (main p. 7, rendered): panels B and D (omega-3 vs placebo) repeat the vitamin D panel counts (Placebo 607/459/438 and active 701/531/496 for eGFR; 609/463/440 and 702/529/505 for ACR). Table 2 gives omega-3 eGFR counts 657/499/472 (active) and 651/491/462 (placebo).</t>
        </is>
      </c>
    </row>
    <row r="15" ht="92" customFormat="1" customHeight="1" s="14">
      <c r="A15" s="24" t="inlineStr">
        <is>
          <t>2019::jama.2019.17380::C014</t>
        </is>
      </c>
      <c r="B15" s="24" t="inlineStr">
        <is>
          <t>Plan gives two microgram equivalents for the same vitamin-D dose</t>
        </is>
      </c>
      <c r="C15" s="24" t="inlineStr">
        <is>
          <t>joi190122supp1_prod.pdf — p.15 V.e.1; joi190122supp1_prod.pdf — p.21 VII.a; jama_de_boer_2019_oi_190122.pdf — main p.2 intervention.</t>
        </is>
      </c>
      <c r="D15" s="21" t="inlineStr">
        <is>
          <t>retain</t>
        </is>
      </c>
      <c r="E15" s="21" t="inlineStr">
        <is>
          <t>plan_material</t>
        </is>
      </c>
      <c r="F15" s="21" t="inlineStr">
        <is>
          <t>primary_done</t>
        </is>
      </c>
      <c r="G15" s="24">
        <f>IFERROR(IF(LEN(TRIM(CLEAN(SUBSTITUTE(Setup!$B$2,CHAR(160)," "))))=0,"CHECK REVIEWER ID",IF(OR(A15="",COUNTIF($A$2:$A$19,A15)&lt;&gt;1,LEFT(A15,LEN("2019::jama.2019.17380::"))&lt;&gt;"2019::jama.2019.17380::"),"CHECK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t="inlineStr">
        <is>
          <t>minor_presentation</t>
        </is>
      </c>
      <c r="L15" s="22">
        <f>IF(AND(OR(D15="retain",D15=""),E15="protocol_report"),"","not_applicable")</f>
        <v/>
      </c>
      <c r="M15" s="24" t="n"/>
      <c r="N15" s="23" t="n"/>
      <c r="O15" s="23" t="n"/>
      <c r="P15" s="23" t="n"/>
      <c r="Q15" s="23" t="n"/>
      <c r="R15" s="22" t="inlineStr">
        <is>
          <t>Protocol p. 15 and p. 21 state '2000 IU (40 ug)' cholecalciferol, while p. 21 also gives the IOM upper limit as '50 ug, or 2000 IU'. 2000 IU = 50 ug (40 IU per ug); 40 ug = 1600 IU. The IU dose is consistent throughout; the microgram equivalent in the plan is wrong in two places.</t>
        </is>
      </c>
    </row>
    <row r="16" ht="92" customFormat="1" customHeight="1" s="14">
      <c r="A16" s="20" t="inlineStr">
        <is>
          <t>2019::jama.2019.17380::C015</t>
        </is>
      </c>
      <c r="B16" s="20" t="inlineStr">
        <is>
          <t>Plan interaction and primary models specify different time terms</t>
        </is>
      </c>
      <c r="C16" s="20" t="inlineStr">
        <is>
          <t>joi190122supp1_prod.pdf — p.32 §15d Equation 1 and §15e Equation 2; jama_de_boer_2019_oi_190122.pdf — main p.3; jama_de_boer_2019_oi_190122.pdf — p.4.</t>
        </is>
      </c>
      <c r="D16" s="21" t="inlineStr">
        <is>
          <t>retain</t>
        </is>
      </c>
      <c r="E16" s="21" t="inlineStr">
        <is>
          <t>plan_material</t>
        </is>
      </c>
      <c r="F16" s="21" t="inlineStr">
        <is>
          <t>primary_done</t>
        </is>
      </c>
      <c r="G16" s="20">
        <f>IFERROR(IF(LEN(TRIM(CLEAN(SUBSTITUTE(Setup!$B$2,CHAR(160)," "))))=0,"CHECK REVIEWER ID",IF(OR(A16="",COUNTIF($A$2:$A$19,A16)&lt;&gt;1,LEFT(A16,LEN("2019::jama.2019.17380::"))&lt;&gt;"2019::jama.2019.17380::"),"CHECK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t="inlineStr">
        <is>
          <t>minor_presentation</t>
        </is>
      </c>
      <c r="L16" s="22">
        <f>IF(AND(OR(D16="retain",D16=""),E16="protocol_report"),"","not_applicable")</f>
        <v/>
      </c>
      <c r="M16" s="20" t="n"/>
      <c r="N16" s="23" t="n"/>
      <c r="O16" s="23" t="n"/>
      <c r="P16" s="23" t="n"/>
      <c r="Q16" s="23" t="n"/>
      <c r="R16" s="22" t="inlineStr">
        <is>
          <t>Addendum §15d Equation 1 (p. 32) for treatment interaction includes treatment x time terms but no main effect of time, whereas primary Equation 2 includes beta2(t). As printed, Equation 1 would force the common time trend into the treatment terms; this is most likely a typographic omission, and the report's model includes time.</t>
        </is>
      </c>
    </row>
    <row r="17" ht="92" customFormat="1" customHeight="1" s="14">
      <c r="A17" s="24" t="inlineStr">
        <is>
          <t>2019::jama.2019.17380::C016</t>
        </is>
      </c>
      <c r="B17" s="24" t="inlineStr">
        <is>
          <t>Year-5 SGLT2 count and percentage do not reconcile</t>
        </is>
      </c>
      <c r="C17" s="24" t="inlineStr">
        <is>
          <t>joi190122supp2_prod.pdf — supplement p.7 eTable 2.</t>
        </is>
      </c>
      <c r="D17" s="21" t="inlineStr">
        <is>
          <t>retain</t>
        </is>
      </c>
      <c r="E17" s="21" t="inlineStr">
        <is>
          <t>statistical_results</t>
        </is>
      </c>
      <c r="F17" s="21" t="inlineStr">
        <is>
          <t>primary_done</t>
        </is>
      </c>
      <c r="G17" s="24">
        <f>IFERROR(IF(LEN(TRIM(CLEAN(SUBSTITUTE(Setup!$B$2,CHAR(160)," "))))=0,"CHECK REVIEWER ID",IF(OR(A17="",COUNTIF($A$2:$A$19,A17)&lt;&gt;1,LEFT(A17,LEN("2019::jama.2019.17380::"))&lt;&gt;"2019::jama.2019.17380::"),"CHECK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t="inlineStr">
        <is>
          <t>confirmed_issue</t>
        </is>
      </c>
      <c r="I17" s="21" t="inlineStr">
        <is>
          <t>minor_presentation</t>
        </is>
      </c>
      <c r="J17" s="22" t="inlineStr">
        <is>
          <t>unlikely</t>
        </is>
      </c>
      <c r="K17" s="21">
        <f>IF(AND(OR(D17="retain",D17=""),OR(E17="report_internal_inconsistency",E17="plan_material")),"","not_applicable")</f>
        <v/>
      </c>
      <c r="L17" s="22">
        <f>IF(AND(OR(D17="retain",D17=""),E17="protocol_report"),"","not_applicable")</f>
        <v/>
      </c>
      <c r="M17" s="24" t="n"/>
      <c r="N17" s="23" t="n"/>
      <c r="O17" s="23" t="n"/>
      <c r="P17" s="23" t="n"/>
      <c r="Q17" s="23" t="n"/>
      <c r="R17" s="22" t="inlineStr">
        <is>
          <t>eTable 2 (supp2 p. 7, rendered) year 5: every other row in the vitamin D columns implies nonmissing N of 489-494 (active) and 422-425 (placebo), e.g., biguanides 325 (66), 313 (74). SGLT2 25 (6) and 21 (4) then give 5.1% and 5.0%, both printed wrongly; fish-oil columns reconcile. Overall 46/916 = 5.0%.</t>
        </is>
      </c>
    </row>
    <row r="18" ht="92" customFormat="1" customHeight="1" s="14">
      <c r="A18" s="20" t="inlineStr">
        <is>
          <t>2019::jama.2019.17380::C017</t>
        </is>
      </c>
      <c r="B18" s="20" t="inlineStr">
        <is>
          <t>Paired-urine exclusion accounting does not reconcile</t>
        </is>
      </c>
      <c r="C18" s="20" t="inlineStr">
        <is>
          <t>joi190122supp2_prod.pdf — supplement p.12 eTable 7.</t>
        </is>
      </c>
      <c r="D18" s="21" t="inlineStr">
        <is>
          <t>retain</t>
        </is>
      </c>
      <c r="E18" s="21" t="inlineStr">
        <is>
          <t>statistical_results</t>
        </is>
      </c>
      <c r="F18" s="21" t="inlineStr">
        <is>
          <t>primary_done</t>
        </is>
      </c>
      <c r="G18" s="20">
        <f>IFERROR(IF(LEN(TRIM(CLEAN(SUBSTITUTE(Setup!$B$2,CHAR(160)," "))))=0,"CHECK REVIEWER ID",IF(OR(A18="",COUNTIF($A$2:$A$19,A18)&lt;&gt;1,LEFT(A18,LEN("2019::jama.2019.17380::"))&lt;&gt;"2019::jama.2019.17380::"),"CHECK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minor_presentation</t>
        </is>
      </c>
      <c r="J18" s="22" t="inlineStr">
        <is>
          <t>unlikely</t>
        </is>
      </c>
      <c r="K18" s="21">
        <f>IF(AND(OR(D18="retain",D18=""),OR(E18="report_internal_inconsistency",E18="plan_material")),"","not_applicable")</f>
        <v/>
      </c>
      <c r="L18" s="22">
        <f>IF(AND(OR(D18="retain",D18=""),E18="protocol_report"),"","not_applicable")</f>
        <v/>
      </c>
      <c r="M18" s="20" t="n"/>
      <c r="N18" s="23" t="n"/>
      <c r="O18" s="23" t="n"/>
      <c r="P18" s="23" t="n"/>
      <c r="Q18" s="23" t="n"/>
      <c r="R18" s="22" t="inlineStr">
        <is>
          <t>eTable 7 (supp2 p. 12): title N = 944 and arm counts 504+440 = 477+467 = 944, but the footnote says 1311 donated baseline urine and '991 of these also donated a year 5 urine sample and were included', with 320 excluded (1311-320 = 991). 1311-944 = 367. Main text p. 4 gives 945 year-5 urine donors, consistent with 944 plus 1 without baseline.</t>
        </is>
      </c>
    </row>
    <row r="19" ht="92" customFormat="1" customHeight="1" s="14">
      <c r="A19" s="24" t="inlineStr">
        <is>
          <t>2019::jama.2019.17380::C018</t>
        </is>
      </c>
      <c r="B19" s="24" t="inlineStr">
        <is>
          <t>Albuminuria forest favor labels reverse the ratio direction</t>
        </is>
      </c>
      <c r="C19" s="24" t="inlineStr">
        <is>
          <t>joi190122supp2_prod.pdf — supplement p.18 eFigure 2; joi190122supp2_prod.pdf — p.19 eFigure 3; joi190122supp2_prod.pdf — supplement p.11 eTable 6; jama_de_boer_2019_oi_190122.pdf — main p.3 ACR progression definition; jama_de_boer_2019_oi_190122.pdf — p.4 threefold increase narrative; joi190122supp1_prod.pdf — p.11 slower-progression hypotheses; joi190122supp1_prod.pdf — p.17 ACR definition.</t>
        </is>
      </c>
      <c r="D19" s="21" t="inlineStr">
        <is>
          <t>retain</t>
        </is>
      </c>
      <c r="E19" s="21" t="inlineStr">
        <is>
          <t>statistical_results</t>
        </is>
      </c>
      <c r="F19" s="21" t="inlineStr">
        <is>
          <t>primary_done</t>
        </is>
      </c>
      <c r="G19" s="24">
        <f>IFERROR(IF(LEN(TRIM(CLEAN(SUBSTITUTE(Setup!$B$2,CHAR(160)," "))))=0,"CHECK REVIEWER ID",IF(OR(A19="",COUNTIF($A$2:$A$19,A19)&lt;&gt;1,LEFT(A19,LEN("2019::jama.2019.17380::"))&lt;&gt;"2019::jama.2019.17380::"),"CHECK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minor_presentation</t>
        </is>
      </c>
      <c r="J19" s="22" t="inlineStr">
        <is>
          <t>unlikely</t>
        </is>
      </c>
      <c r="K19" s="21">
        <f>IF(AND(OR(D19="retain",D19=""),OR(E19="report_internal_inconsistency",E19="plan_material")),"","not_applicable")</f>
        <v/>
      </c>
      <c r="L19" s="22">
        <f>IF(AND(OR(D19="retain",D19=""),E19="protocol_report"),"","not_applicable")</f>
        <v/>
      </c>
      <c r="M19" s="24" t="n"/>
      <c r="N19" s="23" t="n"/>
      <c r="O19" s="23" t="n"/>
      <c r="P19" s="23" t="n"/>
      <c r="Q19" s="23" t="n"/>
      <c r="R19" s="22" t="inlineStr">
        <is>
          <t>eFigures 2-3 (supp2 pp. 18-19, rendered) plot the ratio of ACR change, active/placebo; a ratio &gt;1 means a larger albuminuria increase with the active supplement, i.e., favors placebo. The axis labels put 'Favors Vitamin D' / 'Favors Omega-3' on the right (&gt;1) and 'Favors Placebo' on the left. Direction labels are reversed. All intervals cross 1.</t>
        </is>
      </c>
    </row>
  </sheetData>
  <autoFilter ref="A1:R19"/>
  <conditionalFormatting sqref="H2:H19">
    <cfRule type="expression" priority="8" dxfId="70">
      <formula>NOT(AND(OR($D2="retain",$D2=""),$E2="statistical_results"))</formula>
    </cfRule>
  </conditionalFormatting>
  <conditionalFormatting sqref="I2:I19">
    <cfRule type="expression" priority="9" dxfId="70">
      <formula>NOT(AND(OR($D2="retain",$D2=""),$E2="statistical_results"))</formula>
    </cfRule>
  </conditionalFormatting>
  <conditionalFormatting sqref="J2:J19">
    <cfRule type="expression" priority="10" dxfId="70">
      <formula>NOT(AND(OR($D2="retain",$D2=""),$E2="statistical_results"))</formula>
    </cfRule>
  </conditionalFormatting>
  <conditionalFormatting sqref="K2:K19">
    <cfRule type="expression" priority="11" dxfId="70">
      <formula>NOT(AND(OR($D2="retain",$D2=""),OR($E2="report_internal_inconsistency",$E2="plan_material")))</formula>
    </cfRule>
  </conditionalFormatting>
  <conditionalFormatting sqref="L2:L19">
    <cfRule type="expression" priority="12" dxfId="70">
      <formula>NOT(AND(OR($D2="retain",$D2=""),$E2="protocol_report"))</formula>
    </cfRule>
  </conditionalFormatting>
  <conditionalFormatting sqref="G2:G19">
    <cfRule type="expression" priority="13" dxfId="71">
      <formula>G2&lt;&gt;"PRIMARY READY"</formula>
    </cfRule>
  </conditionalFormatting>
  <dataValidations count="8">
    <dataValidation sqref="D2:D19" showDropDown="0" showInputMessage="0" showErrorMessage="1" allowBlank="1" errorTitle="Use a listed option" error="Choose an option; G also checks pasted entries." type="list" errorStyle="stop">
      <formula1>"retain,exclude,discuss"</formula1>
    </dataValidation>
    <dataValidation sqref="E2:E1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9" showDropDown="0" showInputMessage="0" showErrorMessage="1" allowBlank="1" errorTitle="Use a listed option" error="Choose an option; G also checks pasted entries." type="list" errorStyle="stop">
      <formula1>"no,primary_done"</formula1>
    </dataValidation>
    <dataValidation sqref="H2:H1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9" showDropDown="0" showInputMessage="0" showErrorMessage="1" allowBlank="1" errorTitle="Use a listed option" error="Choose an option; G also checks pasted entries." type="list" errorStyle="stop">
      <formula1>"direct,possible,unlikely,unknown,not_applicable"</formula1>
    </dataValidation>
    <dataValidation sqref="K2:K1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8"/>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2019::jama.2019.2210::C001</t>
        </is>
      </c>
      <c r="B2" s="20" t="inlineStr">
        <is>
          <t>De novo cancer outcome status differs across final plan and report</t>
        </is>
      </c>
      <c r="C2" s="20" t="inlineStr">
        <is>
          <t>PLAN joi190023supp1_prod.pdf — initial synopsis, PDF p.4, joi190023supp1_prod.pdf — final synopsis, PDF p.19, joi190023supp1_prod.pdf — final body, PDF p.25 and joi190023supp1_prod.pdf — amendment, PDF p.45; REPORT jama_urashima_2019_oi_190023.pdf — Outcomes beginning, PDF p.2, jama_urashima_2019_oi_190023.pdf — continuation and analysis populations, PDF p.3 and jama_urashima_2019_oi_190023.pdf — Table 3 de novo row and population footnotes, PDF p.8.</t>
        </is>
      </c>
      <c r="D2" s="21" t="inlineStr">
        <is>
          <t>retain</t>
        </is>
      </c>
      <c r="E2" s="21" t="inlineStr">
        <is>
          <t>protocol_report</t>
        </is>
      </c>
      <c r="F2" s="21" t="inlineStr">
        <is>
          <t>primary_done</t>
        </is>
      </c>
      <c r="G2" s="20">
        <f>IFERROR(IF(LEN(TRIM(CLEAN(SUBSTITUTE(Setup!$B$2,CHAR(160)," "))))=0,"CHECK REVIEWER ID",IF(OR(A2="",COUNTIF($A$2:$A$8,A2)&lt;&gt;1,LEFT(A2,LEN("2019::jama.2019.2210::"))&lt;&gt;"2019::jama.2019.2210::"),"CHECK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Final protocol body (supp1 p. 25) lists de novo cancer as a tertiary outcome, and the change summary (p. 45) records moving it from adverse events to a tertiary outcome in 2012; the final synopsis (p. 19, copied from p. 4) still calls it an adverse event. The article (pp. 2-3, Table 3 p. 8) reports it as a safety outcome analyzed per protocol. The plan is internally inconsistent; the report follows the outdated synopsis.</t>
        </is>
      </c>
    </row>
    <row r="3" ht="92" customFormat="1" customHeight="1" s="14">
      <c r="A3" s="24" t="inlineStr">
        <is>
          <t>2019::jama.2019.2210::C002</t>
        </is>
      </c>
      <c r="B3" s="24" t="inlineStr">
        <is>
          <t>Planned Kaplan–Meier curves lack a reported counterpart among Nelson–Aalen displays</t>
        </is>
      </c>
      <c r="C3" s="24" t="inlineStr">
        <is>
          <t>PLAN joi190023supp1_prod.pdf — initial SAP method 5c, PDF p.14, joi190023supp1_prod.pdf — final synopsis, PDF p.19, joi190023supp1_prod.pdf — final SAP method 5c, PDF p.31 and joi190023supp1_prod.pdf — amendment context, PDF p.45; REPORT jama_urashima_2019_oi_190023.pdf — Methods, PDF p.3, jama_urashima_2019_oi_190023.pdf — Figure 2A/B and caption, PDF p.6, jama_urashima_2019_oi_190023.pdf — Figure 3 and caption, PDF p.7, jama_urashima_2019_oi_190023.pdf — abstract, PDF p.1 and jama_urashima_2019_oi_190023.pdf — survival summaries, PDF p.4. Counterpart search covered the complete joi190023supp2_prod.pdf — results supplement, PDF pp.1–41 and joi190023supp3_prod.pdf — data-sharing statement, PDF p.1.</t>
        </is>
      </c>
      <c r="D3" s="21" t="inlineStr">
        <is>
          <t>retain</t>
        </is>
      </c>
      <c r="E3" s="21" t="inlineStr">
        <is>
          <t>protocol_report</t>
        </is>
      </c>
      <c r="F3" s="21" t="inlineStr">
        <is>
          <t>primary_done</t>
        </is>
      </c>
      <c r="G3" s="24">
        <f>IFERROR(IF(LEN(TRIM(CLEAN(SUBSTITUTE(Setup!$B$2,CHAR(160)," "))))=0,"CHECK REVIEWER ID",IF(OR(A3="",COUNTIF($A$2:$A$8,A3)&lt;&gt;1,LEFT(A3,LEN("2019::jama.2019.2210::"))&lt;&gt;"2019::jama.2019.2210::"),"CHECK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minor_presentation</t>
        </is>
      </c>
      <c r="M3" s="24" t="n"/>
      <c r="N3" s="23" t="n"/>
      <c r="O3" s="23" t="n"/>
      <c r="P3" s="23" t="n"/>
      <c r="Q3" s="23" t="n"/>
      <c r="R3" s="22" t="inlineStr">
        <is>
          <t>Initial and final SAP method 5c (supp1 pp. 14, 31) and synopsis (p. 19) plan Kaplan-Meier survival curves (ITT). The article (p. 3, Figures 2-3) shows Nelson-Aalen cumulative hazard curves; no Kaplan-Meier curve appears in the article or eSupplement (text search). 5-year survival percentages are given in text.</t>
        </is>
      </c>
    </row>
    <row r="4" ht="92" customFormat="1" customHeight="1" s="14">
      <c r="A4" s="20" t="inlineStr">
        <is>
          <t>2019::jama.2019.2210::C003</t>
        </is>
      </c>
      <c r="B4" s="20" t="inlineStr">
        <is>
          <t>Planned relapse and safety risk-ratio evaluations lack reported counterparts</t>
        </is>
      </c>
      <c r="C4" s="20" t="inlineStr">
        <is>
          <t>PLAN joi190023supp1_prod.pdf — initial SAP method 5e, PDF p.14 and joi190023supp1_prod.pdf — final SAP method 5e, PDF p.31; REPORT jama_urashima_2019_oi_190023.pdf — post hoc competing-risk method, PDF p.3, jama_urashima_2019_oi_190023.pdf — Figure 2C and relapse narrative, PDF p.6, jama_urashima_2019_oi_190023.pdf — Table 2 relapse rows, PDF p.7 and jama_urashima_2019_oi_190023.pdf — all Table 3 safety rows and footnotes, PDF p.8. Counterpart search covered the complete joi190023supp2_prod.pdf — results supplement and joi190023supp3_prod.pdf — data-sharing statement.</t>
        </is>
      </c>
      <c r="D4" s="21" t="inlineStr">
        <is>
          <t>retain</t>
        </is>
      </c>
      <c r="E4" s="21" t="inlineStr">
        <is>
          <t>protocol_report</t>
        </is>
      </c>
      <c r="F4" s="21" t="inlineStr">
        <is>
          <t>primary_done</t>
        </is>
      </c>
      <c r="G4" s="20">
        <f>IFERROR(IF(LEN(TRIM(CLEAN(SUBSTITUTE(Setup!$B$2,CHAR(160)," "))))=0,"CHECK REVIEWER ID",IF(OR(A4="",COUNTIF($A$2:$A$8,A4)&lt;&gt;1,LEFT(A4,LEN("2019::jama.2019.2210::"))&lt;&gt;"2019::jama.2019.2210::"),"CHECK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SAP method 5e (supp1 pp. 14, 31): relapse and safety outcomes evaluated with risk ratios. Article: relapse analyzed with post hoc competing-risk subdistribution HRs (p. 3, Figure 2C, Table 2); safety outcomes given as n (%) only (Table 3). No risk ratio is reported for relapse or any safety outcome. The competing-risk analysis is labeled post hoc (disclosed).</t>
        </is>
      </c>
    </row>
    <row r="5" ht="92" customFormat="1" customHeight="1" s="14">
      <c r="A5" s="24" t="inlineStr">
        <is>
          <t>2019::jama.2019.2210::C004</t>
        </is>
      </c>
      <c r="B5" s="24" t="inlineStr">
        <is>
          <t>Prespecified high-baseline vitamin-D subgroup analysis was omitted</t>
        </is>
      </c>
      <c r="C5" s="24" t="inlineStr">
        <is>
          <t>PLAN joi190023supp1_prod.pdf — final SAP subgroup/interaction specification, PDF p.31 and joi190023supp1_prod.pdf — subgroup amendment, PDF p.45; REPORT jama_urashima_2019_oi_190023.pdf — Methods, PDF p.3, jama_urashima_2019_oi_190023.pdf — subgroup population and omission, PDF p.4, jama_urashima_2019_oi_190023.pdf — Table 1 high-group counts, PDF p.5, jama_urashima_2019_oi_190023.pdf — Figure 3 caption, PDF p.7 and jama_urashima_2019_oi_190023.pdf — limitations, PDF p.8; jama_urashima_2019_oi_190023.pdf — abstract, PDF p.1 corroborates the reported two-group interaction context.</t>
        </is>
      </c>
      <c r="D5" s="21" t="inlineStr">
        <is>
          <t>retain</t>
        </is>
      </c>
      <c r="E5" s="21" t="inlineStr">
        <is>
          <t>protocol_report</t>
        </is>
      </c>
      <c r="F5" s="21" t="inlineStr">
        <is>
          <t>primary_done</t>
        </is>
      </c>
      <c r="G5" s="24">
        <f>IFERROR(IF(LEN(TRIM(CLEAN(SUBSTITUTE(Setup!$B$2,CHAR(160)," "))))=0,"CHECK REVIEWER ID",IF(OR(A5="",COUNTIF($A$2:$A$8,A5)&lt;&gt;1,LEFT(A5,LEN("2019::jama.2019.2210::"))&lt;&gt;"2019::jama.2019.2210::"),"CHECK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Final SAP subgroup analyses (supp1 p. 31; added 2012 per p. 45) define three 25(OH)D groups (&lt;20, 20-40, &gt;40 ng/mL) with interaction testing. The article (pp. 3-4, 7-8) did not analyse the &gt;40 group (n = 5: 4 vs 1) and tested interaction only between low and middle groups. Disclosed and explained in the report.</t>
        </is>
      </c>
    </row>
    <row r="6" ht="92" customFormat="1" customHeight="1" s="14">
      <c r="A6" s="20" t="inlineStr">
        <is>
          <t>2019::jama.2019.2210::C005</t>
        </is>
      </c>
      <c r="B6" s="20" t="inlineStr">
        <is>
          <t>Genotype percentages use unstated denominators differing from printed arm headers</t>
        </is>
      </c>
      <c r="C6" s="20" t="inlineStr">
        <is>
          <t>jama_urashima_2019_oi_190023.pdf — Main article Table 1, PDF p.5: both repeated arm headers; BsmI, Cdx2, ApaI, TaqI, DBP1 and DBP2 rows; footnotes a–c. Every affected cell is enumerated below.</t>
        </is>
      </c>
      <c r="D6" s="21" t="inlineStr">
        <is>
          <t>exclude</t>
        </is>
      </c>
      <c r="E6" s="21" t="inlineStr">
        <is>
          <t>statistical_results</t>
        </is>
      </c>
      <c r="F6" s="21" t="inlineStr">
        <is>
          <t>primary_done</t>
        </is>
      </c>
      <c r="G6" s="20">
        <f>IFERROR(IF(LEN(TRIM(CLEAN(SUBSTITUTE(Setup!$B$2,CHAR(160)," "))))=0,"CHECK REVIEWER ID",IF(OR(A6="",COUNTIF($A$2:$A$8,A6)&lt;&gt;1,LEFT(A6,LEN("2019::jama.2019.2210::"))&lt;&gt;"2019::jama.2019.2210::"),"CHECK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inlineStr">
        <is>
          <t>Table 1 genotype percentages (main p. 5) reproduce with available-case (genotyped) denominators: e.g., FokI 92/245 = 37.6% (printed 38), BsmI 175/231 = 75.8% (76), placebo 119/150 = 79.3% (79). The 251/166 headers are not the denominators, but category sums give them. Fully explained by missing genotype data; one cell (ApaI placebo GT 61/150 = 40.7%, printed 40) is a trivial rounding slip.</t>
        </is>
      </c>
    </row>
    <row r="7" ht="92" customFormat="1" customHeight="1" s="14">
      <c r="A7" s="24" t="inlineStr">
        <is>
          <t>2019::jama.2019.2210::C006</t>
        </is>
      </c>
      <c r="B7" s="24" t="inlineStr">
        <is>
          <t>Table 2's shared hazard-ratio direction definition reverses the report interpretation</t>
        </is>
      </c>
      <c r="C7" s="24" t="inlineStr">
        <is>
          <t>jama_urashima_2019_oi_190023.pdf — Table 2 footnote a and every outcome/stratum row, PDF p.7; jama_urashima_2019_oi_190023.pdf — Statistical Analysis, PDF p.3; jama_urashima_2019_oi_190023.pdf — treatment-effect narrative, PDF p.4; jama_urashima_2019_oi_190023.pdf — matched middle relapse narrative and Figure 2C, PDF p.6; and jama_urashima_2019_oi_190023.pdf — Figure 3 treatment-direction corroboration, PDF p.7.</t>
        </is>
      </c>
      <c r="D7" s="21" t="inlineStr">
        <is>
          <t>retain</t>
        </is>
      </c>
      <c r="E7" s="21" t="inlineStr">
        <is>
          <t>statistical_results</t>
        </is>
      </c>
      <c r="F7" s="21" t="inlineStr">
        <is>
          <t>primary_done</t>
        </is>
      </c>
      <c r="G7" s="24">
        <f>IFERROR(IF(LEN(TRIM(CLEAN(SUBSTITUTE(Setup!$B$2,CHAR(160)," "))))=0,"CHECK REVIEWER ID",IF(OR(A7="",COUNTIF($A$2:$A$8,A7)&lt;&gt;1,LEFT(A7,LEN("2019::jama.2019.2210::"))&lt;&gt;"2019::jama.2019.2210::"),"CHECK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possible</t>
        </is>
      </c>
      <c r="K7" s="21">
        <f>IF(AND(OR(D7="retain",D7=""),OR(E7="report_internal_inconsistency",E7="plan_material")),"","not_applicable")</f>
        <v/>
      </c>
      <c r="L7" s="22">
        <f>IF(AND(OR(D7="retain",D7=""),E7="protocol_report"),"","not_applicable")</f>
        <v/>
      </c>
      <c r="M7" s="24" t="n"/>
      <c r="N7" s="23" t="n"/>
      <c r="O7" s="23" t="n"/>
      <c r="P7" s="23" t="n"/>
      <c r="Q7" s="23" t="n"/>
      <c r="R7" s="22" t="inlineStr">
        <is>
          <t>Table 2 footnote a (main p. 7): 'HR values greater than 1 indicate that vitamin D supplementation was associated with a decreased probability of the outcome.' The text interprets HR &lt;1 as benefit (e.g., relapse sHR 0.44 in the middle subgroup 'significantly lower in the vitamin D group', p. 6; HR 0.76 for relapse or death). The footnote reverses the direction used everywhere else.</t>
        </is>
      </c>
    </row>
    <row r="8" ht="92" customFormat="1" customHeight="1" s="14">
      <c r="A8" s="20" t="inlineStr">
        <is>
          <t>2019::jama.2019.2210::C007</t>
        </is>
      </c>
      <c r="B8" s="20" t="inlineStr">
        <is>
          <t>Adjusted interval and P value lack a joint solution under a same-page reproducing calculation</t>
        </is>
      </c>
      <c r="C8" s="20" t="inlineStr">
        <is>
          <t>jama_urashima_2019_oi_190023.pdf — Main PDF p.6 age-adjusted relapse/death paragraph; jama_urashima_2019_oi_190023.pdf — p.6 adjacent adjusted-death sentence; jama_urashima_2019_oi_190023.pdf — p.6 Figure 2A; jama_urashima_2019_oi_190023.pdf — p.6 Figure 2B; jama_urashima_2019_oi_190023.pdf — p.6 Figure 2C and its relapse narrative copy; jama_urashima_2019_oi_190023.pdf — p.6 middle-baseline relapse paragraph; and jama_urashima_2019_oi_190023.pdf — p.3 Statistical Analysis/post hoc age adjustment.</t>
        </is>
      </c>
      <c r="D8" s="21" t="inlineStr">
        <is>
          <t>exclude</t>
        </is>
      </c>
      <c r="E8" s="21" t="inlineStr">
        <is>
          <t>statistical_results</t>
        </is>
      </c>
      <c r="F8" s="21" t="inlineStr">
        <is>
          <t>primary_done</t>
        </is>
      </c>
      <c r="G8" s="20">
        <f>IFERROR(IF(LEN(TRIM(CLEAN(SUBSTITUTE(Setup!$B$2,CHAR(160)," "))))=0,"CHECK REVIEWER ID",IF(OR(A8="",COUNTIF($A$2:$A$8,A8)&lt;&gt;1,LEFT(A8,LEN("2019::jama.2019.2210::"))&lt;&gt;"2019::jama.2019.2210::"),"CHECK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inlineStr">
        <is>
          <t>Age-adjusted HR 0.66 (95% CI 0.43-0.99), P = .048 (main p. 6). Nominal Wald P from the CI = .051; allowing display rounding with a symmetric log-scale CI, P ranges .043-.047. The printed .048 differs by &lt;=0.001, which a likelihood-ratio or score P paired with a Wald CI would readily explain. Not a meaningful inconsistency.</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2"/>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2019::jama.2019.4755::C001</t>
        </is>
      </c>
      <c r="B2" s="20" t="inlineStr">
        <is>
          <t>Primary outcome hierarchy differs across supplied plan clauses and the report</t>
        </is>
      </c>
      <c r="C2" s="20" t="inlineStr">
        <is>
          <t>PLAN joi190039supp1_prod.pdf — DOC-002 protocol PDF p11 §3.4 and joi190039supp1_prod.pdf — p22 §6.1: narrow primary and secondary lists. PLAN joi190039supp1_prod.pdf — DOC-002 PDF p13 §3.9, continuing joi190039supp1_prod.pdf — p14: broader parenthetical primary endpoint. PLAN joi190039supp1_prod.pdf — DOC-002 PDF p28 §§7.1–7.2: narrow primary sensitivity and confirmatory status in §7.1; broad both-assay primary wording in §7.2. PLAN joi190039supp2_prod.pdf — DOC-003 SAP PDF p6 §3.2 and joi190039supp2_prod.pdf — p8 §5.4 continuation and §5.5: quantitative sensitivity primary, other diagnostic metrics secondary. PLAN joi190039supp2_prod.pdf — DOC-003 PDF p9 §7: disclosed population/missingness changes; no explicit hierarchy amendment. REPORT jama_brenner_2019_oi_190039.pdf — DOC-001 PDF p1 Main Outcome and Measures and jama_brenner_2019_oi_190039.pdf — p3 Outcomes/Statistical Analyses: narrow primary hierarchy; secondary analyses exploratory; AUC explicitly unreported. REPORT jama_brenner_2019_oi_190039.pdf — DOC-001 PDF p4 Primary/Secondary End Points: numerical secondary specificity and qualitative-sensitivity results.</t>
        </is>
      </c>
      <c r="D2" s="21" t="inlineStr">
        <is>
          <t>retain</t>
        </is>
      </c>
      <c r="E2" s="21" t="inlineStr">
        <is>
          <t>plan_material</t>
        </is>
      </c>
      <c r="F2" s="21" t="inlineStr">
        <is>
          <t>primary_done</t>
        </is>
      </c>
      <c r="G2" s="20">
        <f>IFERROR(IF(LEN(TRIM(CLEAN(SUBSTITUTE(Setup!$B$2,CHAR(160)," "))))=0,"CHECK REVIEWER ID",IF(OR(A2="",COUNTIF($A$2:$A$2,A2)&lt;&gt;1,LEFT(A2,LEN("2019::jama.2019.4755::"))&lt;&gt;"2019::jama.2019.4755::"),"CHECK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t="inlineStr">
        <is>
          <t>minor_presentation</t>
        </is>
      </c>
      <c r="L2" s="22">
        <f>IF(AND(OR(D2="retain",D2=""),E2="protocol_report"),"","not_applicable")</f>
        <v/>
      </c>
      <c r="M2" s="20" t="n"/>
      <c r="N2" s="23" t="n"/>
      <c r="O2" s="23" t="n"/>
      <c r="P2" s="23" t="n"/>
      <c r="Q2" s="23" t="n"/>
      <c r="R2" s="22" t="inlineStr">
        <is>
          <t>E changed to plan_material: the conflict is inside the plan. Protocol v1.5 §3.4 and §6.1 (pp. 11, 22) and the SAP §3.2 (p. 6) make FOBGold sensitivity the sole primary endpoint, with specificity and ROC AUC secondary; protocol §3.9 (pp. 13-14) and §7.2 (p. 28) call 'sensitivity and specificity ... and the AUC' of two FOBTs the primary endpoint. The article (pp. 1, 3) follows the SAP; AUC is disclosed as not reported.</t>
        </is>
      </c>
    </row>
  </sheetData>
  <autoFilter ref="A1:R2"/>
  <conditionalFormatting sqref="H2">
    <cfRule type="expression" priority="8" dxfId="70">
      <formula>NOT(AND(OR($D2="retain",$D2=""),$E2="statistical_results"))</formula>
    </cfRule>
  </conditionalFormatting>
  <conditionalFormatting sqref="I2">
    <cfRule type="expression" priority="9" dxfId="70">
      <formula>NOT(AND(OR($D2="retain",$D2=""),$E2="statistical_results"))</formula>
    </cfRule>
  </conditionalFormatting>
  <conditionalFormatting sqref="J2">
    <cfRule type="expression" priority="10" dxfId="70">
      <formula>NOT(AND(OR($D2="retain",$D2=""),$E2="statistical_results"))</formula>
    </cfRule>
  </conditionalFormatting>
  <conditionalFormatting sqref="K2">
    <cfRule type="expression" priority="11" dxfId="70">
      <formula>NOT(AND(OR($D2="retain",$D2=""),OR($E2="report_internal_inconsistency",$E2="plan_material")))</formula>
    </cfRule>
  </conditionalFormatting>
  <conditionalFormatting sqref="L2">
    <cfRule type="expression" priority="12" dxfId="70">
      <formula>NOT(AND(OR($D2="retain",$D2=""),$E2="protocol_report"))</formula>
    </cfRule>
  </conditionalFormatting>
  <conditionalFormatting sqref="G2">
    <cfRule type="expression" priority="13" dxfId="71">
      <formula>G2&lt;&gt;"PRIMARY READY"</formula>
    </cfRule>
  </conditionalFormatting>
  <dataValidations count="8">
    <dataValidation sqref="D2" showDropDown="0" showInputMessage="0" showErrorMessage="1" allowBlank="1" errorTitle="Use a listed option" error="Choose an option; G also checks pasted entries." type="list" errorStyle="stop">
      <formula1>"retain,exclude,discuss"</formula1>
    </dataValidation>
    <dataValidation sqref="E2"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 showDropDown="0" showInputMessage="0" showErrorMessage="1" allowBlank="1" errorTitle="Use a listed option" error="Choose an option; G also checks pasted entries." type="list" errorStyle="stop">
      <formula1>"no,primary_done"</formula1>
    </dataValidation>
    <dataValidation sqref="H2"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 showDropDown="0" showInputMessage="0" showErrorMessage="1" allowBlank="1" errorTitle="Use a listed option" error="Choose an option; G also checks pasted entries." type="list" errorStyle="stop">
      <formula1>"substantive,minor_presentation,indeterminate,not_applicable"</formula1>
    </dataValidation>
    <dataValidation sqref="J2" showDropDown="0" showInputMessage="0" showErrorMessage="1" allowBlank="1" errorTitle="Use a listed option" error="Choose an option; G also checks pasted entries." type="list" errorStyle="stop">
      <formula1>"direct,possible,unlikely,unknown,not_applicable"</formula1>
    </dataValidation>
    <dataValidation sqref="K2"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4"/>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2019::jama.2019.7505::C001</t>
        </is>
      </c>
      <c r="B2" s="20" t="inlineStr">
        <is>
          <t>Primary collapsed-composite RR/OR identity</t>
        </is>
      </c>
      <c r="C2" s="20" t="inlineStr">
        <is>
          <t>REPORT jama_bluth_2019_oi_190055_16092.pdf — main p. 1 abstract, jama_bluth_2019_oi_190055_16092.pdf — main p. 4 primary binary methods, jama_bluth_2019_oi_190055_16092.pdf — main p. 9 Table 3, jama_bluth_2019_oi_190055_16092.pdf — main p. 10 Figure 2 versus REPORT joi190055supp4_prod_16092.pdf — results p. 42 eFigure 12 collapsed-composite row. PLAN joi190055supp3_prod_16092.pdf — SAP p. 2 corroborates RR only.</t>
        </is>
      </c>
      <c r="D2" s="21" t="inlineStr">
        <is>
          <t>retain</t>
        </is>
      </c>
      <c r="E2" s="21" t="inlineStr">
        <is>
          <t>statistical_results</t>
        </is>
      </c>
      <c r="F2" s="21" t="inlineStr">
        <is>
          <t>primary_done</t>
        </is>
      </c>
      <c r="G2" s="20">
        <f>IFERROR(IF(LEN(TRIM(CLEAN(SUBSTITUTE(Setup!$B$2,CHAR(160)," "))))=0,"CHECK REVIEWER ID",IF(OR(A2="",COUNTIF($A$2:$A$14,A2)&lt;&gt;1,LEFT(A2,LEN("2019::jama.2019.7505::"))&lt;&gt;"2019::jama.2019.7505::"),"CHECK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direct</t>
        </is>
      </c>
      <c r="K2" s="21">
        <f>IF(AND(OR(D2="retain",D2=""),OR(E2="report_internal_inconsistency",E2="plan_material")),"","not_applicable")</f>
        <v/>
      </c>
      <c r="L2" s="22">
        <f>IF(AND(OR(D2="retain",D2=""),E2="protocol_report"),"","not_applicable")</f>
        <v/>
      </c>
      <c r="M2" s="20" t="n"/>
      <c r="N2" s="23" t="n"/>
      <c r="O2" s="23" t="n"/>
      <c r="P2" s="23" t="n"/>
      <c r="Q2" s="23" t="n"/>
      <c r="R2" s="22" t="inlineStr">
        <is>
          <t>Primary composite 211/989 vs 233/987: abstract, Table 3 (p. 9) and Figure 2 give 'risk ratio 0.93 (0.83-1.04)'; eFigure 12 (supp4 p. 42, rendered) lists the identical tuple as 'Odds Ratio (95% CI)' for the collapsed composite. Crude RR = 0.90 (0.77-1.06) and crude OR = 0.88, so 0.93 matches neither label.</t>
        </is>
      </c>
    </row>
    <row r="3" ht="92" customFormat="1" customHeight="1" s="14">
      <c r="A3" s="24" t="inlineStr">
        <is>
          <t>2019::jama.2019.7505::C002</t>
        </is>
      </c>
      <c r="B3" s="24" t="inlineStr">
        <is>
          <t>Abstract hypoxemia signed confidence limit</t>
        </is>
      </c>
      <c r="C3" s="24" t="inlineStr">
        <is>
          <t>REPORT jama_bluth_2019_oi_190055_16092.pdf — main p. 1 Results hypoxemia versus jama_bluth_2019_oi_190055_16092.pdf — main p. 9 Table 3 hypoxemia, with jama_bluth_2019_oi_190055_16092.pdf — main p. 10 secondary interpretation and jama_bluth_2019_oi_190055_16092.pdf — main p. 11 discussion.</t>
        </is>
      </c>
      <c r="D3" s="21" t="inlineStr">
        <is>
          <t>retain</t>
        </is>
      </c>
      <c r="E3" s="21" t="inlineStr">
        <is>
          <t>statistical_results</t>
        </is>
      </c>
      <c r="F3" s="21" t="inlineStr">
        <is>
          <t>primary_done</t>
        </is>
      </c>
      <c r="G3" s="24">
        <f>IFERROR(IF(LEN(TRIM(CLEAN(SUBSTITUTE(Setup!$B$2,CHAR(160)," "))))=0,"CHECK REVIEWER ID",IF(OR(A3="",COUNTIF($A$2:$A$14,A3)&lt;&gt;1,LEFT(A3,LEN("2019::jama.2019.7505::"))&lt;&gt;"2019::jama.2019.7505::"),"CHECK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possible</t>
        </is>
      </c>
      <c r="K3" s="21">
        <f>IF(AND(OR(D3="retain",D3=""),OR(E3="report_internal_inconsistency",E3="plan_material")),"","not_applicable")</f>
        <v/>
      </c>
      <c r="L3" s="22">
        <f>IF(AND(OR(D3="retain",D3=""),E3="protocol_report"),"","not_applicable")</f>
        <v/>
      </c>
      <c r="M3" s="24" t="n"/>
      <c r="N3" s="23" t="n"/>
      <c r="O3" s="23" t="n"/>
      <c r="P3" s="23" t="n"/>
      <c r="Q3" s="23" t="n"/>
      <c r="R3" s="22" t="inlineStr">
        <is>
          <t>Abstract (p. 1): hypoxemia 5.0% vs 13.6%, 'difference, -8.6% [95% CI, -11.1% to 6.1%]; P &lt; .001'. Table 3 (p. 9): -8.6 (-11.1 to -6.1). Recomputed Wald CI for 49/989 vs 134/987: -11.2 to -6.1. The abstract upper limit has lost its minus sign.</t>
        </is>
      </c>
    </row>
    <row r="4" ht="92" customFormat="1" customHeight="1" s="14">
      <c r="A4" s="20" t="inlineStr">
        <is>
          <t>2019::jama.2019.7505::C003</t>
        </is>
      </c>
      <c r="B4" s="20" t="inlineStr">
        <is>
          <t>Original secondary hierarchy and mortality follow-up</t>
        </is>
      </c>
      <c r="C4" s="20" t="inlineStr">
        <is>
          <t>PLAN joi190055supp1_prod_16092.pdf — protocol p. 5 synopsis and joi190055supp1_prod_16092.pdf — protocol p. 12 §7.1.2 versus PLAN joi190055supp3_prod_16092.pdf — SAP p. 1 updated outcome list and REPORT jama_bluth_2019_oi_190055_16092.pdf — main p. 3 Secondary Outcomes, joi190055supp4_prod_16092.pdf — results p. 21 §2.8. PLAN amendments joi190055supp2_prod_16092.pdf — p. 1, joi190055supp2_prod_16092.pdf — p. 2, joi190055supp2_prod_16092.pdf — p. 3 and REPORT jama_bluth_2019_oi_190055_16092.pdf — main p. 2 final-SAP identification were reread as context.</t>
        </is>
      </c>
      <c r="D4" s="21" t="inlineStr">
        <is>
          <t>retain</t>
        </is>
      </c>
      <c r="E4" s="21" t="inlineStr">
        <is>
          <t>protocol_report</t>
        </is>
      </c>
      <c r="F4" s="21" t="inlineStr">
        <is>
          <t>primary_done</t>
        </is>
      </c>
      <c r="G4" s="20">
        <f>IFERROR(IF(LEN(TRIM(CLEAN(SUBSTITUTE(Setup!$B$2,CHAR(160)," "))))=0,"CHECK REVIEWER ID",IF(OR(A4="",COUNTIF($A$2:$A$14,A4)&lt;&gt;1,LEFT(A4,LEN("2019::jama.2019.7505::"))&lt;&gt;"2019::jama.2019.7505::"),"CHECK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v2.6 (supp1 pp. 5, 12 §7.1.2) lists secondary endpoints including need for postoperative ventilatory support, hospital readmission within 30 days and mortality at day 90. The final SAP (supp3 p. 1, finalized January 2018 before database lock) and the article (p. 3) replace these with severe PPC, in-hospital mortality and others; 90-day mortality, ventilatory support and readmission are not reported. Article identifies the final SAP (p. 2).</t>
        </is>
      </c>
    </row>
    <row r="5" ht="92" customFormat="1" customHeight="1" s="14">
      <c r="A5" s="24" t="inlineStr">
        <is>
          <t>2019::jama.2019.7505::C004</t>
        </is>
      </c>
      <c r="B5" s="24" t="inlineStr">
        <is>
          <t>Repeated outcome-risk estimand identity</t>
        </is>
      </c>
      <c r="C5" s="24" t="inlineStr">
        <is>
          <t>REPORT jama_bluth_2019_oi_190055_16092.pdf — main p. 1 primary abstract; jama_bluth_2019_oi_190055_16092.pdf — main p. 4 binary methods; jama_bluth_2019_oi_190055_16092.pdf — main p. 8 primary/mild/pleural narrative; jama_bluth_2019_oi_190055_16092.pdf — main p. 9 every Table 3 binary row; jama_bluth_2019_oi_190055_16092.pdf — main p. 10 continued rows, ratio notes and every Figure 2 row; joi190055supp4_prod_16092.pdf — results p. 29 every eTable 8 row; joi190055supp4_prod_16092.pdf — results p. 42 all twelve component rows. PLAN joi190055supp3_prod_16092.pdf — SAP p. 2 corroborates the incidence/RR terminology, not an opposing result.</t>
        </is>
      </c>
      <c r="D5" s="21" t="inlineStr">
        <is>
          <t>retain</t>
        </is>
      </c>
      <c r="E5" s="21" t="inlineStr">
        <is>
          <t>statistical_results</t>
        </is>
      </c>
      <c r="F5" s="21" t="inlineStr">
        <is>
          <t>primary_done</t>
        </is>
      </c>
      <c r="G5" s="24">
        <f>IFERROR(IF(LEN(TRIM(CLEAN(SUBSTITUTE(Setup!$B$2,CHAR(160)," "))))=0,"CHECK REVIEWER ID",IF(OR(A5="",COUNTIF($A$2:$A$14,A5)&lt;&gt;1,LEFT(A5,LEN("2019::jama.2019.7505::"))&lt;&gt;"2019::jama.2019.7505::"),"CHECK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t="inlineStr">
        <is>
          <t>direct</t>
        </is>
      </c>
      <c r="K5" s="21">
        <f>IF(AND(OR(D5="retain",D5=""),OR(E5="report_internal_inconsistency",E5="plan_material")),"","not_applicable")</f>
        <v/>
      </c>
      <c r="L5" s="22">
        <f>IF(AND(OR(D5="retain",D5=""),E5="protocol_report"),"","not_applicable")</f>
        <v/>
      </c>
      <c r="M5" s="24" t="n"/>
      <c r="N5" s="23" t="n"/>
      <c r="O5" s="23" t="n"/>
      <c r="P5" s="23" t="n"/>
      <c r="Q5" s="23" t="n"/>
      <c r="R5" s="22" t="inlineStr">
        <is>
          <t>The 'risk ratio' column (Table 3, Figure 2, eTable 8, eFigure 12) does not equal the ratio of group risks. For most rows it equals the high-PEEP risk divided by the pooled risk: pleural effusion 43/989 vs 21/987 crude RR 2.04, printed 1.35 (pooled-ratio 1.34); mortality 12 vs 5 crude 2.40, printed 1.41 (1.41); DIC 1 vs 0 printed 2.00 (2.00); ARDS 3 vs 1 crude 2.99, printed 1.50 (1.50).</t>
        </is>
      </c>
    </row>
    <row r="6" ht="92" customFormat="1" customHeight="1" s="14">
      <c r="A6" s="20" t="inlineStr">
        <is>
          <t>2019::jama.2019.7505::C005</t>
        </is>
      </c>
      <c r="B6" s="20" t="inlineStr">
        <is>
          <t>Planned primary log-rank output</t>
        </is>
      </c>
      <c r="C6" s="20" t="inlineStr">
        <is>
          <t>PLAN joi190055supp3_prod_16092.pdf — SAP p. 2 primary analysis versus REPORT jama_bluth_2019_oi_190055_16092.pdf — main p. 4 time-to-PPC methods and joi190055supp4_prod_16092.pdf — results p. 38 eFigure 8. Negative-search context: REPORT jama_bluth_2019_oi_190055_16092.pdf — main p. 10, jama_bluth_2019_oi_190055_16092.pdf — main p. 11, joi190055supp4_prod_16092.pdf — results p. 30 eTable 9 and joi190055supp4_prod_16092.pdf — results p. 42 eFigure 12; PLAN joi190055supp3_prod_16092.pdf — SAP p. 3.</t>
        </is>
      </c>
      <c r="D6" s="21" t="inlineStr">
        <is>
          <t>retain</t>
        </is>
      </c>
      <c r="E6" s="21" t="inlineStr">
        <is>
          <t>protocol_report</t>
        </is>
      </c>
      <c r="F6" s="21" t="inlineStr">
        <is>
          <t>primary_done</t>
        </is>
      </c>
      <c r="G6" s="20">
        <f>IFERROR(IF(LEN(TRIM(CLEAN(SUBSTITUTE(Setup!$B$2,CHAR(160)," "))))=0,"CHECK REVIEWER ID",IF(OR(A6="",COUNTIF($A$2:$A$14,A6)&lt;&gt;1,LEFT(A6,LEN("2019::jama.2019.7505::"))&lt;&gt;"2019::jama.2019.7505::"),"CHECK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minor_presentation</t>
        </is>
      </c>
      <c r="M6" s="20" t="n"/>
      <c r="N6" s="23" t="n"/>
      <c r="O6" s="23" t="n"/>
      <c r="P6" s="23" t="n"/>
      <c r="Q6" s="23" t="n"/>
      <c r="R6" s="22" t="inlineStr">
        <is>
          <t>Final SAP (supp3 p. 2): Kaplan-Meier curves for time to PPC compared with log-rank tests. Article p. 4 and eFigure 8 (supp4 p. 38, rendered) give Kaplan-Meier curves with a Cox HR 0.88 (0.73-1.06), P = .190; no log-rank result is labeled anywhere. The Cox score test is asymptotically equivalent to log-rank, so the difference is small.</t>
        </is>
      </c>
    </row>
    <row r="7" ht="92" customFormat="1" customHeight="1" s="14">
      <c r="A7" s="24" t="inlineStr">
        <is>
          <t>2019::jama.2019.7505::C006</t>
        </is>
      </c>
      <c r="B7" s="24" t="inlineStr">
        <is>
          <t>Planned primary clinical-severity-weighted GEE</t>
        </is>
      </c>
      <c r="C7" s="24" t="inlineStr">
        <is>
          <t>PLAN joi190055supp3_prod_16092.pdf — SAP p. 3 clinical severity weight versus REPORT jama_bluth_2019_oi_190055_16092.pdf — main p. 4 sensitivity methods, jama_bluth_2019_oi_190055_16092.pdf — main p. 10 additional analysis, jama_bluth_2019_oi_190055_16092.pdf — main p. 11 sensitivity discussion, joi190055supp4_prod_16092.pdf — results p. 30 all eTable 9 rows/footnotes and joi190055supp4_prod_16092.pdf — results p. 42 all eFigure 12 component/global rows.</t>
        </is>
      </c>
      <c r="D7" s="21" t="inlineStr">
        <is>
          <t>retain</t>
        </is>
      </c>
      <c r="E7" s="21" t="inlineStr">
        <is>
          <t>protocol_report</t>
        </is>
      </c>
      <c r="F7" s="21" t="inlineStr">
        <is>
          <t>primary_done</t>
        </is>
      </c>
      <c r="G7" s="24">
        <f>IFERROR(IF(LEN(TRIM(CLEAN(SUBSTITUTE(Setup!$B$2,CHAR(160)," "))))=0,"CHECK REVIEWER ID",IF(OR(A7="",COUNTIF($A$2:$A$14,A7)&lt;&gt;1,LEFT(A7,LEN("2019::jama.2019.7505::"))&lt;&gt;"2019::jama.2019.7505::"),"CHECK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Final SAP (supp3 p. 3) lists, among planned composite-outcome analyses, a GEE common-effect OR with a posteriori clinical severity weights. eTable 9 (supp4 p. 30) and eFigure 12 (p. 42) report random-effect, count, unweighted common-effect, interaction and average-relative-effect analyses, but no severity weights or weighted result.</t>
        </is>
      </c>
    </row>
    <row r="8" ht="92" customFormat="1" customHeight="1" s="14">
      <c r="A8" s="20" t="inlineStr">
        <is>
          <t>2019::jama.2019.7505::C007</t>
        </is>
      </c>
      <c r="B8" s="20" t="inlineStr">
        <is>
          <t>Table 2 null-endpoint/significant-P pattern</t>
        </is>
      </c>
      <c r="C8" s="20" t="inlineStr">
        <is>
          <t>REPORT jama_bluth_2019_oi_190055_16092.pdf — main p. 7 Table 2 S002/S003/S016 and jama_bluth_2019_oi_190055_16092.pdf — main p. 4 two-sided significance definition.</t>
        </is>
      </c>
      <c r="D8" s="21" t="inlineStr">
        <is>
          <t>exclude</t>
        </is>
      </c>
      <c r="E8" s="21" t="inlineStr">
        <is>
          <t>statistical_results</t>
        </is>
      </c>
      <c r="F8" s="21" t="inlineStr">
        <is>
          <t>primary_done</t>
        </is>
      </c>
      <c r="G8" s="20">
        <f>IFERROR(IF(LEN(TRIM(CLEAN(SUBSTITUTE(Setup!$B$2,CHAR(160)," "))))=0,"CHECK REVIEWER ID",IF(OR(A8="",COUNTIF($A$2:$A$14,A8)&lt;&gt;1,LEFT(A8,LEN("2019::jama.2019.7505::"))&lt;&gt;"2019::jama.2019.7505::"),"CHECK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inlineStr">
        <is>
          <t>Table 2 (p. 7, rendered): tidal volume first hour 0.1 (0 to 0.2) P = .007, last hour 0.1 (0 to 0.2) P = .008, respiratory rate last hour -0.4 (-0.7 to 0) P = .02. From the printed means/SDs, e.g., SE = sqrt(1.5^2/989 + 0.4^2/987) = 0.049; P = .007 implies a difference of 0.13 with CI 0.04 to 0.23, which prints as '0 to 0.2'. Display rounding explains all three rows.</t>
        </is>
      </c>
    </row>
    <row r="9" ht="92" customFormat="1" customHeight="1" s="14">
      <c r="A9" s="24" t="inlineStr">
        <is>
          <t>2019::jama.2019.7505::C008</t>
        </is>
      </c>
      <c r="B9" s="24" t="inlineStr">
        <is>
          <t>Monitoring/reversal displayed percentage contrasts</t>
        </is>
      </c>
      <c r="C9" s="24" t="inlineStr">
        <is>
          <t>REPORT jama_bluth_2019_oi_190055_16092.pdf — main p. 8 continued Table 2 monitoring/reversal rows S038/S039, preceding neuromuscular-blockade row and monitoring note d.</t>
        </is>
      </c>
      <c r="D9" s="21" t="inlineStr">
        <is>
          <t>retain</t>
        </is>
      </c>
      <c r="E9" s="21" t="inlineStr">
        <is>
          <t>statistical_results</t>
        </is>
      </c>
      <c r="F9" s="21" t="inlineStr">
        <is>
          <t>primary_done</t>
        </is>
      </c>
      <c r="G9" s="24">
        <f>IFERROR(IF(LEN(TRIM(CLEAN(SUBSTITUTE(Setup!$B$2,CHAR(160)," "))))=0,"CHECK REVIEWER ID",IF(OR(A9="",COUNTIF($A$2:$A$14,A9)&lt;&gt;1,LEFT(A9,LEN("2019::jama.2019.7505::"))&lt;&gt;"2019::jama.2019.7505::"),"CHECK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possible</t>
        </is>
      </c>
      <c r="K9" s="21">
        <f>IF(AND(OR(D9="retain",D9=""),OR(E9="report_internal_inconsistency",E9="plan_material")),"","not_applicable")</f>
        <v/>
      </c>
      <c r="L9" s="22">
        <f>IF(AND(OR(D9="retain",D9=""),E9="protocol_report"),"","not_applicable")</f>
        <v/>
      </c>
      <c r="M9" s="24" t="n"/>
      <c r="N9" s="23" t="n"/>
      <c r="O9" s="23" t="n"/>
      <c r="P9" s="23" t="n"/>
      <c r="Q9" s="23" t="n"/>
      <c r="R9" s="22" t="inlineStr">
        <is>
          <t>Table 2 (p. 8, rendered): monitoring 632/982 (64.9) and 651/984 (67.7); reversal 724/982 (74.3) and 723/984 (75.2). 632/982 = 64.4%, 651/984 = 66.2%, 724/982 = 73.7%, 723/984 = 73.5%. The printed percentages equal counts over the neuromuscular-blockade denominators 974/961 (64.9, 67.7, 74.3, 75.2), whereas the differences (-1.8, 0.2) use 982/984.</t>
        </is>
      </c>
    </row>
    <row r="10" ht="92" customFormat="1" customHeight="1" s="14">
      <c r="A10" s="20" t="inlineStr">
        <is>
          <t>2019::jama.2019.7505::C009</t>
        </is>
      </c>
      <c r="B10" s="20" t="inlineStr">
        <is>
          <t>DIC interval/test compatibility</t>
        </is>
      </c>
      <c r="C10" s="20" t="inlineStr">
        <is>
          <t>REPORT jama_bluth_2019_oi_190055_16092.pdf — main p. 9 Table 3 DIC S080 and jama_bluth_2019_oi_190055_16092.pdf — main p. 10 notes b/c.</t>
        </is>
      </c>
      <c r="D10" s="21" t="inlineStr">
        <is>
          <t>retain</t>
        </is>
      </c>
      <c r="E10" s="21" t="inlineStr">
        <is>
          <t>statistical_results</t>
        </is>
      </c>
      <c r="F10" s="21" t="inlineStr">
        <is>
          <t>primary_done</t>
        </is>
      </c>
      <c r="G10" s="20">
        <f>IFERROR(IF(LEN(TRIM(CLEAN(SUBSTITUTE(Setup!$B$2,CHAR(160)," "))))=0,"CHECK REVIEWER ID",IF(OR(A10="",COUNTIF($A$2:$A$14,A10)&lt;&gt;1,LEFT(A10,LEN("2019::jama.2019.7505::"))&lt;&gt;"2019::jama.2019.7505::"),"CHECK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minor_presentation</t>
        </is>
      </c>
      <c r="J10" s="22" t="inlineStr">
        <is>
          <t>unlikely</t>
        </is>
      </c>
      <c r="K10" s="21">
        <f>IF(AND(OR(D10="retain",D10=""),OR(E10="report_internal_inconsistency",E10="plan_material")),"","not_applicable")</f>
        <v/>
      </c>
      <c r="L10" s="22">
        <f>IF(AND(OR(D10="retain",D10=""),E10="protocol_report"),"","not_applicable")</f>
        <v/>
      </c>
      <c r="M10" s="20" t="n"/>
      <c r="N10" s="23" t="n"/>
      <c r="O10" s="23" t="n"/>
      <c r="P10" s="23" t="n"/>
      <c r="Q10" s="23" t="n"/>
      <c r="R10" s="22" t="inlineStr">
        <is>
          <t>Table 3 (p. 9): disseminated intravascular coagulation 1 (0.1) vs 0, 'RR 2.00 (1.91 to 2.09)', P &gt; .99. A CI excluding 1 is incompatible with P &gt; .99 (Fisher P = 1.0), and a finite RR with a narrow CI is not estimable from 1 vs 0 events. 2.00 equals the high-PEEP risk over the pooled risk (see C004).</t>
        </is>
      </c>
    </row>
    <row r="11" ht="92" customFormat="1" customHeight="1" s="14">
      <c r="A11" s="24" t="inlineStr">
        <is>
          <t>2019::jama.2019.7505::C010</t>
        </is>
      </c>
      <c r="B11" s="24" t="inlineStr">
        <is>
          <t>Mortality same-display interval relation</t>
        </is>
      </c>
      <c r="C11" s="24" t="inlineStr">
        <is>
          <t>REPORT jama_bluth_2019_oi_190055_16092.pdf — main p. 9 Table 3 in-hospital mortality S088 and pleural/hypoxemia/bradycardia comparators; jama_bluth_2019_oi_190055_16092.pdf — main p. 10 note b and vasoactive comparator.</t>
        </is>
      </c>
      <c r="D11" s="21" t="inlineStr">
        <is>
          <t>retain</t>
        </is>
      </c>
      <c r="E11" s="21" t="inlineStr">
        <is>
          <t>statistical_results</t>
        </is>
      </c>
      <c r="F11" s="21" t="inlineStr">
        <is>
          <t>primary_done</t>
        </is>
      </c>
      <c r="G11" s="24">
        <f>IFERROR(IF(LEN(TRIM(CLEAN(SUBSTITUTE(Setup!$B$2,CHAR(160)," "))))=0,"CHECK REVIEWER ID",IF(OR(A11="",COUNTIF($A$2:$A$14,A11)&lt;&gt;1,LEFT(A11,LEN("2019::jama.2019.7505::"))&lt;&gt;"2019::jama.2019.7505::"),"CHECK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t="inlineStr">
        <is>
          <t>direct</t>
        </is>
      </c>
      <c r="K11" s="21">
        <f>IF(AND(OR(D11="retain",D11=""),OR(E11="report_internal_inconsistency",E11="plan_material")),"","not_applicable")</f>
        <v/>
      </c>
      <c r="L11" s="22">
        <f>IF(AND(OR(D11="retain",D11=""),E11="protocol_report"),"","not_applicable")</f>
        <v/>
      </c>
      <c r="M11" s="24" t="n"/>
      <c r="N11" s="23" t="n"/>
      <c r="O11" s="23" t="n"/>
      <c r="P11" s="23" t="n"/>
      <c r="Q11" s="23" t="n"/>
      <c r="R11" s="22" t="inlineStr">
        <is>
          <t>Table 3 (p. 9): in-hospital mortality 12 (1.2) vs 5 (0.5), RR 1.41 (0.95 to 1.81), P = .09. On the log scale the interval is asymmetric (0.395 below vs 0.250 above the estimate) unlike neighboring rows, and it is far too narrow for 17 deaths: crude RR 2.40 (0.85-6.77). The P value matches an uncorrected chi-square test on the counts (.089); the estimate and interval do not.</t>
        </is>
      </c>
    </row>
    <row r="12" ht="92" customFormat="1" customHeight="1" s="14">
      <c r="A12" s="20" t="inlineStr">
        <is>
          <t>2019::jama.2019.7505::C011</t>
        </is>
      </c>
      <c r="B12" s="20" t="inlineStr">
        <is>
          <t>Mild/moderate respiratory-failure flow boundary</t>
        </is>
      </c>
      <c r="C12" s="20" t="inlineStr">
        <is>
          <t>PLAN joi190055supp1_prod_16092.pdf — protocol p. 31 pulmonary definitions versus REPORT jama_bluth_2019_oi_190055_16092.pdf — main p. 10 Table 3 note d and joi190055supp4_prod_16092.pdf — results p. 20 §2.8, with PLAN joi190055supp3_prod_16092.pdf — SAP p. 1 severe-composite definition and REPORT jama_bluth_2019_oi_190055_16092.pdf — main p. 9 affected counts.</t>
        </is>
      </c>
      <c r="D12" s="21" t="inlineStr">
        <is>
          <t>retain</t>
        </is>
      </c>
      <c r="E12" s="21" t="inlineStr">
        <is>
          <t>protocol_report</t>
        </is>
      </c>
      <c r="F12" s="21" t="inlineStr">
        <is>
          <t>primary_done</t>
        </is>
      </c>
      <c r="G12" s="20">
        <f>IFERROR(IF(LEN(TRIM(CLEAN(SUBSTITUTE(Setup!$B$2,CHAR(160)," "))))=0,"CHECK REVIEWER ID",IF(OR(A12="",COUNTIF($A$2:$A$14,A12)&lt;&gt;1,LEFT(A12,LEN("2019::jama.2019.7505::"))&lt;&gt;"2019::jama.2019.7505::"),"CHECK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t="inlineStr">
        <is>
          <t>substantive_difference</t>
        </is>
      </c>
      <c r="M12" s="20" t="n"/>
      <c r="N12" s="23" t="n"/>
      <c r="O12" s="23" t="n"/>
      <c r="P12" s="23" t="n"/>
      <c r="Q12" s="23" t="n"/>
      <c r="R12" s="22" t="inlineStr">
        <is>
          <t>Protocol Appendix iii (supp1 p. 31): mild respiratory failure = PaO2 &lt;60 mm Hg or SpO2 &lt;90% on room air &gt;=10 min but responding to supplemental O2; moderate = the same despite supplemental O2. eMethods §2.8 (supp4 p. 20) and Table 3 note d: mild = responding to O2 2 L/min; moderate = responding only to O2 &gt;2 L/min. The mild/moderate boundary moves from response vs non-response to an oxygen-flow threshold.</t>
        </is>
      </c>
    </row>
    <row r="13" ht="92" customFormat="1" customHeight="1" s="14">
      <c r="A13" s="24" t="inlineStr">
        <is>
          <t>2019::jama.2019.7505::C012</t>
        </is>
      </c>
      <c r="B13" s="24" t="inlineStr">
        <is>
          <t>Coma score inclusion threshold</t>
        </is>
      </c>
      <c r="C13" s="24" t="inlineStr">
        <is>
          <t>PLAN joi190055supp1_prod_16092.pdf — protocol p. 32 extra-pulmonary coma definition versus REPORT joi190055supp4_prod_16092.pdf — results p. 21 §2.8 coma definition; REPORT jama_bluth_2019_oi_190055_16092.pdf — main p. 9 coma/extrapulmonary composite counts. Fresh exact-source protocol-p32-coma-detail.png — protocol glyph detail is a visual derivative, with the linked PDF as authority.</t>
        </is>
      </c>
      <c r="D13" s="21" t="inlineStr">
        <is>
          <t>retain</t>
        </is>
      </c>
      <c r="E13" s="21" t="inlineStr">
        <is>
          <t>protocol_report</t>
        </is>
      </c>
      <c r="F13" s="21" t="inlineStr">
        <is>
          <t>primary_done</t>
        </is>
      </c>
      <c r="G13" s="24">
        <f>IFERROR(IF(LEN(TRIM(CLEAN(SUBSTITUTE(Setup!$B$2,CHAR(160)," "))))=0,"CHECK REVIEWER ID",IF(OR(A13="",COUNTIF($A$2:$A$14,A13)&lt;&gt;1,LEFT(A13,LEN("2019::jama.2019.7505::"))&lt;&gt;"2019::jama.2019.7505::"),"CHECK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t="inlineStr">
        <is>
          <t>minor_presentation</t>
        </is>
      </c>
      <c r="M13" s="24" t="n"/>
      <c r="N13" s="23" t="n"/>
      <c r="O13" s="23" t="n"/>
      <c r="P13" s="23" t="n"/>
      <c r="Q13" s="23" t="n"/>
      <c r="R13" s="22" t="inlineStr">
        <is>
          <t>Protocol extrapulmonary definitions (supp1 p. 32, rendered at 400 dpi): coma = Glasgow Coma Score &lt;= 8 (underlined less-than sign; the text layer shows '&lt;'). eMethods §2.8 (supp4 p. 21, rendered): coma = GCS &lt; 8. Only a GCS of exactly 8 is classified differently; 2 vs 2 coma events.</t>
        </is>
      </c>
    </row>
    <row r="14" ht="92" customFormat="1" customHeight="1" s="14">
      <c r="A14" s="20" t="inlineStr">
        <is>
          <t>2019::jama.2019.7505::C013</t>
        </is>
      </c>
      <c r="B14" s="20" t="inlineStr">
        <is>
          <t>Per-protocol cardiopulmonary-edema interval/test compatibility</t>
        </is>
      </c>
      <c r="C14" s="20" t="inlineStr">
        <is>
          <t>REPORT joi190055supp4_prod_16092.pdf — results p. 29 eTable 8 cardiopulmonary edema S355; REPORT jama_bluth_2019_oi_190055_16092.pdf — main p. 4 binary/per-protocol methods supplies context.</t>
        </is>
      </c>
      <c r="D14" s="21" t="inlineStr">
        <is>
          <t>retain</t>
        </is>
      </c>
      <c r="E14" s="21" t="inlineStr">
        <is>
          <t>statistical_results</t>
        </is>
      </c>
      <c r="F14" s="21" t="inlineStr">
        <is>
          <t>primary_done</t>
        </is>
      </c>
      <c r="G14" s="20">
        <f>IFERROR(IF(LEN(TRIM(CLEAN(SUBSTITUTE(Setup!$B$2,CHAR(160)," "))))=0,"CHECK REVIEWER ID",IF(OR(A14="",COUNTIF($A$2:$A$14,A14)&lt;&gt;1,LEFT(A14,LEN("2019::jama.2019.7505::"))&lt;&gt;"2019::jama.2019.7505::"),"CHECK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t="inlineStr">
        <is>
          <t>possible</t>
        </is>
      </c>
      <c r="K14" s="21">
        <f>IF(AND(OR(D14="retain",D14=""),OR(E14="report_internal_inconsistency",E14="plan_material")),"","not_applicable")</f>
        <v/>
      </c>
      <c r="L14" s="22">
        <f>IF(AND(OR(D14="retain",D14=""),E14="protocol_report"),"","not_applicable")</f>
        <v/>
      </c>
      <c r="M14" s="20" t="n"/>
      <c r="N14" s="23" t="n"/>
      <c r="O14" s="23" t="n"/>
      <c r="P14" s="23" t="n"/>
      <c r="Q14" s="23" t="n"/>
      <c r="R14" s="22" t="inlineStr">
        <is>
          <t>eTable 8 per-protocol (supp4 p. 29, rendered): cardiopulmonary edema 15/917 vs 7/912, 'Effect estimate 1.36 (1.02-1.82)', P = 0.09. The interval excludes 1 while P &gt; .05. Crude RR = 2.13 (0.87-5.20), uncorrected chi-square P = .089, matching the printed P; 1.36 equals the high-PEEP/pooled risk ratio (C004).</t>
        </is>
      </c>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5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30" customWidth="1" style="14" min="2" max="2"/>
    <col width="40" customWidth="1" style="14" min="3" max="3"/>
    <col width="96" customWidth="1" style="14" min="4" max="4"/>
    <col width="28" customWidth="1" style="14" min="5" max="5"/>
  </cols>
  <sheetData>
    <row r="1" ht="42"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00" customFormat="1" customHeight="1" s="14">
      <c r="A2" s="16" t="inlineStr">
        <is>
          <t>Working method</t>
        </is>
      </c>
      <c r="B2" s="16" t="inlineStr">
        <is>
          <t>GUIDE</t>
        </is>
      </c>
      <c r="C2" s="16" t="inlineStr">
        <is>
          <t>Independent primary</t>
        </is>
      </c>
      <c r="D2" s="16" t="inlineStr">
        <is>
          <t>Blank means no answer, never inherited. Clear obsolete literal answers after branch changes. not_applicable means inactive.</t>
        </is>
      </c>
      <c r="E2" s="16" t="n"/>
    </row>
    <row r="3" ht="100"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00" customFormat="1" customHeight="1" s="14">
      <c r="A4" s="16" t="inlineStr">
        <is>
          <t>How to read this Codebook</t>
        </is>
      </c>
      <c r="B4" s="16" t="n"/>
      <c r="C4" s="16" t="n"/>
      <c r="D4" s="16" t="n"/>
      <c r="E4" s="16" t="n"/>
    </row>
    <row r="5" ht="100" customFormat="1" customHeight="1" s="14">
      <c r="A5" s="17" t="inlineStr">
        <is>
          <t>1  |  Common decisions and optional notes</t>
        </is>
      </c>
      <c r="B5" s="17" t="n"/>
      <c r="C5" s="17" t="n"/>
      <c r="D5" s="17" t="n"/>
      <c r="E5" s="17" t="n"/>
    </row>
    <row r="6" ht="100"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t>
        </is>
      </c>
      <c r="E6" s="16" t="inlineStr">
        <is>
          <t>disposition</t>
        </is>
      </c>
    </row>
    <row r="7" ht="100"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00"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00"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00"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00"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00"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00"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00"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00" customFormat="1" customHeight="1" s="14">
      <c r="A15" s="17" t="inlineStr">
        <is>
          <t>Complete</t>
        </is>
      </c>
      <c r="B15" s="17" t="inlineStr">
        <is>
          <t>FIELD</t>
        </is>
      </c>
      <c r="C15" s="17" t="inlineStr">
        <is>
          <t>Independent primary</t>
        </is>
      </c>
      <c r="D15" s="17" t="inlineStr">
        <is>
          <t>Use no while drafting; primary_done after manual review. Reset to no before editing a completed row, review again, then mark primary_done.</t>
        </is>
      </c>
      <c r="E15" s="17" t="inlineStr">
        <is>
          <t>reviewComplete</t>
        </is>
      </c>
    </row>
    <row r="16" ht="100" customFormat="1" customHeight="1" s="14">
      <c r="A16" s="16" t="n"/>
      <c r="B16" s="16" t="inlineStr">
        <is>
          <t>no</t>
        </is>
      </c>
      <c r="C16" s="16" t="inlineStr">
        <is>
          <t>Option</t>
        </is>
      </c>
      <c r="D16" s="16" t="inlineStr">
        <is>
          <t>Draft. This review stage is not yet confirmed complete; AI suggestions or partially filled fields do not count as completed human review.</t>
        </is>
      </c>
      <c r="E16" s="16" t="n"/>
    </row>
    <row r="17" ht="100" customFormat="1" customHeight="1" s="14">
      <c r="A17" s="17" t="inlineStr">
        <is>
          <t>Validation hint</t>
        </is>
      </c>
      <c r="B17" s="17" t="inlineStr">
        <is>
          <t>FIELD</t>
        </is>
      </c>
      <c r="C17" s="17" t="inlineStr">
        <is>
          <t>Calculated</t>
        </is>
      </c>
      <c r="D17" s="17" t="inlineStr">
        <is>
          <t>PRIMARY READY means valid independent primary entry and manual completion, including discuss. Other hints identify missing or invalid input. This does not establish scientific accuracy.</t>
        </is>
      </c>
      <c r="E17" s="17" t="inlineStr">
        <is>
          <t>readiness</t>
        </is>
      </c>
    </row>
    <row r="18" ht="100"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00" customFormat="1" customHeight="1" s="14">
      <c r="A19" s="17" t="inlineStr">
        <is>
          <t>2  |  Statistical results: two required judgments</t>
        </is>
      </c>
      <c r="B19" s="17" t="n"/>
      <c r="C19" s="17" t="n"/>
      <c r="D19" s="17" t="n"/>
      <c r="E19" s="17" t="n"/>
    </row>
    <row r="20" ht="100" customFormat="1" customHeight="1" s="14">
      <c r="A20" s="16" t="inlineStr">
        <is>
          <t>Statistical_or_numerical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00"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00"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00"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00"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00"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00"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00"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00"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00"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00"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00"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00"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00"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00"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00"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00"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00" customFormat="1" customHeight="1" s="14">
      <c r="A37" s="17" t="inlineStr">
        <is>
          <t>3  |  Report internal or planning-material inconsistency</t>
        </is>
      </c>
      <c r="B37" s="17" t="n"/>
      <c r="C37" s="17" t="n"/>
      <c r="D37" s="17" t="n"/>
      <c r="E37" s="17" t="n"/>
    </row>
    <row r="38" ht="100"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00"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00"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00"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00"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00"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00" customFormat="1" customHeight="1" s="14">
      <c r="A44" s="16" t="inlineStr">
        <is>
          <t>4  |  Protocol versus report: optional description only</t>
        </is>
      </c>
      <c r="B44" s="16" t="n"/>
      <c r="C44" s="16" t="n"/>
      <c r="D44" s="16" t="n"/>
      <c r="E44" s="16" t="n"/>
    </row>
    <row r="45" ht="100"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00"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00"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00"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00"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00"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00"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00" customFormat="1" customHeight="1" s="14">
      <c r="A52" s="16" t="inlineStr">
        <is>
          <t>5  |  Candidate context</t>
        </is>
      </c>
      <c r="B52" s="16" t="n"/>
      <c r="C52" s="16" t="n"/>
      <c r="D52" s="16" t="n"/>
      <c r="E52" s="16" t="n"/>
    </row>
    <row r="53" ht="100"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00"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00" customFormat="1" customHeight="1" s="14">
      <c r="A55" s="17" t="inlineStr">
        <is>
          <t>Source location</t>
        </is>
      </c>
      <c r="B55" s="17" t="inlineStr">
        <is>
          <t>FIELD</t>
        </is>
      </c>
      <c r="C55" s="17" t="inlineStr">
        <is>
          <t>Source reference</t>
        </is>
      </c>
      <c r="D55" s="17" t="inlineStr">
        <is>
          <t>Where to check the source claim. Open the original documents named here (file and PDF page).</t>
        </is>
      </c>
      <c r="E55" s="17" t="inlineStr">
        <is>
          <t>locations</t>
        </is>
      </c>
    </row>
    <row r="56" ht="100" customFormat="1" customHeight="1" s="14">
      <c r="A56" s="16" t="inlineStr">
        <is>
          <t>Complete</t>
        </is>
      </c>
      <c r="B56" s="16" t="inlineStr">
        <is>
          <t>primary_done</t>
        </is>
      </c>
      <c r="C56" s="16" t="inlineStr">
        <is>
          <t>Independent primary</t>
        </is>
      </c>
      <c r="D56" s="16" t="inlineStr">
        <is>
          <t>Use no while drafting; primary_done after manual review. Reset to no before editing a completed row, review again, then mark primary_done.</t>
        </is>
      </c>
      <c r="E56" s="16" t="inlineStr">
        <is>
          <t>reviewComplete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2026-09-19T05:14:09Z</dcterms:created>
  <dcterms:modified xsi:type="dcterms:W3CDTF">2026-10-14T05:15:14Z</dcterms:modified>
</cp:coreProperties>
</file>