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9.0556" sheetId="4" state="visible" r:id="rId4"/>
    <sheet name="C_jama.2019.10517" sheetId="5" state="visible" r:id="rId5"/>
    <sheet name="C_jama.2019.12618" sheetId="6" state="visible" r:id="rId6"/>
    <sheet name="C_jama.2019.14630" sheetId="7" state="visible" r:id="rId7"/>
    <sheet name="C_jama.2019.14901" sheetId="8" state="visible" r:id="rId8"/>
    <sheet name="C_jama.2019.17380" sheetId="9" state="visible" r:id="rId9"/>
    <sheet name="C_jama.2019.2210" sheetId="10" state="visible" r:id="rId10"/>
    <sheet name="C_jama.2019.4755" sheetId="11" state="visible" r:id="rId11"/>
    <sheet name="C_jama.2019.7505" sheetId="12" state="visible" r:id="rId12"/>
    <sheet name="Codebook" sheetId="13" state="visible" r:id="rId13"/>
  </sheets>
  <definedNames>
    <definedName name="_xlnm._FilterDatabase" localSheetId="3" hidden="1">'C_jama.2019.0556'!$A$1:$R$12</definedName>
    <definedName name="_xlnm._FilterDatabase" localSheetId="4" hidden="1">'C_jama.2019.10517'!$A$1:$R$6</definedName>
    <definedName name="_xlnm._FilterDatabase" localSheetId="5" hidden="1">'C_jama.2019.12618'!$A$1:$R$11</definedName>
    <definedName name="_xlnm._FilterDatabase" localSheetId="6" hidden="1">'C_jama.2019.14630'!$A$1:$R$10</definedName>
    <definedName name="_xlnm._FilterDatabase" localSheetId="7" hidden="1">'C_jama.2019.14901'!$A$1:$R$6</definedName>
    <definedName name="_xlnm._FilterDatabase" localSheetId="8" hidden="1">'C_jama.2019.17380'!$A$1:$R$19</definedName>
    <definedName name="_xlnm._FilterDatabase" localSheetId="9" hidden="1">'C_jama.2019.2210'!$A$1:$R$8</definedName>
    <definedName name="_xlnm._FilterDatabase" localSheetId="10" hidden="1">'C_jama.2019.4755'!$A$1:$R$2</definedName>
    <definedName name="_xlnm._FilterDatabase" localSheetId="11" hidden="1">'C_jama.2019.7505'!$A$1:$R$14</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R_A</t>
        </is>
      </c>
    </row>
    <row r="3" ht="42" customFormat="1" customHeight="1" s="14">
      <c r="A3" s="17" t="inlineStr">
        <is>
          <t>reviewerName (optional)</t>
        </is>
      </c>
      <c r="B3" s="18" t="n"/>
    </row>
    <row r="4" ht="42" customFormat="1" customHeight="1" s="14">
      <c r="A4" s="16" t="inlineStr">
        <is>
          <t>reviewerRole</t>
        </is>
      </c>
      <c r="B4" s="16" t="inlineStr">
        <is>
          <t>R_A</t>
        </is>
      </c>
    </row>
    <row r="5" ht="42" customFormat="1" customHeight="1" s="14">
      <c r="A5" s="17" t="inlineStr">
        <is>
          <t>year</t>
        </is>
      </c>
      <c r="B5" s="17" t="n">
        <v>2019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79</v>
      </c>
    </row>
    <row r="4" ht="55" customFormat="1" customHeight="1" s="14">
      <c r="A4" s="16" t="inlineStr">
        <is>
          <t>Primary ready rows</t>
        </is>
      </c>
      <c r="B4" s="16">
        <f>COUNTIF('C_jama.2019.0556'!$G$2:$G$12,"PRIMARY READY")+COUNTIF('C_jama.2019.10517'!$G$2:$G$6,"PRIMARY READY")+COUNTIF('C_jama.2019.12618'!$G$2:$G$11,"PRIMARY READY")+COUNTIF('C_jama.2019.14630'!$G$2:$G$10,"PRIMARY READY")+COUNTIF('C_jama.2019.14901'!$G$2:$G$6,"PRIMARY READY")+COUNTIF('C_jama.2019.17380'!$G$2:$G$19,"PRIMARY READY")+COUNTIF('C_jama.2019.2210'!$G$2:$G$8,"PRIMARY READY")+COUNTIF('C_jama.2019.4755'!$G$2:$G$2,"PRIMARY READY")+COUNTIF('C_jama.2019.7505'!$G$2:$G$14,"PRIMARY READY")</f>
        <v/>
      </c>
    </row>
    <row r="5" ht="55" customFormat="1" customHeight="1" s="14">
      <c r="A5" s="17" t="inlineStr">
        <is>
          <t>Discuss / unresolved rows</t>
        </is>
      </c>
      <c r="B5" s="17">
        <f>COUNTIF('C_jama.2019.0556'!$D$2:$D$12,"discuss")+COUNTIF('C_jama.2019.10517'!$D$2:$D$6,"discuss")+COUNTIF('C_jama.2019.12618'!$D$2:$D$11,"discuss")+COUNTIF('C_jama.2019.14630'!$D$2:$D$10,"discuss")+COUNTIF('C_jama.2019.14901'!$D$2:$D$6,"discuss")+COUNTIF('C_jama.2019.17380'!$D$2:$D$19,"discuss")+COUNTIF('C_jama.2019.2210'!$D$2:$D$8,"discuss")+COUNTIF('C_jama.2019.4755'!$D$2:$D$2,"discuss")+COUNTIF('C_jama.2019.7505'!$D$2:$D$14,"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jama.2019.0556</t>
        </is>
      </c>
      <c r="B2" s="16" t="inlineStr">
        <is>
          <t>C_jama.2019.0556</t>
        </is>
      </c>
      <c r="C2" s="16" t="n">
        <v>11</v>
      </c>
    </row>
    <row r="3" ht="36" customFormat="1" customHeight="1" s="14">
      <c r="A3" s="17" t="inlineStr">
        <is>
          <t>jama.2019.10517</t>
        </is>
      </c>
      <c r="B3" s="17" t="inlineStr">
        <is>
          <t>C_jama.2019.10517</t>
        </is>
      </c>
      <c r="C3" s="17" t="n">
        <v>5</v>
      </c>
    </row>
    <row r="4" ht="36" customFormat="1" customHeight="1" s="14">
      <c r="A4" s="16" t="inlineStr">
        <is>
          <t>jama.2019.12618</t>
        </is>
      </c>
      <c r="B4" s="16" t="inlineStr">
        <is>
          <t>C_jama.2019.12618</t>
        </is>
      </c>
      <c r="C4" s="16" t="n">
        <v>10</v>
      </c>
    </row>
    <row r="5" ht="36" customFormat="1" customHeight="1" s="14">
      <c r="A5" s="17" t="inlineStr">
        <is>
          <t>jama.2019.14630</t>
        </is>
      </c>
      <c r="B5" s="17" t="inlineStr">
        <is>
          <t>C_jama.2019.14630</t>
        </is>
      </c>
      <c r="C5" s="17" t="n">
        <v>9</v>
      </c>
    </row>
    <row r="6" ht="36" customFormat="1" customHeight="1" s="14">
      <c r="A6" s="16" t="inlineStr">
        <is>
          <t>jama.2019.14901</t>
        </is>
      </c>
      <c r="B6" s="16" t="inlineStr">
        <is>
          <t>C_jama.2019.14901</t>
        </is>
      </c>
      <c r="C6" s="16" t="n">
        <v>5</v>
      </c>
    </row>
    <row r="7" ht="36" customFormat="1" customHeight="1" s="14">
      <c r="A7" s="17" t="inlineStr">
        <is>
          <t>jama.2019.17380</t>
        </is>
      </c>
      <c r="B7" s="17" t="inlineStr">
        <is>
          <t>C_jama.2019.17380</t>
        </is>
      </c>
      <c r="C7" s="17" t="n">
        <v>18</v>
      </c>
    </row>
    <row r="8" ht="36" customFormat="1" customHeight="1" s="14">
      <c r="A8" s="16" t="inlineStr">
        <is>
          <t>jama.2019.2210</t>
        </is>
      </c>
      <c r="B8" s="16" t="inlineStr">
        <is>
          <t>C_jama.2019.2210</t>
        </is>
      </c>
      <c r="C8" s="16" t="n">
        <v>7</v>
      </c>
    </row>
    <row r="9" ht="36" customFormat="1" customHeight="1" s="14">
      <c r="A9" s="17" t="inlineStr">
        <is>
          <t>jama.2019.4755</t>
        </is>
      </c>
      <c r="B9" s="17" t="inlineStr">
        <is>
          <t>C_jama.2019.4755</t>
        </is>
      </c>
      <c r="C9" s="17" t="n">
        <v>1</v>
      </c>
    </row>
    <row r="10" ht="36" customFormat="1" customHeight="1" s="14">
      <c r="A10" s="16" t="inlineStr">
        <is>
          <t>jama.2019.7505</t>
        </is>
      </c>
      <c r="B10" s="16" t="inlineStr">
        <is>
          <t>C_jama.2019.7505</t>
        </is>
      </c>
      <c r="C10" s="16" t="n">
        <v>13</v>
      </c>
    </row>
    <row r="11" ht="36" customFormat="1" customHeight="1" s="14"/>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2019::jama.2019.0556::C001</t>
        </is>
      </c>
      <c r="B2" s="20" t="inlineStr">
        <is>
          <t>Planned and reported daily EPA+DHA dose does not reconcile</t>
        </is>
      </c>
      <c r="C2" s="20" t="inlineStr">
        <is>
          <t>jama_bot_2019_oi_190007.pdf — Main p. 1, abstract Interventions; jama_bot_2019_oi_190007.pdf — Main p. 2, Multinutrient Supplements; joi190007supp3_prod.pdf — Results supplement p. 4, eAppendix 2; joi190007supp1_prod.pdf — Protocol p. 8, Summary intervention; joi190007supp1_prod.pdf — Protocol p. 18, intervention box; joi190007supp1_prod.pdf — Protocol p. 20, composition box; joi190007supp1_prod.pdf — Protocol p. 23, Omega-3 PUFA fish oils.</t>
        </is>
      </c>
      <c r="D2" s="21" t="inlineStr">
        <is>
          <t>retain</t>
        </is>
      </c>
      <c r="E2" s="21" t="inlineStr">
        <is>
          <t>protocol_report</t>
        </is>
      </c>
      <c r="F2" s="21" t="inlineStr">
        <is>
          <t>primary_done</t>
        </is>
      </c>
      <c r="G2" s="20">
        <f>IFERROR(IF(LEN(TRIM(CLEAN(SUBSTITUTE(Setup!$B$2,CHAR(160)," "))))=0,"CHECK REVIEWER ID",IF(OR(A2="",COUNTIF($A$2:$A$12,A2)&lt;&gt;1,LEFT(A2,LEN("2019::jama.2019.0556::"))&lt;&gt;"2019::jama.2019.0556::"),"CHECK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indeterminate</t>
        </is>
      </c>
      <c r="M2" s="20" t="n"/>
      <c r="N2" s="23" t="n"/>
      <c r="O2" s="23" t="n"/>
      <c r="P2" s="23" t="n"/>
      <c r="Q2" s="23" t="n"/>
      <c r="R2" s="22" t="inlineStr">
        <is>
          <t>Protocol pp. 8, 18, 23: one 1000 mg omega-3 capsule/day (EPA &gt;700, DHA &gt;100 mg), 'intended dose EPA+DHA = 1.0 g per day'; report (abstract, p. 2, eAppendix 2) gives 1412 mg EPA+DHA/day. 1412/1000 = 1.41, above the protocol's 90%-125% tolerance. Retained as a plan-report difference in intervention dose; whether this is a real dose change or a different labeling basis (e.g., measured content) cannot be settled from the documents.</t>
        </is>
      </c>
    </row>
    <row r="3" ht="92" customFormat="1" customHeight="1" s="14">
      <c r="A3" s="24" t="inlineStr">
        <is>
          <t>2019::jama.2019.0556::C002</t>
        </is>
      </c>
      <c r="B3" s="24" t="inlineStr">
        <is>
          <t>Planned primary analysis suite is replaced or not reported as specified</t>
        </is>
      </c>
      <c r="C3" s="24" t="inlineStr">
        <is>
          <t>joi190007supp1_prod.pdf — Protocol p. 43, §§10.1–10.2; joi190007supp2_prod.pdf — SAP p. 2, Outcomes; joi190007supp2_prod.pdf — SAP p. 3, Fourth analysis; joi190007supp2_prod.pdf — SAP p. 4, Secondary analysis; jama_bot_2019_oi_190007.pdf — Main p. 1, abstract main measures; jama_bot_2019_oi_190007.pdf — Main p. 4, Statistical Methods; jama_bot_2019_oi_190007.pdf — Main p. 6, Table 2 and continuation; jama_bot_2019_oi_190007.pdf — Main p. 8, Table 3 and footnotes.</t>
        </is>
      </c>
      <c r="D3" s="21" t="inlineStr">
        <is>
          <t>retain</t>
        </is>
      </c>
      <c r="E3" s="21" t="inlineStr">
        <is>
          <t>protocol_report</t>
        </is>
      </c>
      <c r="F3" s="21" t="inlineStr">
        <is>
          <t>primary_done</t>
        </is>
      </c>
      <c r="G3" s="24">
        <f>IFERROR(IF(LEN(TRIM(CLEAN(SUBSTITUTE(Setup!$B$2,CHAR(160)," "))))=0,"CHECK REVIEWER ID",IF(OR(A3="",COUNTIF($A$2:$A$12,A3)&lt;&gt;1,LEFT(A3,LEN("2019::jama.2019.0556::"))&lt;&gt;"2019::jama.2019.0556::"),"CHECK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version_timing</t>
        </is>
      </c>
      <c r="M3" s="24" t="n"/>
      <c r="N3" s="23" t="n"/>
      <c r="O3" s="23" t="n"/>
      <c r="P3" s="23" t="n"/>
      <c r="Q3" s="23" t="n"/>
      <c r="R3" s="22" t="inlineStr">
        <is>
          <t>Protocol p. 43 (v7, 6 Jul 2017) plans Kaplan-Meier/log-rank/Cox and mixed models for MDD onset and IDS as the primary analyses; the undated SAP (pp. 2-4) and the report use logistic regression for cumulative MDD, Cox as secondary/post hoc, GEE for secondary scores. Report follows the SAP; the protocol-report difference is real but may reflect plan version sequence, which the materials do not establish.</t>
        </is>
      </c>
    </row>
    <row r="4" ht="92" customFormat="1" customHeight="1" s="14">
      <c r="A4" s="20" t="inlineStr">
        <is>
          <t>2019::jama.2019.0556::C003</t>
        </is>
      </c>
      <c r="B4" s="20" t="inlineStr">
        <is>
          <t>Online-screening BMI cutoff differs between report locations</t>
        </is>
      </c>
      <c r="C4" s="20" t="inlineStr">
        <is>
          <t>jama_bot_2019_oi_190007.pdf — Main p. 3, Figure 1 online exclusions; joi190007supp3_prod.pdf — Results supplement p. 3, inclusion criteria assessed with the online screening tool; jama_bot_2019_oi_190007.pdf — Main p. 2, eligibility; jama_bot_2019_oi_190007.pdf — main p. 1, abstract population; joi190007supp1_prod.pdf — Protocol p. 16, inclusion criteria.</t>
        </is>
      </c>
      <c r="D4" s="21" t="inlineStr">
        <is>
          <t>retain</t>
        </is>
      </c>
      <c r="E4" s="21" t="inlineStr">
        <is>
          <t>statistical_results</t>
        </is>
      </c>
      <c r="F4" s="21" t="inlineStr">
        <is>
          <t>primary_done</t>
        </is>
      </c>
      <c r="G4" s="20">
        <f>IFERROR(IF(LEN(TRIM(CLEAN(SUBSTITUTE(Setup!$B$2,CHAR(160)," "))))=0,"CHECK REVIEWER ID",IF(OR(A4="",COUNTIF($A$2:$A$12,A4)&lt;&gt;1,LEFT(A4,LEN("2019::jama.2019.0556::"))&lt;&gt;"2019::jama.2019.0556::"),"CHECK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Figure 1 (main p. 3, rendered) lists 1451 online exclusions for 'BMI &lt;15 or &gt;40'; eAppendix 1 (supp3 p. 3), the abstract, Methods p. 2 and protocol pp. 16, 29 give the online/eligibility range 25-40 (website check BMI &gt;25). The figure label conflicts with the stated online criterion; the eligibility range itself is clear from the text, so minor. Flow arithmetic is internally consistent (exclusion items sum to 3730; 5965-3730 = 2235).</t>
        </is>
      </c>
    </row>
    <row r="5" ht="92" customFormat="1" customHeight="1" s="14">
      <c r="A5" s="24" t="inlineStr">
        <is>
          <t>2019::jama.2019.0556::C004</t>
        </is>
      </c>
      <c r="B5" s="24" t="inlineStr">
        <is>
          <t>Sample-size total does not reconcile with four stated cell sizes</t>
        </is>
      </c>
      <c r="C5" s="24" t="inlineStr">
        <is>
          <t>jama_bot_2019_oi_190007.pdf — Main p. 4, Sample Size upper right column.</t>
        </is>
      </c>
      <c r="D5" s="21" t="inlineStr">
        <is>
          <t>retain</t>
        </is>
      </c>
      <c r="E5" s="21" t="inlineStr">
        <is>
          <t>statistical_results</t>
        </is>
      </c>
      <c r="F5" s="21" t="inlineStr">
        <is>
          <t>primary_done</t>
        </is>
      </c>
      <c r="G5" s="24">
        <f>IFERROR(IF(LEN(TRIM(CLEAN(SUBSTITUTE(Setup!$B$2,CHAR(160)," "))))=0,"CHECK REVIEWER ID",IF(OR(A5="",COUNTIF($A$2:$A$12,A5)&lt;&gt;1,LEFT(A5,LEN("2019::jama.2019.0556::"))&lt;&gt;"2019::jama.2019.0556::"),"CHECK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Main p. 4: '392 participants (196 in each of the 4 possible intervention combinations)'. 4 x 196 = 784, not 392. power.prop.test(p1=.20, p2=.30, power=.90) gives n = 391.9 per main-effect arm, i.e., 392 per arm = 2 cells x 196; total 784. 196/0.78 = 251.3, consistent with the 250 per cell target. The printed total is wrong; the per-cell target is clear.</t>
        </is>
      </c>
    </row>
    <row r="6" ht="92" customFormat="1" customHeight="1" s="14">
      <c r="A6" s="20" t="inlineStr">
        <is>
          <t>2019::jama.2019.0556::C005</t>
        </is>
      </c>
      <c r="B6" s="20" t="inlineStr">
        <is>
          <t>Primary power assumptions differ between the protocol and report</t>
        </is>
      </c>
      <c r="C6" s="20" t="inlineStr">
        <is>
          <t>joi190007supp1_prod.pdf — Protocol p. 16, §4.4; joi190007supp1_prod.pdf — Protocol p. 17, calculation continuation; jama_bot_2019_oi_190007.pdf — Main p. 4, Sample Size.</t>
        </is>
      </c>
      <c r="D6" s="21" t="inlineStr">
        <is>
          <t>retain</t>
        </is>
      </c>
      <c r="E6" s="21" t="inlineStr">
        <is>
          <t>protocol_report</t>
        </is>
      </c>
      <c r="F6" s="21" t="inlineStr">
        <is>
          <t>primary_done</t>
        </is>
      </c>
      <c r="G6" s="20">
        <f>IFERROR(IF(LEN(TRIM(CLEAN(SUBSTITUTE(Setup!$B$2,CHAR(160)," "))))=0,"CHECK REVIEWER ID",IF(OR(A6="",COUNTIF($A$2:$A$12,A6)&lt;&gt;1,LEFT(A6,LEN("2019::jama.2019.0556::"))&lt;&gt;"2019::jama.2019.0556::"),"CHECK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 16-17: 30% vs 15% cumulative incidence, 180 per group powered for additive interaction, 20% dropout -&gt; 250 per arm. Report p. 4: 30% vs 20% (33% reduction), 196 per cell for main effects, 22% attrition -&gt; 250 per cell. Different effect-size, power target and attrition assumptions behind the same 250.</t>
        </is>
      </c>
    </row>
    <row r="7" ht="92" customFormat="1" customHeight="1" s="14">
      <c r="A7" s="24" t="inlineStr">
        <is>
          <t>2019::jama.2019.0556::C006</t>
        </is>
      </c>
      <c r="B7" s="24" t="inlineStr">
        <is>
          <t>Prespecified outcome hierarchy differs across plan and report materials</t>
        </is>
      </c>
      <c r="C7" s="24" t="inlineStr">
        <is>
          <t>joi190007supp1_prod.pdf — Protocol p. 8, main study parameters; joi190007supp1_prod.pdf — p. 9, continuation; joi190007supp1_prod.pdf — Protocol p. 28, §§8.1.1–8.1.2; joi190007supp1_prod.pdf — Protocol p. 43, §10.1; joi190007supp2_prod.pdf — SAP p. 2, Outcomes; jama_bot_2019_oi_190007.pdf — Main p. 4, Outcomes; jama_bot_2019_oi_190007.pdf — Main p. 8, Table 3 heading.</t>
        </is>
      </c>
      <c r="D7" s="21" t="inlineStr">
        <is>
          <t>retain</t>
        </is>
      </c>
      <c r="E7" s="21" t="inlineStr">
        <is>
          <t>protocol_report</t>
        </is>
      </c>
      <c r="F7" s="21" t="inlineStr">
        <is>
          <t>primary_done</t>
        </is>
      </c>
      <c r="G7" s="24">
        <f>IFERROR(IF(LEN(TRIM(CLEAN(SUBSTITUTE(Setup!$B$2,CHAR(160)," "))))=0,"CHECK REVIEWER ID",IF(OR(A7="",COUNTIF($A$2:$A$12,A7)&lt;&gt;1,LEFT(A7,LEN("2019::jama.2019.0556::"))&lt;&gt;"2019::jama.2019.0556::"),"CHECK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version_timing</t>
        </is>
      </c>
      <c r="M7" s="24" t="n"/>
      <c r="N7" s="23" t="n"/>
      <c r="O7" s="23" t="n"/>
      <c r="P7" s="23" t="n"/>
      <c r="Q7" s="23" t="n"/>
      <c r="R7" s="22" t="inlineStr">
        <is>
          <t>Protocol pp. 8-9, 28 list IDS with MDD incidence as a main study endpoint, and GAD-7/EQ-5D-5L as secondary; SAP p. 2 lists PHQ-9 and IDS as secondary and GAD-7/EQ-5D as 'Other'; report p. 4 calls PHQ-9, IDS, GAD-7 and utility all secondary. Outcome status differs across plan versions and report; sequence of protocol v7 and undated SAP not established.</t>
        </is>
      </c>
    </row>
    <row r="8" ht="92" customFormat="1" customHeight="1" s="14">
      <c r="A8" s="20" t="inlineStr">
        <is>
          <t>2019::jama.2019.0556::C007</t>
        </is>
      </c>
      <c r="B8" s="20" t="inlineStr">
        <is>
          <t>Planned Cox and site/history analyses receive post hoc report designations</t>
        </is>
      </c>
      <c r="C8" s="20" t="inlineStr">
        <is>
          <t>joi190007supp1_prod.pdf — Protocol p. 43, §10.1; joi190007supp1_prod.pdf — Protocol p. 44, interaction paragraph; joi190007supp2_prod.pdf — SAP p. 4, Secondary analysis and Effect modification; joi190007supp2_prod.pdf — SAP p. 5, Effect modification continuation; jama_bot_2019_oi_190007.pdf — Main p. 4, Outcomes/Statistical Methods; jama_bot_2019_oi_190007.pdf — Main p. 6, Table 2; jama_bot_2019_oi_190007.pdf — Main p. 7, MDD results continuation; jama_bot_2019_oi_190007.pdf — Main p. 8, Effect Modification and Sensitivity Analyses; joi190007supp3_prod.pdf — Results supplement p. 18, eAppendix 10; joi190007supp3_prod.pdf — Results supplement p. 19, GAD Table B; joi190007supp3_prod.pdf — Results supplement p. 20, utility Tables C1/C2.</t>
        </is>
      </c>
      <c r="D8" s="21" t="inlineStr">
        <is>
          <t>retain</t>
        </is>
      </c>
      <c r="E8" s="21" t="inlineStr">
        <is>
          <t>protocol_report</t>
        </is>
      </c>
      <c r="F8" s="21" t="inlineStr">
        <is>
          <t>primary_done</t>
        </is>
      </c>
      <c r="G8" s="20">
        <f>IFERROR(IF(LEN(TRIM(CLEAN(SUBSTITUTE(Setup!$B$2,CHAR(160)," "))))=0,"CHECK REVIEWER ID",IF(OR(A8="",COUNTIF($A$2:$A$12,A8)&lt;&gt;1,LEFT(A8,LEN("2019::jama.2019.0556::"))&lt;&gt;"2019::jama.2019.0556::"),"CHECK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Cox time-to-MDD is a protocol primary analysis (p. 43) and an SAP secondary analysis (p. 4), but the report labels it post hoc (p. 4, Table 2). Effect modification by site and MDD history is an SAP secondary analysis (pp. 4-5), but main p. 8 calls eAppendix 10's site/history moderation analyses post hoc. Planned analyses carry post hoc designations; the labeling is disclosed in the report but conflicts with the plan.</t>
        </is>
      </c>
    </row>
    <row r="9" ht="92" customFormat="1" customHeight="1" s="14">
      <c r="A9" s="24" t="inlineStr">
        <is>
          <t>2019::jama.2019.0556::C008</t>
        </is>
      </c>
      <c r="B9" s="24" t="inlineStr">
        <is>
          <t>Planned additive primary-outcome interaction result is not reported</t>
        </is>
      </c>
      <c r="C9" s="24" t="inlineStr">
        <is>
          <t>joi190007supp2_prod.pdf — SAP p. 4, Interaction of intervention strategies for our primary outcome; jama_bot_2019_oi_190007.pdf — Main p. 4, Statistical Methods; jama_bot_2019_oi_190007.pdf — Main p. 6, Table 2; jama_bot_2019_oi_190007.pdf — Main p. 7, narrative; joi190007supp3_prod.pdf — p. 18 moderation; joi190007supp3_prod.pdf — p. 19 GAD moderation; joi190007supp3_prod.pdf — p. 20 utility moderation; joi190007supp3_prod.pdf — p. 21 no-MI sensitivity; joi190007supp3_prod.pdf — p. 22 CACE.</t>
        </is>
      </c>
      <c r="D9" s="21" t="inlineStr">
        <is>
          <t>retain</t>
        </is>
      </c>
      <c r="E9" s="21" t="inlineStr">
        <is>
          <t>protocol_report</t>
        </is>
      </c>
      <c r="F9" s="21" t="inlineStr">
        <is>
          <t>primary_done</t>
        </is>
      </c>
      <c r="G9" s="24">
        <f>IFERROR(IF(LEN(TRIM(CLEAN(SUBSTITUTE(Setup!$B$2,CHAR(160)," "))))=0,"CHECK REVIEWER ID",IF(OR(A9="",COUNTIF($A$2:$A$12,A9)&lt;&gt;1,LEFT(A9,LEN("2019::jama.2019.0556::"))&lt;&gt;"2019::jama.2019.0556::"),"CHECK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SAP p. 4 plans a sensitivity analysis of additive interaction (RERI from a linear odds model with likelihood-based CIs) for the primary outcome. No RERI or additive-interaction result appears in the main article or results supplement (searched RERI, additive, excess risk); only the multiplicative interaction OR is reported (Table 2).</t>
        </is>
      </c>
    </row>
    <row r="10" ht="92" customFormat="1" customHeight="1" s="14">
      <c r="A10" s="20" t="inlineStr">
        <is>
          <t>2019::jama.2019.0556::C009</t>
        </is>
      </c>
      <c r="B10" s="20" t="inlineStr">
        <is>
          <t>Planned primary-outcome missingness sensitivity is not reported</t>
        </is>
      </c>
      <c r="C10" s="20" t="inlineStr">
        <is>
          <t>joi190007supp2_prod.pdf — SAP p. 5, Missing data and drop-out; jama_bot_2019_oi_190007.pdf — Main p. 4, Statistical Methods; jama_bot_2019_oi_190007.pdf — Main p. 6, Table 2 and missingness narrative; jama_bot_2019_oi_190007.pdf — Main p. 8, sensitivity/CACE narrative; joi190007supp3_prod.pdf — Results supplement p. 21, eAppendix 11; joi190007supp3_prod.pdf — Results supplement p. 22, eAppendix 12.</t>
        </is>
      </c>
      <c r="D10" s="21" t="inlineStr">
        <is>
          <t>retain</t>
        </is>
      </c>
      <c r="E10" s="21" t="inlineStr">
        <is>
          <t>protocol_report</t>
        </is>
      </c>
      <c r="F10" s="21" t="inlineStr">
        <is>
          <t>primary_done</t>
        </is>
      </c>
      <c r="G10" s="20">
        <f>IFERROR(IF(LEN(TRIM(CLEAN(SUBSTITUTE(Setup!$B$2,CHAR(160)," "))))=0,"CHECK REVIEWER ID",IF(OR(A10="",COUNTIF($A$2:$A$12,A10)&lt;&gt;1,LEFT(A10,LEN("2019::jama.2019.0556::"))&lt;&gt;"2019::jama.2019.0556::"),"CHECK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SAP p. 5: 'sensitivity analyses will be conducted and reported' for the MAR assumption behind multiple imputation of the primary outcome. Report sensitivity analyses (main p. 4/8; eAppendix 11) are GEE without imputation for secondary outcomes only; CACE (eAppendix 12) addresses adherence, not missingness. No primary-outcome missing-data sensitivity analysis is reported.</t>
        </is>
      </c>
    </row>
    <row r="11" ht="92" customFormat="1" customHeight="1" s="14">
      <c r="A11" s="24" t="inlineStr">
        <is>
          <t>2019::jama.2019.0556::C010</t>
        </is>
      </c>
      <c r="B11" s="24" t="inlineStr">
        <is>
          <t>CACE explanation does not identify the mapping to the printed MDD estimates</t>
        </is>
      </c>
      <c r="C11" s="24" t="inlineStr">
        <is>
          <t>jama_bot_2019_oi_190007.pdf — Main p. 6, Table 2; jama_bot_2019_oi_190007.pdf — Main p. 8, CACE narrative; joi190007supp3_prod.pdf — Results supplement p. 14, eAppendix 7 opening; joi190007supp3_prod.pdf — Results supplement p. 15, eAppendix 7 continuation; joi190007supp3_prod.pdf — Results supplement p. 16, adherence table; joi190007supp3_prod.pdf — Results supplement p. 22, eAppendix 12.</t>
        </is>
      </c>
      <c r="D11" s="21" t="inlineStr">
        <is>
          <t>retain</t>
        </is>
      </c>
      <c r="E11" s="21" t="inlineStr">
        <is>
          <t>statistical_results</t>
        </is>
      </c>
      <c r="F11" s="21" t="inlineStr">
        <is>
          <t>primary_done</t>
        </is>
      </c>
      <c r="G11" s="24">
        <f>IFERROR(IF(LEN(TRIM(CLEAN(SUBSTITUTE(Setup!$B$2,CHAR(160)," "))))=0,"CHECK REVIEWER ID",IF(OR(A11="",COUNTIF($A$2:$A$12,A11)&lt;&gt;1,LEFT(A11,LEN("2019::jama.2019.0556::"))&lt;&gt;"2019::jama.2019.0556::"),"CHECK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probable_issue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eAppendix 7 (supp3 p. 15) says the CACE estimate is the ITT effect divided by the complier proportion. ITT MDD ORs (Table 2): supplements 1.06, therapy 0.93; CACE ORs (eAppendix 12): 0.84 and 0.78. Dividing log(1.06) by any c in (0,1] cannot give OR &lt; 1; exp(log(0.93)/0.713) = 0.90, not 0.78. The stated method does not yield the printed MDD CACE estimates, and the supplement OR reverses direction; the therapy CACE OR 0.78 is cited as significant in main p. 8 and Discussion.</t>
        </is>
      </c>
    </row>
    <row r="12" ht="92" customFormat="1" customHeight="1" s="14">
      <c r="A12" s="20" t="inlineStr">
        <is>
          <t>2019::jama.2019.0556::C011</t>
        </is>
      </c>
      <c r="B12" s="20" t="inlineStr">
        <is>
          <t>Three site coefficient and interval tuples do not reproduce the same-table relationship</t>
        </is>
      </c>
      <c r="C12" s="20" t="inlineStr">
        <is>
          <t>joi190007supp3_prod.pdf — results supplement p. 19, Table B.</t>
        </is>
      </c>
      <c r="D12" s="21" t="inlineStr">
        <is>
          <t>retain</t>
        </is>
      </c>
      <c r="E12" s="21" t="inlineStr">
        <is>
          <t>statistical_results</t>
        </is>
      </c>
      <c r="F12" s="21" t="inlineStr">
        <is>
          <t>primary_done</t>
        </is>
      </c>
      <c r="G12" s="20">
        <f>IFERROR(IF(LEN(TRIM(CLEAN(SUBSTITUTE(Setup!$B$2,CHAR(160)," "))))=0,"CHECK REVIEWER ID",IF(OR(A12="",COUNTIF($A$2:$A$12,A12)&lt;&gt;1,LEFT(A12,LEN("2019::jama.2019.0556::"))&lt;&gt;"2019::jama.2019.0556::"),"CHECK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eAppendix 10 Table B (supp3 p. 19): site rows Spain 0.107 (-0.424 to 0.520), UK 0.117 (-0.371 to 0.638), Germany 0.058 (-0.401 to 0.606) have CI midpoints 0.048, 0.134, 0.103; the six other rows are centered exactly (e.g., -0.107 vs midpoint -0.107). The printed P values (.694, .637, .804) fit the printed B with the CI-implied SE (P = .66, .65, .82) better than the midpoints, so the site CIs appear misprinted. Nuisance covariates only.</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onditionalFormatting>
  <dataValidations count="8">
    <dataValidation sqref="D2:D12" showDropDown="0" showInputMessage="0" showErrorMessage="1" allowBlank="1" errorTitle="Use a listed option" error="Choose an option; G also checks pasted entries." type="list" errorStyle="stop">
      <formula1>"retain,exclude,discuss"</formula1>
    </dataValidation>
    <dataValidation sqref="E2:E1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2" showDropDown="0" showInputMessage="0" showErrorMessage="1" allowBlank="1" errorTitle="Use a listed option" error="Choose an option; G also checks pasted entries." type="list" errorStyle="stop">
      <formula1>"no,primary_done"</formula1>
    </dataValidation>
    <dataValidation sqref="H2:H1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2"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2" showDropDown="0" showInputMessage="0" showErrorMessage="1" allowBlank="1" errorTitle="Use a listed option" error="Choose an option; G also checks pasted entries." type="list" errorStyle="stop">
      <formula1>"direct,possible,unlikely,unknown,not_applicable"</formula1>
    </dataValidation>
    <dataValidation sqref="K2:K1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2019::jama.2019.10517::C001</t>
        </is>
      </c>
      <c r="B2" s="20" t="inlineStr">
        <is>
          <t>Primary relapse score component differs from the plan</t>
        </is>
      </c>
      <c r="C2" s="20" t="inlineStr">
        <is>
          <t>PLAN joi190079supp1_prod.pdf — PDF p.12, §3.9.8, lines 553–568; REPORT jama_flint_2019_oi_190079.pdf — PDF p.4, Primary Outcome: Relapse. Affected outputs and context: jama_flint_2019_oi_190079.pdf — main PDF p.1, abstract, jama_flint_2019_oi_190079.pdf — main PDF p.6, primary results and jama_flint_2019_oi_190079.pdf — main PDF p.7, Table 3 and footnotes.</t>
        </is>
      </c>
      <c r="D2" s="21" t="inlineStr">
        <is>
          <t>retain</t>
        </is>
      </c>
      <c r="E2" s="21" t="inlineStr">
        <is>
          <t>protocol_report</t>
        </is>
      </c>
      <c r="F2" s="21" t="inlineStr">
        <is>
          <t>primary_done</t>
        </is>
      </c>
      <c r="G2" s="20">
        <f>IFERROR(IF(LEN(TRIM(CLEAN(SUBSTITUTE(Setup!$B$2,CHAR(160)," "))))=0,"CHECK REVIEWER ID",IF(OR(A2="",COUNTIF($A$2:$A$6,A2)&lt;&gt;1,LEFT(A2,LEN("2019::jama.2019.10517::"))&lt;&gt;"2019::jama.2019.10517::"),"CHECK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p. 12 (3.9.8): HAM-D relapse criterion is score &gt;=18 AND a mean absolute increase of 5 points relative to RCT entry; psychosis criterion adds SADS severity &gt;=3; durations 'preferably' 1 week. Report p. 4 lists HDRS &gt;=18 and SCID-rated psychosis without these qualifiers. The stated primary-outcome definition differs; whether conduct differed or the report abbreviated is not shown.</t>
        </is>
      </c>
    </row>
    <row r="3" ht="92" customFormat="1" customHeight="1" s="14">
      <c r="A3" s="24" t="inlineStr">
        <is>
          <t>2019::jama.2019.10517::C002</t>
        </is>
      </c>
      <c r="B3" s="24" t="inlineStr">
        <is>
          <t>Four prespecified key secondary counterparts are absent</t>
        </is>
      </c>
      <c r="C3" s="24" t="inlineStr">
        <is>
          <t>PLAN joi190079supp1_prod.pdf — PDF p.10, lines 473–488, joi190079supp1_prod.pdf — PLAN PDF p.14, analysis context and joi190079supp1_prod.pdf — PLAN PDF p.16, Strategies for Attrition, lines 769–772. The complete supplied REPORT absence-check union is listed page by page below; every linked page was inspected in the mechanical recheck. jama_flint_2019_oi_190079.pdf — PDF p.1: Abstract and eight headline secondary effects; jama_flint_2019_oi_190079.pdf — main PDF p.2: Key Points and explicit Aims 1–2 scope; jama_flint_2019_oi_190079.pdf — main PDF p.3: Participant flow and methods; jama_flint_2019_oi_190079.pdf — main PDF p.4: Outcome collection and model definitions; jama_flint_2019_oi_190079.pdf — main PDF p.5: Premorbid-weight description and missingness/sensitivity methods; jama_flint_2019_oi_190079.pdf — main PDF p.6: Primary results and safety/multiplicity context; jama_flint_2019_oi_190079.pdf — main PDF p.7: Secondary effects and tolerability results; jama_flint_2019_oi_190079.pdf — main PDF p.8: Table 4 and discussion; jama_flint_2019_oi_190079.pdf — main PDF p.9: Table 5, limitations and conclusion; jama_flint_2019_oi_190079.pdf — main PDF p.10: End matter and references; joi190079supp2_prod.pdf — PDF p.1: Complete eFigure index; joi190079supp2_prod.pdf — results supplement PDF p.2: Weight model means; joi190079supp2_prod.pdf — results supplement PDF p.3: Waist model means; joi190079supp2_prod.pdf — results supplement PDF p.4: Total-cholesterol model means; joi190079supp2_prod.pdf — results supplement PDF p.5: LDL model means; joi190079supp2_prod.pdf — results supplement PDF p.6: HDL model means; joi190079supp2_prod.pdf — results supplement PDF p.7: Triglyceride pattern-mixture means; joi190079supp2_prod.pdf — results supplement PDF p.8: Glucose model means; joi190079supp2_prod.pdf — results supplement PDF p.9: HbA1c model means; joi190079supp2_prod.pdf — results supplement PDF p.10: Simpson-Angus model means; joi190079supp3_prod.pdf — PDF p.1: Administrative data-sharing statement.</t>
        </is>
      </c>
      <c r="D3" s="21" t="inlineStr">
        <is>
          <t>retain</t>
        </is>
      </c>
      <c r="E3" s="21" t="inlineStr">
        <is>
          <t>protocol_report</t>
        </is>
      </c>
      <c r="F3" s="21" t="inlineStr">
        <is>
          <t>primary_done</t>
        </is>
      </c>
      <c r="G3" s="24">
        <f>IFERROR(IF(LEN(TRIM(CLEAN(SUBSTITUTE(Setup!$B$2,CHAR(160)," "))))=0,"CHECK REVIEWER ID",IF(OR(A3="",COUNTIF($A$2:$A$6,A3)&lt;&gt;1,LEFT(A3,LEN("2019::jama.2019.10517::"))&lt;&gt;"2019::jama.2019.10517::"),"CHECK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p. 10 names HOMA as 'the primary measure of glycemic function' and plans BMI/waist alternatives to weight and a secondary weight analysis accounting for depression-related weight loss; p. 16 plans Intent-to-Attend covariate models for attrition. Report (main pp. 1-10, eFigures 1-9) gives glucose and HbA1c, waist and weight models and pattern-mixture models, but no HOMA, BMI, weight-loss-adjusted or Intent-to-Attend results. Report states it covers Aims 1-2 (p. 2).</t>
        </is>
      </c>
    </row>
    <row r="4" ht="92" customFormat="1" customHeight="1" s="14">
      <c r="A4" s="20" t="inlineStr">
        <is>
          <t>2019::jama.2019.10517::C003</t>
        </is>
      </c>
      <c r="B4" s="20" t="inlineStr">
        <is>
          <t>Adverse-event baseline differs between plan and report</t>
        </is>
      </c>
      <c r="C4" s="20" t="inlineStr">
        <is>
          <t>PLAN joi190079supp1_prod.pdf — PDF p.15, Non-Metabolic Safety Data, lines 705–717; REPORT jama_flint_2019_oi_190079.pdf — PDF p.4, Other Measures of Tolerability and jama_flint_2019_oi_190079.pdf — main PDF p.7, adverse-effect/akathisia results. Phase context: jama_flint_2019_oi_190079.pdf — main PDF p.2 and jama_flint_2019_oi_190079.pdf — main PDF p.3.</t>
        </is>
      </c>
      <c r="D4" s="21" t="inlineStr">
        <is>
          <t>retain</t>
        </is>
      </c>
      <c r="E4" s="21" t="inlineStr">
        <is>
          <t>protocol_report</t>
        </is>
      </c>
      <c r="F4" s="21" t="inlineStr">
        <is>
          <t>primary_done</t>
        </is>
      </c>
      <c r="G4" s="20">
        <f>IFERROR(IF(LEN(TRIM(CLEAN(SUBSTITUTE(Setup!$B$2,CHAR(160)," "))))=0,"CHECK REVIEWER ID",IF(OR(A4="",COUNTIF($A$2:$A$6,A4)&lt;&gt;1,LEFT(A4,LEN("2019::jama.2019.10517::"))&lt;&gt;"2019::jama.2019.10517::"),"CHECK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 15: non-metabolic adverse events counted in participants who did not meet the criteria at ACUTE-phase baseline, plus a week-8-onwards tabulation. Report p. 4: UKU adverse effects defined as change from RCT baseline; incident akathisia requires Barnes 0 at RCT baseline. Reference baseline for AE incidence differs; no week-8-onward results reported.</t>
        </is>
      </c>
    </row>
    <row r="5" ht="92" customFormat="1" customHeight="1" s="14">
      <c r="A5" s="24" t="inlineStr">
        <is>
          <t>2019::jama.2019.10517::C004</t>
        </is>
      </c>
      <c r="B5" s="24" t="inlineStr">
        <is>
          <t>Safety treatment classification differs from the plan</t>
        </is>
      </c>
      <c r="C5" s="24" t="inlineStr">
        <is>
          <t>PLAN joi190079supp1_prod.pdf — PDF p.14, H2 and joi190079supp1_prod.pdf — PLAN PDF p.16, attrition/classification; REPORT jama_flint_2019_oi_190079.pdf — PDF p.3, Figure 1, jama_flint_2019_oi_190079.pdf — main PDF p.4, Statistical Analyses, jama_flint_2019_oi_190079.pdf — main PDF p.7, secondary effects and jama_flint_2019_oi_190079.pdf — main PDF p.8, Table 4. Every affected randomized-group model title is linked separately: Weight: joi190079supp2_prod.pdf — PDF p.2, eFigure 1; Waist: joi190079supp2_prod.pdf — results supplement PDF p.3, eFigure 2; Total cholesterol: joi190079supp2_prod.pdf — results supplement PDF p.4, eFigure 3; LDL cholesterol: joi190079supp2_prod.pdf — results supplement PDF p.5, eFigure 4; HDL cholesterol: joi190079supp2_prod.pdf — results supplement PDF p.6, eFigure 5; Triglycerides: joi190079supp2_prod.pdf — results supplement PDF p.7, eFigure 6; Glucose: joi190079supp2_prod.pdf — results supplement PDF p.8, eFigure 7; HbA1c: joi190079supp2_prod.pdf — results supplement PDF p.9, eFigure 8.</t>
        </is>
      </c>
      <c r="D5" s="21" t="inlineStr">
        <is>
          <t>retain</t>
        </is>
      </c>
      <c r="E5" s="21" t="inlineStr">
        <is>
          <t>protocol_report</t>
        </is>
      </c>
      <c r="F5" s="21" t="inlineStr">
        <is>
          <t>primary_done</t>
        </is>
      </c>
      <c r="G5" s="24">
        <f>IFERROR(IF(LEN(TRIM(CLEAN(SUBSTITUTE(Setup!$B$2,CHAR(160)," "))))=0,"CHECK REVIEWER ID",IF(OR(A5="",COUNTIF($A$2:$A$6,A5)&lt;&gt;1,LEFT(A5,LEN("2019::jama.2019.10517::"))&lt;&gt;"2019::jama.2019.10517::"),"CHECK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pp. 14, 16: for safety analyses (H2, weight/metabolic) subjects are classified by medications actually taken during protocolized treatment ('regulatory approach'). Report p. 4 states analyses included all randomized participants, and the metabolic models and eFigures 1-8 are by randomized group. Planned as-treated classification vs reported randomized-group classification.</t>
        </is>
      </c>
    </row>
    <row r="6" ht="92" customFormat="1" customHeight="1" s="14">
      <c r="A6" s="20" t="inlineStr">
        <is>
          <t>2019::jama.2019.10517::C005</t>
        </is>
      </c>
      <c r="B6" s="20" t="inlineStr">
        <is>
          <t>Planned metabolic observation exclusion is placed in sensitivity analysis</t>
        </is>
      </c>
      <c r="C6" s="20" t="inlineStr">
        <is>
          <t>PLAN joi190079supp1_prod.pdf — PDF p.14, H2, lines 673–679; REPORT jama_flint_2019_oi_190079.pdf — PDF p.1, abstract secondary effects, jama_flint_2019_oi_190079.pdf — main PDF p.5, final Statistical Analyses paragraph and jama_flint_2019_oi_190079.pdf — main PDF p.7, secondary/drug-change results.</t>
        </is>
      </c>
      <c r="D6" s="21" t="inlineStr">
        <is>
          <t>retain</t>
        </is>
      </c>
      <c r="E6" s="21" t="inlineStr">
        <is>
          <t>protocol_report</t>
        </is>
      </c>
      <c r="F6" s="21" t="inlineStr">
        <is>
          <t>primary_done</t>
        </is>
      </c>
      <c r="G6" s="20">
        <f>IFERROR(IF(LEN(TRIM(CLEAN(SUBSTITUTE(Setup!$B$2,CHAR(160)," "))))=0,"CHECK REVIEWER ID",IF(OR(A6="",COUNTIF($A$2:$A$6,A6)&lt;&gt;1,LEFT(A6,LEN("2019::jama.2019.10517::"))&lt;&gt;"2019::jama.2019.10517::"),"CHECK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 14 (H2): metabolic data after a new/changed lipid-lowering treatment are excluded from the mixed model. Report p. 5/7: main metabolic models include all data; the exclusion (extended to hypoglycemic agents; statins changed in 12, hypoglycemics in 3) is a post hoc sensitivity analysis with results described only as 'qualitatively similar'. Disclosed as post hoc in the report.</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1"/>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2019::jama.2019.12618::C001</t>
        </is>
      </c>
      <c r="B2" s="20" t="inlineStr">
        <is>
          <t>Planned anatomical relative-risk regression outputs are not reported</t>
        </is>
      </c>
      <c r="C2" s="20" t="inlineStr">
        <is>
          <t>PLAN joi190092supp3_prod.pdf — original SAP p.17, Prespecified Subgroup Analysis. PLAN joi190092supp3_prod.pdf — final SAP p.58, corresponding subgroup section. REPORT jama_rathinam_2019_oi_190092.pdf — main p.1, abstract anatomical results. REPORT jama_rathinam_2019_oi_190092.pdf — main p.4, anatomical analysis methods. REPORT jama_rathinam_2019_oi_190092.pdf — main p.5, posterior/panuveitis narrative. REPORT jama_rathinam_2019_oi_190092.pdf — main p.6, Table 2 and intermediate-uveitis narrative. REPORT joi190092supp1_prod.pdf — results supplement p.1, contents identifying the complete pp.1–16 output set.</t>
        </is>
      </c>
      <c r="D2" s="21" t="inlineStr">
        <is>
          <t>retain</t>
        </is>
      </c>
      <c r="E2" s="21" t="inlineStr">
        <is>
          <t>protocol_report</t>
        </is>
      </c>
      <c r="F2" s="21" t="inlineStr">
        <is>
          <t>primary_done</t>
        </is>
      </c>
      <c r="G2" s="20">
        <f>IFERROR(IF(LEN(TRIM(CLEAN(SUBSTITUTE(Setup!$B$2,CHAR(160)," "))))=0,"CHECK REVIEWER ID",IF(OR(A2="",COUNTIF($A$2:$A$11,A2)&lt;&gt;1,LEFT(A2,LEN("2019::jama.2019.12618::"))&lt;&gt;"2019::jama.2019.12618::"),"CHECK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inlineStr">
        <is>
          <t>Original SAP p. 17 and final SAP p. 58: 'We will also report relative risks in each substratum, using relative risk regression' for the anatomical-location subgroups. Report (abstract; pp. 4-6, Table 2; results supplement eTables) gives risk differences and ORs from logistic regression only; no RR regression output. L left blank: the counts needed to compute crude RRs are printed, so I do not grade the importance.</t>
        </is>
      </c>
    </row>
    <row r="3" ht="92" customFormat="1" customHeight="1" s="14">
      <c r="A3" s="24" t="inlineStr">
        <is>
          <t>2019::jama.2019.12618::C002</t>
        </is>
      </c>
      <c r="B3" s="24" t="inlineStr">
        <is>
          <t>Primary success composite differs in its late-injection component</t>
        </is>
      </c>
      <c r="C3" s="24" t="inlineStr">
        <is>
          <t>PLAN joi190092supp2_prod.pdf — final protocol p.80, §2.5.1 primary endpoint. REPORT jama_rathinam_2019_oi_190092.pdf — main p.3, Treatment and Outcomes. REPORT jama_rathinam_2019_oi_190092.pdf — main p.4, primary analysis population. REPORT jama_rathinam_2019_oi_190092.pdf — main p.6, late-injection and primary-result narrative. PLAN contextual joi190092supp3_prod.pdf — final SAP p.70, §3.5.1 injection sensitivity. PLAN contextual joi190092supp3_prod.pdf — SAP p.81, injection amendment. PLAN historical joi190092supp2_prod.pdf — original protocol p.15, earlier primary definition.</t>
        </is>
      </c>
      <c r="D3" s="21" t="inlineStr">
        <is>
          <t>retain</t>
        </is>
      </c>
      <c r="E3" s="21" t="inlineStr">
        <is>
          <t>protocol_report</t>
        </is>
      </c>
      <c r="F3" s="21" t="inlineStr">
        <is>
          <t>primary_done</t>
        </is>
      </c>
      <c r="G3" s="24">
        <f>IFERROR(IF(LEN(TRIM(CLEAN(SUBSTITUTE(Setup!$B$2,CHAR(160)," "))))=0,"CHECK REVIEWER ID",IF(OR(A3="",COUNTIF($A$2:$A$11,A3)&lt;&gt;1,LEFT(A3,LEN("2019::jama.2019.12618::"))&lt;&gt;"2019::jama.2019.12618::"),"CHECK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Final MOP/protocol v4.5 (Jan 2017) p. 80, scanned page OCR'd: treatment success requires 'no periocular or intravitreal corticosteroid injections after the first 90 days of follow up'. Report p. 3 primary-outcome definition lists inflammation control, prednisone/drops and no safety/intolerability failure, but not the injection criterion; p. 6 reports 4+4 patients with late injections as protocol deviations without saying how they were scored. Original protocol (p. 15, OCR) lacked the criterion.</t>
        </is>
      </c>
    </row>
    <row r="4" ht="92" customFormat="1" customHeight="1" s="14">
      <c r="A4" s="20" t="inlineStr">
        <is>
          <t>2019::jama.2019.12618::C003</t>
        </is>
      </c>
      <c r="B4" s="20" t="inlineStr">
        <is>
          <t>Prespecified primary-endpoint robustness outputs are not reported</t>
        </is>
      </c>
      <c r="C4" s="20" t="inlineStr">
        <is>
          <t>PLAN joi190092supp3_prod.pdf — original SAP p.22, §3.3.1 lost-followup sensitivity. PLAN joi190092supp3_prod.pdf — original SAP p.28, §3.5 four-method reporting commitment. PLAN joi190092supp3_prod.pdf — original SAP p.29, longitudinal-model continuation. PLAN joi190092supp3_prod.pdf — final SAP p.62, §3.3.1. PLAN joi190092supp3_prod.pdf — final SAP p.68, §3.5 robustness introduction. PLAN joi190092supp3_prod.pdf — final SAP p.69, four methods and longitudinal structure. PLAN joi190092supp3_prod.pdf — final SAP p.70, injection-time sensitivity. PLAN joi190092supp3_prod.pdf — SAP p.81, injection-sensitivity addition. REPORT jama_rathinam_2019_oi_190092.pdf — main p.4, Statistical Analyses. REPORT jama_rathinam_2019_oi_190092.pdf — main p.6, injection and sensitivity narrative. REPORT jama_rathinam_2019_oi_190092.pdf — main p.7, Figure 2 and imputation result. REPORT joi190092supp1_prod.pdf — results supplement p.1, contents; complete pp.1–16 inspected.</t>
        </is>
      </c>
      <c r="D4" s="21" t="inlineStr">
        <is>
          <t>retain</t>
        </is>
      </c>
      <c r="E4" s="21" t="inlineStr">
        <is>
          <t>protocol_report</t>
        </is>
      </c>
      <c r="F4" s="21" t="inlineStr">
        <is>
          <t>primary_done</t>
        </is>
      </c>
      <c r="G4" s="20">
        <f>IFERROR(IF(LEN(TRIM(CLEAN(SUBSTITUTE(Setup!$B$2,CHAR(160)," "))))=0,"CHECK REVIEWER ID",IF(OR(A4="",COUNTIF($A$2:$A$11,A4)&lt;&gt;1,LEFT(A4,LEN("2019::jama.2019.12618::"))&lt;&gt;"2019::jama.2019.12618::"),"CHECK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3.5 (orig. p. 28; final p. 69) commits to reporting four missing-data methods (regression MI, longitudinal GLMM, success/failure assignment, complete case) plus hot-deck MI; 3.3.1 (pp. 22, 62) plans a tipping-point analysis for lost patients; final 3.5.1 (p. 70) adds an injection sensitivity analysis. Report gives complete-case primary and one MI sensitivity analysis (p. 7) only.</t>
        </is>
      </c>
    </row>
    <row r="5" ht="92" customFormat="1" customHeight="1" s="14">
      <c r="A5" s="24" t="inlineStr">
        <is>
          <t>2019::jama.2019.12618::C004</t>
        </is>
      </c>
      <c r="B5" s="24" t="inlineStr">
        <is>
          <t>Planned rescue primary model and individual confidence intervals are not reported</t>
        </is>
      </c>
      <c r="C5" s="24" t="inlineStr">
        <is>
          <t>PLAN joi190092supp3_prod.pdf — original SAP p.21, §3.2.3 rescue model. PLAN joi190092supp3_prod.pdf — original SAP p.25, Specific Aim 2 primary probability estimates. PLAN joi190092supp3_prod.pdf — final SAP p.61, §3.2.3. PLAN joi190092supp3_prod.pdf — final SAP p.62, interval-reporting continuation. PLAN joi190092supp3_prod.pdf — final SAP p.66, two primary Aim 2 estimates. REPORT jama_rathinam_2019_oi_190092.pdf — main p.4, twelve-month model statement. REPORT jama_rathinam_2019_oi_190092.pdf — main p.6, Table 2 switching row and footnote b. REPORT jama_rathinam_2019_oi_190092.pdf — main p.7, Prespecified 12-Month Outcomes. REPORT joi190092supp1_prod.pdf — results supplement p.1, complete output-set contents. PLAN contextual joi190092supp2_prod.pdf — final protocol p.72, same primary/secondary outcomes within Aim 2. PLAN contextual joi190092supp2_prod.pdf — final protocol p.73, trial-wide secondary rescue designation.</t>
        </is>
      </c>
      <c r="D5" s="21" t="inlineStr">
        <is>
          <t>retain</t>
        </is>
      </c>
      <c r="E5" s="21" t="inlineStr">
        <is>
          <t>protocol_report</t>
        </is>
      </c>
      <c r="F5" s="21" t="inlineStr">
        <is>
          <t>primary_done</t>
        </is>
      </c>
      <c r="G5" s="24">
        <f>IFERROR(IF(LEN(TRIM(CLEAN(SUBSTITUTE(Setup!$B$2,CHAR(160)," "))))=0,"CHECK REVIEWER ID",IF(OR(A5="",COUNTIF($A$2:$A$11,A5)&lt;&gt;1,LEFT(A5,LEN("2019::jama.2019.12618::"))&lt;&gt;"2019::jama.2019.12618::"),"CHECK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3.2.3 (pp. 21, 61-62) Aim 2 primary analysis: logistic regression with rescue group and reason for first-drug failure, and per-group success probabilities with 95% CIs 'presented regardless'. Report (p. 4; Table 2 switching row; p. 7) uses the primary 6-month model (treatment fixed, site random) and gives 20/29 vs 7/20 with RD and OR CIs, but no failure-reason adjustment and no individual-group CIs.</t>
        </is>
      </c>
    </row>
    <row r="6" ht="92" customFormat="1" customHeight="1" s="14">
      <c r="A6" s="20" t="inlineStr">
        <is>
          <t>2019::jama.2019.12618::C005</t>
        </is>
      </c>
      <c r="B6" s="20" t="inlineStr">
        <is>
          <t>Adherence summary inputs do not reproduce the printed Welch P value</t>
        </is>
      </c>
      <c r="C6" s="20" t="inlineStr">
        <is>
          <t>REPORT jama_rathinam_2019_oi_190092.pdf — main p.4, Welch t-test statement and two-sided significance level. REPORT jama_rathinam_2019_oi_190092.pdf — main p.6, Table 2 missed-dose mean (SD) row and n=96/98 headings. REPORT jama_rathinam_2019_oi_190092.pdf — main p.6, repeated adherence narrative and dose-definition footnote j. REPORT contextual jama_rathinam_2019_oi_190092.pdf — main p.7, Figure 2 per-protocol counts and footnote e.</t>
        </is>
      </c>
      <c r="D6" s="21" t="inlineStr">
        <is>
          <t>retain</t>
        </is>
      </c>
      <c r="E6" s="21" t="inlineStr">
        <is>
          <t>statistical_results</t>
        </is>
      </c>
      <c r="F6" s="21" t="inlineStr">
        <is>
          <t>primary_done</t>
        </is>
      </c>
      <c r="G6" s="20">
        <f>IFERROR(IF(LEN(TRIM(CLEAN(SUBSTITUTE(Setup!$B$2,CHAR(160)," "))))=0,"CHECK REVIEWER ID",IF(OR(A6="",COUNTIF($A$2:$A$11,A6)&lt;&gt;1,LEFT(A6,LEN("2019::jama.2019.12618::"))&lt;&gt;"2019::jama.2019.12618::"),"CHECK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t="inlineStr">
        <is>
          <t>possible</t>
        </is>
      </c>
      <c r="K6" s="21">
        <f>IF(AND(OR(D6="retain",D6=""),OR(E6="report_internal_inconsistency",E6="plan_material")),"","not_applicable")</f>
        <v/>
      </c>
      <c r="L6" s="22">
        <f>IF(AND(OR(D6="retain",D6=""),E6="protocol_report"),"","not_applicable")</f>
        <v/>
      </c>
      <c r="M6" s="20" t="n"/>
      <c r="N6" s="23" t="n"/>
      <c r="O6" s="23" t="n"/>
      <c r="P6" s="23" t="n"/>
      <c r="Q6" s="23" t="n"/>
      <c r="R6" s="22" t="inlineStr">
        <is>
          <t>Table 2 / p. 6: missed doses 4.6% (SD 1.0) vs 4.3% (SD 0.5), n = 96/98, Welch t test (p. 4), P = .87. Welch: t = 2.63, df = 139, P = .009. Even at the half-unit extremes most favorable to the null (diff 0.2, SDs 1.05/0.55) P = .10. P = .87 would need an SE of ~1.8 for the 0.3-point difference. Printed summary statistics and P value are incompatible; which is wrong cannot be determined.</t>
        </is>
      </c>
    </row>
    <row r="7" ht="92" customFormat="1" customHeight="1" s="14">
      <c r="A7" s="24" t="inlineStr">
        <is>
          <t>2019::jama.2019.12618::C006</t>
        </is>
      </c>
      <c r="B7" s="24" t="inlineStr">
        <is>
          <t>Reported per-protocol adherence cutoff differs from the planned cutoff</t>
        </is>
      </c>
      <c r="C7" s="24" t="inlineStr">
        <is>
          <t>PLAN joi190092supp3_prod.pdf — original SAP p.31, §4.1 per-protocol exclusions. PLAN joi190092supp3_prod.pdf — final SAP p.71, §4.1. PLAN joi190092supp3_prod.pdf — final SAP p.72, §4.2 major-deviation examples. REPORT jama_rathinam_2019_oi_190092.pdf — main p.6, adherence sensitivity narrative. REPORT jama_rathinam_2019_oi_190092.pdf — main p.7, Figure 2 per-protocol model and footnote e.</t>
        </is>
      </c>
      <c r="D7" s="21" t="inlineStr">
        <is>
          <t>retain</t>
        </is>
      </c>
      <c r="E7" s="21" t="inlineStr">
        <is>
          <t>protocol_report</t>
        </is>
      </c>
      <c r="F7" s="21" t="inlineStr">
        <is>
          <t>primary_done</t>
        </is>
      </c>
      <c r="G7" s="24">
        <f>IFERROR(IF(LEN(TRIM(CLEAN(SUBSTITUTE(Setup!$B$2,CHAR(160)," "))))=0,"CHECK REVIEWER ID",IF(OR(A7="",COUNTIF($A$2:$A$11,A7)&lt;&gt;1,LEFT(A7,LEN("2019::jama.2019.12618::"))&lt;&gt;"2019::jama.2019.12618::"),"CHECK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SAP 4.1 (orig. p. 31; final p. 71): per-protocol population excludes major protocol deviations and patients receiving &lt;50% of study drug. Report p. 6 and Figure 2 footnote e: per-protocol model includes patients who missed &lt;20% of doses (i.e., &gt;80% received), with no mention of excluding major deviations (n = 184).</t>
        </is>
      </c>
    </row>
    <row r="8" ht="92" customFormat="1" customHeight="1" s="14">
      <c r="A8" s="20" t="inlineStr">
        <is>
          <t>2019::jama.2019.12618::C007</t>
        </is>
      </c>
      <c r="B8" s="20" t="inlineStr">
        <is>
          <t>Switching-group serious diarrhea percentage does not reconcile</t>
        </is>
      </c>
      <c r="C8" s="20" t="inlineStr">
        <is>
          <t>REPORT joi190092supp1_prod.pdf — results supplement p.15, eTable 9 mycophenolate N=20 heading. REPORT joi190092supp1_prod.pdf — results supplement p.15, Serious Systemic → Diarrhea, mycophenolate 1 (3.4). REPORT joi190092supp1_prod.pdf — results supplement p.15, same-column hemoglobin, allergic-reaction and fever 1 (5.0) entries. REPORT joi190092supp1_prod.pdf — results supplement p.15, adjacent methotrexate N=29 and serious systemic rows. REPORT joi190092supp1_prod.pdf — results supplement p.16, eTable 9 footnote b.</t>
        </is>
      </c>
      <c r="D8" s="21" t="inlineStr">
        <is>
          <t>retain</t>
        </is>
      </c>
      <c r="E8" s="21" t="inlineStr">
        <is>
          <t>statistical_results</t>
        </is>
      </c>
      <c r="F8" s="21" t="inlineStr">
        <is>
          <t>primary_done</t>
        </is>
      </c>
      <c r="G8" s="20">
        <f>IFERROR(IF(LEN(TRIM(CLEAN(SUBSTITUTE(Setup!$B$2,CHAR(160)," "))))=0,"CHECK REVIEWER ID",IF(OR(A8="",COUNTIF($A$2:$A$11,A8)&lt;&gt;1,LEFT(A8,LEN("2019::jama.2019.12618::"))&lt;&gt;"2019::jama.2019.12618::"),"CHECK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eTable 9 (supp1 p. 15), switching groups: mycophenolate column N = 20, serious systemic diarrhea '1 (3.4)'. 1/20 = 5.0%; 3.4% = 1/29, the methotrexate denominator. Other entries in the same column use N = 20 correctly (e.g., allergic reaction 1 (5.0), fever 1 (5.0)).</t>
        </is>
      </c>
    </row>
    <row r="9" ht="92" customFormat="1" customHeight="1" s="14">
      <c r="A9" s="24" t="inlineStr">
        <is>
          <t>2019::jama.2019.12618::C008</t>
        </is>
      </c>
      <c r="B9" s="24" t="inlineStr">
        <is>
          <t>Rescue power table sequence sizes differ from planned availability</t>
        </is>
      </c>
      <c r="C9" s="24" t="inlineStr">
        <is>
          <t>PLAN joi190092supp3_prod.pdf — original SAP p.25, Aim 2 planning and coding. PLAN joi190092supp3_prod.pdf — original SAP p.26, availability inputs/table and n0/n1. PLAN joi190092supp3_prod.pdf — original SAP p.27, Power Table for Specific Aim 2. PLAN joi190092supp3_prod.pdf — final SAP p.66, repeated Aim 2 planning. PLAN joi190092supp3_prod.pdf — final SAP p.67, availability and power-table headings. PLAN joi190092supp3_prod.pdf — final SAP p.68, seven power scenario rows.</t>
        </is>
      </c>
      <c r="D9" s="21" t="inlineStr">
        <is>
          <t>retain</t>
        </is>
      </c>
      <c r="E9" s="21" t="inlineStr">
        <is>
          <t>plan_material</t>
        </is>
      </c>
      <c r="F9" s="21" t="inlineStr">
        <is>
          <t>primary_done</t>
        </is>
      </c>
      <c r="G9" s="24">
        <f>IFERROR(IF(LEN(TRIM(CLEAN(SUBSTITUTE(Setup!$B$2,CHAR(160)," "))))=0,"CHECK REVIEWER ID",IF(OR(A9="",COUNTIF($A$2:$A$11,A9)&lt;&gt;1,LEFT(A9,LEN("2019::jama.2019.12618::"))&lt;&gt;"2019::jama.2019.12618::"),"CHECK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SAP Aim 2 (orig. pp. 25-27; final pp. 66-68): availability table gives B/A 58.3 enrolled (55.4 complete) and A/B 38.9 (36.9); with N0 = 108, r1 = .9: 108x.9x.6 = 58.32, 108x.9x.4 = 38.88. The power table assigns 58 to 'Drug A, then Drug B' and 38 to 'Drug B, then Drug A', i.e., swapped sequence labels, and uses enrollment rather than the formula's r2-adjusted completers. Power values reproduce with 58/38 (87.4%); with 55/36 power is 85.6%. Labeling slip; design inference unchanged.</t>
        </is>
      </c>
    </row>
    <row r="10" ht="92" customFormat="1" customHeight="1" s="14">
      <c r="A10" s="20" t="inlineStr">
        <is>
          <t>2019::jama.2019.12618::C009</t>
        </is>
      </c>
      <c r="B10" s="20" t="inlineStr">
        <is>
          <t>Printed detectable rescue difference does not reconcile with probability inputs</t>
        </is>
      </c>
      <c r="C10" s="20" t="inlineStr">
        <is>
          <t>PLAN joi190092supp3_prod.pdf — original SAP p.26, rescue power formula and definitions. PLAN joi190092supp3_prod.pdf — original SAP p.27, 17% sentence. PLAN joi190092supp3_prod.pdf — original SAP p.27, probability table and 25% summary. PLAN joi190092supp3_prod.pdf — final SAP p.67, repeated formula and 17% sentence. PLAN joi190092supp3_prod.pdf — final SAP p.68, probability table and summary.</t>
        </is>
      </c>
      <c r="D10" s="21" t="inlineStr">
        <is>
          <t>retain</t>
        </is>
      </c>
      <c r="E10" s="21" t="inlineStr">
        <is>
          <t>plan_material</t>
        </is>
      </c>
      <c r="F10" s="21" t="inlineStr">
        <is>
          <t>primary_done</t>
        </is>
      </c>
      <c r="G10" s="20">
        <f>IFERROR(IF(LEN(TRIM(CLEAN(SUBSTITUTE(Setup!$B$2,CHAR(160)," "))))=0,"CHECK REVIEWER ID",IF(OR(A10="",COUNTIF($A$2:$A$11,A10)&lt;&gt;1,LEFT(A10,LEN("2019::jama.2019.12618::"))&lt;&gt;"2019::jama.2019.12618::"),"CHECK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minor_presentation</t>
        </is>
      </c>
      <c r="L10" s="22">
        <f>IF(AND(OR(D10="retain",D10=""),E10="protocol_report"),"","not_applicable")</f>
        <v/>
      </c>
      <c r="M10" s="20" t="n"/>
      <c r="N10" s="23" t="n"/>
      <c r="O10" s="23" t="n"/>
      <c r="P10" s="23" t="n"/>
      <c r="Q10" s="23" t="n"/>
      <c r="R10" s="22" t="inlineStr">
        <is>
          <t>SAP (orig. p. 27; final p. 67): 'approximately 80% power to detect a difference of 17% if the probability of success with mycophenolate mofetil is 0.42'. The matching table row is .42 vs .17 (difference .25) with 80% power, and the summary (p. 68) says 'a difference of 25%'. Recomputed power .42 vs .17, n 58/38 = 0.802; .42 vs .25 (a literal 17-point difference) = 0.43. The '17%' is the rescue probability, mislabeled as the difference.</t>
        </is>
      </c>
    </row>
    <row r="11" ht="92" customFormat="1" customHeight="1" s="14">
      <c r="A11" s="24" t="inlineStr">
        <is>
          <t>2019::jama.2019.12618::C010</t>
        </is>
      </c>
      <c r="B11" s="24" t="inlineStr">
        <is>
          <t>Final primary safety-failure laboratory cutoffs differ at exact boundaries</t>
        </is>
      </c>
      <c r="C11" s="24" t="inlineStr">
        <is>
          <t>PLAN joi190092supp2_prod.pdf — final protocol p.80, §2.5.1 primary success composite. PLAN joi190092supp2_prod.pdf — final protocol p.81, §2.5.2/Table 3 safety failure and laboratory thresholds. PLAN joi190092supp2_prod.pdf — final protocol p.136, immediate laboratory serious-event failure. REPORT jama_rathinam_2019_oi_190092.pdf — main p.3, primary success/failure definition. REPORT jama_rathinam_2019_oi_190092.pdf — main p.6, Table 2 safety-failure counts and footnote. REPORT jama_rathinam_2019_oi_190092.pdf — main p.7, drug-related serious liver-function events. REPORT jama_rathinam_2019_oi_190092.pdf — main p.8, Table 3 laboratory rows and definition pointer. REPORT joi190092supp1_prod.pdf — results supplement p.5, eTable 1 laboratory definitions. PLAN historical joi190092supp2_prod.pdf — original protocol p.16, earlier thresholds. PLAN contextual joi190092supp2_prod.pdf — revision p.148, version 2.2 laboratory-wording revision. PLAN contextual joi190092supp2_prod.pdf — revision p.153, versions 4.4/4.5 persistence and later changes.</t>
        </is>
      </c>
      <c r="D11" s="21" t="inlineStr">
        <is>
          <t>retain</t>
        </is>
      </c>
      <c r="E11" s="21" t="inlineStr">
        <is>
          <t>protocol_report</t>
        </is>
      </c>
      <c r="F11" s="21" t="inlineStr">
        <is>
          <t>primary_done</t>
        </is>
      </c>
      <c r="G11" s="24">
        <f>IFERROR(IF(LEN(TRIM(CLEAN(SUBSTITUTE(Setup!$B$2,CHAR(160)," "))))=0,"CHECK REVIEWER ID",IF(OR(A11="",COUNTIF($A$2:$A$11,A11)&lt;&gt;1,LEFT(A11,LEN("2019::jama.2019.12618::"))&lt;&gt;"2019::jama.2019.12618::"),"CHECK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minor_presentation</t>
        </is>
      </c>
      <c r="M11" s="24" t="n"/>
      <c r="N11" s="23" t="n"/>
      <c r="O11" s="23" t="n"/>
      <c r="P11" s="23" t="n"/>
      <c r="Q11" s="23" t="n"/>
      <c r="R11" s="22" t="inlineStr">
        <is>
          <t>Final protocol v4.5 Table 3 (p. 81, OCR) and p. 136: serious = AST/ALT &gt;=5x ULN, leukocytes &lt;=1000/uL. Report Table 3 (p. 8) and eTable 1 (supp1 p. 5): serious = AST/ALT &gt;5x ULN, leukocytes &lt;1000/uL; nonserious leukocytes &gt;1000. Exact boundary values (5.0x ULN; 1000/uL) are classified differently (and 1000/uL falls in neither report category). Boundary-only difference.</t>
        </is>
      </c>
    </row>
  </sheetData>
  <autoFilter ref="A1:R11"/>
  <conditionalFormatting sqref="H2:H11">
    <cfRule type="expression" priority="8" dxfId="70">
      <formula>NOT(AND(OR($D2="retain",$D2=""),$E2="statistical_results"))</formula>
    </cfRule>
  </conditionalFormatting>
  <conditionalFormatting sqref="I2:I11">
    <cfRule type="expression" priority="9" dxfId="70">
      <formula>NOT(AND(OR($D2="retain",$D2=""),$E2="statistical_results"))</formula>
    </cfRule>
  </conditionalFormatting>
  <conditionalFormatting sqref="J2:J11">
    <cfRule type="expression" priority="10" dxfId="70">
      <formula>NOT(AND(OR($D2="retain",$D2=""),$E2="statistical_results"))</formula>
    </cfRule>
  </conditionalFormatting>
  <conditionalFormatting sqref="K2:K11">
    <cfRule type="expression" priority="11" dxfId="70">
      <formula>NOT(AND(OR($D2="retain",$D2=""),OR($E2="report_internal_inconsistency",$E2="plan_material")))</formula>
    </cfRule>
  </conditionalFormatting>
  <conditionalFormatting sqref="L2:L11">
    <cfRule type="expression" priority="12" dxfId="70">
      <formula>NOT(AND(OR($D2="retain",$D2=""),$E2="protocol_report"))</formula>
    </cfRule>
  </conditionalFormatting>
  <conditionalFormatting sqref="G2:G11">
    <cfRule type="expression" priority="13" dxfId="71">
      <formula>G2&lt;&gt;"PRIMARY READY"</formula>
    </cfRule>
  </conditionalFormatting>
  <dataValidations count="8">
    <dataValidation sqref="D2:D11" showDropDown="0" showInputMessage="0" showErrorMessage="1" allowBlank="1" errorTitle="Use a listed option" error="Choose an option; G also checks pasted entries." type="list" errorStyle="stop">
      <formula1>"retain,exclude,discuss"</formula1>
    </dataValidation>
    <dataValidation sqref="E2:E11"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1" showDropDown="0" showInputMessage="0" showErrorMessage="1" allowBlank="1" errorTitle="Use a listed option" error="Choose an option; G also checks pasted entries." type="list" errorStyle="stop">
      <formula1>"no,primary_done"</formula1>
    </dataValidation>
    <dataValidation sqref="H2:H11"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1"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1" showDropDown="0" showInputMessage="0" showErrorMessage="1" allowBlank="1" errorTitle="Use a listed option" error="Choose an option; G also checks pasted entries." type="list" errorStyle="stop">
      <formula1>"direct,possible,unlikely,unknown,not_applicable"</formula1>
    </dataValidation>
    <dataValidation sqref="K2:K11"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1"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2019::jama.2019.14630::C001</t>
        </is>
      </c>
      <c r="B2" s="20" t="inlineStr">
        <is>
          <t>Outcome hierarchy in the interim report</t>
        </is>
      </c>
      <c r="C2" s="20" t="inlineStr">
        <is>
          <t>REPORT jama_saynorea_2019_oi_190106_1635377898.43062.pdf — main p.1 abstract, jama_saynorea_2019_oi_190106_1635377898.43062.pdf — p.2 interim scope, jama_saynorea_2019_oi_190106_1635377898.43062.pdf — p.3 Outcomes, jama_saynorea_2019_oi_190106_1635377898.43062.pdf — p.4 secondary/exploratory status; PLAN joi190106supp1_prod_1635377898.47058.pdf — protocol p.13 objectives, joi190106supp1_prod_1635377898.47058.pdf — p.31 weight outcome, joi190106supp1_prod_1635377898.47058.pdf — p.38 intermediate markers, joi190106supp2_prod_1635377898.49605.pdf — SAP p.5 objectives, joi190106supp2_prod_1635377898.49605.pdf — p.9 weight/Y1 schedule and joi190106supp2_prod_1635377898.49605.pdf — p.10 diet/nutrient/marker schedule.</t>
        </is>
      </c>
      <c r="D2" s="21" t="inlineStr">
        <is>
          <t>retain</t>
        </is>
      </c>
      <c r="E2" s="21" t="inlineStr">
        <is>
          <t>protocol_report</t>
        </is>
      </c>
      <c r="F2" s="21" t="inlineStr">
        <is>
          <t>primary_done</t>
        </is>
      </c>
      <c r="G2" s="20">
        <f>IFERROR(IF(LEN(TRIM(CLEAN(SUBSTITUTE(Setup!$B$2,CHAR(160)," "))))=0,"CHECK REVIEWER ID",IF(OR(A2="",COUNTIF($A$2:$A$10,A2)&lt;&gt;1,LEFT(A2,LEN("2019::jama.2019.14630::"))&lt;&gt;"2019::jama.2019.14630::"),"CHECK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Plans (protocol p. 13; SAP pp. 5, 9-10): primary end points are CVD incidence and weight change (weight at Y1 in the SAP timeline); diet adherence scores (17-item er-MedDiet, MEDAS) and nutrient intake are 'other intermediate outcomes'. Report (abstract; pp. 2-4) designates 12-month er-MedDiet change as 'the primary end point for this interim analysis' and weight/waist as secondary risk-factor outcomes. Disclosed in report as an exploratory interim analysis (p. 2).</t>
        </is>
      </c>
    </row>
    <row r="3" ht="92" customFormat="1" customHeight="1" s="14">
      <c r="A3" s="24" t="inlineStr">
        <is>
          <t>2019::jama.2019.14630::C002</t>
        </is>
      </c>
      <c r="B3" s="24" t="inlineStr">
        <is>
          <t>Baseline nutritional filtering and the weight analysis set</t>
        </is>
      </c>
      <c r="C3" s="24" t="inlineStr">
        <is>
          <t>PLAN joi190106supp1_prod_1635377898.47058.pdf — protocol p.52 lines1636–1639 and joi190106supp2_prod_1635377898.49605.pdf — SAP p.13 lines304–308; REPORT jama_saynorea_2019_oi_190106_1635377898.43062.pdf — main p.3 Figure1, jama_saynorea_2019_oi_190106_1635377898.43062.pdf — p.4 cohort restriction and joi190106supp3_prod_1635377898.49725.pdf — results p.23 eTable9 weight.</t>
        </is>
      </c>
      <c r="D3" s="21" t="inlineStr">
        <is>
          <t>retain</t>
        </is>
      </c>
      <c r="E3" s="21" t="inlineStr">
        <is>
          <t>protocol_report</t>
        </is>
      </c>
      <c r="F3" s="21" t="inlineStr">
        <is>
          <t>primary_done</t>
        </is>
      </c>
      <c r="G3" s="24">
        <f>IFERROR(IF(LEN(TRIM(CLEAN(SUBSTITUTE(Setup!$B$2,CHAR(160)," "))))=0,"CHECK REVIEWER ID",IF(OR(A3="",COUNTIF($A$2:$A$10,A3)&lt;&gt;1,LEFT(A3,LEN("2019::jama.2019.14630::"))&lt;&gt;"2019::jama.2019.14630::"),"CHECK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p. 52: 'All analyses will be performed on an intention-to-treat basis'; SAP p. 13: ITT, each participant remains in the allocated group. Report (Figure 1; p. 4): principal analyses exclude 291 randomized participants (53 without baseline FFQ, 238 with energy intake outside 500-3500/800-4000 kcal/d), and the same restricted set (n = 6583) is used for weight and other risk factors (eTable 9).</t>
        </is>
      </c>
    </row>
    <row r="4" ht="92" customFormat="1" customHeight="1" s="14">
      <c r="A4" s="20" t="inlineStr">
        <is>
          <t>2019::jama.2019.14630::C003</t>
        </is>
      </c>
      <c r="B4" s="20" t="inlineStr">
        <is>
          <t>Principal and sensitivity analysis ordering</t>
        </is>
      </c>
      <c r="C4" s="20" t="inlineStr">
        <is>
          <t>PLAN joi190106supp2_prod_1635377898.49605.pdf — SAP p.13 population alternatives and joi190106supp2_prod_1635377898.49605.pdf — p.26 lines776–779; REPORT jama_saynorea_2019_oi_190106_1635377898.43062.pdf — main p.4 Statistical Analysis, jama_saynorea_2019_oi_190106_1635377898.43062.pdf — p.5 Table2 MI header, joi190106supp3_prod_1635377898.49725.pdf — results p.9 completer sensitivity title and joi190106supp3_prod_1635377898.49725.pdf — p.23 eTable9 weight columns.</t>
        </is>
      </c>
      <c r="D4" s="21" t="inlineStr">
        <is>
          <t>retain</t>
        </is>
      </c>
      <c r="E4" s="21" t="inlineStr">
        <is>
          <t>protocol_report</t>
        </is>
      </c>
      <c r="F4" s="21" t="inlineStr">
        <is>
          <t>primary_done</t>
        </is>
      </c>
      <c r="G4" s="20">
        <f>IFERROR(IF(LEN(TRIM(CLEAN(SUBSTITUTE(Setup!$B$2,CHAR(160)," "))))=0,"CHECK REVIEWER ID",IF(OR(A4="",COUNTIF($A$2:$A$10,A4)&lt;&gt;1,LEFT(A4,LEN("2019::jama.2019.14630::"))&lt;&gt;"2019::jama.2019.14630::"),"CHECK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p. 26: 'Main analyses will be based on an intention-to-treat approach with completers only. As sensitivity analysis ... multiple imputation'. Report p. 4 and Table 2 header: principal analyses use multiple imputation of all included participants; completers-only analyses are labeled post hoc sensitivity analyses (eTables 3-5; Figure 1). Roles of the two analyses are reversed (and the planned sensitivity analysis is called post hoc).</t>
        </is>
      </c>
    </row>
    <row r="5" ht="92" customFormat="1" customHeight="1" s="14">
      <c r="A5" s="24" t="inlineStr">
        <is>
          <t>2019::jama.2019.14630::C004</t>
        </is>
      </c>
      <c r="B5" s="24" t="inlineStr">
        <is>
          <t>Imputation specification</t>
        </is>
      </c>
      <c r="C5" s="24" t="inlineStr">
        <is>
          <t>PLAN joi190106supp2_prod_1635377898.49605.pdf — SAP p.26 lines788–794; REPORT jama_saynorea_2019_oi_190106_1635377898.43062.pdf — main p.4 complete imputation paragraph and joi190106supp3_prod_1635377898.49725.pdf — results p.24 eTable9 imputation footnote.</t>
        </is>
      </c>
      <c r="D5" s="21" t="inlineStr">
        <is>
          <t>retain</t>
        </is>
      </c>
      <c r="E5" s="21" t="inlineStr">
        <is>
          <t>protocol_report</t>
        </is>
      </c>
      <c r="F5" s="21" t="inlineStr">
        <is>
          <t>primary_done</t>
        </is>
      </c>
      <c r="G5" s="24">
        <f>IFERROR(IF(LEN(TRIM(CLEAN(SUBSTITUTE(Setup!$B$2,CHAR(160)," "))))=0,"CHECK REVIEWER ID",IF(OR(A5="",COUNTIF($A$2:$A$10,A5)&lt;&gt;1,LEFT(A5,LEN("2019::jama.2019.14630::"))&lt;&gt;"2019::jama.2019.14630::"),"CHECK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p. 26: chained-equations MI, 20 imputations, predictors incl. leisure-time PA, baseline BMI and weight, diabetes, hypertension, hypercholesterolemia, family history, household second member, education. Report p. 4: iterative MCMC (Stata mi), 8 imputations, predictors sex, age, smoking, education, BMI, physical activity, group, energy intake and baseline value. Method, number of imputations and predictor set differ.</t>
        </is>
      </c>
    </row>
    <row r="6" ht="92" customFormat="1" customHeight="1" s="14">
      <c r="A6" s="20" t="inlineStr">
        <is>
          <t>2019::jama.2019.14630::C005</t>
        </is>
      </c>
      <c r="B6" s="20" t="inlineStr">
        <is>
          <t>Additional planned primary-weight analyses not reported</t>
        </is>
      </c>
      <c r="C6" s="20" t="inlineStr">
        <is>
          <t>PLAN joi190106supp1_prod_1635377898.47058.pdf — protocol p.52 lines1661–1664 household exclusion, joi190106supp2_prod_1635377898.49605.pdf — SAP p.5 primary weight, joi190106supp2_prod_1635377898.49605.pdf — p.9 primary-weight/Y1 key, joi190106supp2_prod_1635377898.49605.pdf — p.25 lines724–728 weight methods and764–765 additional adjustment, joi190106supp2_prod_1635377898.49605.pdf — p.26 lines766–767 adjustment continuation and781–785 complete subgroup paragraph. REPORT jama_saynorea_2019_oi_190106_1635377898.43062.pdf — main p.4 analysis listing, jama_saynorea_2019_oi_190106_1635377898.43062.pdf — p.8 risk reporting, jama_saynorea_2019_oi_190106_1635377898.43062.pdf — p.9 Figure 3, jama_saynorea_2019_oi_190106_1635377898.43062.pdf — p.10 Figure 4, joi190106supp3_prod_1635377898.49725.pdf — results p.1 contents, joi190106supp3_prod_1635377898.49725.pdf — p.23 eTable9 weight, joi190106supp3_prod_1635377898.49725.pdf — p.24 complete model/imputation footnotes, and corroborating joi190106supp4_prod_1635377898.50723.pdf — data-sharing p.1.</t>
        </is>
      </c>
      <c r="D6" s="21" t="inlineStr">
        <is>
          <t>retain</t>
        </is>
      </c>
      <c r="E6" s="21" t="inlineStr">
        <is>
          <t>protocol_report</t>
        </is>
      </c>
      <c r="F6" s="21" t="inlineStr">
        <is>
          <t>primary_done</t>
        </is>
      </c>
      <c r="G6" s="20">
        <f>IFERROR(IF(LEN(TRIM(CLEAN(SUBSTITUTE(Setup!$B$2,CHAR(160)," "))))=0,"CHECK REVIEWER ID",IF(OR(A6="",COUNTIF($A$2:$A$10,A6)&lt;&gt;1,LEFT(A6,LEN("2019::jama.2019.14630::"))&lt;&gt;"2019::jama.2019.14630::"),"CHECK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Planned for weight change (SAP pp. 25-26; protocol p. 52): covariate-adjusted models (center, sex, age, education, smoking, hypertension, dyslipidemia, diabetes, family history, physical activity), subgroup analyses (sex, age, education, diabetes, MetS criteria, smoking, obesity, baseline er-MedDiet), and a sensitivity analysis excluding second household members. Report gives only unadjusted mixed-model changes and proportions with &gt;=5% loss (pp. 4, 8-10; Figures 3-4; eTable 9); none of the planned adjusted, subgroup or household analyses.</t>
        </is>
      </c>
    </row>
    <row r="7" ht="92" customFormat="1" customHeight="1" s="14">
      <c r="A7" s="24" t="inlineStr">
        <is>
          <t>2019::jama.2019.14630::C006</t>
        </is>
      </c>
      <c r="B7" s="24" t="inlineStr">
        <is>
          <t>Ancillary multiplicity intervals for Y1 waist</t>
        </is>
      </c>
      <c r="C7" s="24" t="inlineStr">
        <is>
          <t>PLAN joi190106supp2_prod_1635377898.49605.pdf — SAP p.9 Y1 secondary waist and joi190106supp2_prod_1635377898.49605.pdf — p.12 lines282–291/27-comparison footnote; REPORT jama_saynorea_2019_oi_190106_1635377898.43062.pdf — main p.4 exploratory/no-adjustment rule, jama_saynorea_2019_oi_190106_1635377898.43062.pdf — p.8 waist result and joi190106supp3_prod_1635377898.49725.pdf — results p.23 eTable9 waist.</t>
        </is>
      </c>
      <c r="D7" s="21" t="inlineStr">
        <is>
          <t>retain</t>
        </is>
      </c>
      <c r="E7" s="21" t="inlineStr">
        <is>
          <t>protocol_report</t>
        </is>
      </c>
      <c r="F7" s="21" t="inlineStr">
        <is>
          <t>primary_done</t>
        </is>
      </c>
      <c r="G7" s="24">
        <f>IFERROR(IF(LEN(TRIM(CLEAN(SUBSTITUTE(Setup!$B$2,CHAR(160)," "))))=0,"CHECK REVIEWER ID",IF(OR(A7="",COUNTIF($A$2:$A$10,A7)&lt;&gt;1,LEFT(A7,LEN("2019::jama.2019.14630::"))&lt;&gt;"2019::jama.2019.14630::"),"CHECK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inlineStr">
        <is>
          <t>SAP p. 12: for secondary outcomes (27, including waist change) report nominal 95% CIs and, as ancillary analyses, Bonferroni-adjusted (1 - alpha/27) CIs. Report p. 4: 'no additional adjustment was conducted to adjust for type I error'; waist (p. 8; eTable 9) shown with nominal 95% CI only. Planned ancillary adjusted intervals absent. L blank: ancillary output; I do not grade its importance.</t>
        </is>
      </c>
    </row>
    <row r="8" ht="92" customFormat="1" customHeight="1" s="14">
      <c r="A8" s="20" t="inlineStr">
        <is>
          <t>2019::jama.2019.14630::C007</t>
        </is>
      </c>
      <c r="B8" s="20" t="inlineStr">
        <is>
          <t>Repeated alcohol interval-versus-P conflict</t>
        </is>
      </c>
      <c r="C8" s="20" t="inlineStr">
        <is>
          <t>REPORT jama_saynorea_2019_oi_190106_1635377898.43062.pdf — main p.7 Table3 alcohol M6 and M12, contextual jama_saynorea_2019_oi_190106_1635377898.43062.pdf — main p.4 two-sided/P&lt;.05 rule and jama_saynorea_2019_oi_190106_1635377898.43062.pdf — p.8 Table3 footnote b; REPORT joi190106supp3_prod_1635377898.49725.pdf — results p.15 eTable5 alcohol M6 and footnote and joi190106supp3_prod_1635377898.49725.pdf — p.22 eTable8 alcohol M6 and footnote.</t>
        </is>
      </c>
      <c r="D8" s="21" t="inlineStr">
        <is>
          <t>retain</t>
        </is>
      </c>
      <c r="E8" s="21" t="inlineStr">
        <is>
          <t>statistical_results</t>
        </is>
      </c>
      <c r="F8" s="21" t="inlineStr">
        <is>
          <t>primary_done</t>
        </is>
      </c>
      <c r="G8" s="20">
        <f>IFERROR(IF(LEN(TRIM(CLEAN(SUBSTITUTE(Setup!$B$2,CHAR(160)," "))))=0,"CHECK REVIEWER ID",IF(OR(A8="",COUNTIF($A$2:$A$10,A8)&lt;&gt;1,LEFT(A8,LEN("2019::jama.2019.14630::"))&lt;&gt;"2019::jama.2019.14630::"),"CHECK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t="inlineStr">
        <is>
          <t>possible</t>
        </is>
      </c>
      <c r="K8" s="21">
        <f>IF(AND(OR(D8="retain",D8=""),OR(E8="report_internal_inconsistency",E8="plan_material")),"","not_applicable")</f>
        <v/>
      </c>
      <c r="L8" s="22">
        <f>IF(AND(OR(D8="retain",D8=""),E8="protocol_report"),"","not_applicable")</f>
        <v/>
      </c>
      <c r="M8" s="20" t="n"/>
      <c r="N8" s="23" t="n"/>
      <c r="O8" s="23" t="n"/>
      <c r="P8" s="23" t="n"/>
      <c r="Q8" s="23" t="n"/>
      <c r="R8" s="22" t="inlineStr">
        <is>
          <t>Table 3 (main p. 7), total alcohol %E, between-group 12-month change -0.2 (95% CI -0.4 to 0.1), P = .01. Allowing every displayed value its half-unit, a symmetric Wald interval centered on the estimate gives P between .12 and .33, so P = .01 is impossible with this interval. The 6-month row -0.2 (-0.4 to 0), P = .01 is reconcilable (feasible P .009-.14). Sensitivity analyses give 12-month intervals excluding 0 (eTable 5 completers -0.3 [-0.4 to -0.1], P = .01; eTable 8 -0.2 [-0.3 to -0.1], P = .01), suggesting a lost minus sign on the main upper limit, but the main row as printed is contradictory (rendered and checked: '0.1' is positive).</t>
        </is>
      </c>
    </row>
    <row r="9" ht="92" customFormat="1" customHeight="1" s="14">
      <c r="A9" s="24" t="inlineStr">
        <is>
          <t>2019::jama.2019.14630::C008</t>
        </is>
      </c>
      <c r="B9" s="24" t="inlineStr">
        <is>
          <t>Red-wine median and upper quartile</t>
        </is>
      </c>
      <c r="C9" s="24" t="inlineStr">
        <is>
          <t>REPORT joi190106supp3_prod_1635377898.49725.pdf — results p.7 eTable2, Red wine intervention baseline median(IQR), header and footnote.</t>
        </is>
      </c>
      <c r="D9" s="21" t="inlineStr">
        <is>
          <t>retain</t>
        </is>
      </c>
      <c r="E9" s="21" t="inlineStr">
        <is>
          <t>statistical_results</t>
        </is>
      </c>
      <c r="F9" s="21" t="inlineStr">
        <is>
          <t>primary_done</t>
        </is>
      </c>
      <c r="G9" s="24">
        <f>IFERROR(IF(LEN(TRIM(CLEAN(SUBSTITUTE(Setup!$B$2,CHAR(160)," "))))=0,"CHECK REVIEWER ID",IF(OR(A9="",COUNTIF($A$2:$A$10,A9)&lt;&gt;1,LEFT(A9,LEN("2019::jama.2019.14630::"))&lt;&gt;"2019::jama.2019.14630::"),"CHECK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eTable 2 (supp3 p. 7): red wine baseline, intervention median (IQR) '33 (0, 29)' g/week: a median cannot exceed the 75th percentile. Control is '4 (0, 29)', suggesting a typographic error (e.g., 3).</t>
        </is>
      </c>
    </row>
    <row r="10" ht="92" customFormat="1" customHeight="1" s="14">
      <c r="A10" s="20" t="inlineStr">
        <is>
          <t>2019::jama.2019.14630::C009</t>
        </is>
      </c>
      <c r="B10" s="20" t="inlineStr">
        <is>
          <t>eFigure2 labels versus bars and confidence intervals</t>
        </is>
      </c>
      <c r="C10" s="20" t="inlineStr">
        <is>
          <t>REPORT joi190106supp3_prod_1635377898.49725.pdf — results p.26 eFigure2, all seven pairs with printed labels, colored bars, 95% intervals, axis, legend, P annotations and 12-month caption.</t>
        </is>
      </c>
      <c r="D10" s="21" t="inlineStr">
        <is>
          <t>retain</t>
        </is>
      </c>
      <c r="E10" s="21" t="inlineStr">
        <is>
          <t>statistical_results</t>
        </is>
      </c>
      <c r="F10" s="21" t="inlineStr">
        <is>
          <t>primary_done</t>
        </is>
      </c>
      <c r="G10" s="20">
        <f>IFERROR(IF(LEN(TRIM(CLEAN(SUBSTITUTE(Setup!$B$2,CHAR(160)," "))))=0,"CHECK REVIEWER ID",IF(OR(A10="",COUNTIF($A$2:$A$10,A10)&lt;&gt;1,LEFT(A10,LEN("2019::jama.2019.14630::"))&lt;&gt;"2019::jama.2019.14630::"),"CHECK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direct</t>
        </is>
      </c>
      <c r="K10" s="21">
        <f>IF(AND(OR(D10="retain",D10=""),OR(E10="report_internal_inconsistency",E10="plan_material")),"","not_applicable")</f>
        <v/>
      </c>
      <c r="L10" s="22">
        <f>IF(AND(OR(D10="retain",D10=""),E10="protocol_report"),"","not_applicable")</f>
        <v/>
      </c>
      <c r="M10" s="20" t="n"/>
      <c r="N10" s="23" t="n"/>
      <c r="O10" s="23" t="n"/>
      <c r="P10" s="23" t="n"/>
      <c r="Q10" s="23" t="n"/>
      <c r="R10" s="22" t="inlineStr">
        <is>
          <t>eFigure 2 (supp3 p. 26, rendered 220 dpi): in every pair the printed percentage labels are interchanged relative to the bars and legend (e.g., MUFA: intervention bar ~77%, labeled 72%; control bar ~72%, labeled 77%; fat: intervention ~32-33% labeled 34%, control ~34% labeled 32%). For sugary desserts the labels 59%/58% do not match the bars (~68% intervention, ~59-60% control) under either assignment.</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onditionalFormatting>
  <dataValidations count="8">
    <dataValidation sqref="D2:D10" showDropDown="0" showInputMessage="0" showErrorMessage="1" allowBlank="1" errorTitle="Use a listed option" error="Choose an option; G also checks pasted entries." type="list" errorStyle="stop">
      <formula1>"retain,exclude,discuss"</formula1>
    </dataValidation>
    <dataValidation sqref="E2:E1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0" showDropDown="0" showInputMessage="0" showErrorMessage="1" allowBlank="1" errorTitle="Use a listed option" error="Choose an option; G also checks pasted entries." type="list" errorStyle="stop">
      <formula1>"no,primary_done"</formula1>
    </dataValidation>
    <dataValidation sqref="H2:H1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0" showDropDown="0" showInputMessage="0" showErrorMessage="1" allowBlank="1" errorTitle="Use a listed option" error="Choose an option; G also checks pasted entries." type="list" errorStyle="stop">
      <formula1>"direct,possible,unlikely,unknown,not_applicable"</formula1>
    </dataValidation>
    <dataValidation sqref="K2:K1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2019::jama.2019.14901::C001</t>
        </is>
      </c>
      <c r="B2" s="20" t="inlineStr">
        <is>
          <t>Reported respiratory-failure definition omits planned tachypnea duration</t>
        </is>
      </c>
      <c r="C2" s="20" t="inlineStr">
        <is>
          <t>PLAN joi190108supp1_prod.pdf — PDF p. 30, acute respiratory-failure criteria; REPORT jama_thille_2019_oi_190108.pdf — PDF p. 4, Outcomes, jama_thille_2019_oi_190108.pdf — PDF p. 1, abstract endpoint/result and jama_thille_2019_oi_190108.pdf — PDF p. 8, Table 2 respiratory-failure row. Corroborating endpoint identity is at joi190108supp1_prod.pdf — protocol PDF p. 25; the shortened criterion/counts are also at joi190108supp2_prod.pdf — results supplement PDF p. 2, eTable 1.</t>
        </is>
      </c>
      <c r="D2" s="21" t="inlineStr">
        <is>
          <t>retain</t>
        </is>
      </c>
      <c r="E2" s="21" t="inlineStr">
        <is>
          <t>protocol_report</t>
        </is>
      </c>
      <c r="F2" s="21" t="inlineStr">
        <is>
          <t>primary_done</t>
        </is>
      </c>
      <c r="G2" s="20">
        <f>IFERROR(IF(LEN(TRIM(CLEAN(SUBSTITUTE(Setup!$B$2,CHAR(160)," "))))=0,"CHECK REVIEWER ID",IF(OR(A2="",COUNTIF($A$2:$A$6,A2)&lt;&gt;1,LEFT(A2,LEN("2019::jama.2019.14901::"))&lt;&gt;"2019::jama.2019.14901::"),"CHECK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v4 p. 30: acute respiratory failure requires &gt;=2 criteria incl. 'respiratory rate &gt; 25 breaths/min during at least 2 hours' and signs of increased work of breathing/fatigue. Report p. 4 (secondary outcome 'postextubation respiratory failure'): respiratory rate &gt;25/min with no duration, and 'clinical signs suggesting respiratory distress'. The stated definition of a secondary outcome differs; whether conduct differed is not shown.</t>
        </is>
      </c>
    </row>
    <row r="3" ht="92" customFormat="1" customHeight="1" s="14">
      <c r="A3" s="24" t="inlineStr">
        <is>
          <t>2019::jama.2019.14901::C002</t>
        </is>
      </c>
      <c r="B3" s="24" t="inlineStr">
        <is>
          <t>Planned primary and key mortality Cox results are not reported</t>
        </is>
      </c>
      <c r="C3" s="24" t="inlineStr">
        <is>
          <t>PLAN joi190108supp1_prod.pdf — PDF p. 33, section 6.2 primary Cox specification and joi190108supp1_prod.pdf — PDF p. 34, mortality specification for ICU, hospital, day 28 and day 90. REPORT jama_thille_2019_oi_190108.pdf — PDF p. 1, primary/key mortality results, jama_thille_2019_oi_190108.pdf — PDF p. 4, methods, jama_thille_2019_oi_190108.pdf — PDF p. 6, results, jama_thille_2019_oi_190108.pdf — PDF p. 7, adjusted OR and reintubation curves and jama_thille_2019_oi_190108.pdf — PDF p. 8, Table 2 and Figure 3. Every results-supplement page was inspected: joi190108supp2_prod.pdf — PDF p. 1, contents, joi190108supp2_prod.pdf — p. 2, eTable 1, joi190108supp2_prod.pdf — p. 3, baseline, joi190108supp2_prod.pdf — p. 4, baseline continuation, joi190108supp2_prod.pdf — p. 5, footnotes, joi190108supp2_prod.pdf — p. 6, hypercapnic outcomes, joi190108supp2_prod.pdf — p. 7, nonhypercapnic outcomes, joi190108supp2_prod.pdf — p. 8, center counts and joi190108supp2_prod.pdf — p. 9, survival figure. All eleven article pages and the joi190108supp3_prod.pdf — data-sharing PDF p. 1 were additionally covered by the full presence audit in the recheck.</t>
        </is>
      </c>
      <c r="D3" s="21" t="inlineStr">
        <is>
          <t>retain</t>
        </is>
      </c>
      <c r="E3" s="21" t="inlineStr">
        <is>
          <t>protocol_report</t>
        </is>
      </c>
      <c r="F3" s="21" t="inlineStr">
        <is>
          <t>primary_done</t>
        </is>
      </c>
      <c r="G3" s="24">
        <f>IFERROR(IF(LEN(TRIM(CLEAN(SUBSTITUTE(Setup!$B$2,CHAR(160)," "))))=0,"CHECK REVIEWER ID",IF(OR(A3="",COUNTIF($A$2:$A$6,A3)&lt;&gt;1,LEFT(A3,LEN("2019::jama.2019.14901::"))&lt;&gt;"2019::jama.2019.14901::"),"CHECK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6.2-6.3 (pp. 33-34): Cox regression with backward selection giving adjusted HRs for reintubation, and Cox models for ICU, hospital, day-28 and day-90 mortality. Report (pp. 4, 6-8; supp2 all pages) uses chi-square, Kaplan-Meier/log-rank and an adjusted logistic OR; no Cox model or HR is reported (searched 'hazard', 'Cox').</t>
        </is>
      </c>
    </row>
    <row r="4" ht="92" customFormat="1" customHeight="1" s="14">
      <c r="A4" s="20" t="inlineStr">
        <is>
          <t>2019::jama.2019.14901::C003</t>
        </is>
      </c>
      <c r="B4" s="20" t="inlineStr">
        <is>
          <t>Primary adjusted logistic model prespecification mapping is unclear</t>
        </is>
      </c>
      <c r="C4" s="20" t="inlineStr">
        <is>
          <t>PLAN joi190108supp1_prod.pdf — PDF p. 33, section 6.2 logistic selection; REPORT jama_thille_2019_oi_190108.pdf — PDF p. 4, Statistical Analysis and jama_thille_2019_oi_190108.pdf — PDF p. 7, Subgroup Analysis and Additional Analyses. jama_thille_2019_oi_190108.pdf — Article PDF p. 6, Table 1 footnote corroborates chronic lung disease as the sole baseline characteristic with P=.02.</t>
        </is>
      </c>
      <c r="D4" s="21" t="inlineStr">
        <is>
          <t>retain</t>
        </is>
      </c>
      <c r="E4" s="21" t="inlineStr">
        <is>
          <t>protocol_report</t>
        </is>
      </c>
      <c r="F4" s="21" t="inlineStr">
        <is>
          <t>primary_done</t>
        </is>
      </c>
      <c r="G4" s="20">
        <f>IFERROR(IF(LEN(TRIM(CLEAN(SUBSTITUTE(Setup!$B$2,CHAR(160)," "))))=0,"CHECK REVIEWER ID",IF(OR(A4="",COUNTIF($A$2:$A$6,A4)&lt;&gt;1,LEFT(A4,LEN("2019::jama.2019.14901::"))&lt;&gt;"2019::jama.2019.14901::"),"CHECK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 33: multivariable logistic model with all variables associated at p &lt; .20 plus literature-forced variables, simplified stepwise to p &lt; .05 and forced variables. Report p. 4: logistic model adjusting for the stratification variable (PaCO2) and baseline variables unbalanced at P &lt; .05; only chronic lung disease entered. Covariate-selection rule differs; report says analyses followed 'a predefined statistical analysis plan', which is not supplied.</t>
        </is>
      </c>
    </row>
    <row r="5" ht="92" customFormat="1" customHeight="1" s="14">
      <c r="A5" s="24" t="inlineStr">
        <is>
          <t>2019::jama.2019.14901::C004</t>
        </is>
      </c>
      <c r="B5" s="24" t="inlineStr">
        <is>
          <t>Two planned primary-outcome subgroup families are not reported</t>
        </is>
      </c>
      <c r="C5" s="24" t="inlineStr">
        <is>
          <t>PLAN joi190108supp1_prod.pdf — PDF p. 34, section 6.4; REPORT jama_thille_2019_oi_190108.pdf — PDF p. 4, subgroup methods, jama_thille_2019_oi_190108.pdf — PDF p. 7, subgroup results and jama_thille_2019_oi_190108.pdf — PDF p. 8, Figure 3; REPORT joi190108supp2_prod.pdf — PDF p. 1, contents, joi190108supp2_prod.pdf — p. 3, disease baseline entries, joi190108supp2_prod.pdf — p. 4, breathing-test baseline entries, joi190108supp2_prod.pdf — p. 5, category footnotes, joi190108supp2_prod.pdf — p. 6, hypercapnic outcomes and joi190108supp2_prod.pdf — p. 7, nonhypercapnic outcomes. Complete REPORT-page inspection, including all other article, results and data-sharing pages, is recorded in the evidence_recheck.md — mechanical recheck.</t>
        </is>
      </c>
      <c r="D5" s="21" t="inlineStr">
        <is>
          <t>retain</t>
        </is>
      </c>
      <c r="E5" s="21" t="inlineStr">
        <is>
          <t>protocol_report</t>
        </is>
      </c>
      <c r="F5" s="21" t="inlineStr">
        <is>
          <t>primary_done</t>
        </is>
      </c>
      <c r="G5" s="24">
        <f>IFERROR(IF(LEN(TRIM(CLEAN(SUBSTITUTE(Setup!$B$2,CHAR(160)," "))))=0,"CHECK REVIEWER ID",IF(OR(A5="",COUNTIF($A$2:$A$6,A5)&lt;&gt;1,LEFT(A5,LEN("2019::jama.2019.14901::"))&lt;&gt;"2019::jama.2019.14901::"),"CHECK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6.4 (p. 34): prespecified subgroup analyses of primary and secondary outcomes by underlying cardiac or respiratory disease and by weaning test (T-piece vs minimal pressure support), in addition to PaCO2. Report (p. 4, 7; Figure 3; supp2 eTables 2-4) gives only the PaCO2 subgroup; cardiac/respiratory disease and weaning test appear only as baseline characteristics.</t>
        </is>
      </c>
    </row>
    <row r="6" ht="92" customFormat="1" customHeight="1" s="14">
      <c r="A6" s="20" t="inlineStr">
        <is>
          <t>2019::jama.2019.14901::C005</t>
        </is>
      </c>
      <c r="B6" s="20" t="inlineStr">
        <is>
          <t>Four hypercapnic cough and secretion percentages do not reconcile</t>
        </is>
      </c>
      <c r="C6" s="20" t="inlineStr">
        <is>
          <t>Four separate affected cells in joi190108supp2_prod.pdf — PDF p. 4, eTable 2: joi190108supp2_prod.pdf — ineffective cough, hypercapnic HFNC alone, 14/45 (69); joi190108supp2_prod.pdf — ineffective cough, hypercapnic HFNC with NIV, 16/59 (73); joi190108supp2_prod.pdf — abundant secretions, hypercapnic HFNC alone, 20/46 (57); joi190108supp2_prod.pdf — abundant secretions, hypercapnic HFNC with NIV, 23/61 (62). Row footnotes are at joi190108supp2_prod.pdf — PDF p. 5. Corroboration is at jama_thille_2019_oi_190108.pdf — PDF p. 6, Table 1; a possible explanatory percentage pair is at joi190108supp2_prod.pdf — results supplement PDF p. 3, chronic lung disease.</t>
        </is>
      </c>
      <c r="D6" s="21" t="inlineStr">
        <is>
          <t>retain</t>
        </is>
      </c>
      <c r="E6" s="21" t="inlineStr">
        <is>
          <t>statistical_results</t>
        </is>
      </c>
      <c r="F6" s="21" t="inlineStr">
        <is>
          <t>primary_done</t>
        </is>
      </c>
      <c r="G6" s="20">
        <f>IFERROR(IF(LEN(TRIM(CLEAN(SUBSTITUTE(Setup!$B$2,CHAR(160)," "))))=0,"CHECK REVIEWER ID",IF(OR(A6="",COUNTIF($A$2:$A$6,A6)&lt;&gt;1,LEFT(A6,LEN("2019::jama.2019.14901::"))&lt;&gt;"2019::jama.2019.14901::"),"CHECK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2 (supp2 p. 4), hypercapnic columns: ineffective cough 14/45 (69) and 16/59 (73); abundant secretions 20/46 (57) and 23/61 (62). Computed: 31.1%, 27.1%, 43.5%, 37.7%. The printed values equal 100 minus the correct percentage (68.9, 72.9, 56.5, 62.3). Counts are right: they add with the nonhypercapnic columns to Table 1 (51+14 = 65/284; 70+16 = 86/322; 101+20 = 121/288; 91+23 = 114/326).</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1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2019::jama.2019.17380::C001</t>
        </is>
      </c>
      <c r="B2" s="20" t="inlineStr">
        <is>
          <t>Documented outcome-hierarchy and composite amendment</t>
        </is>
      </c>
      <c r="C2" s="20" t="inlineStr">
        <is>
          <t>joi190122supp1_prod.pdf — p.11 aims; joi190122supp1_prod.pdf — p.17 VI.b–c; joi190122supp1_prod.pdf — p.19 Table 2; joi190122supp1_prod.pdf — p.31 dates; joi190122supp1_prod.pdf — p.32 §15b; jama_de_boer_2019_oi_190122.pdf — p.1 primary outcome; jama_de_boer_2019_oi_190122.pdf — p.2 Outcomes; jama_de_boer_2019_oi_190122.pdf — p.3 secondary definitions; jama_de_boer_2019_oi_190122.pdf — p.4 composite narrative; jama_de_boer_2019_oi_190122.pdf — p.9 Table 3.</t>
        </is>
      </c>
      <c r="D2" s="21" t="inlineStr">
        <is>
          <t>retain</t>
        </is>
      </c>
      <c r="E2" s="21" t="inlineStr">
        <is>
          <t>protocol_report</t>
        </is>
      </c>
      <c r="F2" s="21" t="inlineStr">
        <is>
          <t>primary_done</t>
        </is>
      </c>
      <c r="G2" s="20">
        <f>IFERROR(IF(LEN(TRIM(CLEAN(SUBSTITUTE(Setup!$B$2,CHAR(160)," "))))=0,"CHECK REVIEWER ID",IF(OR(A2="",COUNTIF($A$2:$A$19,A2)&lt;&gt;1,LEFT(A2,LEN("2019::jama.2019.17380::"))&lt;&gt;"2019::jama.2019.17380::"),"CHECK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Original protocol (pp. 11, 17, 19): primary = % change in urine ACR to year 4; eGFR change secondary; composite of albuminuria progression, eGFR loss &gt;=12 mL/min, ESRD or death. Addendum (pp. 31-32; submitted 3/2015, implemented 2/2016): primary = eGFR change to year 5; composite = &gt;=40% eGFR loss, ESRD or death. Report (pp. 1-4, Table 3) follows the addendum and discloses the change (p. 2). Disclosed, documented amendment; retained as a plan-report difference relative to the original protocol.</t>
        </is>
      </c>
    </row>
    <row r="3" ht="92" customFormat="1" customHeight="1" s="14">
      <c r="A3" s="24" t="inlineStr">
        <is>
          <t>2019::jama.2019.17380::C002</t>
        </is>
      </c>
      <c r="B3" s="24" t="inlineStr">
        <is>
          <t>Age eligibility thresholds differ between plan and report</t>
        </is>
      </c>
      <c r="C3" s="24" t="inlineStr">
        <is>
          <t>joi190122supp1_prod.pdf — p.4 abstract; joi190122supp1_prod.pdf — p.11 aims/population; joi190122supp1_prod.pdf — p.12 Table 1/population; jama_de_boer_2019_oi_190122.pdf — p.2 Study Population; joi190122supp1_prod.pdf — p.31; joi190122supp1_prod.pdf — p.32; joi190122supp1_prod.pdf — p.33.</t>
        </is>
      </c>
      <c r="D3" s="21" t="inlineStr">
        <is>
          <t>retain</t>
        </is>
      </c>
      <c r="E3" s="21" t="inlineStr">
        <is>
          <t>protocol_report</t>
        </is>
      </c>
      <c r="F3" s="21" t="inlineStr">
        <is>
          <t>primary_done</t>
        </is>
      </c>
      <c r="G3" s="24">
        <f>IFERROR(IF(LEN(TRIM(CLEAN(SUBSTITUTE(Setup!$B$2,CHAR(160)," "))))=0,"CHECK REVIEWER ID",IF(OR(A3="",COUNTIF($A$2:$A$19,A3)&lt;&gt;1,LEFT(A3,LEN("2019::jama.2019.17380::"))&lt;&gt;"2019::jama.2019.17380::"),"CHECK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(pp. 4, 11, 12 Table 1): eligibility men &gt;=60, women &gt;=65 years. Report p. 2: parent trial enrolled men &gt;=50 and women &gt;=55 years. The addendum (pp. 31-33) does not address eligibility. Different age thresholds for the analyzed population.</t>
        </is>
      </c>
    </row>
    <row r="4" ht="92" customFormat="1" customHeight="1" s="14">
      <c r="A4" s="20" t="inlineStr">
        <is>
          <t>2019::jama.2019.17380::C003</t>
        </is>
      </c>
      <c r="B4" s="20" t="inlineStr">
        <is>
          <t>Diabetes exclusion criteria use different insulin rules</t>
        </is>
      </c>
      <c r="C4" s="20" t="inlineStr">
        <is>
          <t>joi190122supp1_prod.pdf — p.12 Table 1 and population narrative; joi190122supp1_prod.pdf — p.14 IV.a enrollment algorithm; jama_de_boer_2019_oi_190122.pdf — p.2 Study Population.</t>
        </is>
      </c>
      <c r="D4" s="21" t="inlineStr">
        <is>
          <t>retain</t>
        </is>
      </c>
      <c r="E4" s="21" t="inlineStr">
        <is>
          <t>protocol_report</t>
        </is>
      </c>
      <c r="F4" s="21" t="inlineStr">
        <is>
          <t>primary_done</t>
        </is>
      </c>
      <c r="G4" s="20">
        <f>IFERROR(IF(LEN(TRIM(CLEAN(SUBSTITUTE(Setup!$B$2,CHAR(160)," "))))=0,"CHECK REVIEWER ID",IF(OR(A4="",COUNTIF($A$2:$A$19,A4)&lt;&gt;1,LEFT(A4,LEN("2019::jama.2019.17380::"))&lt;&gt;"2019::jama.2019.17380::"),"CHECK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pp. 12, 14: exclude persons with diabetes diagnosed before age 30 'and first treated with insulin'. Report p. 2: exclude diabetes diagnosed before age 30 'treated with insulin for more than 20 years'. Different exclusion rule for presumed type 1 diabetes.</t>
        </is>
      </c>
    </row>
    <row r="5" ht="92" customFormat="1" customHeight="1" s="14">
      <c r="A5" s="24" t="inlineStr">
        <is>
          <t>2019::jama.2019.17380::C004</t>
        </is>
      </c>
      <c r="B5" s="24" t="inlineStr">
        <is>
          <t>Randomization stratifiers differ between plan and report</t>
        </is>
      </c>
      <c r="C5" s="24" t="inlineStr">
        <is>
          <t>joi190122supp1_prod.pdf — p.14 IV.c Treatment Assignment; jama_de_boer_2019_oi_190122.pdf — p.2 Interventions; joi190122supp1_prod.pdf — pp.31–33 analytic addendum; joi190122supp1_prod.pdf — p.32; joi190122supp1_prod.pdf — p.33.</t>
        </is>
      </c>
      <c r="D5" s="21" t="inlineStr">
        <is>
          <t>retain</t>
        </is>
      </c>
      <c r="E5" s="21" t="inlineStr">
        <is>
          <t>protocol_report</t>
        </is>
      </c>
      <c r="F5" s="21" t="inlineStr">
        <is>
          <t>primary_done</t>
        </is>
      </c>
      <c r="G5" s="24">
        <f>IFERROR(IF(LEN(TRIM(CLEAN(SUBSTITUTE(Setup!$B$2,CHAR(160)," "))))=0,"CHECK REVIEWER ID",IF(OR(A5="",COUNTIF($A$2:$A$19,A5)&lt;&gt;1,LEFT(A5,LEN("2019::jama.2019.17380::"))&lt;&gt;"2019::jama.2019.17380::"),"CHECK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p. 14 (IV.c): randomization by the parent trial, stratified by 5-year age group, blocks of 8. Report p. 2: blocks of 8 stratified by age, sex and race. Addendum silent.</t>
        </is>
      </c>
    </row>
    <row r="6" ht="92" customFormat="1" customHeight="1" s="14">
      <c r="A6" s="20" t="inlineStr">
        <is>
          <t>2019::jama.2019.17380::C005</t>
        </is>
      </c>
      <c r="B6" s="20" t="inlineStr">
        <is>
          <t>Primary eGFR estimator identity differs from the supplied plan</t>
        </is>
      </c>
      <c r="C6" s="20" t="inlineStr">
        <is>
          <t>joi190122supp1_prod.pdf — p.17 VI.c Equation 1; joi190122supp1_prod.pdf — p.30; joi190122supp1_prod.pdf — p.32 §15b; jama_de_boer_2019_oi_190122.pdf — p.3 Outcomes; jama_de_boer_2019_oi_190122.pdf — p.11; joi190122supp2_prod.pdf — p.2; joi190122supp2_prod.pdf — p.3; joi190122supp2_prod.pdf — p.4.</t>
        </is>
      </c>
      <c r="D6" s="21" t="inlineStr">
        <is>
          <t>retain</t>
        </is>
      </c>
      <c r="E6" s="21" t="inlineStr">
        <is>
          <t>protocol_report</t>
        </is>
      </c>
      <c r="F6" s="21" t="inlineStr">
        <is>
          <t>primary_done</t>
        </is>
      </c>
      <c r="G6" s="20">
        <f>IFERROR(IF(LEN(TRIM(CLEAN(SUBSTITUTE(Setup!$B$2,CHAR(160)," "))))=0,"CHECK REVIEWER ID",IF(OR(A6="",COUNTIF($A$2:$A$19,A6)&lt;&gt;1,LEFT(A6,LEN("2019::jama.2019.17380::"))&lt;&gt;"2019::jama.2019.17380::"),"CHECK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 17 Equation 1 (Stevens 2008 creatinine-cystatin C equation: 177.6 x SCr^-0.65 x CysC^-0.57 x age^-0.20 ...) defines eGFR; the addendum (p. 32) does not name an equation. Report p. 3: eGFR by the CKD-EPI creatinine-cystatin C equation (ref 19), with harmonized cystatin C. The estimator of the primary outcome differs from the one in the supplied plan.</t>
        </is>
      </c>
    </row>
    <row r="7" ht="92" customFormat="1" customHeight="1" s="14">
      <c r="A7" s="24" t="inlineStr">
        <is>
          <t>2019::jama.2019.17380::C006</t>
        </is>
      </c>
      <c r="B7" s="24" t="inlineStr">
        <is>
          <t>Standalone categorical ACR analysis is called prespecified</t>
        </is>
      </c>
      <c r="C7" s="24" t="inlineStr">
        <is>
          <t>joi190122supp1_prod.pdf — p.17 original composite; joi190122supp1_prod.pdf — p.32 §15b/e; joi190122supp1_prod.pdf — p.33 categorical-model continuation; jama_de_boer_2019_oi_190122.pdf — p.3 Outcomes; jama_de_boer_2019_oi_190122.pdf — p.4 secondary narrative; jama_de_boer_2019_oi_190122.pdf — p.9 Table 3 and footnote a.</t>
        </is>
      </c>
      <c r="D7" s="21" t="inlineStr">
        <is>
          <t>retain</t>
        </is>
      </c>
      <c r="E7" s="21" t="inlineStr">
        <is>
          <t>protocol_report</t>
        </is>
      </c>
      <c r="F7" s="21" t="inlineStr">
        <is>
          <t>primary_done</t>
        </is>
      </c>
      <c r="G7" s="24">
        <f>IFERROR(IF(LEN(TRIM(CLEAN(SUBSTITUTE(Setup!$B$2,CHAR(160)," "))))=0,"CHECK REVIEWER ID",IF(OR(A7="",COUNTIF($A$2:$A$19,A7)&lt;&gt;1,LEFT(A7,LEN("2019::jama.2019.17380::"))&lt;&gt;"2019::jama.2019.17380::"),"CHECK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indeterminate</t>
        </is>
      </c>
      <c r="M7" s="24" t="n"/>
      <c r="N7" s="23" t="n"/>
      <c r="O7" s="23" t="n"/>
      <c r="P7" s="23" t="n"/>
      <c r="Q7" s="23" t="n"/>
      <c r="R7" s="22" t="inlineStr">
        <is>
          <t>Report p. 3 and Table 3 footnote a call 'time to doubling of urine ACR to a final ACR &gt;=30 mg/g' part of a prespecified secondary outcome. Addendum (p. 32) lists change in ACR (continuous) as secondary, with no categorical ACR outcome; the original protocol (p. 17) used the same 100% increase + &gt;=30 mg/g definition only as one component of a composite that the addendum replaced. Partial plan basis, so L indeterminate.</t>
        </is>
      </c>
    </row>
    <row r="8" ht="92" customFormat="1" customHeight="1" s="14">
      <c r="A8" s="20" t="inlineStr">
        <is>
          <t>2019::jama.2019.17380::C007</t>
        </is>
      </c>
      <c r="B8" s="20" t="inlineStr">
        <is>
          <t>Adherence sensitivity populations use different criteria</t>
        </is>
      </c>
      <c r="C8" s="20" t="inlineStr">
        <is>
          <t>joi190122supp1_prod.pdf — p.19 VI.g; joi190122supp1_prod.pdf — p.33 §15g; jama_de_boer_2019_oi_190122.pdf — p.3 Covariates/Data Analysis; jama_de_boer_2019_oi_190122.pdf — p.4 sensitivity narrative; joi190122supp2_prod.pdf — p.6 eTable 1 footnote; joi190122supp2_prod.pdf — p.10 eTable 5 definition; joi190122supp2_prod.pdf — p.13 eTable 8 definition.</t>
        </is>
      </c>
      <c r="D8" s="21" t="inlineStr">
        <is>
          <t>retain</t>
        </is>
      </c>
      <c r="E8" s="21" t="inlineStr">
        <is>
          <t>protocol_report</t>
        </is>
      </c>
      <c r="F8" s="21" t="inlineStr">
        <is>
          <t>primary_done</t>
        </is>
      </c>
      <c r="G8" s="20">
        <f>IFERROR(IF(LEN(TRIM(CLEAN(SUBSTITUTE(Setup!$B$2,CHAR(160)," "))))=0,"CHECK REVIEWER ID",IF(OR(A8="",COUNTIF($A$2:$A$19,A8)&lt;&gt;1,LEFT(A8,LEN("2019::jama.2019.17380::"))&lt;&gt;"2019::jama.2019.17380::"),"CHECK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Plan (protocol p. 19 VI.g; addendum p. 33 15g): adherence analyses restricted to participants reporting (continuous) adherence to &gt;=80% of study medications. Report p. 3 and eTables 1, 5, 8: 'highly adherent' = reporting use of study medications at least two-thirds of the time.</t>
        </is>
      </c>
    </row>
    <row r="9" ht="92" customFormat="1" customHeight="1" s="14">
      <c r="A9" s="24" t="inlineStr">
        <is>
          <t>2019::jama.2019.17380::C008</t>
        </is>
      </c>
      <c r="B9" s="24" t="inlineStr">
        <is>
          <t>Primary analysis population drops the planned follow-up condition</t>
        </is>
      </c>
      <c r="C9" s="24" t="inlineStr">
        <is>
          <t>joi190122supp1_prod.pdf — p.32 §15c; jama_de_boer_2019_oi_190122.pdf — p.3 Data Analysis; jama_de_boer_2019_oi_190122.pdf — p.4 Retention; jama_de_boer_2019_oi_190122.pdf — p.6 Figure 1; jama_de_boer_2019_oi_190122.pdf — p.8 Table 2 footnotes.</t>
        </is>
      </c>
      <c r="D9" s="21" t="inlineStr">
        <is>
          <t>retain</t>
        </is>
      </c>
      <c r="E9" s="21" t="inlineStr">
        <is>
          <t>protocol_report</t>
        </is>
      </c>
      <c r="F9" s="21" t="inlineStr">
        <is>
          <t>primary_done</t>
        </is>
      </c>
      <c r="G9" s="24">
        <f>IFERROR(IF(LEN(TRIM(CLEAN(SUBSTITUTE(Setup!$B$2,CHAR(160)," "))))=0,"CHECK REVIEWER ID",IF(OR(A9="",COUNTIF($A$2:$A$19,A9)&lt;&gt;1,LEFT(A9,LEN("2019::jama.2019.17380::"))&lt;&gt;"2019::jama.2019.17380::"),"CHECK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Addendum p. 32 (15c): ITT population = 'all participants who return at least one follow-up biosample', with MI for missing year-5 eGFR. Report p. 3: primary analyses include all randomized participants 'regardless of adherence or follow-up' (full analytic population, n = 1312), imputing missing follow-up outcomes; 1090 returned &gt;=1 follow-up blood sample (p. 4).</t>
        </is>
      </c>
    </row>
    <row r="10" ht="92" customFormat="1" customHeight="1" s="14">
      <c r="A10" s="20" t="inlineStr">
        <is>
          <t>2019::jama.2019.17380::C009</t>
        </is>
      </c>
      <c r="B10" s="20" t="inlineStr">
        <is>
          <t>Primary imputation count differs between plan and report</t>
        </is>
      </c>
      <c r="C10" s="20" t="inlineStr">
        <is>
          <t>joi190122supp1_prod.pdf — p.32 §15c; jama_de_boer_2019_oi_190122.pdf — p.3 Data Analysis; jama_de_boer_2019_oi_190122.pdf — p.8 Table 2 footnotes.</t>
        </is>
      </c>
      <c r="D10" s="21" t="inlineStr">
        <is>
          <t>retain</t>
        </is>
      </c>
      <c r="E10" s="21" t="inlineStr">
        <is>
          <t>protocol_report</t>
        </is>
      </c>
      <c r="F10" s="21" t="inlineStr">
        <is>
          <t>primary_done</t>
        </is>
      </c>
      <c r="G10" s="20">
        <f>IFERROR(IF(LEN(TRIM(CLEAN(SUBSTITUTE(Setup!$B$2,CHAR(160)," "))))=0,"CHECK REVIEWER ID",IF(OR(A10="",COUNTIF($A$2:$A$19,A10)&lt;&gt;1,LEFT(A10,LEN("2019::jama.2019.17380::"))&lt;&gt;"2019::jama.2019.17380::"),"CHECK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inlineStr">
        <is>
          <t>Addendum p. 32: results from 10 imputed data sets (chained equations) combined by Rubin's rules. Report p. 3: M = 20 imputations. L left blank: the difference is real but technical, and more imputations would not be expected to change estimates materially.</t>
        </is>
      </c>
    </row>
    <row r="11" ht="92" customFormat="1" customHeight="1" s="14">
      <c r="A11" s="24" t="inlineStr">
        <is>
          <t>2019::jama.2019.17380::C010</t>
        </is>
      </c>
      <c r="B11" s="24" t="inlineStr">
        <is>
          <t>Reported primary covariates differ from the planned primary model</t>
        </is>
      </c>
      <c r="C11" s="24" t="inlineStr">
        <is>
          <t>joi190122supp1_prod.pdf — p.32 §15e Equation 2 and conditional sensitivity clause; joi190122supp1_prod.pdf — p.33; jama_de_boer_2019_oi_190122.pdf — p.3 Data Analysis; jama_de_boer_2019_oi_190122.pdf — p.8 Table 2 footnote a; joi190122supp2_prod.pdf — p.9 eTable 4; joi190122supp2_prod.pdf — p.10 eTable 5.</t>
        </is>
      </c>
      <c r="D11" s="21" t="inlineStr">
        <is>
          <t>retain</t>
        </is>
      </c>
      <c r="E11" s="21" t="inlineStr">
        <is>
          <t>protocol_report</t>
        </is>
      </c>
      <c r="F11" s="21" t="inlineStr">
        <is>
          <t>primary_done</t>
        </is>
      </c>
      <c r="G11" s="24">
        <f>IFERROR(IF(LEN(TRIM(CLEAN(SUBSTITUTE(Setup!$B$2,CHAR(160)," "))))=0,"CHECK REVIEWER ID",IF(OR(A11="",COUNTIF($A$2:$A$19,A11)&lt;&gt;1,LEFT(A11,LEN("2019::jama.2019.17380::"))&lt;&gt;"2019::jama.2019.17380::"),"CHECK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Addendum p. 32 Equation 2: eGFR = treatment + time + treatment x time + random intercept (no covariates; covariates only in sensitivity analyses if baseline imbalance). Report p. 3 and Table 2 footnote a: primary model adds linear age, sex and their interactions with time, plus baseline urine ACR and its interaction with time; time modeled as 3 categories.</t>
        </is>
      </c>
    </row>
    <row r="12" ht="92" customFormat="1" customHeight="1" s="14">
      <c r="A12" s="20" t="inlineStr">
        <is>
          <t>2019::jama.2019.17380::C011</t>
        </is>
      </c>
      <c r="B12" s="20" t="inlineStr">
        <is>
          <t>Planned bioavailable vitamin-D subgroup result is absent</t>
        </is>
      </c>
      <c r="C12" s="20" t="inlineStr">
        <is>
          <t>joi190122supp1_prod.pdf — p.33 §15f; jama_de_boer_2019_oi_190122.pdf — p.3 subgroup methods; jama_de_boer_2019_oi_190122.pdf — p.8 Figure 3; jama_de_boer_2019_oi_190122.pdf — p.9 interpretation; jama_de_boer_2019_oi_190122.pdf — p.10 interpretation/disclosure; joi190122supp2_prod.pdf — p.18 eFigure 2; joi190122supp2_prod.pdf — p.17 eFigure 1; joi190122supp3_prod.pdf — data-sharing statement p.1.</t>
        </is>
      </c>
      <c r="D12" s="21" t="inlineStr">
        <is>
          <t>retain</t>
        </is>
      </c>
      <c r="E12" s="21" t="inlineStr">
        <is>
          <t>protocol_report</t>
        </is>
      </c>
      <c r="F12" s="21" t="inlineStr">
        <is>
          <t>primary_done</t>
        </is>
      </c>
      <c r="G12" s="20">
        <f>IFERROR(IF(LEN(TRIM(CLEAN(SUBSTITUTE(Setup!$B$2,CHAR(160)," "))))=0,"CHECK REVIEWER ID",IF(OR(A12="",COUNTIF($A$2:$A$19,A12)&lt;&gt;1,LEFT(A12,LEN("2019::jama.2019.17380::"))&lt;&gt;"2019::jama.2019.17380::"),"CHECK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substantive_difference</t>
        </is>
      </c>
      <c r="M12" s="20" t="n"/>
      <c r="N12" s="23" t="n"/>
      <c r="O12" s="23" t="n"/>
      <c r="P12" s="23" t="n"/>
      <c r="Q12" s="23" t="n"/>
      <c r="R12" s="22" t="inlineStr">
        <is>
          <t>Addendum p. 33 (15f): prespecified vitamin D subgroups by baseline total AND bioavailable 25(OH)D, ACR, eGFR and race. Report (p. 3; Figure 3; eFigures 1-2) shows total 25(OH)D, ACR, eGFR, race and BMI subgroups; no bioavailable 25(OH)D subgroup result anywhere. ('Bioavailable' appears only in a conflict-of-interest disclosure, p. 10.)</t>
        </is>
      </c>
    </row>
    <row r="13" ht="92" customFormat="1" customHeight="1" s="14">
      <c r="A13" s="24" t="inlineStr">
        <is>
          <t>2019::jama.2019.17380::C012</t>
        </is>
      </c>
      <c r="B13" s="24" t="inlineStr">
        <is>
          <t>Forest figures associate counts with opposite treatment columns</t>
        </is>
      </c>
      <c r="C13" s="24" t="inlineStr">
        <is>
          <t>jama_de_boer_2019_oi_190122.pdf — main p.8 Figure 3 and Table 2; jama_de_boer_2019_oi_190122.pdf — main p.9 Figure 4; joi190122supp2_prod.pdf — supplement p.18 eFigure 2; joi190122supp2_prod.pdf — supplement p.19 eFigure 3; jama_de_boer_2019_oi_190122.pdf — main p.1 allocation; jama_de_boer_2019_oi_190122.pdf — p.5 Table 1; jama_de_boer_2019_oi_190122.pdf — p.6 Figure 1; joi190122supp2_prod.pdf — supplement p.11 eTable 6; joi190122supp2_prod.pdf — p.16 eTable 11 marginal allocations.</t>
        </is>
      </c>
      <c r="D13" s="21" t="inlineStr">
        <is>
          <t>retain</t>
        </is>
      </c>
      <c r="E13" s="21" t="inlineStr">
        <is>
          <t>statistical_results</t>
        </is>
      </c>
      <c r="F13" s="21" t="inlineStr">
        <is>
          <t>primary_done</t>
        </is>
      </c>
      <c r="G13" s="24">
        <f>IFERROR(IF(LEN(TRIM(CLEAN(SUBSTITUTE(Setup!$B$2,CHAR(160)," "))))=0,"CHECK REVIEWER ID",IF(OR(A13="",COUNTIF($A$2:$A$19,A13)&lt;&gt;1,LEFT(A13,LEN("2019::jama.2019.17380::"))&lt;&gt;"2019::jama.2019.17380::"),"CHECK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t="inlineStr">
        <is>
          <t>possible</t>
        </is>
      </c>
      <c r="K13" s="21">
        <f>IF(AND(OR(D13="retain",D13=""),OR(E13="report_internal_inconsistency",E13="plan_material")),"","not_applicable")</f>
        <v/>
      </c>
      <c r="L13" s="22">
        <f>IF(AND(OR(D13="retain",D13=""),E13="protocol_report"),"","not_applicable")</f>
        <v/>
      </c>
      <c r="M13" s="24" t="n"/>
      <c r="N13" s="23" t="n"/>
      <c r="O13" s="23" t="n"/>
      <c r="P13" s="23" t="n"/>
      <c r="Q13" s="23" t="n"/>
      <c r="R13" s="22" t="inlineStr">
        <is>
          <t>Allocation: vitamin D active = 370+333 = 703, placebo = 289+320 = 609; omega-3 active = 370+289 = 659, placebo = 653. Figure 3 prints Overall placebo 703 / vitamin D 609, Figure 4 placebo 659 / omega-3 653, and eFigures 2-3 the same (rendered pages). The randomization-group rows are also exchanged (e.g., Figure 3 omega-3-placebo row: placebo 333 / vitamin D 320, but vitamin D + placebo = 333). Mean changes sit in the correct columns (Table 2: vitamin D -12.3, placebo -13.1), so only the counts are exchanged.</t>
        </is>
      </c>
    </row>
    <row r="14" ht="92" customFormat="1" customHeight="1" s="14">
      <c r="A14" s="20" t="inlineStr">
        <is>
          <t>2019::jama.2019.17380::C013</t>
        </is>
      </c>
      <c r="B14" s="20" t="inlineStr">
        <is>
          <t>Omega-3 contributor rows repeat vitamin-D counts</t>
        </is>
      </c>
      <c r="C14" s="20" t="inlineStr">
        <is>
          <t>jama_de_boer_2019_oi_190122.pdf — main p.7 Figure 2 A–D and caption; jama_de_boer_2019_oi_190122.pdf — main p.8 Table 2; joi190122supp2_prod.pdf — supplement p.11 eTable 6; jama_de_boer_2019_oi_190122.pdf — main p.1 allocation.</t>
        </is>
      </c>
      <c r="D14" s="21" t="inlineStr">
        <is>
          <t>retain</t>
        </is>
      </c>
      <c r="E14" s="21" t="inlineStr">
        <is>
          <t>statistical_results</t>
        </is>
      </c>
      <c r="F14" s="21" t="inlineStr">
        <is>
          <t>primary_done</t>
        </is>
      </c>
      <c r="G14" s="20">
        <f>IFERROR(IF(LEN(TRIM(CLEAN(SUBSTITUTE(Setup!$B$2,CHAR(160)," "))))=0,"CHECK REVIEWER ID",IF(OR(A14="",COUNTIF($A$2:$A$19,A14)&lt;&gt;1,LEFT(A14,LEN("2019::jama.2019.17380::"))&lt;&gt;"2019::jama.2019.17380::"),"CHECK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Figure 2 (main p. 7, rendered): panels B and D (omega-3 vs placebo) repeat the vitamin D panel counts exactly (eGFR placebo 607/459/438, active 701/531/496; ACR 609/463/440 vs 702/529/505). Omega-3 counts per Table 2 are 657/499/472 active and 651/491/462 placebo, and per eTable 6 for ACR 658/502/478 and 653/490/467.</t>
        </is>
      </c>
    </row>
    <row r="15" ht="92" customFormat="1" customHeight="1" s="14">
      <c r="A15" s="24" t="inlineStr">
        <is>
          <t>2019::jama.2019.17380::C014</t>
        </is>
      </c>
      <c r="B15" s="24" t="inlineStr">
        <is>
          <t>Plan gives two microgram equivalents for the same vitamin-D dose</t>
        </is>
      </c>
      <c r="C15" s="24" t="inlineStr">
        <is>
          <t>joi190122supp1_prod.pdf — p.15 V.e.1; joi190122supp1_prod.pdf — p.21 VII.a; jama_de_boer_2019_oi_190122.pdf — main p.2 intervention.</t>
        </is>
      </c>
      <c r="D15" s="21" t="inlineStr">
        <is>
          <t>retain</t>
        </is>
      </c>
      <c r="E15" s="21" t="inlineStr">
        <is>
          <t>plan_material</t>
        </is>
      </c>
      <c r="F15" s="21" t="inlineStr">
        <is>
          <t>primary_done</t>
        </is>
      </c>
      <c r="G15" s="24">
        <f>IFERROR(IF(LEN(TRIM(CLEAN(SUBSTITUTE(Setup!$B$2,CHAR(160)," "))))=0,"CHECK REVIEWER ID",IF(OR(A15="",COUNTIF($A$2:$A$19,A15)&lt;&gt;1,LEFT(A15,LEN("2019::jama.2019.17380::"))&lt;&gt;"2019::jama.2019.17380::"),"CHECK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t="inlineStr">
        <is>
          <t>minor_presentation</t>
        </is>
      </c>
      <c r="L15" s="22">
        <f>IF(AND(OR(D15="retain",D15=""),E15="protocol_report"),"","not_applicable")</f>
        <v/>
      </c>
      <c r="M15" s="24" t="n"/>
      <c r="N15" s="23" t="n"/>
      <c r="O15" s="23" t="n"/>
      <c r="P15" s="23" t="n"/>
      <c r="Q15" s="23" t="n"/>
      <c r="R15" s="22" t="inlineStr">
        <is>
          <t>Protocol p. 15 (V.e.1) and p. 21 (VII.a): '2000 IU (40 ug)' cholecalciferol; p. 21 also gives the UL as '50 ug, or 2000 IU'. 2000 IU / 40 IU per ug = 50 ug, so '40 ug' is a conversion error inside the plan. The IU dose (2000 IU) is consistent everywhere, including the report (p. 2).</t>
        </is>
      </c>
    </row>
    <row r="16" ht="92" customFormat="1" customHeight="1" s="14">
      <c r="A16" s="20" t="inlineStr">
        <is>
          <t>2019::jama.2019.17380::C015</t>
        </is>
      </c>
      <c r="B16" s="20" t="inlineStr">
        <is>
          <t>Plan interaction and primary models specify different time terms</t>
        </is>
      </c>
      <c r="C16" s="20" t="inlineStr">
        <is>
          <t>joi190122supp1_prod.pdf — p.32 §15d Equation 1 and §15e Equation 2; jama_de_boer_2019_oi_190122.pdf — main p.3; jama_de_boer_2019_oi_190122.pdf — p.4.</t>
        </is>
      </c>
      <c r="D16" s="21" t="inlineStr">
        <is>
          <t>retain</t>
        </is>
      </c>
      <c r="E16" s="21" t="inlineStr">
        <is>
          <t>plan_material</t>
        </is>
      </c>
      <c r="F16" s="21" t="inlineStr">
        <is>
          <t>primary_done</t>
        </is>
      </c>
      <c r="G16" s="20">
        <f>IFERROR(IF(LEN(TRIM(CLEAN(SUBSTITUTE(Setup!$B$2,CHAR(160)," "))))=0,"CHECK REVIEWER ID",IF(OR(A16="",COUNTIF($A$2:$A$19,A16)&lt;&gt;1,LEFT(A16,LEN("2019::jama.2019.17380::"))&lt;&gt;"2019::jama.2019.17380::"),"CHECK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minor_presentation</t>
        </is>
      </c>
      <c r="L16" s="22">
        <f>IF(AND(OR(D16="retain",D16=""),E16="protocol_report"),"","not_applicable")</f>
        <v/>
      </c>
      <c r="M16" s="20" t="n"/>
      <c r="N16" s="23" t="n"/>
      <c r="O16" s="23" t="n"/>
      <c r="P16" s="23" t="n"/>
      <c r="Q16" s="23" t="n"/>
      <c r="R16" s="22" t="inlineStr">
        <is>
          <t>Addendum p. 32: Equation 1 (interaction test) contains vitamin D x t, omega-3 x t and the three-way term but no main time term; Equation 2 (primary) includes beta2(t). As written, Equation 1 would force no change over time in the double-placebo group. Report p. 3 models time with treatment x time terms. Plan-internal model-specification inconsistency; intent is recoverable from Equation 2 and the report.</t>
        </is>
      </c>
    </row>
    <row r="17" ht="92" customFormat="1" customHeight="1" s="14">
      <c r="A17" s="24" t="inlineStr">
        <is>
          <t>2019::jama.2019.17380::C016</t>
        </is>
      </c>
      <c r="B17" s="24" t="inlineStr">
        <is>
          <t>Year-5 SGLT2 count and percentage do not reconcile</t>
        </is>
      </c>
      <c r="C17" s="24" t="inlineStr">
        <is>
          <t>joi190122supp2_prod.pdf — supplement p.7 eTable 2.</t>
        </is>
      </c>
      <c r="D17" s="21" t="inlineStr">
        <is>
          <t>retain</t>
        </is>
      </c>
      <c r="E17" s="21" t="inlineStr">
        <is>
          <t>statistical_results</t>
        </is>
      </c>
      <c r="F17" s="21" t="inlineStr">
        <is>
          <t>primary_done</t>
        </is>
      </c>
      <c r="G17" s="24">
        <f>IFERROR(IF(LEN(TRIM(CLEAN(SUBSTITUTE(Setup!$B$2,CHAR(160)," "))))=0,"CHECK REVIEWER ID",IF(OR(A17="",COUNTIF($A$2:$A$19,A17)&lt;&gt;1,LEFT(A17,LEN("2019::jama.2019.17380::"))&lt;&gt;"2019::jama.2019.17380::"),"CHECK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probable_issue</t>
        </is>
      </c>
      <c r="I17" s="21" t="inlineStr">
        <is>
          <t>minor_presentation</t>
        </is>
      </c>
      <c r="J17" s="22" t="inlineStr">
        <is>
          <t>unlikely</t>
        </is>
      </c>
      <c r="K17" s="21">
        <f>IF(AND(OR(D17="retain",D17=""),OR(E17="report_internal_inconsistency",E17="plan_material")),"","not_applicable")</f>
        <v/>
      </c>
      <c r="L17" s="22">
        <f>IF(AND(OR(D17="retain",D17=""),E17="protocol_report"),"","not_applicable")</f>
        <v/>
      </c>
      <c r="M17" s="24" t="n"/>
      <c r="N17" s="23" t="n"/>
      <c r="O17" s="23" t="n"/>
      <c r="P17" s="23" t="n"/>
      <c r="Q17" s="23" t="n"/>
      <c r="R17" s="22" t="inlineStr">
        <is>
          <t>eTable 2 (supp2 p. 7, rendered): year-5 nonmissing N = 916 overall. Solving all year-5 vitamin D rows for a common split gives active ~491-494 and placebo ~422-425, which reproduces every row except SGLT2 inhibitors: 25/492 = 5.1% (printed 6) and 21/424 = 5.0% (printed 4). The printed SGLT2 percentages cannot both hold with the denominators implied by the rest of the table. Probable rather than confirmed: SGLT2 use was not asked (NA) at baseline and year 2, so a drug-specific response denominator at year 5 cannot be excluded, although the footnote states a common N = 916.</t>
        </is>
      </c>
    </row>
    <row r="18" ht="92" customFormat="1" customHeight="1" s="14">
      <c r="A18" s="20" t="inlineStr">
        <is>
          <t>2019::jama.2019.17380::C017</t>
        </is>
      </c>
      <c r="B18" s="20" t="inlineStr">
        <is>
          <t>Paired-urine exclusion accounting does not reconcile</t>
        </is>
      </c>
      <c r="C18" s="20" t="inlineStr">
        <is>
          <t>joi190122supp2_prod.pdf — supplement p.12 eTable 7.</t>
        </is>
      </c>
      <c r="D18" s="21" t="inlineStr">
        <is>
          <t>retain</t>
        </is>
      </c>
      <c r="E18" s="21" t="inlineStr">
        <is>
          <t>statistical_results</t>
        </is>
      </c>
      <c r="F18" s="21" t="inlineStr">
        <is>
          <t>primary_done</t>
        </is>
      </c>
      <c r="G18" s="20">
        <f>IFERROR(IF(LEN(TRIM(CLEAN(SUBSTITUTE(Setup!$B$2,CHAR(160)," "))))=0,"CHECK REVIEWER ID",IF(OR(A18="",COUNTIF($A$2:$A$19,A18)&lt;&gt;1,LEFT(A18,LEN("2019::jama.2019.17380::"))&lt;&gt;"2019::jama.2019.17380::"),"CHECK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eTable 7 (supp2 p. 12, rendered): title N = 944 and arm Ns 504+440 = 944 and 477+467 = 944, but the footnote says 1311 gave baseline urine, '991 of these also donated a year 5 urine sample and were included', with 320 + 1 excluded (1312 - 321 = 991). Main text p. 4 says 945 provided a year-5 urine sample. The footnote accounting conflicts with the table's analyzed N.</t>
        </is>
      </c>
    </row>
    <row r="19" ht="92" customFormat="1" customHeight="1" s="14">
      <c r="A19" s="24" t="inlineStr">
        <is>
          <t>2019::jama.2019.17380::C018</t>
        </is>
      </c>
      <c r="B19" s="24" t="inlineStr">
        <is>
          <t>Albuminuria forest favor labels reverse the ratio direction</t>
        </is>
      </c>
      <c r="C19" s="24" t="inlineStr">
        <is>
          <t>joi190122supp2_prod.pdf — supplement p.18 eFigure 2; joi190122supp2_prod.pdf — p.19 eFigure 3; joi190122supp2_prod.pdf — supplement p.11 eTable 6; jama_de_boer_2019_oi_190122.pdf — main p.3 ACR progression definition; jama_de_boer_2019_oi_190122.pdf — p.4 threefold increase narrative; joi190122supp1_prod.pdf — p.11 slower-progression hypotheses; joi190122supp1_prod.pdf — p.17 ACR definition.</t>
        </is>
      </c>
      <c r="D19" s="21" t="inlineStr">
        <is>
          <t>retain</t>
        </is>
      </c>
      <c r="E19" s="21" t="inlineStr">
        <is>
          <t>statistical_results</t>
        </is>
      </c>
      <c r="F19" s="21" t="inlineStr">
        <is>
          <t>primary_done</t>
        </is>
      </c>
      <c r="G19" s="24">
        <f>IFERROR(IF(LEN(TRIM(CLEAN(SUBSTITUTE(Setup!$B$2,CHAR(160)," "))))=0,"CHECK REVIEWER ID",IF(OR(A19="",COUNTIF($A$2:$A$19,A19)&lt;&gt;1,LEFT(A19,LEN("2019::jama.2019.17380::"))&lt;&gt;"2019::jama.2019.17380::"),"CHECK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possible</t>
        </is>
      </c>
      <c r="K19" s="21">
        <f>IF(AND(OR(D19="retain",D19=""),OR(E19="report_internal_inconsistency",E19="plan_material")),"","not_applicable")</f>
        <v/>
      </c>
      <c r="L19" s="22">
        <f>IF(AND(OR(D19="retain",D19=""),E19="protocol_report"),"","not_applicable")</f>
        <v/>
      </c>
      <c r="M19" s="24" t="n"/>
      <c r="N19" s="23" t="n"/>
      <c r="O19" s="23" t="n"/>
      <c r="P19" s="23" t="n"/>
      <c r="Q19" s="23" t="n"/>
      <c r="R19" s="22" t="inlineStr">
        <is>
          <t>eFigures 2-3 (supp2 pp. 18-19, rendered): x-axis is the ratio of ACR change, active/placebo; a ratio &gt; 1 means a larger albuminuria increase with the active treatment, i.e., worse. The axis labels put 'Favors Vitamin D' / 'Favors Omega-3' on the &gt; 1 side and 'Favors Placebo' on the &lt; 1 side, the reverse of the ratio's meaning (plan p. 11 and report p. 3 treat slower ACR progression as benefit).</t>
        </is>
      </c>
    </row>
  </sheetData>
  <autoFilter ref="A1:R19"/>
  <conditionalFormatting sqref="H2:H19">
    <cfRule type="expression" priority="8" dxfId="70">
      <formula>NOT(AND(OR($D2="retain",$D2=""),$E2="statistical_results"))</formula>
    </cfRule>
  </conditionalFormatting>
  <conditionalFormatting sqref="I2:I19">
    <cfRule type="expression" priority="9" dxfId="70">
      <formula>NOT(AND(OR($D2="retain",$D2=""),$E2="statistical_results"))</formula>
    </cfRule>
  </conditionalFormatting>
  <conditionalFormatting sqref="J2:J19">
    <cfRule type="expression" priority="10" dxfId="70">
      <formula>NOT(AND(OR($D2="retain",$D2=""),$E2="statistical_results"))</formula>
    </cfRule>
  </conditionalFormatting>
  <conditionalFormatting sqref="K2:K19">
    <cfRule type="expression" priority="11" dxfId="70">
      <formula>NOT(AND(OR($D2="retain",$D2=""),OR($E2="report_internal_inconsistency",$E2="plan_material")))</formula>
    </cfRule>
  </conditionalFormatting>
  <conditionalFormatting sqref="L2:L19">
    <cfRule type="expression" priority="12" dxfId="70">
      <formula>NOT(AND(OR($D2="retain",$D2=""),$E2="protocol_report"))</formula>
    </cfRule>
  </conditionalFormatting>
  <conditionalFormatting sqref="G2:G19">
    <cfRule type="expression" priority="13" dxfId="71">
      <formula>G2&lt;&gt;"PRIMARY READY"</formula>
    </cfRule>
  </conditionalFormatting>
  <dataValidations count="8">
    <dataValidation sqref="D2:D19" showDropDown="0" showInputMessage="0" showErrorMessage="1" allowBlank="1" errorTitle="Use a listed option" error="Choose an option; G also checks pasted entries." type="list" errorStyle="stop">
      <formula1>"retain,exclude,discuss"</formula1>
    </dataValidation>
    <dataValidation sqref="E2:E1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9" showDropDown="0" showInputMessage="0" showErrorMessage="1" allowBlank="1" errorTitle="Use a listed option" error="Choose an option; G also checks pasted entries." type="list" errorStyle="stop">
      <formula1>"no,primary_done"</formula1>
    </dataValidation>
    <dataValidation sqref="H2:H1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9" showDropDown="0" showInputMessage="0" showErrorMessage="1" allowBlank="1" errorTitle="Use a listed option" error="Choose an option; G also checks pasted entries." type="list" errorStyle="stop">
      <formula1>"direct,possible,unlikely,unknown,not_applicable"</formula1>
    </dataValidation>
    <dataValidation sqref="K2:K1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2019::jama.2019.2210::C001</t>
        </is>
      </c>
      <c r="B2" s="20" t="inlineStr">
        <is>
          <t>De novo cancer outcome status differs across final plan and report</t>
        </is>
      </c>
      <c r="C2" s="20" t="inlineStr">
        <is>
          <t>PLAN joi190023supp1_prod.pdf — initial synopsis, PDF p.4, joi190023supp1_prod.pdf — final synopsis, PDF p.19, joi190023supp1_prod.pdf — final body, PDF p.25 and joi190023supp1_prod.pdf — amendment, PDF p.45; REPORT jama_urashima_2019_oi_190023.pdf — Outcomes beginning, PDF p.2, jama_urashima_2019_oi_190023.pdf — continuation and analysis populations, PDF p.3 and jama_urashima_2019_oi_190023.pdf — Table 3 de novo row and population footnotes, PDF p.8.</t>
        </is>
      </c>
      <c r="D2" s="21" t="inlineStr">
        <is>
          <t>retain</t>
        </is>
      </c>
      <c r="E2" s="21" t="inlineStr">
        <is>
          <t>protocol_report</t>
        </is>
      </c>
      <c r="F2" s="21" t="inlineStr">
        <is>
          <t>primary_done</t>
        </is>
      </c>
      <c r="G2" s="20">
        <f>IFERROR(IF(LEN(TRIM(CLEAN(SUBSTITUTE(Setup!$B$2,CHAR(160)," "))))=0,"CHECK REVIEWER ID",IF(OR(A2="",COUNTIF($A$2:$A$8,A2)&lt;&gt;1,LEFT(A2,LEN("2019::jama.2019.2210::"))&lt;&gt;"2019::jama.2019.2210::"),"CHECK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Initial plan (supp1 p. 4) and final synopsis (p. 19): de novo cancer 'included as an adverse event, not as an outcome'. Final protocol body (p. 25) and change log (p. 45, 2012): de novo cancer moved to a tertiary outcome, separated from secondary and safety outcomes. Report (pp. 2-3; Table 3 p. 8) lists de novo cancer among safety outcomes. The report matches the superseded classification, not the final plan.</t>
        </is>
      </c>
    </row>
    <row r="3" ht="92" customFormat="1" customHeight="1" s="14">
      <c r="A3" s="24" t="inlineStr">
        <is>
          <t>2019::jama.2019.2210::C002</t>
        </is>
      </c>
      <c r="B3" s="24" t="inlineStr">
        <is>
          <t>Planned Kaplan–Meier curves lack a reported counterpart among Nelson–Aalen displays</t>
        </is>
      </c>
      <c r="C3" s="24" t="inlineStr">
        <is>
          <t>PLAN joi190023supp1_prod.pdf — initial SAP method 5c, PDF p.14, joi190023supp1_prod.pdf — final synopsis, PDF p.19, joi190023supp1_prod.pdf — final SAP method 5c, PDF p.31 and joi190023supp1_prod.pdf — amendment context, PDF p.45; REPORT jama_urashima_2019_oi_190023.pdf — Methods, PDF p.3, jama_urashima_2019_oi_190023.pdf — Figure 2A/B and caption, PDF p.6, jama_urashima_2019_oi_190023.pdf — Figure 3 and caption, PDF p.7, jama_urashima_2019_oi_190023.pdf — abstract, PDF p.1 and jama_urashima_2019_oi_190023.pdf — survival summaries, PDF p.4. Counterpart search covered the complete joi190023supp2_prod.pdf — results supplement, PDF pp.1–41 and joi190023supp3_prod.pdf — data-sharing statement, PDF p.1.</t>
        </is>
      </c>
      <c r="D3" s="21" t="inlineStr">
        <is>
          <t>retain</t>
        </is>
      </c>
      <c r="E3" s="21" t="inlineStr">
        <is>
          <t>protocol_report</t>
        </is>
      </c>
      <c r="F3" s="21" t="inlineStr">
        <is>
          <t>primary_done</t>
        </is>
      </c>
      <c r="G3" s="24">
        <f>IFERROR(IF(LEN(TRIM(CLEAN(SUBSTITUTE(Setup!$B$2,CHAR(160)," "))))=0,"CHECK REVIEWER ID",IF(OR(A3="",COUNTIF($A$2:$A$8,A3)&lt;&gt;1,LEFT(A3,LEN("2019::jama.2019.2210::"))&lt;&gt;"2019::jama.2019.2210::"),"CHECK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Plan (SAP 5c, pp. 14, 31; synopses pp. 4, 19): Kaplan-Meier survival curves on ITT. Report (p. 3; Figures 2-3, pp. 6-7): Nelson-Aalen cumulative hazard curves; no Kaplan-Meier display. 5-year RFS/OS percentages are given in text. Different descriptive estimator/display for the same ITT survival comparison.</t>
        </is>
      </c>
    </row>
    <row r="4" ht="92" customFormat="1" customHeight="1" s="14">
      <c r="A4" s="20" t="inlineStr">
        <is>
          <t>2019::jama.2019.2210::C003</t>
        </is>
      </c>
      <c r="B4" s="20" t="inlineStr">
        <is>
          <t>Planned relapse and safety risk-ratio evaluations lack reported counterparts</t>
        </is>
      </c>
      <c r="C4" s="20" t="inlineStr">
        <is>
          <t>PLAN joi190023supp1_prod.pdf — initial SAP method 5e, PDF p.14 and joi190023supp1_prod.pdf — final SAP method 5e, PDF p.31; REPORT jama_urashima_2019_oi_190023.pdf — post hoc competing-risk method, PDF p.3, jama_urashima_2019_oi_190023.pdf — Figure 2C and relapse narrative, PDF p.6, jama_urashima_2019_oi_190023.pdf — Table 2 relapse rows, PDF p.7 and jama_urashima_2019_oi_190023.pdf — all Table 3 safety rows and footnotes, PDF p.8. Counterpart search covered the complete joi190023supp2_prod.pdf — results supplement and joi190023supp3_prod.pdf — data-sharing statement.</t>
        </is>
      </c>
      <c r="D4" s="21" t="inlineStr">
        <is>
          <t>retain</t>
        </is>
      </c>
      <c r="E4" s="21" t="inlineStr">
        <is>
          <t>protocol_report</t>
        </is>
      </c>
      <c r="F4" s="21" t="inlineStr">
        <is>
          <t>primary_done</t>
        </is>
      </c>
      <c r="G4" s="20">
        <f>IFERROR(IF(LEN(TRIM(CLEAN(SUBSTITUTE(Setup!$B$2,CHAR(160)," "))))=0,"CHECK REVIEWER ID",IF(OR(A4="",COUNTIF($A$2:$A$8,A4)&lt;&gt;1,LEFT(A4,LEN("2019::jama.2019.2210::"))&lt;&gt;"2019::jama.2019.2210::"),"CHECK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inlineStr">
        <is>
          <t>Plan (SAP 5e, pp. 14, 31): 'Relapse and safety outcomes will be evaluated using risk ratio (RR)'. Report: relapse analyzed by post hoc competing-risk subdistribution HR (p. 3, 6; Table 2; Figure 2C); safety outcomes (Table 3) given as counts and percentages only. No RR reported anywhere. L left blank: counts allow crude RRs, so I do not grade the importance.</t>
        </is>
      </c>
    </row>
    <row r="5" ht="92" customFormat="1" customHeight="1" s="14">
      <c r="A5" s="24" t="inlineStr">
        <is>
          <t>2019::jama.2019.2210::C004</t>
        </is>
      </c>
      <c r="B5" s="24" t="inlineStr">
        <is>
          <t>Prespecified high-baseline vitamin-D subgroup analysis was omitted</t>
        </is>
      </c>
      <c r="C5" s="24" t="inlineStr">
        <is>
          <t>PLAN joi190023supp1_prod.pdf — final SAP subgroup/interaction specification, PDF p.31 and joi190023supp1_prod.pdf — subgroup amendment, PDF p.45; REPORT jama_urashima_2019_oi_190023.pdf — Methods, PDF p.3, jama_urashima_2019_oi_190023.pdf — subgroup population and omission, PDF p.4, jama_urashima_2019_oi_190023.pdf — Table 1 high-group counts, PDF p.5, jama_urashima_2019_oi_190023.pdf — Figure 3 caption, PDF p.7 and jama_urashima_2019_oi_190023.pdf — limitations, PDF p.8; jama_urashima_2019_oi_190023.pdf — abstract, PDF p.1 corroborates the reported two-group interaction context.</t>
        </is>
      </c>
      <c r="D5" s="21" t="inlineStr">
        <is>
          <t>retain</t>
        </is>
      </c>
      <c r="E5" s="21" t="inlineStr">
        <is>
          <t>protocol_report</t>
        </is>
      </c>
      <c r="F5" s="21" t="inlineStr">
        <is>
          <t>primary_done</t>
        </is>
      </c>
      <c r="G5" s="24">
        <f>IFERROR(IF(LEN(TRIM(CLEAN(SUBSTITUTE(Setup!$B$2,CHAR(160)," "))))=0,"CHECK REVIEWER ID",IF(OR(A5="",COUNTIF($A$2:$A$8,A5)&lt;&gt;1,LEFT(A5,LEN("2019::jama.2019.2210::"))&lt;&gt;"2019::jama.2019.2210::"),"CHECK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Final SAP p. 31 and change log p. 45: prespecified subgroups by baseline 25(OH)D low (&lt;20), middle (20-40) and high (&gt;40 ng/mL). Report (abstract; pp. 3-4; Figure 3 caption; limitations p. 8): high group (n = 5) not analyzed and excluded from the interaction test. Disclosed in the report (small sample).</t>
        </is>
      </c>
    </row>
    <row r="6" ht="92" customFormat="1" customHeight="1" s="14">
      <c r="A6" s="20" t="inlineStr">
        <is>
          <t>2019::jama.2019.2210::C005</t>
        </is>
      </c>
      <c r="B6" s="20" t="inlineStr">
        <is>
          <t>Genotype percentages use unstated denominators differing from printed arm headers</t>
        </is>
      </c>
      <c r="C6" s="20" t="inlineStr">
        <is>
          <t>jama_urashima_2019_oi_190023.pdf — Main article Table 1, PDF p.5: both repeated arm headers; BsmI, Cdx2, ApaI, TaqI, DBP1 and DBP2 rows; footnotes a–c. Every affected cell is enumerated below.</t>
        </is>
      </c>
      <c r="D6" s="21" t="inlineStr">
        <is>
          <t>exclude</t>
        </is>
      </c>
      <c r="E6" s="21" t="inlineStr">
        <is>
          <t>statistical_results</t>
        </is>
      </c>
      <c r="F6" s="21" t="inlineStr">
        <is>
          <t>primary_done</t>
        </is>
      </c>
      <c r="G6" s="20">
        <f>IFERROR(IF(LEN(TRIM(CLEAN(SUBSTITUTE(Setup!$B$2,CHAR(160)," "))))=0,"CHECK REVIEWER ID",IF(OR(A6="",COUNTIF($A$2:$A$8,A6)&lt;&gt;1,LEFT(A6,LEN("2019::jama.2019.2210::"))&lt;&gt;"2019::jama.2019.2210::"),"CHECK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inlineStr">
        <is>
          <t>Table 1 genotype percentages are computed on genotyped patients, not the arm headers: e.g., FokI vitamin D 92/245 = 37.6% (printed 38), BsmI placebo 119/150 = 79.3% (79). Every genotype row reproduces with available-case denominators (one rounding slip: ApaI placebo GT 61/150 = 40.7%, printed 40). The denominators are derivable from the counts; missing genotype numbers are simply not stated.</t>
        </is>
      </c>
    </row>
    <row r="7" ht="92" customFormat="1" customHeight="1" s="14">
      <c r="A7" s="24" t="inlineStr">
        <is>
          <t>2019::jama.2019.2210::C006</t>
        </is>
      </c>
      <c r="B7" s="24" t="inlineStr">
        <is>
          <t>Table 2's shared hazard-ratio direction definition reverses the report interpretation</t>
        </is>
      </c>
      <c r="C7" s="24" t="inlineStr">
        <is>
          <t>jama_urashima_2019_oi_190023.pdf — Table 2 footnote a and every outcome/stratum row, PDF p.7; jama_urashima_2019_oi_190023.pdf — Statistical Analysis, PDF p.3; jama_urashima_2019_oi_190023.pdf — treatment-effect narrative, PDF p.4; jama_urashima_2019_oi_190023.pdf — matched middle relapse narrative and Figure 2C, PDF p.6; and jama_urashima_2019_oi_190023.pdf — Figure 3 treatment-direction corroboration, PDF p.7.</t>
        </is>
      </c>
      <c r="D7" s="21" t="inlineStr">
        <is>
          <t>retain</t>
        </is>
      </c>
      <c r="E7" s="21" t="inlineStr">
        <is>
          <t>statistical_results</t>
        </is>
      </c>
      <c r="F7" s="21" t="inlineStr">
        <is>
          <t>primary_done</t>
        </is>
      </c>
      <c r="G7" s="24">
        <f>IFERROR(IF(LEN(TRIM(CLEAN(SUBSTITUTE(Setup!$B$2,CHAR(160)," "))))=0,"CHECK REVIEWER ID",IF(OR(A7="",COUNTIF($A$2:$A$8,A7)&lt;&gt;1,LEFT(A7,LEN("2019::jama.2019.2210::"))&lt;&gt;"2019::jama.2019.2210::"),"CHECK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t="inlineStr">
        <is>
          <t>possible</t>
        </is>
      </c>
      <c r="K7" s="21">
        <f>IF(AND(OR(D7="retain",D7=""),OR(E7="report_internal_inconsistency",E7="plan_material")),"","not_applicable")</f>
        <v/>
      </c>
      <c r="L7" s="22">
        <f>IF(AND(OR(D7="retain",D7=""),E7="protocol_report"),"","not_applicable")</f>
        <v/>
      </c>
      <c r="M7" s="24" t="n"/>
      <c r="N7" s="23" t="n"/>
      <c r="O7" s="23" t="n"/>
      <c r="P7" s="23" t="n"/>
      <c r="Q7" s="23" t="n"/>
      <c r="R7" s="22" t="inlineStr">
        <is>
          <t>Table 2 footnote a (main p. 7, rendered): 'HR values greater than 1 indicate that vitamin D supplementation was associated with a decreased probability of the outcome.' The text (p. 6) and Figures 2-3 treat HR &lt; 1 as lower risk with vitamin D (e.g., subdistribution HR 0.44 = 'significantly lower' relapse; Figure 3A HR 0.46 with vitamin D curve below placebo). The footnote reverses the direction for every row of the table.</t>
        </is>
      </c>
    </row>
    <row r="8" ht="92" customFormat="1" customHeight="1" s="14">
      <c r="A8" s="20" t="inlineStr">
        <is>
          <t>2019::jama.2019.2210::C007</t>
        </is>
      </c>
      <c r="B8" s="20" t="inlineStr">
        <is>
          <t>Adjusted interval and P value lack a joint solution under a same-page reproducing calculation</t>
        </is>
      </c>
      <c r="C8" s="20" t="inlineStr">
        <is>
          <t>jama_urashima_2019_oi_190023.pdf — Main PDF p.6 age-adjusted relapse/death paragraph; jama_urashima_2019_oi_190023.pdf — p.6 adjacent adjusted-death sentence; jama_urashima_2019_oi_190023.pdf — p.6 Figure 2A; jama_urashima_2019_oi_190023.pdf — p.6 Figure 2B; jama_urashima_2019_oi_190023.pdf — p.6 Figure 2C and its relapse narrative copy; jama_urashima_2019_oi_190023.pdf — p.6 middle-baseline relapse paragraph; and jama_urashima_2019_oi_190023.pdf — p.3 Statistical Analysis/post hoc age adjustment.</t>
        </is>
      </c>
      <c r="D8" s="21" t="inlineStr">
        <is>
          <t>exclude</t>
        </is>
      </c>
      <c r="E8" s="21" t="inlineStr">
        <is>
          <t>statistical_results</t>
        </is>
      </c>
      <c r="F8" s="21" t="inlineStr">
        <is>
          <t>primary_done</t>
        </is>
      </c>
      <c r="G8" s="20">
        <f>IFERROR(IF(LEN(TRIM(CLEAN(SUBSTITUTE(Setup!$B$2,CHAR(160)," "))))=0,"CHECK REVIEWER ID",IF(OR(A8="",COUNTIF($A$2:$A$8,A8)&lt;&gt;1,LEFT(A8,LEN("2019::jama.2019.2210::"))&lt;&gt;"2019::jama.2019.2210::"),"CHECK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Main p. 6: age-adjusted HR 0.66 (95% CI 0.43-0.99), P = .048. Imposing an exact log-symmetric Wald interval on the rounded limits (L in [.425,.435), U in [.985,.995), HR = sqrt(LU) in [.655,.665)) gives P between .043 and .047, so a strict Wald reconstruction misses .048 by less than .001. Such a small gap is expected if the P value came from a likelihood-ratio or score test, and the interval (upper limit 0.99 &lt; 1) and P &lt; .05 agree on significance. Not a reportable inconsistency.</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2"/>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2019::jama.2019.4755::C001</t>
        </is>
      </c>
      <c r="B2" s="20" t="inlineStr">
        <is>
          <t>Primary outcome hierarchy differs across supplied plan clauses and the report</t>
        </is>
      </c>
      <c r="C2" s="20" t="inlineStr">
        <is>
          <t>PLAN joi190039supp1_prod.pdf — DOC-002 protocol PDF p11 §3.4 and joi190039supp1_prod.pdf — p22 §6.1: narrow primary and secondary lists. PLAN joi190039supp1_prod.pdf — DOC-002 PDF p13 §3.9, continuing joi190039supp1_prod.pdf — p14: broader parenthetical primary endpoint. PLAN joi190039supp1_prod.pdf — DOC-002 PDF p28 §§7.1–7.2: narrow primary sensitivity and confirmatory status in §7.1; broad both-assay primary wording in §7.2. PLAN joi190039supp2_prod.pdf — DOC-003 SAP PDF p6 §3.2 and joi190039supp2_prod.pdf — p8 §5.4 continuation and §5.5: quantitative sensitivity primary, other diagnostic metrics secondary. PLAN joi190039supp2_prod.pdf — DOC-003 PDF p9 §7: disclosed population/missingness changes; no explicit hierarchy amendment. REPORT jama_brenner_2019_oi_190039.pdf — DOC-001 PDF p1 Main Outcome and Measures and jama_brenner_2019_oi_190039.pdf — p3 Outcomes/Statistical Analyses: narrow primary hierarchy; secondary analyses exploratory; AUC explicitly unreported. REPORT jama_brenner_2019_oi_190039.pdf — DOC-001 PDF p4 Primary/Secondary End Points: numerical secondary specificity and qualitative-sensitivity results.</t>
        </is>
      </c>
      <c r="D2" s="21" t="inlineStr">
        <is>
          <t>retain</t>
        </is>
      </c>
      <c r="E2" s="21" t="inlineStr">
        <is>
          <t>plan_material</t>
        </is>
      </c>
      <c r="F2" s="21" t="inlineStr">
        <is>
          <t>primary_done</t>
        </is>
      </c>
      <c r="G2" s="20">
        <f>IFERROR(IF(LEN(TRIM(CLEAN(SUBSTITUTE(Setup!$B$2,CHAR(160)," "))))=0,"CHECK REVIEWER ID",IF(OR(A2="",COUNTIF($A$2:$A$2,A2)&lt;&gt;1,LEFT(A2,LEN("2019::jama.2019.4755::"))&lt;&gt;"2019::jama.2019.4755::"),"CHECK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E changed from protocol_report to plan_material. Protocol v1.5 §3.4 and §6.1 (pp. 11, 22) and §7.1 (p. 28) name sensitivity of the quantitative FOBGold test as the primary endpoint; §3.9 (pp. 13-14) and §7.2 (p. 28) describe the 'primary endpoint' as sensitivity AND specificity AND AUC of both tests. The SAP (§3.2, §5.4-5.5, pp. 6, 8) and the report (pp. 1, 3) both use quantitative-test sensitivity as primary and specificity/AUC as secondary. The conflict lies within the protocol; the report matches the governing SAP and the protocol's own endpoint sections.</t>
        </is>
      </c>
    </row>
  </sheetData>
  <autoFilter ref="A1:R2"/>
  <conditionalFormatting sqref="H2">
    <cfRule type="expression" priority="8" dxfId="70">
      <formula>NOT(AND(OR($D2="retain",$D2=""),$E2="statistical_results"))</formula>
    </cfRule>
  </conditionalFormatting>
  <conditionalFormatting sqref="I2">
    <cfRule type="expression" priority="9" dxfId="70">
      <formula>NOT(AND(OR($D2="retain",$D2=""),$E2="statistical_results"))</formula>
    </cfRule>
  </conditionalFormatting>
  <conditionalFormatting sqref="J2">
    <cfRule type="expression" priority="10" dxfId="70">
      <formula>NOT(AND(OR($D2="retain",$D2=""),$E2="statistical_results"))</formula>
    </cfRule>
  </conditionalFormatting>
  <conditionalFormatting sqref="K2">
    <cfRule type="expression" priority="11" dxfId="70">
      <formula>NOT(AND(OR($D2="retain",$D2=""),OR($E2="report_internal_inconsistency",$E2="plan_material")))</formula>
    </cfRule>
  </conditionalFormatting>
  <conditionalFormatting sqref="L2">
    <cfRule type="expression" priority="12" dxfId="70">
      <formula>NOT(AND(OR($D2="retain",$D2=""),$E2="protocol_report"))</formula>
    </cfRule>
  </conditionalFormatting>
  <conditionalFormatting sqref="G2">
    <cfRule type="expression" priority="13" dxfId="71">
      <formula>G2&lt;&gt;"PRIMARY READY"</formula>
    </cfRule>
  </conditionalFormatting>
  <dataValidations count="8">
    <dataValidation sqref="D2" showDropDown="0" showInputMessage="0" showErrorMessage="1" allowBlank="1" errorTitle="Use a listed option" error="Choose an option; G also checks pasted entries." type="list" errorStyle="stop">
      <formula1>"retain,exclude,discuss"</formula1>
    </dataValidation>
    <dataValidation sqref="E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 showDropDown="0" showInputMessage="0" showErrorMessage="1" allowBlank="1" errorTitle="Use a listed option" error="Choose an option; G also checks pasted entries." type="list" errorStyle="stop">
      <formula1>"no,primary_done"</formula1>
    </dataValidation>
    <dataValidation sqref="H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 showDropDown="0" showInputMessage="0" showErrorMessage="1" allowBlank="1" errorTitle="Use a listed option" error="Choose an option; G also checks pasted entries." type="list" errorStyle="stop">
      <formula1>"substantive,minor_presentation,indeterminate,not_applicable"</formula1>
    </dataValidation>
    <dataValidation sqref="J2" showDropDown="0" showInputMessage="0" showErrorMessage="1" allowBlank="1" errorTitle="Use a listed option" error="Choose an option; G also checks pasted entries." type="list" errorStyle="stop">
      <formula1>"direct,possible,unlikely,unknown,not_applicable"</formula1>
    </dataValidation>
    <dataValidation sqref="K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2019::jama.2019.7505::C001</t>
        </is>
      </c>
      <c r="B2" s="20" t="inlineStr">
        <is>
          <t>Primary collapsed-composite RR/OR identity</t>
        </is>
      </c>
      <c r="C2" s="20" t="inlineStr">
        <is>
          <t>REPORT jama_bluth_2019_oi_190055_16092.pdf — main p. 1 abstract, jama_bluth_2019_oi_190055_16092.pdf — main p. 4 primary binary methods, jama_bluth_2019_oi_190055_16092.pdf — main p. 9 Table 3, jama_bluth_2019_oi_190055_16092.pdf — main p. 10 Figure 2 versus REPORT joi190055supp4_prod_16092.pdf — results p. 42 eFigure 12 collapsed-composite row. PLAN joi190055supp3_prod_16092.pdf — SAP p. 2 corroborates RR only.</t>
        </is>
      </c>
      <c r="D2" s="21" t="inlineStr">
        <is>
          <t>retain</t>
        </is>
      </c>
      <c r="E2" s="21" t="inlineStr">
        <is>
          <t>statistical_results</t>
        </is>
      </c>
      <c r="F2" s="21" t="inlineStr">
        <is>
          <t>primary_done</t>
        </is>
      </c>
      <c r="G2" s="20">
        <f>IFERROR(IF(LEN(TRIM(CLEAN(SUBSTITUTE(Setup!$B$2,CHAR(160)," "))))=0,"CHECK REVIEWER ID",IF(OR(A2="",COUNTIF($A$2:$A$14,A2)&lt;&gt;1,LEFT(A2,LEN("2019::jama.2019.7505::"))&lt;&gt;"2019::jama.2019.7505::"),"CHECK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Primary composite: 211/989 vs 233/987. Main text/abstract/Table 3/Figure 2 report 'risk ratio 0.93 (0.83-1.04)'; eFigure 12 (supp4 p. 42, rendered) reports the same collapsed-composite value as 'Odds Ratio 0.93 [0.83, 1.04]'. Computed: RR = 21.33%/23.61% = 0.90; OR = 0.88. The printed 0.93 (0.83-1.04) is reproduced exactly by P(high PEEP | event)/P(high PEEP | no event) = (211/444)/(778/1532) = 0.936 (Wald 0.839-1.044), i.e., exposure and outcome reversed. The same number is labeled as two different estimands, and is neither.</t>
        </is>
      </c>
    </row>
    <row r="3" ht="92" customFormat="1" customHeight="1" s="14">
      <c r="A3" s="24" t="inlineStr">
        <is>
          <t>2019::jama.2019.7505::C002</t>
        </is>
      </c>
      <c r="B3" s="24" t="inlineStr">
        <is>
          <t>Abstract hypoxemia signed confidence limit</t>
        </is>
      </c>
      <c r="C3" s="24" t="inlineStr">
        <is>
          <t>REPORT jama_bluth_2019_oi_190055_16092.pdf — main p. 1 Results hypoxemia versus jama_bluth_2019_oi_190055_16092.pdf — main p. 9 Table 3 hypoxemia, with jama_bluth_2019_oi_190055_16092.pdf — main p. 10 secondary interpretation and jama_bluth_2019_oi_190055_16092.pdf — main p. 11 discussion.</t>
        </is>
      </c>
      <c r="D3" s="21" t="inlineStr">
        <is>
          <t>retain</t>
        </is>
      </c>
      <c r="E3" s="21" t="inlineStr">
        <is>
          <t>statistical_results</t>
        </is>
      </c>
      <c r="F3" s="21" t="inlineStr">
        <is>
          <t>primary_done</t>
        </is>
      </c>
      <c r="G3" s="24">
        <f>IFERROR(IF(LEN(TRIM(CLEAN(SUBSTITUTE(Setup!$B$2,CHAR(160)," "))))=0,"CHECK REVIEWER ID",IF(OR(A3="",COUNTIF($A$2:$A$14,A3)&lt;&gt;1,LEFT(A3,LEN("2019::jama.2019.7505::"))&lt;&gt;"2019::jama.2019.7505::"),"CHECK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Abstract (p. 1): hypoxemia difference '-8.6% (95% CI, -11.1% to 6.1%)'. Table 3 (p. 9, rendered): -8.6 (-11.1 to -6.1), P &lt; .001. The abstract's upper limit has lost its minus sign; the abstract interval as printed would include 0, contradicting P &lt; .001.</t>
        </is>
      </c>
    </row>
    <row r="4" ht="92" customFormat="1" customHeight="1" s="14">
      <c r="A4" s="20" t="inlineStr">
        <is>
          <t>2019::jama.2019.7505::C003</t>
        </is>
      </c>
      <c r="B4" s="20" t="inlineStr">
        <is>
          <t>Original secondary hierarchy and mortality follow-up</t>
        </is>
      </c>
      <c r="C4" s="20" t="inlineStr">
        <is>
          <t>PLAN joi190055supp1_prod_16092.pdf — protocol p. 5 synopsis and joi190055supp1_prod_16092.pdf — protocol p. 12 §7.1.2 versus PLAN joi190055supp3_prod_16092.pdf — SAP p. 1 updated outcome list and REPORT jama_bluth_2019_oi_190055_16092.pdf — main p. 3 Secondary Outcomes, joi190055supp4_prod_16092.pdf — results p. 21 §2.8. PLAN amendments joi190055supp2_prod_16092.pdf — p. 1, joi190055supp2_prod_16092.pdf — p. 2, joi190055supp2_prod_16092.pdf — p. 3 and REPORT jama_bluth_2019_oi_190055_16092.pdf — main p. 2 final-SAP identification were reread as context.</t>
        </is>
      </c>
      <c r="D4" s="21" t="inlineStr">
        <is>
          <t>retain</t>
        </is>
      </c>
      <c r="E4" s="21" t="inlineStr">
        <is>
          <t>protocol_report</t>
        </is>
      </c>
      <c r="F4" s="21" t="inlineStr">
        <is>
          <t>primary_done</t>
        </is>
      </c>
      <c r="G4" s="20">
        <f>IFERROR(IF(LEN(TRIM(CLEAN(SUBSTITUTE(Setup!$B$2,CHAR(160)," "))))=0,"CHECK REVIEWER ID",IF(OR(A4="",COUNTIF($A$2:$A$14,A4)&lt;&gt;1,LEFT(A4,LEN("2019::jama.2019.7505::"))&lt;&gt;"2019::jama.2019.7505::"),"CHECK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v2.6 (pp. 5, 12 §7.1.2): secondary endpoints include need for postoperative ventilatory support, ICU readmission and hospital readmission within 30 days, hospital-free days at day 90 and mortality at day 90. Updated SAP (Jan 2018, p. 1) and report (p. 3; supp4 p. 21): severe PPC composite, extrapulmonary complications, intraoperative adverse events, ICU admission, wound healing, in-hospital mortality, hospital-free days. Day-90 mortality and 30-day readmission are not reported; the report follows the dated updated SAP.</t>
        </is>
      </c>
    </row>
    <row r="5" ht="92" customFormat="1" customHeight="1" s="14">
      <c r="A5" s="24" t="inlineStr">
        <is>
          <t>2019::jama.2019.7505::C004</t>
        </is>
      </c>
      <c r="B5" s="24" t="inlineStr">
        <is>
          <t>Repeated outcome-risk estimand identity</t>
        </is>
      </c>
      <c r="C5" s="24" t="inlineStr">
        <is>
          <t>REPORT jama_bluth_2019_oi_190055_16092.pdf — main p. 1 primary abstract; jama_bluth_2019_oi_190055_16092.pdf — main p. 4 binary methods; jama_bluth_2019_oi_190055_16092.pdf — main p. 8 primary/mild/pleural narrative; jama_bluth_2019_oi_190055_16092.pdf — main p. 9 every Table 3 binary row; jama_bluth_2019_oi_190055_16092.pdf — main p. 10 continued rows, ratio notes and every Figure 2 row; joi190055supp4_prod_16092.pdf — results p. 29 every eTable 8 row; joi190055supp4_prod_16092.pdf — results p. 42 all twelve component rows. PLAN joi190055supp3_prod_16092.pdf — SAP p. 2 corroborates the incidence/RR terminology, not an opposing result.</t>
        </is>
      </c>
      <c r="D5" s="21" t="inlineStr">
        <is>
          <t>retain</t>
        </is>
      </c>
      <c r="E5" s="21" t="inlineStr">
        <is>
          <t>statistical_results</t>
        </is>
      </c>
      <c r="F5" s="21" t="inlineStr">
        <is>
          <t>primary_done</t>
        </is>
      </c>
      <c r="G5" s="24">
        <f>IFERROR(IF(LEN(TRIM(CLEAN(SUBSTITUTE(Setup!$B$2,CHAR(160)," "))))=0,"CHECK REVIEWER ID",IF(OR(A5="",COUNTIF($A$2:$A$14,A5)&lt;&gt;1,LEFT(A5,LEN("2019::jama.2019.7505::"))&lt;&gt;"2019::jama.2019.7505::"),"CHECK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Every binary 'risk ratio' in Table 3 (and eTable 8, eFigure 12) reproduces exactly as P(high PEEP | event)/P(high PEEP | no event), not as risk(high)/risk(low). Examples: pleural effusion 43/989 vs 21/987: true RR 2.04, printed 1.35 (reversed 1.36, 1.14-1.62); hypoxemia 49 vs 134: true 0.36, printed 0.51 (0.40-0.65); hypotension 313 vs 170: true 1.84, printed 1.43; bradycardia 98 vs 59: true 1.66, printed 1.27; in-hospital mortality 12 vs 5: true 2.40, printed 1.41. All 21 rows checked reproduce the reversed ratio and its log-Wald CI (except mortality CI, see C010).</t>
        </is>
      </c>
    </row>
    <row r="6" ht="92" customFormat="1" customHeight="1" s="14">
      <c r="A6" s="20" t="inlineStr">
        <is>
          <t>2019::jama.2019.7505::C005</t>
        </is>
      </c>
      <c r="B6" s="20" t="inlineStr">
        <is>
          <t>Planned primary log-rank output</t>
        </is>
      </c>
      <c r="C6" s="20" t="inlineStr">
        <is>
          <t>PLAN joi190055supp3_prod_16092.pdf — SAP p. 2 primary analysis versus REPORT jama_bluth_2019_oi_190055_16092.pdf — main p. 4 time-to-PPC methods and joi190055supp4_prod_16092.pdf — results p. 38 eFigure 8. Negative-search context: REPORT jama_bluth_2019_oi_190055_16092.pdf — main p. 10, jama_bluth_2019_oi_190055_16092.pdf — main p. 11, joi190055supp4_prod_16092.pdf — results p. 30 eTable 9 and joi190055supp4_prod_16092.pdf — results p. 42 eFigure 12; PLAN joi190055supp3_prod_16092.pdf — SAP p. 3.</t>
        </is>
      </c>
      <c r="D6" s="21" t="inlineStr">
        <is>
          <t>retain</t>
        </is>
      </c>
      <c r="E6" s="21" t="inlineStr">
        <is>
          <t>protocol_report</t>
        </is>
      </c>
      <c r="F6" s="21" t="inlineStr">
        <is>
          <t>primary_done</t>
        </is>
      </c>
      <c r="G6" s="20">
        <f>IFERROR(IF(LEN(TRIM(CLEAN(SUBSTITUTE(Setup!$B$2,CHAR(160)," "))))=0,"CHECK REVIEWER ID",IF(OR(A6="",COUNTIF($A$2:$A$14,A6)&lt;&gt;1,LEFT(A6,LEN("2019::jama.2019.7505::"))&lt;&gt;"2019::jama.2019.7505::"),"CHECK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minor_presentation</t>
        </is>
      </c>
      <c r="M6" s="20" t="n"/>
      <c r="N6" s="23" t="n"/>
      <c r="O6" s="23" t="n"/>
      <c r="P6" s="23" t="n"/>
      <c r="Q6" s="23" t="n"/>
      <c r="R6" s="22" t="inlineStr">
        <is>
          <t>Updated SAP p. 2: time to PPC by Kaplan-Meier curves 'compared with the log-rank tests'. Report p. 4 and eFigure 8 (supp4 p. 38, rendered): Kaplan-Meier curves with a Cox HR 0.88 (0.73-1.06), P = .190; no log-rank P is reported anywhere.</t>
        </is>
      </c>
    </row>
    <row r="7" ht="92" customFormat="1" customHeight="1" s="14">
      <c r="A7" s="24" t="inlineStr">
        <is>
          <t>2019::jama.2019.7505::C006</t>
        </is>
      </c>
      <c r="B7" s="24" t="inlineStr">
        <is>
          <t>Planned primary clinical-severity-weighted GEE</t>
        </is>
      </c>
      <c r="C7" s="24" t="inlineStr">
        <is>
          <t>PLAN joi190055supp3_prod_16092.pdf — SAP p. 3 clinical severity weight versus REPORT jama_bluth_2019_oi_190055_16092.pdf — main p. 4 sensitivity methods, jama_bluth_2019_oi_190055_16092.pdf — main p. 10 additional analysis, jama_bluth_2019_oi_190055_16092.pdf — main p. 11 sensitivity discussion, joi190055supp4_prod_16092.pdf — results p. 30 all eTable 9 rows/footnotes and joi190055supp4_prod_16092.pdf — results p. 42 all eFigure 12 component/global rows.</t>
        </is>
      </c>
      <c r="D7" s="21" t="inlineStr">
        <is>
          <t>retain</t>
        </is>
      </c>
      <c r="E7" s="21" t="inlineStr">
        <is>
          <t>protocol_report</t>
        </is>
      </c>
      <c r="F7" s="21" t="inlineStr">
        <is>
          <t>primary_done</t>
        </is>
      </c>
      <c r="G7" s="24">
        <f>IFERROR(IF(LEN(TRIM(CLEAN(SUBSTITUTE(Setup!$B$2,CHAR(160)," "))))=0,"CHECK REVIEWER ID",IF(OR(A7="",COUNTIF($A$2:$A$14,A7)&lt;&gt;1,LEFT(A7,LEN("2019::jama.2019.7505::"))&lt;&gt;"2019::jama.2019.7505::"),"CHECK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Updated SAP p. 3: the composite-outcome sensitivity analyses include a clinical-severity-weighted multivariate GEE. eTable 9 (supp4 p. 30) and eFigure 12 (p. 42) report the random-effects, count, common-effect GEE, treatment-component interaction and average-relative-effect analyses, but no severity-weighted GEE; main text p. 4 and p. 10-11 do not mention it.</t>
        </is>
      </c>
    </row>
    <row r="8" ht="92" customFormat="1" customHeight="1" s="14">
      <c r="A8" s="20" t="inlineStr">
        <is>
          <t>2019::jama.2019.7505::C007</t>
        </is>
      </c>
      <c r="B8" s="20" t="inlineStr">
        <is>
          <t>Table 2 null-endpoint/significant-P pattern</t>
        </is>
      </c>
      <c r="C8" s="20" t="inlineStr">
        <is>
          <t>REPORT jama_bluth_2019_oi_190055_16092.pdf — main p. 7 Table 2 S002/S003/S016 and jama_bluth_2019_oi_190055_16092.pdf — main p. 4 two-sided significance definition.</t>
        </is>
      </c>
      <c r="D8" s="21" t="inlineStr">
        <is>
          <t>exclude</t>
        </is>
      </c>
      <c r="E8" s="21" t="inlineStr">
        <is>
          <t>statistical_results</t>
        </is>
      </c>
      <c r="F8" s="21" t="inlineStr">
        <is>
          <t>primary_done</t>
        </is>
      </c>
      <c r="G8" s="20">
        <f>IFERROR(IF(LEN(TRIM(CLEAN(SUBSTITUTE(Setup!$B$2,CHAR(160)," "))))=0,"CHECK REVIEWER ID",IF(OR(A8="",COUNTIF($A$2:$A$14,A8)&lt;&gt;1,LEFT(A8,LEN("2019::jama.2019.7505::"))&lt;&gt;"2019::jama.2019.7505::"),"CHECK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Table 2 (main p. 7, rendered): tidal volume first/last hour 0.1 (0 to 0.2), P = .007/.008; respiratory rate last hour -0.4 (-0.7 to 0), P = .02. With one-decimal display, a lower/upper limit printed as 0 can be e.g. 0.03 or -0.04, and the P values are then compatible (e.g., RR last hour: SE ~0.17 from SDs 3.9/3.8; a difference of -0.388 to -0.389 gives an upper limit of about -0.05 (prints as 0) and P of about .025).</t>
        </is>
      </c>
    </row>
    <row r="9" ht="92" customFormat="1" customHeight="1" s="14">
      <c r="A9" s="24" t="inlineStr">
        <is>
          <t>2019::jama.2019.7505::C008</t>
        </is>
      </c>
      <c r="B9" s="24" t="inlineStr">
        <is>
          <t>Monitoring/reversal displayed percentage contrasts</t>
        </is>
      </c>
      <c r="C9" s="24" t="inlineStr">
        <is>
          <t>REPORT jama_bluth_2019_oi_190055_16092.pdf — main p. 8 continued Table 2 monitoring/reversal rows S038/S039, preceding neuromuscular-blockade row and monitoring note d.</t>
        </is>
      </c>
      <c r="D9" s="21" t="inlineStr">
        <is>
          <t>retain</t>
        </is>
      </c>
      <c r="E9" s="21" t="inlineStr">
        <is>
          <t>statistical_results</t>
        </is>
      </c>
      <c r="F9" s="21" t="inlineStr">
        <is>
          <t>primary_done</t>
        </is>
      </c>
      <c r="G9" s="24">
        <f>IFERROR(IF(LEN(TRIM(CLEAN(SUBSTITUTE(Setup!$B$2,CHAR(160)," "))))=0,"CHECK REVIEWER ID",IF(OR(A9="",COUNTIF($A$2:$A$14,A9)&lt;&gt;1,LEFT(A9,LEN("2019::jama.2019.7505::"))&lt;&gt;"2019::jama.2019.7505::"),"CHECK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Table 2 continued (main p. 8, rendered): monitoring 632/982 (64.9) and 651/984 (67.7); reversal 724/982 (74.3) and 723/984 (75.2). Computed with the printed denominators: 64.4%, 66.2%, 73.7%, 73.5%. The printed percentages equal the counts over the neuromuscular-blockade totals (632/974 = 64.9; 651/961 = 67.7; 724/974 = 74.3; 723/961 = 75.2), while the printed differences (-1.8; 0.2) match the 982/984 denominators.</t>
        </is>
      </c>
    </row>
    <row r="10" ht="92" customFormat="1" customHeight="1" s="14">
      <c r="A10" s="20" t="inlineStr">
        <is>
          <t>2019::jama.2019.7505::C009</t>
        </is>
      </c>
      <c r="B10" s="20" t="inlineStr">
        <is>
          <t>DIC interval/test compatibility</t>
        </is>
      </c>
      <c r="C10" s="20" t="inlineStr">
        <is>
          <t>REPORT jama_bluth_2019_oi_190055_16092.pdf — main p. 9 Table 3 DIC S080 and jama_bluth_2019_oi_190055_16092.pdf — main p. 10 notes b/c.</t>
        </is>
      </c>
      <c r="D10" s="21" t="inlineStr">
        <is>
          <t>retain</t>
        </is>
      </c>
      <c r="E10" s="21" t="inlineStr">
        <is>
          <t>statistical_results</t>
        </is>
      </c>
      <c r="F10" s="21" t="inlineStr">
        <is>
          <t>primary_done</t>
        </is>
      </c>
      <c r="G10" s="20">
        <f>IFERROR(IF(LEN(TRIM(CLEAN(SUBSTITUTE(Setup!$B$2,CHAR(160)," "))))=0,"CHECK REVIEWER ID",IF(OR(A10="",COUNTIF($A$2:$A$14,A10)&lt;&gt;1,LEFT(A10,LEN("2019::jama.2019.7505::"))&lt;&gt;"2019::jama.2019.7505::"),"CHECK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Table 3: disseminated intravascular coagulation 1 (0.1) vs 0, 'risk ratio' 2.00 (95% CI 1.91 to 2.09), P &gt; .99. The interval excludes 1 while P &gt; .99. With 0 events in the low PEEP group the true RR is undefined; 2.00 (1.91-2.09) is the reversed ratio (1/1)/(988/1975) with its log-Wald CI (see C004).</t>
        </is>
      </c>
    </row>
    <row r="11" ht="92" customFormat="1" customHeight="1" s="14">
      <c r="A11" s="24" t="inlineStr">
        <is>
          <t>2019::jama.2019.7505::C010</t>
        </is>
      </c>
      <c r="B11" s="24" t="inlineStr">
        <is>
          <t>Mortality same-display interval relation</t>
        </is>
      </c>
      <c r="C11" s="24" t="inlineStr">
        <is>
          <t>REPORT jama_bluth_2019_oi_190055_16092.pdf — main p. 9 Table 3 in-hospital mortality S088 and pleural/hypoxemia/bradycardia comparators; jama_bluth_2019_oi_190055_16092.pdf — main p. 10 note b and vasoactive comparator.</t>
        </is>
      </c>
      <c r="D11" s="21" t="inlineStr">
        <is>
          <t>retain</t>
        </is>
      </c>
      <c r="E11" s="21" t="inlineStr">
        <is>
          <t>statistical_results</t>
        </is>
      </c>
      <c r="F11" s="21" t="inlineStr">
        <is>
          <t>primary_done</t>
        </is>
      </c>
      <c r="G11" s="24">
        <f>IFERROR(IF(LEN(TRIM(CLEAN(SUBSTITUTE(Setup!$B$2,CHAR(160)," "))))=0,"CHECK REVIEWER ID",IF(OR(A11="",COUNTIF($A$2:$A$14,A11)&lt;&gt;1,LEFT(A11,LEN("2019::jama.2019.7505::"))&lt;&gt;"2019::jama.2019.7505::"),"CHECK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Table 3: in-hospital mortality 12 (1.2) vs 5 (0.5), 'RR' 1.41 (0.95 to 1.81), P = .09. The point estimate is the reversed ratio (1.415), but the printed interval does not follow the log-Wald construction that reproduces every other row (reversed-ratio CI would be 1.04-1.93, excluding 1); it is also asymmetric on the log scale (1.41/0.95 = 1.48 vs 1.81/1.41 = 1.28). True RR = 2.40 (log-Wald 95% CI 0.85-6.77). Uncorrected chi-square P = .089 matches the printed .09.</t>
        </is>
      </c>
    </row>
    <row r="12" ht="92" customFormat="1" customHeight="1" s="14">
      <c r="A12" s="20" t="inlineStr">
        <is>
          <t>2019::jama.2019.7505::C011</t>
        </is>
      </c>
      <c r="B12" s="20" t="inlineStr">
        <is>
          <t>Mild/moderate respiratory-failure flow boundary</t>
        </is>
      </c>
      <c r="C12" s="20" t="inlineStr">
        <is>
          <t>PLAN joi190055supp1_prod_16092.pdf — protocol p. 31 pulmonary definitions versus REPORT jama_bluth_2019_oi_190055_16092.pdf — main p. 10 Table 3 note d and joi190055supp4_prod_16092.pdf — results p. 20 §2.8, with PLAN joi190055supp3_prod_16092.pdf — SAP p. 1 severe-composite definition and REPORT jama_bluth_2019_oi_190055_16092.pdf — main p. 9 affected counts.</t>
        </is>
      </c>
      <c r="D12" s="21" t="inlineStr">
        <is>
          <t>retain</t>
        </is>
      </c>
      <c r="E12" s="21" t="inlineStr">
        <is>
          <t>protocol_report</t>
        </is>
      </c>
      <c r="F12" s="21" t="inlineStr">
        <is>
          <t>primary_done</t>
        </is>
      </c>
      <c r="G12" s="20">
        <f>IFERROR(IF(LEN(TRIM(CLEAN(SUBSTITUTE(Setup!$B$2,CHAR(160)," "))))=0,"CHECK REVIEWER ID",IF(OR(A12="",COUNTIF($A$2:$A$14,A12)&lt;&gt;1,LEFT(A12,LEN("2019::jama.2019.7505::"))&lt;&gt;"2019::jama.2019.7505::"),"CHECK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substantive_difference</t>
        </is>
      </c>
      <c r="M12" s="20" t="n"/>
      <c r="N12" s="23" t="n"/>
      <c r="O12" s="23" t="n"/>
      <c r="P12" s="23" t="n"/>
      <c r="Q12" s="23" t="n"/>
      <c r="R12" s="22" t="inlineStr">
        <is>
          <t>Protocol Appendix iii (p. 31): mild respiratory failure = SpO2 &lt; 90% / PaO2 &lt; 60 in room air but responding to supplemental oxygen; moderate = hypoxemia DESPITE supplemental oxygen. Report (Table 3 note d; supp4 p. 20): mild = responding to &lt;=2 L/min oxygen; moderate = responding only to &gt;2 L/min. The mild/moderate boundary is defined differently, which also moves patients into or out of the severe-PPC secondary composite (which excludes only mild failure).</t>
        </is>
      </c>
    </row>
    <row r="13" ht="92" customFormat="1" customHeight="1" s="14">
      <c r="A13" s="24" t="inlineStr">
        <is>
          <t>2019::jama.2019.7505::C012</t>
        </is>
      </c>
      <c r="B13" s="24" t="inlineStr">
        <is>
          <t>Coma score inclusion threshold</t>
        </is>
      </c>
      <c r="C13" s="24" t="inlineStr">
        <is>
          <t>PLAN joi190055supp1_prod_16092.pdf — protocol p. 32 extra-pulmonary coma definition versus REPORT joi190055supp4_prod_16092.pdf — results p. 21 §2.8 coma definition; REPORT jama_bluth_2019_oi_190055_16092.pdf — main p. 9 coma/extrapulmonary composite counts. Fresh exact-source protocol-p32-coma-detail.png — protocol glyph detail is a visual derivative, with the linked PDF as authority.</t>
        </is>
      </c>
      <c r="D13" s="21" t="inlineStr">
        <is>
          <t>retain</t>
        </is>
      </c>
      <c r="E13" s="21" t="inlineStr">
        <is>
          <t>protocol_report</t>
        </is>
      </c>
      <c r="F13" s="21" t="inlineStr">
        <is>
          <t>primary_done</t>
        </is>
      </c>
      <c r="G13" s="24">
        <f>IFERROR(IF(LEN(TRIM(CLEAN(SUBSTITUTE(Setup!$B$2,CHAR(160)," "))))=0,"CHECK REVIEWER ID",IF(OR(A13="",COUNTIF($A$2:$A$14,A13)&lt;&gt;1,LEFT(A13,LEN("2019::jama.2019.7505::"))&lt;&gt;"2019::jama.2019.7505::"),"CHECK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t="inlineStr">
        <is>
          <t>minor_presentation</t>
        </is>
      </c>
      <c r="M13" s="24" t="n"/>
      <c r="N13" s="23" t="n"/>
      <c r="O13" s="23" t="n"/>
      <c r="P13" s="23" t="n"/>
      <c r="Q13" s="23" t="n"/>
      <c r="R13" s="22" t="inlineStr">
        <is>
          <t>Protocol p. 32 coma definition, rendered at 300 dpi: 'Glasgow Coma Score &lt;= 8' (underlined less-than; text layer shows '&lt;'). Results supplement p. 21: 'Glasgow Coma Score &lt; 8'. A GCS of exactly 8 counts as coma under the plan but not under the report. 2 vs 2 coma events reported.</t>
        </is>
      </c>
    </row>
    <row r="14" ht="92" customFormat="1" customHeight="1" s="14">
      <c r="A14" s="20" t="inlineStr">
        <is>
          <t>2019::jama.2019.7505::C013</t>
        </is>
      </c>
      <c r="B14" s="20" t="inlineStr">
        <is>
          <t>Per-protocol cardiopulmonary-edema interval/test compatibility</t>
        </is>
      </c>
      <c r="C14" s="20" t="inlineStr">
        <is>
          <t>REPORT joi190055supp4_prod_16092.pdf — results p. 29 eTable 8 cardiopulmonary edema S355; REPORT jama_bluth_2019_oi_190055_16092.pdf — main p. 4 binary/per-protocol methods supplies context.</t>
        </is>
      </c>
      <c r="D14" s="21" t="inlineStr">
        <is>
          <t>retain</t>
        </is>
      </c>
      <c r="E14" s="21" t="inlineStr">
        <is>
          <t>statistical_results</t>
        </is>
      </c>
      <c r="F14" s="21" t="inlineStr">
        <is>
          <t>primary_done</t>
        </is>
      </c>
      <c r="G14" s="20">
        <f>IFERROR(IF(LEN(TRIM(CLEAN(SUBSTITUTE(Setup!$B$2,CHAR(160)," "))))=0,"CHECK REVIEWER ID",IF(OR(A14="",COUNTIF($A$2:$A$14,A14)&lt;&gt;1,LEFT(A14,LEN("2019::jama.2019.7505::"))&lt;&gt;"2019::jama.2019.7505::"),"CHECK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8 per-protocol (supp4 p. 29, rendered): cardiopulmonary edema 15/917 vs 7/912, effect 1.36 (1.02-1.82), P = 0.09. The interval excludes 1 while P = .09 (uncorrected chi-square .089). The estimate and CI are the reversed ratio (1.366, 1.023-1.824; true RR 2.13), so the interval and the chi-square test come from different constructions and disagree on significance.</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2026-10-14T21:03:18Z</dcterms:modified>
</cp:coreProperties>
</file>