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etup" sheetId="1" state="visible" r:id="rId1"/>
    <sheet name="Checks" sheetId="2" state="visible" r:id="rId2"/>
    <sheet name="Papers" sheetId="3" state="visible" r:id="rId3"/>
    <sheet name="C_jama.2024.0318" sheetId="4" state="visible" r:id="rId4"/>
    <sheet name="C_jama.2024.0572" sheetId="5" state="visible" r:id="rId5"/>
    <sheet name="C_jama.2024.11057" sheetId="6" state="visible" r:id="rId6"/>
    <sheet name="C_jama.2024.12829" sheetId="7" state="visible" r:id="rId7"/>
    <sheet name="C_jama.2024.19585" sheetId="8" state="visible" r:id="rId8"/>
    <sheet name="C_jama.2024.2302" sheetId="9" state="visible" r:id="rId9"/>
    <sheet name="C_jama.2024.23898" sheetId="10" state="visible" r:id="rId10"/>
    <sheet name="C_jama.2024.25786" sheetId="11" state="visible" r:id="rId11"/>
    <sheet name="C_jama.2024.4183" sheetId="12" state="visible" r:id="rId12"/>
    <sheet name="C_jama.2024.6063" sheetId="13" state="visible" r:id="rId13"/>
    <sheet name="Codebook" sheetId="14" state="visible" r:id="rId14"/>
  </sheets>
  <definedNames>
    <definedName name="_xlnm._FilterDatabase" localSheetId="3" hidden="1">'C_jama.2024.0318'!$A$1:$R$15</definedName>
    <definedName name="_xlnm._FilterDatabase" localSheetId="4" hidden="1">'C_jama.2024.0572'!$A$1:$R$20</definedName>
    <definedName name="_xlnm._FilterDatabase" localSheetId="5" hidden="1">'C_jama.2024.11057'!$A$1:$R$6</definedName>
    <definedName name="_xlnm._FilterDatabase" localSheetId="6" hidden="1">'C_jama.2024.12829'!$A$1:$R$8</definedName>
    <definedName name="_xlnm._FilterDatabase" localSheetId="7" hidden="1">'C_jama.2024.19585'!$A$1:$R$8</definedName>
    <definedName name="_xlnm._FilterDatabase" localSheetId="8" hidden="1">'C_jama.2024.2302'!$A$1:$R$7</definedName>
    <definedName name="_xlnm._FilterDatabase" localSheetId="9" hidden="1">'C_jama.2024.23898'!$A$1:$R$14</definedName>
    <definedName name="_xlnm._FilterDatabase" localSheetId="10" hidden="1">'C_jama.2024.25786'!$A$1:$R$16</definedName>
    <definedName name="_xlnm._FilterDatabase" localSheetId="11" hidden="1">'C_jama.2024.4183'!$A$1:$R$15</definedName>
    <definedName name="_xlnm._FilterDatabase" localSheetId="12" hidden="1">'C_jama.2024.6063'!$A$1:$R$14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color rgb="FF173F57"/>
      <sz val="11"/>
    </font>
    <font>
      <name val="Calibri"/>
      <b val="1"/>
      <color rgb="FFFFFFFF"/>
      <sz val="11"/>
    </font>
    <font>
      <name val="Calibri"/>
      <color rgb="00173F57"/>
      <sz val="11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173F57"/>
      </patternFill>
    </fill>
    <fill>
      <patternFill patternType="solid">
        <fgColor rgb="FFF4F8FA"/>
      </patternFill>
    </fill>
    <fill>
      <patternFill patternType="solid">
        <fgColor rgb="FFFFF2CC"/>
      </patternFill>
    </fill>
    <fill>
      <patternFill patternType="solid">
        <fgColor rgb="FFEAF3FC"/>
      </patternFill>
    </fill>
    <fill>
      <patternFill patternType="solid">
        <fgColor rgb="00173F57"/>
      </patternFill>
    </fill>
    <fill>
      <patternFill patternType="solid">
        <fgColor rgb="00F4F8FA"/>
      </patternFill>
    </fill>
    <fill>
      <patternFill patternType="solid">
        <fgColor rgb="00FFF2CC"/>
      </patternFill>
    </fill>
    <fill>
      <patternFill patternType="solid">
        <fgColor rgb="00EAF3FC"/>
      </patternFill>
    </fill>
  </fills>
  <borders count="1">
    <border/>
  </borders>
  <cellStyleXfs count="1">
    <xf numFmtId="0" fontId="0" fillId="0" borderId="0" applyProtection="1">
      <protection locked="0" hidden="0"/>
    </xf>
  </cellStyleXfs>
  <cellXfs count="26"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2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5" borderId="0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4" fillId="6" borderId="0" applyAlignment="1" applyProtection="1" pivotButton="0" quotePrefix="0" xfId="0">
      <alignment vertical="center" wrapText="1"/>
      <protection locked="0" hidden="0"/>
    </xf>
    <xf numFmtId="0" fontId="3" fillId="7" borderId="0" applyAlignment="1" applyProtection="1" pivotButton="0" quotePrefix="0" xfId="0">
      <alignment vertical="center" wrapText="1"/>
      <protection locked="0" hidden="0"/>
    </xf>
    <xf numFmtId="0" fontId="3" fillId="0" borderId="0" applyAlignment="1" applyProtection="1" pivotButton="0" quotePrefix="0" xfId="0">
      <alignment vertical="center" wrapText="1"/>
      <protection locked="0" hidden="0"/>
    </xf>
    <xf numFmtId="0" fontId="3" fillId="8" borderId="0" applyAlignment="1" applyProtection="1" pivotButton="0" quotePrefix="0" xfId="0">
      <alignment vertical="center" wrapText="1"/>
      <protection locked="0" hidden="0"/>
    </xf>
    <xf numFmtId="0" fontId="2" fillId="2" borderId="0" applyAlignment="1" applyProtection="1" pivotButton="0" quotePrefix="0" xfId="0">
      <alignment vertical="center" wrapText="1"/>
      <protection locked="0" hidden="0"/>
    </xf>
    <xf numFmtId="0" fontId="1" fillId="3" borderId="0" applyAlignment="1" applyProtection="1" pivotButton="0" quotePrefix="0" xfId="0">
      <alignment vertical="center" wrapText="1"/>
      <protection locked="0" hidden="0"/>
    </xf>
    <xf numFmtId="0" fontId="1" fillId="8" borderId="0" applyAlignment="1" applyProtection="1" pivotButton="0" quotePrefix="0" xfId="0">
      <alignment vertical="center" wrapText="1"/>
      <protection locked="0" hidden="0"/>
    </xf>
    <xf numFmtId="0" fontId="1" fillId="9" borderId="0" applyAlignment="1" applyProtection="1" pivotButton="0" quotePrefix="0" xfId="0">
      <alignment vertical="center" wrapText="1"/>
      <protection locked="0" hidden="0"/>
    </xf>
    <xf numFmtId="0" fontId="1" fillId="4" borderId="0" applyAlignment="1" applyProtection="1" pivotButton="0" quotePrefix="0" xfId="0">
      <alignment vertical="center" wrapText="1"/>
      <protection locked="0" hidden="0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0" fillId="0" borderId="0" pivotButton="0" quotePrefix="0" xfId="0"/>
  </cellXfs>
  <cellStyles count="1">
    <cellStyle name="Normal" xfId="0"/>
  </cellStyles>
  <dxfs count="72"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9C0006"/>
      </font>
      <fill>
        <patternFill patternType="solid">
          <bgColor rgb="FFFFF2CC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FF687783"/>
      </font>
      <fill>
        <patternFill patternType="solid">
          <bgColor rgb="FFEDF2F5"/>
        </patternFill>
      </fill>
    </dxf>
    <dxf>
      <font>
        <color rgb="00687783"/>
      </font>
      <fill>
        <patternFill patternType="solid">
          <fgColor rgb="00EDF2F5"/>
        </patternFill>
      </fill>
    </dxf>
    <dxf>
      <font>
        <color rgb="009C0006"/>
      </font>
      <fill>
        <patternFill patternType="solid">
          <fgColor rgb="00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65" customWidth="1" style="14" min="2" max="2"/>
  </cols>
  <sheetData>
    <row r="1" ht="42" customFormat="1" customHeight="1" s="14">
      <c r="A1" s="15" t="inlineStr">
        <is>
          <t>Field</t>
        </is>
      </c>
      <c r="B1" s="15" t="inlineStr">
        <is>
          <t>Value</t>
        </is>
      </c>
    </row>
    <row r="2" ht="42" customFormat="1" customHeight="1" s="14">
      <c r="A2" s="16" t="inlineStr">
        <is>
          <t>reviewerId</t>
        </is>
      </c>
      <c r="B2" s="18" t="n"/>
    </row>
    <row r="3" ht="42" customFormat="1" customHeight="1" s="14">
      <c r="A3" s="17" t="inlineStr">
        <is>
          <t>reviewerName (optional)</t>
        </is>
      </c>
      <c r="B3" s="18" t="n"/>
    </row>
    <row r="4" ht="42" customFormat="1" customHeight="1" s="14">
      <c r="A4" s="16" t="inlineStr">
        <is>
          <t>reviewerRole</t>
        </is>
      </c>
      <c r="B4" s="16" t="inlineStr">
        <is>
          <t>R_B</t>
        </is>
      </c>
    </row>
    <row r="5" ht="42" customFormat="1" customHeight="1" s="14">
      <c r="A5" s="17" t="inlineStr">
        <is>
          <t>year</t>
        </is>
      </c>
      <c r="B5" s="17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style="14" min="1" max="1"/>
    <col width="100" customWidth="1" style="14" min="2" max="2"/>
  </cols>
  <sheetData>
    <row r="1" ht="42" customFormat="1" customHeight="1" s="14">
      <c r="A1" s="15" t="inlineStr">
        <is>
          <t>Check</t>
        </is>
      </c>
      <c r="B1" s="15" t="inlineStr">
        <is>
          <t>Result</t>
        </is>
      </c>
    </row>
    <row r="2" ht="55" customFormat="1" customHeight="1" s="14">
      <c r="A2" s="16" t="inlineStr">
        <is>
          <t>Reviewer role</t>
        </is>
      </c>
      <c r="B2" s="16">
        <f>Setup!B4</f>
        <v/>
      </c>
    </row>
    <row r="3" ht="55" customFormat="1" customHeight="1" s="14">
      <c r="A3" s="17" t="inlineStr">
        <is>
          <t>Candidates</t>
        </is>
      </c>
      <c r="B3" s="17" t="n">
        <v>113</v>
      </c>
    </row>
    <row r="4" ht="55" customFormat="1" customHeight="1" s="14">
      <c r="A4" s="16" t="inlineStr">
        <is>
          <t>Primary ready rows</t>
        </is>
      </c>
      <c r="B4" s="16">
        <f>COUNTIF('C_jama.2024.0318'!$G$2:$G$15,"PRIMARY READY")+COUNTIF('C_jama.2024.0572'!$G$2:$G$20,"PRIMARY READY")+COUNTIF('C_jama.2024.11057'!$G$2:$G$6,"PRIMARY READY")+COUNTIF('C_jama.2024.12829'!$G$2:$G$8,"PRIMARY READY")+COUNTIF('C_jama.2024.19585'!$G$2:$G$8,"PRIMARY READY")+COUNTIF('C_jama.2024.2302'!$G$2:$G$7,"PRIMARY READY")+COUNTIF('C_jama.2024.23898'!$G$2:$G$14,"PRIMARY READY")+COUNTIF('C_jama.2024.25786'!$G$2:$G$16,"PRIMARY READY")+COUNTIF('C_jama.2024.4183'!$G$2:$G$15,"PRIMARY READY")+COUNTIF('C_jama.2024.6063'!$G$2:$G$14,"PRIMARY READY")</f>
        <v/>
      </c>
    </row>
    <row r="5" ht="55" customFormat="1" customHeight="1" s="14">
      <c r="A5" s="17" t="inlineStr">
        <is>
          <t>Discuss / unresolved rows</t>
        </is>
      </c>
      <c r="B5" s="17">
        <f>COUNTIF('C_jama.2024.0318'!$D$2:$D$15,"discuss")+COUNTIF('C_jama.2024.0572'!$D$2:$D$20,"discuss")+COUNTIF('C_jama.2024.11057'!$D$2:$D$6,"discuss")+COUNTIF('C_jama.2024.12829'!$D$2:$D$8,"discuss")+COUNTIF('C_jama.2024.19585'!$D$2:$D$8,"discuss")+COUNTIF('C_jama.2024.2302'!$D$2:$D$7,"discuss")+COUNTIF('C_jama.2024.23898'!$D$2:$D$14,"discuss")+COUNTIF('C_jama.2024.25786'!$D$2:$D$16,"discuss")+COUNTIF('C_jama.2024.4183'!$D$2:$D$15,"discuss")+COUNTIF('C_jama.2024.6063'!$D$2:$D$14,"discuss")</f>
        <v/>
      </c>
    </row>
    <row r="6" ht="55" customFormat="1" customHeight="1" s="14">
      <c r="A6" s="16" t="inlineStr">
        <is>
          <t>Unfinished rows</t>
        </is>
      </c>
      <c r="B6" s="16">
        <f>B3-B4</f>
        <v/>
      </c>
    </row>
    <row r="7" ht="55" customFormat="1" customHeight="1" s="14">
      <c r="A7" s="17" t="inlineStr">
        <is>
          <t>Workflow status</t>
        </is>
      </c>
      <c r="B7" s="17">
        <f>IF(B4=B3,"PRIMARY READY","ACTION NEEDED")</f>
        <v/>
      </c>
    </row>
    <row r="8" ht="55" customFormat="1" customHeight="1" s="14">
      <c r="A8" s="16" t="inlineStr">
        <is>
          <t>Meaning</t>
        </is>
      </c>
      <c r="B8" s="16" t="inlineStr">
        <is>
          <t>PRIMARY READY means independent entry is complete. Discuss remains unresolved and is not counted as absence of error.</t>
        </is>
      </c>
    </row>
    <row r="9" ht="55" customFormat="1" customHeight="1" s="14">
      <c r="A9" s="17" t="inlineStr">
        <is>
          <t>Next action</t>
        </is>
      </c>
      <c r="B9" s="17" t="inlineStr">
        <is>
          <t>Inspect G on the C_ sheets. Save and deliver this file after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style="14" min="1" max="1"/>
    <col width="38" customWidth="1" style="14" min="2" max="2"/>
    <col width="18" customWidth="1" style="14" min="3" max="3"/>
  </cols>
  <sheetData>
    <row r="1" ht="42" customFormat="1" customHeight="1" s="14">
      <c r="A1" s="15" t="inlineStr">
        <is>
          <t>Paper</t>
        </is>
      </c>
      <c r="B1" s="15" t="inlineStr">
        <is>
          <t>Review worksheet</t>
        </is>
      </c>
      <c r="C1" s="15" t="inlineStr">
        <is>
          <t>Candidates</t>
        </is>
      </c>
    </row>
    <row r="2" ht="36" customHeight="1" s="25">
      <c r="A2" s="16" t="inlineStr">
        <is>
          <t>jama.2024.0318</t>
        </is>
      </c>
      <c r="B2" s="16" t="inlineStr">
        <is>
          <t>C_jama.2024.0318</t>
        </is>
      </c>
      <c r="C2" s="16" t="n">
        <v>14</v>
      </c>
    </row>
    <row r="3" ht="36" customHeight="1" s="25">
      <c r="A3" s="17" t="inlineStr">
        <is>
          <t>jama.2024.0572</t>
        </is>
      </c>
      <c r="B3" s="17" t="inlineStr">
        <is>
          <t>C_jama.2024.0572</t>
        </is>
      </c>
      <c r="C3" s="17" t="n">
        <v>19</v>
      </c>
    </row>
    <row r="4" ht="36" customHeight="1" s="25">
      <c r="A4" s="16" t="inlineStr">
        <is>
          <t>jama.2024.11057</t>
        </is>
      </c>
      <c r="B4" s="16" t="inlineStr">
        <is>
          <t>C_jama.2024.11057</t>
        </is>
      </c>
      <c r="C4" s="16" t="n">
        <v>5</v>
      </c>
    </row>
    <row r="5" ht="36" customHeight="1" s="25">
      <c r="A5" s="17" t="inlineStr">
        <is>
          <t>jama.2024.12829</t>
        </is>
      </c>
      <c r="B5" s="17" t="inlineStr">
        <is>
          <t>C_jama.2024.12829</t>
        </is>
      </c>
      <c r="C5" s="17" t="n">
        <v>7</v>
      </c>
    </row>
    <row r="6" ht="36" customHeight="1" s="25">
      <c r="A6" s="16" t="inlineStr">
        <is>
          <t>jama.2024.19585</t>
        </is>
      </c>
      <c r="B6" s="16" t="inlineStr">
        <is>
          <t>C_jama.2024.19585</t>
        </is>
      </c>
      <c r="C6" s="16" t="n">
        <v>7</v>
      </c>
    </row>
    <row r="7" ht="36" customHeight="1" s="25">
      <c r="A7" s="17" t="inlineStr">
        <is>
          <t>jama.2024.2302</t>
        </is>
      </c>
      <c r="B7" s="17" t="inlineStr">
        <is>
          <t>C_jama.2024.2302</t>
        </is>
      </c>
      <c r="C7" s="17" t="n">
        <v>6</v>
      </c>
    </row>
    <row r="8" ht="36" customHeight="1" s="25">
      <c r="A8" s="16" t="inlineStr">
        <is>
          <t>jama.2024.23898</t>
        </is>
      </c>
      <c r="B8" s="16" t="inlineStr">
        <is>
          <t>C_jama.2024.23898</t>
        </is>
      </c>
      <c r="C8" s="16" t="n">
        <v>13</v>
      </c>
    </row>
    <row r="9" ht="36" customHeight="1" s="25">
      <c r="A9" s="17" t="inlineStr">
        <is>
          <t>jama.2024.25786</t>
        </is>
      </c>
      <c r="B9" s="17" t="inlineStr">
        <is>
          <t>C_jama.2024.25786</t>
        </is>
      </c>
      <c r="C9" s="17" t="n">
        <v>15</v>
      </c>
    </row>
    <row r="10" ht="36" customHeight="1" s="25">
      <c r="A10" s="16" t="inlineStr">
        <is>
          <t>jama.2024.4183</t>
        </is>
      </c>
      <c r="B10" s="16" t="inlineStr">
        <is>
          <t>C_jama.2024.4183</t>
        </is>
      </c>
      <c r="C10" s="16" t="n">
        <v>14</v>
      </c>
    </row>
    <row r="11" ht="36" customHeight="1" s="25">
      <c r="A11" s="17" t="inlineStr">
        <is>
          <t>jama.2024.6063</t>
        </is>
      </c>
      <c r="B11" s="17" t="inlineStr">
        <is>
          <t>C_jama.2024.6063</t>
        </is>
      </c>
      <c r="C11" s="17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2024::jama.2024.0318::C001</t>
        </is>
      </c>
      <c r="B2" s="20" t="inlineStr">
        <is>
          <t>Positive HbA1c point and signed interval</t>
        </is>
      </c>
      <c r="C2" s="20" t="inlineStr">
        <is>
          <t>every affected occurrence: jama_courcoulas_2024_oi_240004_1721756962.76052.pdf — main p1 abstract, jama_courcoulas_2024_oi_240004_1721756962.76052.pdf — main p3 Results paragraph, and jama_courcoulas_2024_oi_240004_1721756962.76052.pdf — main p6 Table 2 HbA1c row and footnote b; all REPORT by published result content.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ID",IF(OR(A2="",COUNTIF($A$2:$A$15,A2)&lt;&gt;1,LEFT(A2,LEN("2024::jama.2024.0318::"))&lt;&gt;"2024::jama.2024.0318::"),"CHECK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2024::jama.2024.0318::C002</t>
        </is>
      </c>
      <c r="B3" s="24" t="inlineStr">
        <is>
          <t>Year-12 HbA1c P value</t>
        </is>
      </c>
      <c r="C3" s="24" t="inlineStr">
        <is>
          <t>jama_courcoulas_2024_oi_240004_1721756962.76052.pdf — main p1 abstract, jama_courcoulas_2024_oi_240004_1721756962.76052.pdf — main p3 year-12 result, joi240004supp2_prod_1721756962.82552.pdf — supplement p15 eTable 2 HbA1c row, and joi240004supp2_prod_1721756962.82552.pdf — supplement p4 ITT model/visit contrasts; all REPORT. Contextual correction notice: jama_courcoulas_2024_oi_240004_1721756962.76052.pdf — main p9 registry-link correction.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ID",IF(OR(A3="",COUNTIF($A$2:$A$15,A3)&lt;&gt;1,LEFT(A3,LEN("2024::jama.2024.0318::"))&lt;&gt;"2024::jama.2024.0318::"),"CHECK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2024::jama.2024.0318::C003</t>
        </is>
      </c>
      <c r="B4" s="20" t="inlineStr">
        <is>
          <t>Pooled mortality percentage</t>
        </is>
      </c>
      <c r="C4" s="20" t="inlineStr">
        <is>
          <t>jama_courcoulas_2024_oi_240004_1721756962.76052.pdf — main p1 abstract cohort and deaths, jama_courcoulas_2024_oi_240004_1721756962.76052.pdf — p3 enrolled cohort, jama_courcoulas_2024_oi_240004_1721756962.76052.pdf — p4 Table 1 headers, jama_courcoulas_2024_oi_240004_1721756962.76052.pdf — p7 death paragraph, and jama_courcoulas_2024_oi_240004_1721756962.76052.pdf — p8 Table 3 headers/Death row/footnote; all REPORT.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ID",IF(OR(A4="",COUNTIF($A$2:$A$15,A4)&lt;&gt;1,LEFT(A4,LEN("2024::jama.2024.0318::"))&lt;&gt;"2024::jama.2024.0318::"),"CHECK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2024::jama.2024.0318::C004</t>
        </is>
      </c>
      <c r="B5" s="24" t="inlineStr">
        <is>
          <t>Primary HbA1c response scale</t>
        </is>
      </c>
      <c r="C5" s="24" t="inlineStr">
        <is>
          <t>PLAN joi240004supp1_prod_1721756962.80052.pdf — p17 primary endpoint, joi240004supp1_prod_1721756962.80052.pdf — p26 A1 response, joi240004supp1_prod_1721756962.80052.pdf — p27 hypothesis/power assumptions, joi240004supp1_prod_1721756962.80052.pdf — p29 Table A1/Figure A1; REPORT jama_courcoulas_2024_oi_240004_1721756962.76052.pdf — main p2 outcome/statistical methods, jama_courcoulas_2024_oi_240004_1721756962.76052.pdf — main p6 Table 2/footnotes, joi240004supp2_prod_1721756962.82552.pdf — supplement p4 primary model, joi240004supp2_prod_1721756962.82552.pdf — p15 eTable 2/footnote b, joi240004supp2_prod_1721756962.82552.pdf — p16 continued footnote c.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ID",IF(OR(A5="",COUNTIF($A$2:$A$15,A5)&lt;&gt;1,LEFT(A5,LEN("2024::jama.2024.0318::"))&lt;&gt;"2024::jama.2024.0318::"),"CHECK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2024::jama.2024.0318::C005</t>
        </is>
      </c>
      <c r="B6" s="20" t="inlineStr">
        <is>
          <t>Remission medication-free window</t>
        </is>
      </c>
      <c r="C6" s="20" t="inlineStr">
        <is>
          <t>PLAN joi240004supp1_prod_1721756962.80052.pdf — p18 remission item 2, joi240004supp1_prod_1721756962.80052.pdf — p29 Table A1 remission row; REPORT jama_courcoulas_2024_oi_240004_1721756962.76052.pdf — main p2 remission definition, jama_courcoulas_2024_oi_240004_1721756962.76052.pdf — p1 abstract remission rates, jama_courcoulas_2024_oi_240004_1721756962.76052.pdf — p7 Figure 3/caption. The associated reported OR is found in jama_courcoulas_2024_oi_240004_1721756962.76052.pdf — main p6 Table 2.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ID",IF(OR(A6="",COUNTIF($A$2:$A$15,A6)&lt;&gt;1,LEFT(A6,LEN("2024::jama.2024.0318::"))&lt;&gt;"2024::jama.2024.0318::"),"CHECK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2024::jama.2024.0318::C006</t>
        </is>
      </c>
      <c r="B7" s="24" t="inlineStr">
        <is>
          <t>Cardiovascular outcome status</t>
        </is>
      </c>
      <c r="C7" s="24" t="inlineStr">
        <is>
          <t>PLAN joi240004supp1_prod_1721756962.80052.pdf — p18 secondary list/section 4.4, joi240004supp1_prod_1721756962.80052.pdf — p29 Table A1 Aim 2 efficacy entries, joi240004supp1_prod_1721756962.80052.pdf — p30 Table A1 continuation/safety entry; REPORT jama_courcoulas_2024_oi_240004_1721756962.76052.pdf — main p2 other secondary outcomes, jama_courcoulas_2024_oi_240004_1721756962.76052.pdf — p1 abstract cardiovascular finding, jama_courcoulas_2024_oi_240004_1721756962.76052.pdf — p8 Table 3 cardiovascular rows.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ID",IF(OR(A7="",COUNTIF($A$2:$A$15,A7)&lt;&gt;1,LEFT(A7,LEN("2024::jama.2024.0318::"))&lt;&gt;"2024::jama.2024.0318::"),"CHECK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2024::jama.2024.0318::C007</t>
        </is>
      </c>
      <c r="B8" s="20" t="inlineStr">
        <is>
          <t>Primary baseline adjustment</t>
        </is>
      </c>
      <c r="C8" s="20" t="inlineStr">
        <is>
          <t>PLAN joi240004supp1_prod_1721756962.80052.pdf — p26 A1 and Z definition, joi240004supp1_prod_1721756962.80052.pdf — p34 further baseline sensitivities; REPORT jama_courcoulas_2024_oi_240004_1721756962.76052.pdf — main p2 fixed-effect list, jama_courcoulas_2024_oi_240004_1721756962.76052.pdf — p3 fixed-effect continuation, joi240004supp2_prod_1721756962.82552.pdf — supplement p4 primary model.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ID",IF(OR(A8="",COUNTIF($A$2:$A$15,A8)&lt;&gt;1,LEFT(A8,LEN("2024::jama.2024.0318::"))&lt;&gt;"2024::jama.2024.0318::"),"CHECK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Height="1" s="25">
      <c r="A9" s="24" t="inlineStr">
        <is>
          <t>2024::jama.2024.0318::C008</t>
        </is>
      </c>
      <c r="B9" s="24" t="inlineStr">
        <is>
          <t>Planned primary sensitivity package not reported</t>
        </is>
      </c>
      <c r="C9" s="24" t="inlineStr">
        <is>
          <t>PLAN joi240004supp1_prod_1721756962.80052.pdf — p30 MICE/Rubin/pattern-mixture/crossover sensitivity, joi240004supp1_prod_1721756962.80052.pdf — p31 treatment×censoring weight and postcrossover discard, joi240004supp1_prod_1721756962.80052.pdf — p34 expanded baseline sensitivities; REPORT jama_courcoulas_2024_oi_240004_1721756962.76052.pdf — main p3 methods/sensitivity estimate, jama_courcoulas_2024_oi_240004_1721756962.76052.pdf — p9 limitations, joi240004supp2_prod_1721756962.82552.pdf — supplement p4 model, joi240004supp2_prod_1721756962.82552.pdf — p5 IPW formula/assignment/missingness, joi240004supp2_prod_1721756962.82552.pdf — p6 continuation, joi240004supp2_prod_1721756962.82552.pdf — p9 eFigure 2.</t>
        </is>
      </c>
      <c r="D9" s="21" t="n"/>
      <c r="E9" s="21" t="inlineStr">
        <is>
          <t>protocol_report</t>
        </is>
      </c>
      <c r="F9" s="21" t="inlineStr">
        <is>
          <t>no</t>
        </is>
      </c>
      <c r="G9" s="24">
        <f>IFERROR(IF(LEN(TRIM(CLEAN(SUBSTITUTE(Setup!$B$2,CHAR(160)," "))))=0,"CHECK REVIEWER ID",IF(OR(A9="",COUNTIF($A$2:$A$15,A9)&lt;&gt;1,LEFT(A9,LEN("2024::jama.2024.0318::"))&lt;&gt;"2024::jama.2024.0318::"),"CHECK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Height="1" s="25">
      <c r="A10" s="20" t="inlineStr">
        <is>
          <t>2024::jama.2024.0318::C009</t>
        </is>
      </c>
      <c r="B10" s="20" t="inlineStr">
        <is>
          <t>Planned binary A2 and reported GEE</t>
        </is>
      </c>
      <c r="C10" s="20" t="inlineStr">
        <is>
          <t>PLAN joi240004supp1_prod_1721756962.80052.pdf — p27 A2/secondary-model text; REPORT jama_courcoulas_2024_oi_240004_1721756962.76052.pdf — main p3 binary/GEE paragraph, jama_courcoulas_2024_oi_240004_1721756962.76052.pdf — p6 Table 2 binary rows, joi240004supp2_prod_1721756962.82552.pdf — supplement p4 binary GEE, joi240004supp2_prod_1721756962.82552.pdf — p5 continuation, joi240004supp2_prod_1721756962.82552.pdf — p15 eTable 2 binary rows.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ID",IF(OR(A10="",COUNTIF($A$2:$A$15,A10)&lt;&gt;1,LEFT(A10,LEN("2024::jama.2024.0318::"))&lt;&gt;"2024::jama.2024.0318::"),"CHECK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Height="1" s="25">
      <c r="A11" s="24" t="inlineStr">
        <is>
          <t>2024::jama.2024.0318::C010</t>
        </is>
      </c>
      <c r="B11" s="24" t="inlineStr">
        <is>
          <t>Medical medication OR interval pattern</t>
        </is>
      </c>
      <c r="C11" s="24" t="inlineStr">
        <is>
          <t>REPORT jama_courcoulas_2024_oi_240004_1721756962.76052.pdf — main p6 Table 2 use-of-medications medical change column and all binary comparator cells/footnotes, and corroborating REPORT joi240004supp2_prod_1721756962.82552.pdf — supplement p4 GEE/sandwich method. Every lower/upper limit and displayed decimal precision was visually checked.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ID",IF(OR(A11="",COUNTIF($A$2:$A$15,A11)&lt;&gt;1,LEFT(A11,LEN("2024::jama.2024.0318::"))&lt;&gt;"2024::jama.2024.0318::"),"CHECK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Height="1" s="25">
      <c r="A12" s="20" t="inlineStr">
        <is>
          <t>2024::jama.2024.0318::C011</t>
        </is>
      </c>
      <c r="B12" s="20" t="inlineStr">
        <is>
          <t>Vascular and safety test mapping</t>
        </is>
      </c>
      <c r="C12" s="20" t="inlineStr">
        <is>
          <t>PLAN joi240004supp1_prod_1721756962.80052.pdf — p34 Aim 2 vascular/safety paragraph, joi240004supp1_prod_1721756962.80052.pdf — p35 power/secondary continuation, joi240004supp1_prod_1721756962.80052.pdf — p26 separate baseline-comparison CMH paragraph; REPORT jama_courcoulas_2024_oi_240004_1721756962.76052.pdf — main p1 abstract cardiovascular statement, jama_courcoulas_2024_oi_240004_1721756962.76052.pdf — p7 event/procedure narrative, joi240004supp2_prod_1721756962.82552.pdf — supplement p6 event-test methods, joi240004supp2_prod_1721756962.82552.pdf — p17 nutritional categorical comparisons, joi240004supp2_prod_1721756962.82552.pdf — p19 eTable 5 example P cells, joi240004supp2_prod_1721756962.82552.pdf — p20 eTable 5 footnote b, joi240004supp2_prod_1721756962.82552.pdf — p21 eTable 6/footnote b.</t>
        </is>
      </c>
      <c r="D12" s="21" t="n"/>
      <c r="E12" s="21" t="inlineStr">
        <is>
          <t>protocol_report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ID",IF(OR(A12="",COUNTIF($A$2:$A$15,A12)&lt;&gt;1,LEFT(A12,LEN("2024::jama.2024.0318::"))&lt;&gt;"2024::jama.2024.0318::"),"CHECK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Height="1" s="25">
      <c r="A13" s="24" t="inlineStr">
        <is>
          <t>2024::jama.2024.0318::C012</t>
        </is>
      </c>
      <c r="B13" s="24" t="inlineStr">
        <is>
          <t>Fixed site and power variance specification</t>
        </is>
      </c>
      <c r="C13" s="24" t="inlineStr">
        <is>
          <t>PLAN joi240004supp1_prod_1721756962.80052.pdf — p26 A1/b_i/Z definition, joi240004supp1_prod_1721756962.80052.pdf — p28 primary power variance-component paragraph, joi240004supp1_prod_1721756962.80052.pdf — p31 heterogeneity/distribution paragraph; corroborating REPORT jama_courcoulas_2024_oi_240004_1721756962.76052.pdf — main p2 primary model, jama_courcoulas_2024_oi_240004_1721756962.76052.pdf — p3 fixed-effect continuation, joi240004supp2_prod_1721756962.82552.pdf — supplement p4 fixed-site model. PLAN joi240004supp1_prod_1721756962.80052.pdf — p27 identifiability clause was also reread.</t>
        </is>
      </c>
      <c r="D13" s="21" t="n"/>
      <c r="E13" s="21" t="inlineStr">
        <is>
          <t>plan_material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ID",IF(OR(A13="",COUNTIF($A$2:$A$15,A13)&lt;&gt;1,LEFT(A13,LEN("2024::jama.2024.0318::"))&lt;&gt;"2024::jama.2024.0318::"),"CHECK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Height="1" s="25">
      <c r="A14" s="20" t="inlineStr">
        <is>
          <t>2024::jama.2024.0318::C013</t>
        </is>
      </c>
      <c r="B14" s="20" t="inlineStr">
        <is>
          <t>Appendix randomization-dropout accounting</t>
        </is>
      </c>
      <c r="C14" s="20" t="inlineStr">
        <is>
          <t>PLAN joi240004supp1_prod_1721756962.80052.pdf — p55 Appendix 2 table title, # Randomized and Number underwent intervention† rows, joi240004supp1_prod_1721756962.80052.pdf — p56 table continuation and dagger definition/dropout statement, and corroborating PLAN joi240004supp1_prod_1721756962.80052.pdf — p27 randomized/initiated population paragraph.</t>
        </is>
      </c>
      <c r="D14" s="21" t="n"/>
      <c r="E14" s="21" t="inlineStr">
        <is>
          <t>plan_material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ID",IF(OR(A14="",COUNTIF($A$2:$A$15,A14)&lt;&gt;1,LEFT(A14,LEN("2024::jama.2024.0318::"))&lt;&gt;"2024::jama.2024.0318::"),"CHECK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Height="1" s="25">
      <c r="A15" s="24" t="inlineStr">
        <is>
          <t>2024::jama.2024.0318::C014</t>
        </is>
      </c>
      <c r="B15" s="24" t="inlineStr">
        <is>
          <t>Other race count and percentage</t>
        </is>
      </c>
      <c r="C15" s="24" t="inlineStr">
        <is>
          <t>REPORT joi240004supp2_prod_1721756962.82552.pdf — supplement p14 eTable 1 7-year column, race rows and footnotes a/b.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ID",IF(OR(A15="",COUNTIF($A$2:$A$15,A15)&lt;&gt;1,LEFT(A15,LEN("2024::jama.2024.0318::"))&lt;&gt;"2024::jama.2024.0318::"),"CHECK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</sheetData>
  <autoFilter ref="A1:R15"/>
  <conditionalFormatting sqref="H2:H15">
    <cfRule type="expression" priority="8" dxfId="70">
      <formula>NOT(AND(OR($D2="retain",$D2=""),$E2="statistical_results"))</formula>
    </cfRule>
  </conditionalFormatting>
  <conditionalFormatting sqref="I2:I15">
    <cfRule type="expression" priority="9" dxfId="70">
      <formula>NOT(AND(OR($D2="retain",$D2=""),$E2="statistical_results"))</formula>
    </cfRule>
  </conditionalFormatting>
  <conditionalFormatting sqref="J2:J15">
    <cfRule type="expression" priority="10" dxfId="70">
      <formula>NOT(AND(OR($D2="retain",$D2=""),$E2="statistical_results"))</formula>
    </cfRule>
  </conditionalFormatting>
  <conditionalFormatting sqref="K2:K15">
    <cfRule type="expression" priority="11" dxfId="70">
      <formula>NOT(AND(OR($D2="retain",$D2=""),OR($E2="report_internal_inconsistency",$E2="plan_material")))</formula>
    </cfRule>
  </conditionalFormatting>
  <conditionalFormatting sqref="L2:L15">
    <cfRule type="expression" priority="12" dxfId="70">
      <formula>NOT(AND(OR($D2="retain",$D2=""),$E2="protocol_report"))</formula>
    </cfRule>
  </conditionalFormatting>
  <conditionalFormatting sqref="G2:G15">
    <cfRule type="expression" priority="13" dxfId="71">
      <formula>G2&lt;&gt;"PRIMARY READY"</formula>
    </cfRule>
  </conditionalFormatting>
  <dataValidations count="8">
    <dataValidation sqref="D2:D15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5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5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5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5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5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5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5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2024::jama.2024.0572::C001</t>
        </is>
      </c>
      <c r="B2" s="20" t="inlineStr">
        <is>
          <t>Follow-up MRI analysis-population count</t>
        </is>
      </c>
      <c r="C2" s="20" t="inlineStr">
        <is>
          <t>jama_sarraj_2024_oi_240006_1708623114.96234.pdf — Main p.4, Results imaging paragraph; jama_sarraj_2024_oi_240006_1708623114.96234.pdf — Main p.9, infarct-growth paragraph; jama_sarraj_2024_oi_240006_1708623114.96234.pdf — Main p.11 discussion; joi240006supp5_prod_1708623115.01733.pdf — Results p.51 eTable11; jama_sarraj_2024_oi_240006_1708623114.96234.pdf — Main p.6 baseline-MRI context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ID",IF(OR(A2="",COUNTIF($A$2:$A$20,A2)&lt;&gt;1,LEFT(A2,LEN("2024::jama.2024.0572::"))&lt;&gt;"2024::jama.2024.0572::"),"CHECK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2024::jama.2024.0572::C002</t>
        </is>
      </c>
      <c r="B3" s="24" t="inlineStr">
        <is>
          <t>Primary treatment-group specification</t>
        </is>
      </c>
      <c r="C3" s="24" t="inlineStr">
        <is>
          <t>joi240006supp4_prod_1708623115.00733.pdf — Analysis SAP p.3, §5.1; joi240006supp4_prod_1708623115.00733.pdf — Its p.4, §5.2.1; jama_sarraj_2024_oi_240006_1708623114.96234.pdf — Main p.4, Statistical Analysis; jama_sarraj_2024_oi_240006_1708623114.96234.pdf — Main p.6 Figure1; joi240006supp5_prod_1708623115.01733.pdf — results p.8 flow diagram; joi240006supp5_prod_1708623115.01733.pdf — Results p.38 eTable2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ID",IF(OR(A3="",COUNTIF($A$2:$A$20,A3)&lt;&gt;1,LEFT(A3,LEN("2024::jama.2024.0572::"))&lt;&gt;"2024::jama.2024.0572::"),"CHECK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2024::jama.2024.0572::C003</t>
        </is>
      </c>
      <c r="B4" s="20" t="inlineStr">
        <is>
          <t>Composite-core analysis hierarchy and prespecification</t>
        </is>
      </c>
      <c r="C4" s="20" t="inlineStr">
        <is>
          <t>joi240006supp4_prod_1708623115.00733.pdf — Analysis SAP p.3 imaging-definition bullets; joi240006supp4_prod_1708623115.00733.pdf — SAP p.7 appendix item1; jama_sarraj_2024_oi_240006_1708623114.96234.pdf — Main p.4 methods; jama_sarraj_2024_oi_240006_1708623114.96234.pdf — Main p.6; jama_sarraj_2024_oi_240006_1708623114.96234.pdf — main p.8 Figure3; joi240006supp5_prod_1708623115.01733.pdf — results p.16 eFigure10; jama_sarraj_2024_oi_240006_1708623114.96234.pdf — Main p.1 abstract; jama_sarraj_2024_oi_240006_1708623114.96234.pdf — Main p.11 limitations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ID",IF(OR(A4="",COUNTIF($A$2:$A$20,A4)&lt;&gt;1,LEFT(A4,LEN("2024::jama.2024.0572::"))&lt;&gt;"2024::jama.2024.0572::"),"CHECK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2024::jama.2024.0572::C004</t>
        </is>
      </c>
      <c r="B5" s="24" t="inlineStr">
        <is>
          <t>Finite all-zero subgroup risk estimates</t>
        </is>
      </c>
      <c r="C5" s="24" t="inlineStr">
        <is>
          <t>jama_sarraj_2024_oi_240006_1708623114.96234.pdf — Main p.4; joi240006supp5_prod_1708623115.01733.pdf — results p.13 eFigure7 ASPECTS0–2; joi240006supp5_prod_1708623115.01733.pdf — p.14 eFigure8 ASPECTS0–2; joi240006supp4_prod_1708623115.00733.pdf — Analysis SAP p.4; joi240006supp4_prod_1708623115.00733.pdf — p.5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ID",IF(OR(A5="",COUNTIF($A$2:$A$20,A5)&lt;&gt;1,LEFT(A5,LEN("2024::jama.2024.0572::"))&lt;&gt;"2024::jama.2024.0572::"),"CHECK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2024::jama.2024.0572::C005</t>
        </is>
      </c>
      <c r="B6" s="20" t="inlineStr">
        <is>
          <t>Printed null-boundary intervals and significant associations</t>
        </is>
      </c>
      <c r="C6" s="20" t="inlineStr">
        <is>
          <t>jama_sarraj_2024_oi_240006_1708623114.96234.pdf — Main p.6 ASPECTS paragraph; jama_sarraj_2024_oi_240006_1708623114.96234.pdf — main p.7 Table2; jama_sarraj_2024_oi_240006_1708623114.96234.pdf — Main p.10 age/time paragraph; jama_sarraj_2024_oi_240006_1708623114.96234.pdf — Main p.4; jama_sarraj_2024_oi_240006_1708623114.96234.pdf — p.1 abstract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ID",IF(OR(A6="",COUNTIF($A$2:$A$20,A6)&lt;&gt;1,LEFT(A6,LEN("2024::jama.2024.0572::"))&lt;&gt;"2024::jama.2024.0572::"),"CHECK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2024::jama.2024.0572::C006</t>
        </is>
      </c>
      <c r="B7" s="24" t="inlineStr">
        <is>
          <t>Large-core primary mRS distribution and functional thresholds</t>
        </is>
      </c>
      <c r="C7" s="24" t="inlineStr">
        <is>
          <t>jama_sarraj_2024_oi_240006_1708623114.96234.pdf — main p.7 Figure2B; joi240006supp5_prod_1708623115.01733.pdf — results p.13 eFigure7 ≥100mL; joi240006supp5_prod_1708623115.01733.pdf — p.14 eFigure8 ≥100mL; jama_sarraj_2024_oi_240006_1708623114.96234.pdf — Main p.3 outcomes; jama_sarraj_2024_oi_240006_1708623114.96234.pdf — Main p.10 discussion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ID",IF(OR(A7="",COUNTIF($A$2:$A$20,A7)&lt;&gt;1,LEFT(A7,LEN("2024::jama.2024.0572::"))&lt;&gt;"2024::jama.2024.0572::"),"CHECK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2024::jama.2024.0572::C007</t>
        </is>
      </c>
      <c r="B8" s="20" t="inlineStr">
        <is>
          <t>EVT continuous mismatch prediction direction</t>
        </is>
      </c>
      <c r="C8" s="20" t="inlineStr">
        <is>
          <t>jama_sarraj_2024_oi_240006_1708623114.96234.pdf — Main p.8 final mismatch paragraph; jama_sarraj_2024_oi_240006_1708623114.96234.pdf — p.9; joi240006supp5_prod_1708623115.01733.pdf — results p.23 eFigure17A/B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ID",IF(OR(A8="",COUNTIF($A$2:$A$20,A8)&lt;&gt;1,LEFT(A8,LEN("2024::jama.2024.0572::"))&lt;&gt;"2024::jama.2024.0572::"),"CHECK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Height="1" s="25">
      <c r="A9" s="24" t="inlineStr">
        <is>
          <t>2024::jama.2024.0572::C008</t>
        </is>
      </c>
      <c r="B9" s="24" t="inlineStr">
        <is>
          <t>Core covariate identity in age/time surfaces</t>
        </is>
      </c>
      <c r="C9" s="24" t="inlineStr">
        <is>
          <t>jama_sarraj_2024_oi_240006_1708623114.96234.pdf — main p.10; jama_sarraj_2024_oi_240006_1708623114.96234.pdf — Main p.3 imaging definitions; joi240006supp5_prod_1708623115.01733.pdf — Results p.24 eFigure18 title; joi240006supp5_prod_1708623115.01733.pdf — Results p.25 eFigure19 title and explanation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ID",IF(OR(A9="",COUNTIF($A$2:$A$20,A9)&lt;&gt;1,LEFT(A9,LEN("2024::jama.2024.0572::"))&lt;&gt;"2024::jama.2024.0572::"),"CHECK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Height="1" s="25">
      <c r="A10" s="20" t="inlineStr">
        <is>
          <t>2024::jama.2024.0572::C009</t>
        </is>
      </c>
      <c r="B10" s="20" t="inlineStr">
        <is>
          <t>Planned versus reported prognostic time predictor</t>
        </is>
      </c>
      <c r="C10" s="20" t="inlineStr">
        <is>
          <t>joi240006supp4_prod_1708623115.00733.pdf — Analysis SAP p.5 §5.2.3; jama_sarraj_2024_oi_240006_1708623114.96234.pdf — Main p.10 age/time results; joi240006supp5_prod_1708623115.01733.pdf — results p.24 eFigure18; joi240006supp5_prod_1708623115.01733.pdf — Results p.25 eFigure19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ID",IF(OR(A10="",COUNTIF($A$2:$A$20,A10)&lt;&gt;1,LEFT(A10,LEN("2024::jama.2024.0572::"))&lt;&gt;"2024::jama.2024.0572::"),"CHECK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Height="1" s="25">
      <c r="A11" s="24" t="inlineStr">
        <is>
          <t>2024::jama.2024.0572::C010</t>
        </is>
      </c>
      <c r="B11" s="24" t="inlineStr">
        <is>
          <t>Planned outcome hierarchy</t>
        </is>
      </c>
      <c r="C11" s="24" t="inlineStr">
        <is>
          <t>joi240006supp2_prod_1708623114.99233.pdf — Protocol p.8 synopsis; joi240006supp2_prod_1708623114.99233.pdf — p.37 primary-outcome section; joi240006supp2_prod_1708623114.99233.pdf — Protocol p.50 secondary analysis; joi240006supp3_prod_1708623114.99733.pdf — trial SAP p.13; joi240006supp3_prod_1708623114.99733.pdf — SAP p.14; joi240006supp3_prod_1708623114.99733.pdf — SAP p.17</t>
        </is>
      </c>
      <c r="D11" s="21" t="n"/>
      <c r="E11" s="21" t="inlineStr">
        <is>
          <t>plan_material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ID",IF(OR(A11="",COUNTIF($A$2:$A$20,A11)&lt;&gt;1,LEFT(A11,LEN("2024::jama.2024.0572::"))&lt;&gt;"2024::jama.2024.0572::"),"CHECK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Height="1" s="25">
      <c r="A12" s="20" t="inlineStr">
        <is>
          <t>2024::jama.2024.0572::C011</t>
        </is>
      </c>
      <c r="B12" s="20" t="inlineStr">
        <is>
          <t>Historical SELECT intervals at the null and significant P values</t>
        </is>
      </c>
      <c r="C12" s="20" t="inlineStr">
        <is>
          <t>PLAN joi240006supp2_prod_1708623114.99233.pdf — protocol — PDF p.13, historical SELECT functional-independence and ordinal-shift results.</t>
        </is>
      </c>
      <c r="D12" s="21" t="n"/>
      <c r="E12" s="21" t="inlineStr">
        <is>
          <t>plan_material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ID",IF(OR(A12="",COUNTIF($A$2:$A$20,A12)&lt;&gt;1,LEFT(A12,LEN("2024::jama.2024.0572::"))&lt;&gt;"2024::jama.2024.0572::"),"CHECK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Height="1" s="25">
      <c r="A13" s="24" t="inlineStr">
        <is>
          <t>2024::jama.2024.0572::C012</t>
        </is>
      </c>
      <c r="B13" s="24" t="inlineStr">
        <is>
          <t>Historical safety significance statement includes P = .072</t>
        </is>
      </c>
      <c r="C13" s="24" t="inlineStr">
        <is>
          <t>PLAN joi240006supp2_prod_1708623114.99233.pdf — protocol — PDF p.16, historical safety paragraph.</t>
        </is>
      </c>
      <c r="D13" s="21" t="n"/>
      <c r="E13" s="21" t="inlineStr">
        <is>
          <t>plan_material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ID",IF(OR(A13="",COUNTIF($A$2:$A$20,A13)&lt;&gt;1,LEFT(A13,LEN("2024::jama.2024.0572::"))&lt;&gt;"2024::jama.2024.0572::"),"CHECK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Height="1" s="25">
      <c r="A14" s="20" t="inlineStr">
        <is>
          <t>2024::jama.2024.0572::C013</t>
        </is>
      </c>
      <c r="B14" s="20" t="inlineStr">
        <is>
          <t>Planned efficacy probability has the opposite treatment-score orientation</t>
        </is>
      </c>
      <c r="C14" s="20" t="inlineStr">
        <is>
          <t>PLAN joi240006supp2_prod_1708623114.99233.pdf — protocol — PDF p.37, lower-score benefit, joi240006supp2_prod_1708623114.99233.pdf — p.80, statistic and efficacy rule, joi240006supp2_prod_1708623114.99233.pdf — p.81, alternative and variable labels; PLAN joi240006supp3_prod_1708623114.99733.pdf — trial SAP — PDF p.39, repeated statistic, joi240006supp3_prod_1708623114.99733.pdf — p.40, alternative and bounds. REPORT jama_sarraj_2024_oi_240006_1708623114.96234.pdf — main article — PDF p.3, mRS direction corroborates only.</t>
        </is>
      </c>
      <c r="D14" s="21" t="n"/>
      <c r="E14" s="21" t="inlineStr">
        <is>
          <t>plan_material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ID",IF(OR(A14="",COUNTIF($A$2:$A$20,A14)&lt;&gt;1,LEFT(A14,LEN("2024::jama.2024.0572::"))&lt;&gt;"2024::jama.2024.0572::"),"CHECK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Height="1" s="25">
      <c r="A15" s="24" t="inlineStr">
        <is>
          <t>2024::jama.2024.0572::C014</t>
        </is>
      </c>
      <c r="B15" s="24" t="inlineStr">
        <is>
          <t>Retained interim schedule does not identify the 300-outcome rejection rule</t>
        </is>
      </c>
      <c r="C15" s="24" t="inlineStr">
        <is>
          <t>PLAN joi240006supp3_prod_1708623114.99733.pdf — trial SAP — PDF p.9, §7.2 planned looks, joi240006supp3_prod_1708623114.99733.pdf — p.11, planned sample counts, joi240006supp3_prod_1708623114.99733.pdf — p.12, §7.5 300-outcome review and unchanged-design statements, joi240006supp3_prod_1708623114.99733.pdf — p.40, calibrated settings.</t>
        </is>
      </c>
      <c r="D15" s="21" t="n"/>
      <c r="E15" s="21" t="inlineStr">
        <is>
          <t>plan_material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ID",IF(OR(A15="",COUNTIF($A$2:$A$20,A15)&lt;&gt;1,LEFT(A15,LEN("2024::jama.2024.0572::"))&lt;&gt;"2024::jama.2024.0572::"),"CHECK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Height="1" s="25">
      <c r="A16" s="20" t="inlineStr">
        <is>
          <t>2024::jama.2024.0572::C015</t>
        </is>
      </c>
      <c r="B16" s="20" t="inlineStr">
        <is>
          <t>PLAN sICH window and death component differ</t>
        </is>
      </c>
      <c r="C16" s="20" t="inlineStr">
        <is>
          <t>PLAN joi240006supp4_prod_1708623115.00733.pdf — analysis-specific SAP — PDF p.5, §5.2.5; PLAN joi240006supp3_prod_1708623114.99733.pdf — trial SAP — PDF p.13, secondary endpoints, joi240006supp3_prod_1708623114.99733.pdf — p.18, §10.2.3.4.1, joi240006supp3_prod_1708623114.99733.pdf — p.31, template footnote. REPORT jama_sarraj_2024_oi_240006_1708623114.96234.pdf — main article — PDF p.3, endpoint name and joi240006supp5_prod_1708623115.01733.pdf — results supplement — PDF p.38, eTable2 counts establish relevance and corroborate only.</t>
        </is>
      </c>
      <c r="D16" s="21" t="n"/>
      <c r="E16" s="21" t="inlineStr">
        <is>
          <t>plan_material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ID",IF(OR(A16="",COUNTIF($A$2:$A$20,A16)&lt;&gt;1,LEFT(A16,LEN("2024::jama.2024.0572::"))&lt;&gt;"2024::jama.2024.0572::"),"CHECK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  <row r="17" ht="92" customHeight="1" s="25">
      <c r="A17" s="24" t="inlineStr">
        <is>
          <t>2024::jama.2024.0572::C016</t>
        </is>
      </c>
      <c r="B17" s="24" t="inlineStr">
        <is>
          <t>Planned mismatch-volume primary strata have no supplied counterpart</t>
        </is>
      </c>
      <c r="C17" s="24" t="inlineStr">
        <is>
          <t>PLAN joi240006supp4_prod_1708623115.00733.pdf — analysis-specific SAP — PDF p.6, §5.3.3, joi240006supp4_prod_1708623115.00733.pdf — p.4, §5.2.1 primary endpoint. Identified REPORT comparisons: jama_sarraj_2024_oi_240006_1708623114.96234.pdf — main article — PDF p.6, Figure1, jama_sarraj_2024_oi_240006_1708623114.96234.pdf — p.8, mismatch results, joi240006supp5_prod_1708623115.01733.pdf — results supplement — PDF p.23, eFigure17, joi240006supp5_prod_1708623115.01733.pdf — p.43, eTable7. Complete counterpart scope: jama_sarraj_2024_oi_240006_1708623114.96234.pdf — main article, PDF pp.1–14; entry p.1, joi240006supp5_prod_1708623115.01733.pdf — results supplement, PDF pp.1–53; entry p.1, joi240006supp1_prod_1708623114.97236.pdf — contributors, PDF pp.1–30; entry p.1, and joi240006supp6_prod_1708623115.02733.pdf — data sharing, PDF p.1.</t>
        </is>
      </c>
      <c r="D17" s="21" t="n"/>
      <c r="E17" s="21" t="inlineStr">
        <is>
          <t>protocol_report</t>
        </is>
      </c>
      <c r="F17" s="21" t="inlineStr">
        <is>
          <t>no</t>
        </is>
      </c>
      <c r="G17" s="24">
        <f>IFERROR(IF(LEN(TRIM(CLEAN(SUBSTITUTE(Setup!$B$2,CHAR(160)," "))))=0,"CHECK REVIEWER ID",IF(OR(A17="",COUNTIF($A$2:$A$20,A17)&lt;&gt;1,LEFT(A17,LEN("2024::jama.2024.0572::"))&lt;&gt;"2024::jama.2024.0572::"),"CHECK KEY",IF(OR(AND(NOT(AND(D17="retain",E17="statistical_results")),H17&lt;&gt;"",NOT(EXACT(H17,"not_applicable"))),AND(NOT(AND(D17="retain",E17="statistical_results")),I17&lt;&gt;"",NOT(EXACT(I17,"not_applicable"))),AND(NOT(AND(D17="retain",E17="statistical_results")),J17&lt;&gt;"",NOT(EXACT(J17,"not_applicable"))),AND(NOT(AND(D17="retain",OR(E17="report_internal_inconsistency",E17="plan_material"))),K17&lt;&gt;"",NOT(EXACT(K17,"not_applicable"))),AND(NOT(AND(D17="retain",E17="protocol_report")),L17&lt;&gt;"",NOT(EXACT(L17,"not_applicable")))),"CLEAR INACTIVE VALUES",IF(OR(NOT(OR(EXACT(D17,"retain"),EXACT(D17,"exclude"),EXACT(D17,"discuss"))),NOT(OR(EXACT(E17,"statistical_results"),EXACT(E17,"report_internal_inconsistency"),EXACT(E17,"plan_material"),EXACT(E17,"protocol_report"))),AND(AND(D17="retain",E17="statistical_results"),NOT(OR(EXACT(H17,"confirmed_issue"),EXACT(H17,"probable_issue"),EXACT(H17,"not_issue"),EXACT(H17,"indeterminate")))),AND(AND(D17="retain",E17="statistical_results"),NOT(OR(EXACT(I17,"substantive"),EXACT(I17,"minor_presentation"),EXACT(I17,"indeterminate")))),AND(AND(D17="retain",E17="statistical_results"),J17&lt;&gt;"",NOT(OR(EXACT(J17,"direct"),EXACT(J17,"possible"),EXACT(J17,"unlikely"),EXACT(J17,"unknown")))),AND(AND(D17="retain",OR(E17="report_internal_inconsistency",E17="plan_material")),NOT(OR(EXACT(K17,"substantive_inconsistency"),EXACT(K17,"minor_presentation"),EXACT(K17,"non_inconsistency"),EXACT(K17,"indeterminate")))),AND(AND(D17="retain",E17="protocol_report"),L17&lt;&gt;"",NOT(OR(EXACT(L17,"substantive_difference"),EXACT(L17,"minor_presentation"),EXACT(L17,"version_timing"),EXACT(L17,"non_inconsistency"),EXACT(L17,"indeterminate"))))),"CHECK FIELDS",IF(AND(F17&lt;&gt;"",NOT(OR(EXACT(F17,"no"),EXACT(F17,"primary_done")))),"CHECK COMPLETE",IF(EXACT(F17,"primary_done"),"PRIMARY READY","PRIMARY DRAFT")))))),"CHECK INPUT / KEY")</f>
        <v/>
      </c>
      <c r="H17" s="21">
        <f>IF(AND(OR(D17="retain",D17=""),E17="statistical_results"),"","not_applicable")</f>
        <v/>
      </c>
      <c r="I17" s="21">
        <f>IF(AND(OR(D17="retain",D17=""),E17="statistical_results"),"","not_applicable")</f>
        <v/>
      </c>
      <c r="J17" s="22">
        <f>IF(AND(OR(D17="retain",D17=""),E17="statistical_results"),"","not_applicable")</f>
        <v/>
      </c>
      <c r="K17" s="21">
        <f>IF(AND(OR(D17="retain",D17=""),OR(E17="report_internal_inconsistency",E17="plan_material")),"","not_applicable")</f>
        <v/>
      </c>
      <c r="L17" s="22">
        <f>IF(AND(OR(D17="retain",D17=""),E17="protocol_report"),"","not_applicable")</f>
        <v/>
      </c>
      <c r="M17" s="24" t="n"/>
      <c r="N17" s="23" t="n"/>
      <c r="O17" s="23" t="n"/>
      <c r="P17" s="23" t="n"/>
      <c r="Q17" s="23" t="n"/>
      <c r="R17" s="22" t="n"/>
    </row>
    <row r="18" ht="92" customHeight="1" s="25">
      <c r="A18" s="20" t="inlineStr">
        <is>
          <t>2024::jama.2024.0572::C017</t>
        </is>
      </c>
      <c r="B18" s="20" t="inlineStr">
        <is>
          <t>Adverse-outcome forest favors labels reverse its printed contrast</t>
        </is>
      </c>
      <c r="C18" s="20" t="inlineStr">
        <is>
          <t>REPORT joi240006supp5_prod_1708623115.01733.pdf — results supplement — PDF p.19, eFigure13 title, contrast, axis labels and all 16 rows; REPORT joi240006supp5_prod_1708623115.01733.pdf — results supplement — PDF p.15, eFigure9 direction convention and jama_sarraj_2024_oi_240006_1708623114.96234.pdf — main article — PDF p.3, mRS 5–6 definition corroborate only.</t>
        </is>
      </c>
      <c r="D18" s="21" t="n"/>
      <c r="E18" s="21" t="inlineStr">
        <is>
          <t>statistical_results</t>
        </is>
      </c>
      <c r="F18" s="21" t="inlineStr">
        <is>
          <t>no</t>
        </is>
      </c>
      <c r="G18" s="20">
        <f>IFERROR(IF(LEN(TRIM(CLEAN(SUBSTITUTE(Setup!$B$2,CHAR(160)," "))))=0,"CHECK REVIEWER ID",IF(OR(A18="",COUNTIF($A$2:$A$20,A18)&lt;&gt;1,LEFT(A18,LEN("2024::jama.2024.0572::"))&lt;&gt;"2024::jama.2024.0572::"),"CHECK KEY",IF(OR(AND(NOT(AND(D18="retain",E18="statistical_results")),H18&lt;&gt;"",NOT(EXACT(H18,"not_applicable"))),AND(NOT(AND(D18="retain",E18="statistical_results")),I18&lt;&gt;"",NOT(EXACT(I18,"not_applicable"))),AND(NOT(AND(D18="retain",E18="statistical_results")),J18&lt;&gt;"",NOT(EXACT(J18,"not_applicable"))),AND(NOT(AND(D18="retain",OR(E18="report_internal_inconsistency",E18="plan_material"))),K18&lt;&gt;"",NOT(EXACT(K18,"not_applicable"))),AND(NOT(AND(D18="retain",E18="protocol_report")),L18&lt;&gt;"",NOT(EXACT(L18,"not_applicable")))),"CLEAR INACTIVE VALUES",IF(OR(NOT(OR(EXACT(D18,"retain"),EXACT(D18,"exclude"),EXACT(D18,"discuss"))),NOT(OR(EXACT(E18,"statistical_results"),EXACT(E18,"report_internal_inconsistency"),EXACT(E18,"plan_material"),EXACT(E18,"protocol_report"))),AND(AND(D18="retain",E18="statistical_results"),NOT(OR(EXACT(H18,"confirmed_issue"),EXACT(H18,"probable_issue"),EXACT(H18,"not_issue"),EXACT(H18,"indeterminate")))),AND(AND(D18="retain",E18="statistical_results"),NOT(OR(EXACT(I18,"substantive"),EXACT(I18,"minor_presentation"),EXACT(I18,"indeterminate")))),AND(AND(D18="retain",E18="statistical_results"),J18&lt;&gt;"",NOT(OR(EXACT(J18,"direct"),EXACT(J18,"possible"),EXACT(J18,"unlikely"),EXACT(J18,"unknown")))),AND(AND(D18="retain",OR(E18="report_internal_inconsistency",E18="plan_material")),NOT(OR(EXACT(K18,"substantive_inconsistency"),EXACT(K18,"minor_presentation"),EXACT(K18,"non_inconsistency"),EXACT(K18,"indeterminate")))),AND(AND(D18="retain",E18="protocol_report"),L18&lt;&gt;"",NOT(OR(EXACT(L18,"substantive_difference"),EXACT(L18,"minor_presentation"),EXACT(L18,"version_timing"),EXACT(L18,"non_inconsistency"),EXACT(L18,"indeterminate"))))),"CHECK FIELDS",IF(AND(F18&lt;&gt;"",NOT(OR(EXACT(F18,"no"),EXACT(F18,"primary_done")))),"CHECK COMPLETE",IF(EXACT(F18,"primary_done"),"PRIMARY READY","PRIMARY DRAFT")))))),"CHECK INPUT / KEY")</f>
        <v/>
      </c>
      <c r="H18" s="21">
        <f>IF(AND(OR(D18="retain",D18=""),E18="statistical_results"),"","not_applicable")</f>
        <v/>
      </c>
      <c r="I18" s="21">
        <f>IF(AND(OR(D18="retain",D18=""),E18="statistical_results"),"","not_applicable")</f>
        <v/>
      </c>
      <c r="J18" s="22">
        <f>IF(AND(OR(D18="retain",D18=""),E18="statistical_results"),"","not_applicable")</f>
        <v/>
      </c>
      <c r="K18" s="21">
        <f>IF(AND(OR(D18="retain",D18=""),OR(E18="report_internal_inconsistency",E18="plan_material")),"","not_applicable")</f>
        <v/>
      </c>
      <c r="L18" s="22">
        <f>IF(AND(OR(D18="retain",D18=""),E18="protocol_report"),"","not_applicable")</f>
        <v/>
      </c>
      <c r="M18" s="20" t="n"/>
      <c r="N18" s="23" t="n"/>
      <c r="O18" s="23" t="n"/>
      <c r="P18" s="23" t="n"/>
      <c r="Q18" s="23" t="n"/>
      <c r="R18" s="22" t="n"/>
    </row>
    <row r="19" ht="92" customHeight="1" s="25">
      <c r="A19" s="24" t="inlineStr">
        <is>
          <t>2024::jama.2024.0572::C018</t>
        </is>
      </c>
      <c r="B19" s="24" t="inlineStr">
        <is>
          <t>Discordant-profile counts exceed disjoint totals and change arm attribution</t>
        </is>
      </c>
      <c r="C19" s="24" t="inlineStr">
        <is>
          <t>REPORT joi240006supp5_prod_1708623115.01733.pdf — results supplement — PDF p.45, eTable8 independence, joi240006supp5_prod_1708623115.01733.pdf — p.46, eTable8 ambulation/adverse outcomes, joi240006supp5_prod_1708623115.01733.pdf — p.47, eTable9 favorable outcomes, joi240006supp5_prod_1708623115.01733.pdf — p.48, eTable9 adverse outcomes, joi240006supp5_prod_1708623115.01733.pdf — p.49, eTable10 favorable outcomes, joi240006supp5_prod_1708623115.01733.pdf — p.50, eTable10 adverse outcomes, joi240006supp5_prod_1708623115.01733.pdf — p.31, eFigure20x profile heading, and joi240006supp5_prod_1708623115.01733.pdf — p.32, eFigure20x distribution.</t>
        </is>
      </c>
      <c r="D19" s="21" t="n"/>
      <c r="E19" s="21" t="inlineStr">
        <is>
          <t>statistical_results</t>
        </is>
      </c>
      <c r="F19" s="21" t="inlineStr">
        <is>
          <t>no</t>
        </is>
      </c>
      <c r="G19" s="24">
        <f>IFERROR(IF(LEN(TRIM(CLEAN(SUBSTITUTE(Setup!$B$2,CHAR(160)," "))))=0,"CHECK REVIEWER ID",IF(OR(A19="",COUNTIF($A$2:$A$20,A19)&lt;&gt;1,LEFT(A19,LEN("2024::jama.2024.0572::"))&lt;&gt;"2024::jama.2024.0572::"),"CHECK KEY",IF(OR(AND(NOT(AND(D19="retain",E19="statistical_results")),H19&lt;&gt;"",NOT(EXACT(H19,"not_applicable"))),AND(NOT(AND(D19="retain",E19="statistical_results")),I19&lt;&gt;"",NOT(EXACT(I19,"not_applicable"))),AND(NOT(AND(D19="retain",E19="statistical_results")),J19&lt;&gt;"",NOT(EXACT(J19,"not_applicable"))),AND(NOT(AND(D19="retain",OR(E19="report_internal_inconsistency",E19="plan_material"))),K19&lt;&gt;"",NOT(EXACT(K19,"not_applicable"))),AND(NOT(AND(D19="retain",E19="protocol_report")),L19&lt;&gt;"",NOT(EXACT(L19,"not_applicable")))),"CLEAR INACTIVE VALUES",IF(OR(NOT(OR(EXACT(D19,"retain"),EXACT(D19,"exclude"),EXACT(D19,"discuss"))),NOT(OR(EXACT(E19,"statistical_results"),EXACT(E19,"report_internal_inconsistency"),EXACT(E19,"plan_material"),EXACT(E19,"protocol_report"))),AND(AND(D19="retain",E19="statistical_results"),NOT(OR(EXACT(H19,"confirmed_issue"),EXACT(H19,"probable_issue"),EXACT(H19,"not_issue"),EXACT(H19,"indeterminate")))),AND(AND(D19="retain",E19="statistical_results"),NOT(OR(EXACT(I19,"substantive"),EXACT(I19,"minor_presentation"),EXACT(I19,"indeterminate")))),AND(AND(D19="retain",E19="statistical_results"),J19&lt;&gt;"",NOT(OR(EXACT(J19,"direct"),EXACT(J19,"possible"),EXACT(J19,"unlikely"),EXACT(J19,"unknown")))),AND(AND(D19="retain",OR(E19="report_internal_inconsistency",E19="plan_material")),NOT(OR(EXACT(K19,"substantive_inconsistency"),EXACT(K19,"minor_presentation"),EXACT(K19,"non_inconsistency"),EXACT(K19,"indeterminate")))),AND(AND(D19="retain",E19="protocol_report"),L19&lt;&gt;"",NOT(OR(EXACT(L19,"substantive_difference"),EXACT(L19,"minor_presentation"),EXACT(L19,"version_timing"),EXACT(L19,"non_inconsistency"),EXACT(L19,"indeterminate"))))),"CHECK FIELDS",IF(AND(F19&lt;&gt;"",NOT(OR(EXACT(F19,"no"),EXACT(F19,"primary_done")))),"CHECK COMPLETE",IF(EXACT(F19,"primary_done"),"PRIMARY READY","PRIMARY DRAFT")))))),"CHECK INPUT / KEY")</f>
        <v/>
      </c>
      <c r="H19" s="21">
        <f>IF(AND(OR(D19="retain",D19=""),E19="statistical_results"),"","not_applicable")</f>
        <v/>
      </c>
      <c r="I19" s="21">
        <f>IF(AND(OR(D19="retain",D19=""),E19="statistical_results"),"","not_applicable")</f>
        <v/>
      </c>
      <c r="J19" s="22">
        <f>IF(AND(OR(D19="retain",D19=""),E19="statistical_results"),"","not_applicable")</f>
        <v/>
      </c>
      <c r="K19" s="21">
        <f>IF(AND(OR(D19="retain",D19=""),OR(E19="report_internal_inconsistency",E19="plan_material")),"","not_applicable")</f>
        <v/>
      </c>
      <c r="L19" s="22">
        <f>IF(AND(OR(D19="retain",D19=""),E19="protocol_report"),"","not_applicable")</f>
        <v/>
      </c>
      <c r="M19" s="24" t="n"/>
      <c r="N19" s="23" t="n"/>
      <c r="O19" s="23" t="n"/>
      <c r="P19" s="23" t="n"/>
      <c r="Q19" s="23" t="n"/>
      <c r="R19" s="22" t="n"/>
    </row>
    <row r="20" ht="92" customHeight="1" s="25">
      <c r="A20" s="20" t="inlineStr">
        <is>
          <t>2024::jama.2024.0572::C019</t>
        </is>
      </c>
      <c r="B20" s="20" t="inlineStr">
        <is>
          <t>Final overall efficacy failure has competing rescue and terminal branches</t>
        </is>
      </c>
      <c r="C20" s="20" t="inlineStr">
        <is>
          <t>Principal PLAN comparison: joi240006supp2_prod_1708623114.99233.pdf — protocol — PDF p.48, final scenario 1 items 2/2.1/2.2 versus joi240006supp3_prod_1708623114.99733.pdf — trial SAP — PDF p.10, final paragraph and conclusions. PLAN context: joi240006supp2_prod_1708623114.99233.pdf — protocol p.1, August 4, 2021 date, joi240006supp2_prod_1708623114.99233.pdf — p.45, primary analysis/selection, joi240006supp2_prod_1708623114.99233.pdf — p.46, schedule/bounds, joi240006supp2_prod_1708623114.99233.pdf — p.47, enrollment scenarios, joi240006supp2_prod_1708623114.99233.pdf — p.49, simulation context, joi240006supp2_prod_1708623114.99233.pdf — p.81, final appendix rule; joi240006supp3_prod_1708623114.99733.pdf — trial SAP p.2, November 20, 2022 v1.0.0 approval, joi240006supp3_prod_1708623114.99733.pdf — p.9, retained final-selection language, joi240006supp3_prod_1708623114.99733.pdf — p.12, early-stop chronology, joi240006supp3_prod_1708623114.99733.pdf — p.40, final appendix threshold.</t>
        </is>
      </c>
      <c r="D20" s="21" t="n"/>
      <c r="E20" s="21" t="inlineStr">
        <is>
          <t>plan_material</t>
        </is>
      </c>
      <c r="F20" s="21" t="inlineStr">
        <is>
          <t>no</t>
        </is>
      </c>
      <c r="G20" s="20">
        <f>IFERROR(IF(LEN(TRIM(CLEAN(SUBSTITUTE(Setup!$B$2,CHAR(160)," "))))=0,"CHECK REVIEWER ID",IF(OR(A20="",COUNTIF($A$2:$A$20,A20)&lt;&gt;1,LEFT(A20,LEN("2024::jama.2024.0572::"))&lt;&gt;"2024::jama.2024.0572::"),"CHECK KEY",IF(OR(AND(NOT(AND(D20="retain",E20="statistical_results")),H20&lt;&gt;"",NOT(EXACT(H20,"not_applicable"))),AND(NOT(AND(D20="retain",E20="statistical_results")),I20&lt;&gt;"",NOT(EXACT(I20,"not_applicable"))),AND(NOT(AND(D20="retain",E20="statistical_results")),J20&lt;&gt;"",NOT(EXACT(J20,"not_applicable"))),AND(NOT(AND(D20="retain",OR(E20="report_internal_inconsistency",E20="plan_material"))),K20&lt;&gt;"",NOT(EXACT(K20,"not_applicable"))),AND(NOT(AND(D20="retain",E20="protocol_report")),L20&lt;&gt;"",NOT(EXACT(L20,"not_applicable")))),"CLEAR INACTIVE VALUES",IF(OR(NOT(OR(EXACT(D20,"retain"),EXACT(D20,"exclude"),EXACT(D20,"discuss"))),NOT(OR(EXACT(E20,"statistical_results"),EXACT(E20,"report_internal_inconsistency"),EXACT(E20,"plan_material"),EXACT(E20,"protocol_report"))),AND(AND(D20="retain",E20="statistical_results"),NOT(OR(EXACT(H20,"confirmed_issue"),EXACT(H20,"probable_issue"),EXACT(H20,"not_issue"),EXACT(H20,"indeterminate")))),AND(AND(D20="retain",E20="statistical_results"),NOT(OR(EXACT(I20,"substantive"),EXACT(I20,"minor_presentation"),EXACT(I20,"indeterminate")))),AND(AND(D20="retain",E20="statistical_results"),J20&lt;&gt;"",NOT(OR(EXACT(J20,"direct"),EXACT(J20,"possible"),EXACT(J20,"unlikely"),EXACT(J20,"unknown")))),AND(AND(D20="retain",OR(E20="report_internal_inconsistency",E20="plan_material")),NOT(OR(EXACT(K20,"substantive_inconsistency"),EXACT(K20,"minor_presentation"),EXACT(K20,"non_inconsistency"),EXACT(K20,"indeterminate")))),AND(AND(D20="retain",E20="protocol_report"),L20&lt;&gt;"",NOT(OR(EXACT(L20,"substantive_difference"),EXACT(L20,"minor_presentation"),EXACT(L20,"version_timing"),EXACT(L20,"non_inconsistency"),EXACT(L20,"indeterminate"))))),"CHECK FIELDS",IF(AND(F20&lt;&gt;"",NOT(OR(EXACT(F20,"no"),EXACT(F20,"primary_done")))),"CHECK COMPLETE",IF(EXACT(F20,"primary_done"),"PRIMARY READY","PRIMARY DRAFT")))))),"CHECK INPUT / KEY")</f>
        <v/>
      </c>
      <c r="H20" s="21">
        <f>IF(AND(OR(D20="retain",D20=""),E20="statistical_results"),"","not_applicable")</f>
        <v/>
      </c>
      <c r="I20" s="21">
        <f>IF(AND(OR(D20="retain",D20=""),E20="statistical_results"),"","not_applicable")</f>
        <v/>
      </c>
      <c r="J20" s="22">
        <f>IF(AND(OR(D20="retain",D20=""),E20="statistical_results"),"","not_applicable")</f>
        <v/>
      </c>
      <c r="K20" s="21">
        <f>IF(AND(OR(D20="retain",D20=""),OR(E20="report_internal_inconsistency",E20="plan_material")),"","not_applicable")</f>
        <v/>
      </c>
      <c r="L20" s="22">
        <f>IF(AND(OR(D20="retain",D20=""),E20="protocol_report"),"","not_applicable")</f>
        <v/>
      </c>
      <c r="M20" s="20" t="n"/>
      <c r="N20" s="23" t="n"/>
      <c r="O20" s="23" t="n"/>
      <c r="P20" s="23" t="n"/>
      <c r="Q20" s="23" t="n"/>
      <c r="R20" s="22" t="n"/>
    </row>
  </sheetData>
  <autoFilter ref="A1:R20"/>
  <conditionalFormatting sqref="H2:H20">
    <cfRule type="expression" priority="8" dxfId="70">
      <formula>NOT(AND(OR($D2="retain",$D2=""),$E2="statistical_results"))</formula>
    </cfRule>
  </conditionalFormatting>
  <conditionalFormatting sqref="I2:I20">
    <cfRule type="expression" priority="9" dxfId="70">
      <formula>NOT(AND(OR($D2="retain",$D2=""),$E2="statistical_results"))</formula>
    </cfRule>
  </conditionalFormatting>
  <conditionalFormatting sqref="J2:J20">
    <cfRule type="expression" priority="10" dxfId="70">
      <formula>NOT(AND(OR($D2="retain",$D2=""),$E2="statistical_results"))</formula>
    </cfRule>
  </conditionalFormatting>
  <conditionalFormatting sqref="K2:K20">
    <cfRule type="expression" priority="11" dxfId="70">
      <formula>NOT(AND(OR($D2="retain",$D2=""),OR($E2="report_internal_inconsistency",$E2="plan_material")))</formula>
    </cfRule>
  </conditionalFormatting>
  <conditionalFormatting sqref="L2:L20">
    <cfRule type="expression" priority="12" dxfId="70">
      <formula>NOT(AND(OR($D2="retain",$D2=""),$E2="protocol_report"))</formula>
    </cfRule>
  </conditionalFormatting>
  <conditionalFormatting sqref="G2:G20">
    <cfRule type="expression" priority="13" dxfId="71">
      <formula>G2&lt;&gt;"PRIMARY READY"</formula>
    </cfRule>
  </conditionalFormatting>
  <dataValidations count="8">
    <dataValidation sqref="D2:D20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20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20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20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20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20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20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20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2024::jama.2024.11057::C001</t>
        </is>
      </c>
      <c r="B2" s="20" t="inlineStr">
        <is>
          <t>Primary estimate attribution to planned baseline adjustment</t>
        </is>
      </c>
      <c r="C2" s="20" t="inlineStr">
        <is>
          <t>PLAN joi240078supp1_prod_1739900423.22574.pdf — p. 5, Primary Analysis; REPORT jama_graham_2024_oi_240078_1739900423.19074.pdf — p. 1, abstract, jama_graham_2024_oi_240078_1739900423.19074.pdf — p. 4, Statistical Methods, jama_graham_2024_oi_240078_1739900423.19074.pdf — p. 5, Vaping Cessation, and jama_graham_2024_oi_240078_1739900423.19074.pdf — p. 6, Table 2; REPORT joi240078supp2_prod_1739900423.24574.pdf — p. 14, eTable 5, Missing=Vaping; Amendment context: PLAN joi240078supp1_prod_1739900423.22574.pdf — p. 15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ID",IF(OR(A2="",COUNTIF($A$2:$A$6,A2)&lt;&gt;1,LEFT(A2,LEN("2024::jama.2024.11057::"))&lt;&gt;"2024::jama.2024.11057::"),"CHECK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2024::jama.2024.11057::C002</t>
        </is>
      </c>
      <c r="B3" s="24" t="inlineStr">
        <is>
          <t>Retention test population and waitlist exclusion</t>
        </is>
      </c>
      <c r="C3" s="24" t="inlineStr">
        <is>
          <t>REPORT jama_graham_2024_oi_240078_1739900423.19074.pdf — p. 2, waitlist discussion, jama_graham_2024_oi_240078_1739900423.19074.pdf — p. 4, first Results retention paragraph, and jama_graham_2024_oi_240078_1739900423.19074.pdf — p. 6, corroborating participant-flow figure.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ID",IF(OR(A3="",COUNTIF($A$2:$A$6,A3)&lt;&gt;1,LEFT(A3,LEN("2024::jama.2024.11057::"))&lt;&gt;"2024::jama.2024.11057::"),"CHECK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2024::jama.2024.11057::C003</t>
        </is>
      </c>
      <c r="B4" s="20" t="inlineStr">
        <is>
          <t>Prequit intervention duration across supplied documents</t>
        </is>
      </c>
      <c r="C4" s="20" t="inlineStr">
        <is>
          <t>REPORT jama_graham_2024_oi_240078_1739900423.19074.pdf — p. 3, intervention description; PLAN joi240078supp1_prod_1739900423.22574.pdf — p. 2, program description and joi240078supp1_prod_1739900423.22574.pdf — p. 4, trial intervention assignment; REPORT joi240078supp2_prod_1739900423.24574.pdf — p. 2, eAppendix A; Amendment context: PLAN joi240078supp1_prod_1739900423.22574.pdf — p. 15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ID",IF(OR(A4="",COUNTIF($A$2:$A$6,A4)&lt;&gt;1,LEFT(A4,LEN("2024::jama.2024.11057::"))&lt;&gt;"2024::jama.2024.11057::"),"CHECK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2024::jama.2024.11057::C004</t>
        </is>
      </c>
      <c r="B5" s="24" t="inlineStr">
        <is>
          <t>Planned moderator selection and reported testing family</t>
        </is>
      </c>
      <c r="C5" s="24" t="inlineStr">
        <is>
          <t>PLAN joi240078supp1_prod_1739900423.22574.pdf — p. 5, Primary Analysis and joi240078supp1_prod_1739900423.22574.pdf — p. 6, opening continuation; REPORT jama_graham_2024_oi_240078_1739900423.19074.pdf — p. 4, Statistical Methods and jama_graham_2024_oi_240078_1739900423.19074.pdf — p. 5, Moderator Results; REPORT joi240078supp2_prod_1739900423.24574.pdf — p. 6, eAppendix D and joi240078supp2_prod_1739900423.24574.pdf — p. 15, eTable 6; Amendment context: PLAN joi240078supp1_prod_1739900423.22574.pdf — p. 15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ID",IF(OR(A5="",COUNTIF($A$2:$A$6,A5)&lt;&gt;1,LEFT(A5,LEN("2024::jama.2024.11057::"))&lt;&gt;"2024::jama.2024.11057::"),"CHECK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2024::jama.2024.11057::C005</t>
        </is>
      </c>
      <c r="B6" s="20" t="inlineStr">
        <is>
          <t>Weighted odds-ratio upper confidence limit in eTable 5</t>
        </is>
      </c>
      <c r="C6" s="20" t="inlineStr">
        <is>
          <t>REPORT joi240078supp2_prod_1739900423.24574.pdf — p. 14, eTable 5, 30-day IPRW OR cell and all five comparator OR cells; method context in REPORT joi240078supp2_prod_1739900423.24574.pdf — the same PDF — p. 5, eAppendix C.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ID",IF(OR(A6="",COUNTIF($A$2:$A$6,A6)&lt;&gt;1,LEFT(A6,LEN("2024::jama.2024.11057::"))&lt;&gt;"2024::jama.2024.11057::"),"CHECK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</sheetData>
  <autoFilter ref="A1:R6"/>
  <conditionalFormatting sqref="H2:H6">
    <cfRule type="expression" priority="8" dxfId="70">
      <formula>NOT(AND(OR($D2="retain",$D2=""),$E2="statistical_results"))</formula>
    </cfRule>
  </conditionalFormatting>
  <conditionalFormatting sqref="I2:I6">
    <cfRule type="expression" priority="9" dxfId="70">
      <formula>NOT(AND(OR($D2="retain",$D2=""),$E2="statistical_results"))</formula>
    </cfRule>
  </conditionalFormatting>
  <conditionalFormatting sqref="J2:J6">
    <cfRule type="expression" priority="10" dxfId="70">
      <formula>NOT(AND(OR($D2="retain",$D2=""),$E2="statistical_results"))</formula>
    </cfRule>
  </conditionalFormatting>
  <conditionalFormatting sqref="K2:K6">
    <cfRule type="expression" priority="11" dxfId="70">
      <formula>NOT(AND(OR($D2="retain",$D2=""),OR($E2="report_internal_inconsistency",$E2="plan_material")))</formula>
    </cfRule>
  </conditionalFormatting>
  <conditionalFormatting sqref="L2:L6">
    <cfRule type="expression" priority="12" dxfId="70">
      <formula>NOT(AND(OR($D2="retain",$D2=""),$E2="protocol_report"))</formula>
    </cfRule>
  </conditionalFormatting>
  <conditionalFormatting sqref="G2:G6">
    <cfRule type="expression" priority="13" dxfId="71">
      <formula>G2&lt;&gt;"PRIMARY READY"</formula>
    </cfRule>
  </conditionalFormatting>
  <dataValidations count="8">
    <dataValidation sqref="D2:D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2024::jama.2024.12829::C001</t>
        </is>
      </c>
      <c r="B2" s="20" t="inlineStr">
        <is>
          <t>BMI subgroup partition and prespecification</t>
        </is>
      </c>
      <c r="C2" s="20" t="inlineStr">
        <is>
          <t>REPORT jama_sun_2024_oi_240088_1746815064.14747.pdf — main p4, Statistical Analysis prespecification sentence, jama_sun_2024_oi_240088_1746815064.14747.pdf — p5, subgroup narrative, and jama_sun_2024_oi_240088_1746815064.14747.pdf — p7, Figure 2, both BMI rows and interaction cell; PLAN joi240088supp2_prod_1746815064.36071.pdf — original protocol p41, line 760, joi240088supp2_prod_1746815064.36071.pdf — final protocol p103, line 1779, joi240088supp2_prod_1746815064.36071.pdf — original SAP p140, line 2358, and joi240088supp2_prod_1746815064.36071.pdf — final SAP p160, line 2768. The original-SAP line locator was clarified to 2358 during screening, before stable registration.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ID",IF(OR(A2="",COUNTIF($A$2:$A$8,A2)&lt;&gt;1,LEFT(A2,LEN("2024::jama.2024.12829::"))&lt;&gt;"2024::jama.2024.12829::"),"CHECK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2024::jama.2024.12829::C002</t>
        </is>
      </c>
      <c r="B3" s="24" t="inlineStr">
        <is>
          <t>Sensitivity-analysis population headers</t>
        </is>
      </c>
      <c r="C3" s="24" t="inlineStr">
        <is>
          <t>REPORT jama_sun_2024_oi_240088_1746815064.14747.pdf — main p5, Figure 1 final per-protocol boxes; joi240088supp1_prod_1746815064.21247.pdf — results supplement p20, Table S7 both arm headers, both site totals, and both arms' event rows; joi240088supp1_prod_1746815064.21247.pdf — p21, Table S8 title, both headers, primary row, and all three component rows; joi240088supp1_prod_1746815064.21247.pdf — p23, Table S10 per-protocol section.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ID",IF(OR(A3="",COUNTIF($A$2:$A$8,A3)&lt;&gt;1,LEFT(A3,LEN("2024::jama.2024.12829::"))&lt;&gt;"2024::jama.2024.12829::"),"CHECK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2024::jama.2024.12829::C003</t>
        </is>
      </c>
      <c r="B4" s="20" t="inlineStr">
        <is>
          <t>Center-adjusted primary event count</t>
        </is>
      </c>
      <c r="C4" s="20" t="inlineStr">
        <is>
          <t>REPORT jama_sun_2024_oi_240088_1746815064.14747.pdf — main p7, Figure 2 overall row, jama_sun_2024_oi_240088_1746815064.14747.pdf — p8, Table 2 primary row, arm headers, and first-event footnote, jama_sun_2024_oi_240088_1746815064.14747.pdf — p6, adjusted-result narrative; joi240088supp1_prod_1746815064.21247.pdf — results supplement p19, Table S6 primary row, headers, full endpoint, and adjustment footnotes. joi240088supp1_prod_1746815064.21247.pdf — Supplement p21, Table S8 is an alternative-population locator only.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ID",IF(OR(A4="",COUNTIF($A$2:$A$8,A4)&lt;&gt;1,LEFT(A4,LEN("2024::jama.2024.12829::"))&lt;&gt;"2024::jama.2024.12829::"),"CHECK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2024::jama.2024.12829::C004</t>
        </is>
      </c>
      <c r="B5" s="24" t="inlineStr">
        <is>
          <t>Outside-territory stroke difference interval</t>
        </is>
      </c>
      <c r="C5" s="24" t="inlineStr">
        <is>
          <t>REPORT jama_sun_2024_oi_240088_1746815064.14747.pdf — main p8, Table 2 one-year outside-territory stroke row, all count/difference/HR/P cells; jama_sun_2024_oi_240088_1746815064.14747.pdf — p4, Statistical Analysis confidence and significance conventions.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ID",IF(OR(A5="",COUNTIF($A$2:$A$8,A5)&lt;&gt;1,LEFT(A5,LEN("2024::jama.2024.12829::"))&lt;&gt;"2024::jama.2024.12829::"),"CHECK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2024::jama.2024.12829::C005</t>
        </is>
      </c>
      <c r="B6" s="20" t="inlineStr">
        <is>
          <t>Ninety-day mRS count and percentage</t>
        </is>
      </c>
      <c r="C6" s="20" t="inlineStr">
        <is>
          <t>REPORT joi240088supp1_prod_1746815064.21247.pdf — results supplement p13, Figure S4 BA header, all seven category annotations and mRS 2 leader. jama_sun_2024_oi_240088_1746815064.14747.pdf — Main p8, 90-day mRS generalized-OR row and footnote is corroborative only.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ID",IF(OR(A6="",COUNTIF($A$2:$A$8,A6)&lt;&gt;1,LEFT(A6,LEN("2024::jama.2024.12829::"))&lt;&gt;"2024::jama.2024.12829::"),"CHECK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2024::jama.2024.12829::C006</t>
        </is>
      </c>
      <c r="B7" s="24" t="inlineStr">
        <is>
          <t>Safety-test specification</t>
        </is>
      </c>
      <c r="C7" s="24" t="inlineStr">
        <is>
          <t>PLAN joi240088supp2_prod_1746815064.36071.pdf — original SAP p142, §12.4, lines 2387–2390, joi240088supp2_prod_1746815064.36071.pdf — final SAP p162, lines 2801–2806; REPORT joi240088supp1_prod_1746815064.21247.pdf — results supplement p24, Table S11 overall, nervous-system, and disabling-stroke rows, superscripts c/d and both test footnotes. jama_sun_2024_oi_240088_1746815064.14747.pdf — Main p6, disabling-stroke narrative corroborates the reported result only.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ID",IF(OR(A7="",COUNTIF($A$2:$A$8,A7)&lt;&gt;1,LEFT(A7,LEN("2024::jama.2024.12829::"))&lt;&gt;"2024::jama.2024.12829::"),"CHECK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2024::jama.2024.12829::C007</t>
        </is>
      </c>
      <c r="B8" s="20" t="inlineStr">
        <is>
          <t>Original planned event forecast</t>
        </is>
      </c>
      <c r="C8" s="20" t="inlineStr">
        <is>
          <t>PLAN joi240088supp2_prod_1746815064.36071.pdf — original protocol p11, sample-size synopsis, joi240088supp2_prod_1746815064.36071.pdf — p12, 728→802 expansion and follow-up, joi240088supp2_prod_1746815064.36071.pdf — p18, twelve-month primary hypothesis and 1:1 allocation, joi240088supp2_prod_1746815064.36071.pdf — p40, original statistical section and sample-size opening, joi240088supp2_prod_1746815064.36071.pdf — p41, detailed sample-size continuation. jama_sun_2024_oi_240088_1746815064.14747.pdf — Main p3, original 802 design history is corroborative only. joi240088supp2_prod_1746815064.36071.pdf — PLAN p126, later 802→512 amendment establishes the revised-design boundary.</t>
        </is>
      </c>
      <c r="D8" s="21" t="n"/>
      <c r="E8" s="21" t="inlineStr">
        <is>
          <t>plan_material</t>
        </is>
      </c>
      <c r="F8" s="21" t="inlineStr">
        <is>
          <t>no</t>
        </is>
      </c>
      <c r="G8" s="20">
        <f>IFERROR(IF(LEN(TRIM(CLEAN(SUBSTITUTE(Setup!$B$2,CHAR(160)," "))))=0,"CHECK REVIEWER ID",IF(OR(A8="",COUNTIF($A$2:$A$8,A8)&lt;&gt;1,LEFT(A8,LEN("2024::jama.2024.12829::"))&lt;&gt;"2024::jama.2024.12829::"),"CHECK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2024::jama.2024.19585::C001</t>
        </is>
      </c>
      <c r="B2" s="20" t="inlineStr">
        <is>
          <t>ED absolute-effect interval and separately adjusted test give different null-value readings</t>
        </is>
      </c>
      <c r="C2" s="20" t="inlineStr">
        <is>
          <t>REPORT jama_dupuis_2024_oi_240111_1733431204.38761.pdf — DOC-001 p. 9 Table 3 ED row and footnote b; REPORT jama_dupuis_2024_oi_240111_1733431204.38761.pdf — p. 4 significance rule; corroborating REPORT jama_dupuis_2024_oi_240111_1733431204.38761.pdf — p. 1 abstract, jama_dupuis_2024_oi_240111_1733431204.38761.pdf — p. 6 ED narrative, and joi240111supp2_prod_1733431204.76024.pdf — DOC-003 p. 17 eTable 12 Poisson ED result.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ID",IF(OR(A2="",COUNTIF($A$2:$A$8,A2)&lt;&gt;1,LEFT(A2,LEN("2024::jama.2024.19585::"))&lt;&gt;"2024::jama.2024.19585::"),"CHECK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2024::jama.2024.19585::C002</t>
        </is>
      </c>
      <c r="B3" s="24" t="inlineStr">
        <is>
          <t>Triggered primary total-score ordinal sensitivity is absent from the supplied report</t>
        </is>
      </c>
      <c r="C3" s="24" t="inlineStr">
        <is>
          <t>PLAN joi240111supp1_prod_1733431204.57929.pdf — DOC-002 p. 11 final protocol primary analysis, joi240111supp1_prod_1733431204.57929.pdf — p. 36 SAP primary analysis, joi240111supp1_prod_1733431204.57929.pdf — p. 31 amendment history; REPORT jama_dupuis_2024_oi_240111_1733431204.38761.pdf — DOC-001 p. 3 primary methods, jama_dupuis_2024_oi_240111_1733431204.38761.pdf — p. 4 sensitivities, joi240111supp2_prod_1733431204.76024.pdf — DOC-003 p. 18 eFigure 1 item 2, joi240111supp2_prod_1733431204.76024.pdf — p. 19 other sensitivities. Absence check covers DOC-001 pp. 1–11 and DOC-003 pp. 1–23, as mapped and independently searched.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ID",IF(OR(A3="",COUNTIF($A$2:$A$8,A3)&lt;&gt;1,LEFT(A3,LEN("2024::jama.2024.19585::"))&lt;&gt;"2024::jama.2024.19585::"),"CHECK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2024::jama.2024.19585::C003</t>
        </is>
      </c>
      <c r="B4" s="20" t="inlineStr">
        <is>
          <t>Explicitly planned week-4 symptom and chart-outcome comparisons are not supplied</t>
        </is>
      </c>
      <c r="C4" s="20" t="inlineStr">
        <is>
          <t>PLAN joi240111supp1_prod_1733431204.57929.pdf — DOC-002 p. 11 final protocol secondary items 1–4, joi240111supp1_prod_1733431204.57929.pdf — p. 12 item 5, joi240111supp1_prod_1733431204.57929.pdf — p. 34 PRO definitions, joi240111supp1_prod_1733431204.57929.pdf — p. 35 chart endpoints, joi240111supp1_prod_1733431204.57929.pdf — p. 36 symptom models, joi240111supp1_prod_1733431204.57929.pdf — p. 37 secondary models; REPORT jama_dupuis_2024_oi_240111_1733431204.38761.pdf — DOC-001 p. 1 abstract, jama_dupuis_2024_oi_240111_1733431204.38761.pdf — p. 4 analyses/results, jama_dupuis_2024_oi_240111_1733431204.38761.pdf — p. 7 Table 2; REPORT joi240111supp2_prod_1733431204.76024.pdf — DOC-003 p. 12 eTable 9, joi240111supp2_prod_1733431204.76024.pdf — p. 13 eTable 10, joi240111supp2_prod_1733431204.76024.pdf — p. 14 eTable 10, joi240111supp2_prod_1733431204.76024.pdf — p. 15 eTable 10, joi240111supp2_prod_1733431204.76024.pdf — p. 20 eFigure 2, joi240111supp2_prod_1733431204.76024.pdf — p. 21 eFigure 3. Complete absence search: all supplied REPORT pages.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ID",IF(OR(A4="",COUNTIF($A$2:$A$8,A4)&lt;&gt;1,LEFT(A4,LEN("2024::jama.2024.19585::"))&lt;&gt;"2024::jama.2024.19585::"),"CHECK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2024::jama.2024.19585::C004</t>
        </is>
      </c>
      <c r="B5" s="24" t="inlineStr">
        <is>
          <t>Final planned intervention effects and reported logistic OR analyses differ</t>
        </is>
      </c>
      <c r="C5" s="24" t="inlineStr">
        <is>
          <t>PLAN joi240111supp1_prod_1733431204.57929.pdf — DOC-002 p. 12 final protocol item 5, joi240111supp1_prod_1733431204.57929.pdf — p. 37 final SAP item 5, joi240111supp1_prod_1733431204.57929.pdf — p. 31 version history; REPORT jama_dupuis_2024_oi_240111_1733431204.38761.pdf — DOC-001 p. 1 abstract secondary outcomes/conclusion, jama_dupuis_2024_oi_240111_1733431204.38761.pdf — p. 4 secondary methods, joi240111supp2_prod_1733431204.76024.pdf — DOC-003 p. 13 eTable 10, joi240111supp2_prod_1733431204.76024.pdf — p. 14 eTable 10, joi240111supp2_prod_1733431204.76024.pdf — p. 15 footnote b, joi240111supp2_prod_1733431204.76024.pdf — p. 22 eMethods.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ID",IF(OR(A5="",COUNTIF($A$2:$A$8,A5)&lt;&gt;1,LEFT(A5,LEN("2024::jama.2024.19585::"))&lt;&gt;"2024::jama.2024.19585::"),"CHECK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2024::jama.2024.19585::C005</t>
        </is>
      </c>
      <c r="B6" s="20" t="inlineStr">
        <is>
          <t>Finite severe-mouth-sore ORs accompany an empty intervention cohort</t>
        </is>
      </c>
      <c r="C6" s="20" t="inlineStr">
        <is>
          <t>REPORT joi240111supp2_prod_1733431204.76024.pdf — DOC-003 p. 13 documentation, mouth sores, SSPedi≥3; REPORT joi240111supp2_prod_1733431204.76024.pdf — p. 14 any intervention, mouth sores, SSPedi≥3; REPORT joi240111supp2_prod_1733431204.76024.pdf — p. 14 symptom-specific intervention, mouth sores, SSPedi≥3; REPORT joi240111supp2_prod_1733431204.76024.pdf — p. 15 footnotes b/c and joi240111supp2_prod_1733431204.76024.pdf — p. 22 eMethods.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ID",IF(OR(A6="",COUNTIF($A$2:$A$8,A6)&lt;&gt;1,LEFT(A6,LEN("2024::jama.2024.19585::"))&lt;&gt;"2024::jama.2024.19585::"),"CHECK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2024::jama.2024.19585::C006</t>
        </is>
      </c>
      <c r="B7" s="24" t="inlineStr">
        <is>
          <t>Sadness interval excludes one while the displayed P is at the strict threshold</t>
        </is>
      </c>
      <c r="C7" s="24" t="inlineStr">
        <is>
          <t>REPORT joi240111supp2_prod_1733431204.76024.pdf — DOC-003 p. 13 eTable 10 any intervention, sadness, all participants; REPORT jama_dupuis_2024_oi_240111_1733431204.38761.pdf — DOC-001 p. 4 P&lt;.05 rule, jama_dupuis_2024_oi_240111_1733431204.38761.pdf — p. 5 matched counts/P and significance narrative; REPORT joi240111supp2_prod_1733431204.76024.pdf — DOC-003 p. 15 footnote b, joi240111supp2_prod_1733431204.76024.pdf — p. 22 eMethods.</t>
        </is>
      </c>
      <c r="D7" s="21" t="n"/>
      <c r="E7" s="21" t="inlineStr">
        <is>
          <t>statistical_results</t>
        </is>
      </c>
      <c r="F7" s="21" t="inlineStr">
        <is>
          <t>no</t>
        </is>
      </c>
      <c r="G7" s="24">
        <f>IFERROR(IF(LEN(TRIM(CLEAN(SUBSTITUTE(Setup!$B$2,CHAR(160)," "))))=0,"CHECK REVIEWER ID",IF(OR(A7="",COUNTIF($A$2:$A$8,A7)&lt;&gt;1,LEFT(A7,LEN("2024::jama.2024.19585::"))&lt;&gt;"2024::jama.2024.19585::"),"CHECK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2024::jama.2024.19585::C007</t>
        </is>
      </c>
      <c r="B8" s="20" t="inlineStr">
        <is>
          <t>Neuropathy and hunger symptom-specific intervals include one with significant P values</t>
        </is>
      </c>
      <c r="C8" s="20" t="inlineStr">
        <is>
          <t>REPORT joi240111supp2_prod_1733431204.76024.pdf — DOC-003 p. 14 symptom-specific intervention, neuropathy, SSPedi≥1; REPORT joi240111supp2_prod_1733431204.76024.pdf — p. 14 symptom-specific intervention, hunger, SSPedi≥1; REPORT joi240111supp2_prod_1733431204.76024.pdf — p. 15 footnotes b/c and joi240111supp2_prod_1733431204.76024.pdf — p. 22 eMethods; REPORT jama_dupuis_2024_oi_240111_1733431204.38761.pdf — DOC-001 p. 4 threshold/methods, jama_dupuis_2024_oi_240111_1733431204.38761.pdf — p. 5 matched counts and jama_dupuis_2024_oi_240111_1733431204.38761.pdf — p. 6 significance statements.</t>
        </is>
      </c>
      <c r="D8" s="21" t="n"/>
      <c r="E8" s="21" t="inlineStr">
        <is>
          <t>statistical_results</t>
        </is>
      </c>
      <c r="F8" s="21" t="inlineStr">
        <is>
          <t>no</t>
        </is>
      </c>
      <c r="G8" s="20">
        <f>IFERROR(IF(LEN(TRIM(CLEAN(SUBSTITUTE(Setup!$B$2,CHAR(160)," "))))=0,"CHECK REVIEWER ID",IF(OR(A8="",COUNTIF($A$2:$A$8,A8)&lt;&gt;1,LEFT(A8,LEN("2024::jama.2024.19585::"))&lt;&gt;"2024::jama.2024.19585::"),"CHECK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</sheetData>
  <autoFilter ref="A1:R8"/>
  <conditionalFormatting sqref="H2:H8">
    <cfRule type="expression" priority="8" dxfId="70">
      <formula>NOT(AND(OR($D2="retain",$D2=""),$E2="statistical_results"))</formula>
    </cfRule>
  </conditionalFormatting>
  <conditionalFormatting sqref="I2:I8">
    <cfRule type="expression" priority="9" dxfId="70">
      <formula>NOT(AND(OR($D2="retain",$D2=""),$E2="statistical_results"))</formula>
    </cfRule>
  </conditionalFormatting>
  <conditionalFormatting sqref="J2:J8">
    <cfRule type="expression" priority="10" dxfId="70">
      <formula>NOT(AND(OR($D2="retain",$D2=""),$E2="statistical_results"))</formula>
    </cfRule>
  </conditionalFormatting>
  <conditionalFormatting sqref="K2:K8">
    <cfRule type="expression" priority="11" dxfId="70">
      <formula>NOT(AND(OR($D2="retain",$D2=""),OR($E2="report_internal_inconsistency",$E2="plan_material")))</formula>
    </cfRule>
  </conditionalFormatting>
  <conditionalFormatting sqref="L2:L8">
    <cfRule type="expression" priority="12" dxfId="70">
      <formula>NOT(AND(OR($D2="retain",$D2=""),$E2="protocol_report"))</formula>
    </cfRule>
  </conditionalFormatting>
  <conditionalFormatting sqref="G2:G8">
    <cfRule type="expression" priority="13" dxfId="71">
      <formula>G2&lt;&gt;"PRIMARY READY"</formula>
    </cfRule>
  </conditionalFormatting>
  <dataValidations count="8">
    <dataValidation sqref="D2:D8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8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8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8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8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8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8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8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2024::jama.2024.2302::C001</t>
        </is>
      </c>
      <c r="B2" s="20" t="inlineStr">
        <is>
          <t>Abstract operative-repair population count</t>
        </is>
      </c>
      <c r="C2" s="20" t="inlineStr">
        <is>
          <t>REPORT jama_blakely_2024_oi_240020_1710443209.74411.pdf — main PDF p. 1, Abstract Results; jama_blakely_2024_oi_240020_1710443209.74411.pdf — p. 3, Figure 1 repair/no-repair branches; jama_blakely_2024_oi_240020_1710443209.74411.pdf — p. 4, Patient Characteristics and Surgery Characteristics; jama_blakely_2024_oi_240020_1710443209.74411.pdf — p. 5, Surgery Characteristics continuation.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ID",IF(OR(A2="",COUNTIF($A$2:$A$7,A2)&lt;&gt;1,LEFT(A2,LEN("2024::jama.2024.2302::"))&lt;&gt;"2024::jama.2024.2302::"),"CHECK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2024::jama.2024.2302::C002</t>
        </is>
      </c>
      <c r="B3" s="24" t="inlineStr">
        <is>
          <t>Planned and reported primary and hospital-day analysis specifications</t>
        </is>
      </c>
      <c r="C3" s="24" t="inlineStr">
        <is>
          <t>PLAN joi240020supp1_prod_1710443209.74911.pdf — protocol PDF p. 13, lines 471–488, primary/hospital analysis paragraphs; PLAN joi240020supp2_prod_1710443209.75411.pdf — SAP p. 7, lines 263–266, joi240020supp2_prod_1710443209.75411.pdf — p. 8, lines 267–271; REPORT jama_blakely_2024_oi_240020_1710443209.74411.pdf — main p. 4, Statistical Analysis, jama_blakely_2024_oi_240020_1710443209.74411.pdf — p. 6, Table 2; REPORT joi240020supp3_prod_1710443209.75411.pdf — results supplement p. 5, eTable 2 and model footnote.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ID",IF(OR(A3="",COUNTIF($A$2:$A$7,A3)&lt;&gt;1,LEFT(A3,LEN("2024::jama.2024.2302::"))&lt;&gt;"2024::jama.2024.2302::"),"CHECK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2024::jama.2024.2302::C003</t>
        </is>
      </c>
      <c r="B4" s="20" t="inlineStr">
        <is>
          <t>Bayesian intervention and subgroup main-effect prior specifications</t>
        </is>
      </c>
      <c r="C4" s="20" t="inlineStr">
        <is>
          <t>PLAN joi240020supp1_prod_1710443209.74911.pdf — protocol p. 13, lines 486–498; PLAN joi240020supp2_prod_1710443209.75411.pdf — SAP p. 8, lines 283–290, joi240020supp2_prod_1710443209.75411.pdf — p. 9, lines 327–332; REPORT jama_blakely_2024_oi_240020_1710443209.74411.pdf — main p. 4, priors/modifier paragraphs; affected REPORT results jama_blakely_2024_oi_240020_1710443209.74411.pdf — main p. 6, Table 2/Figure 2, jama_blakely_2024_oi_240020_1710443209.74411.pdf — p. 8, Figure 3.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ID",IF(OR(A4="",COUNTIF($A$2:$A$7,A4)&lt;&gt;1,LEFT(A4,LEN("2024::jama.2024.2302::"))&lt;&gt;"2024::jama.2024.2302::"),"CHECK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2024::jama.2024.2302::C004</t>
        </is>
      </c>
      <c r="B5" s="24" t="inlineStr">
        <is>
          <t>Formal interim analysis information milestone</t>
        </is>
      </c>
      <c r="C5" s="24" t="inlineStr">
        <is>
          <t>PLAN joi240020supp1_prod_1710443209.74911.pdf — protocol p. 14, lines 519–530, joi240020supp1_prod_1710443209.74911.pdf — p. 25, version 7 history, lines 979–982; PLAN joi240020supp2_prod_1710443209.75411.pdf — SAP p. 4, lines 119–127; REPORT jama_blakely_2024_oi_240020_1710443209.74411.pdf — main p. 4, formal interim paragraph, jama_blakely_2024_oi_240020_1710443209.74411.pdf — p. 8, early-stopping limitation.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ID",IF(OR(A5="",COUNTIF($A$2:$A$7,A5)&lt;&gt;1,LEFT(A5,LEN("2024::jama.2024.2302::"))&lt;&gt;"2024::jama.2024.2302::"),"CHECK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2024::jama.2024.2302::C005</t>
        </is>
      </c>
      <c r="B6" s="20" t="inlineStr">
        <is>
          <t>Planned primary and key-secondary analyses without supplied reported counterparts</t>
        </is>
      </c>
      <c r="C6" s="20" t="inlineStr">
        <is>
          <t>PLAN joi240020supp2_prod_1710443209.75411.pdf — SAP p. 4, lines 133–149, modeled death, joi240020supp2_prod_1710443209.75411.pdf — p. 5, lines 163–166, PP population, joi240020supp2_prod_1710443209.75411.pdf — p. 8, lines 269–276, ≥3%/≥5% benefit, joi240020supp2_prod_1710443209.75411.pdf — p. 9, lines 315–347, PP/modifiers/continuous GA; PLAN joi240020supp1_prod_1710443209.74911.pdf — protocol p. 13, lines 490–500, modifiers; alternative publication scope joi240020supp2_prod_1710443209.75411.pdf — SAP p. 2, lines 28–37. REPORT counterparts/search: jama_blakely_2024_oi_240020_1710443209.74411.pdf — main p. 4, methods and developmental deferral, jama_blakely_2024_oi_240020_1710443209.74411.pdf — p. 6, primary/hospital results, jama_blakely_2024_oi_240020_1710443209.74411.pdf — p. 7, Table 3 and heterogeneity, jama_blakely_2024_oi_240020_1710443209.74411.pdf — p. 8, Figure 3; joi240020supp3_prod_1710443209.75411.pdf — results supplement p. 1, contents, joi240020supp3_prod_1710443209.75411.pdf — p. 5, eTable 2. Complete absence search covers main physical pp. 1–10 and results-supplement pp. 1–8, including all other flow/baseline/center/reference/acknowledgment pages.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ID",IF(OR(A6="",COUNTIF($A$2:$A$7,A6)&lt;&gt;1,LEFT(A6,LEN("2024::jama.2024.2302::"))&lt;&gt;"2024::jama.2024.2302::"),"CHECK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2024::jama.2024.2302::C006</t>
        </is>
      </c>
      <c r="B7" s="24" t="inlineStr">
        <is>
          <t>Protocol hospital-day median assumptions</t>
        </is>
      </c>
      <c r="C7" s="24" t="inlineStr">
        <is>
          <t>PLAN joi240020supp1_prod_1710443209.74911.pdf — protocol p. 3, lines 105–109, specific aim, joi240020supp1_prod_1710443209.74911.pdf — p. 12, lines 460–462, power assumptions; corroborating PLAN joi240020supp2_prod_1710443209.75411.pdf — SAP p. 3, lines 73–80, clarification; related power outputs joi240020supp1_prod_1710443209.74911.pdf — protocol p. 13, Table 4, joi240020supp2_prod_1710443209.75411.pdf — SAP p. 4, lines 114–115.</t>
        </is>
      </c>
      <c r="D7" s="21" t="n"/>
      <c r="E7" s="21" t="inlineStr">
        <is>
          <t>plan_material</t>
        </is>
      </c>
      <c r="F7" s="21" t="inlineStr">
        <is>
          <t>no</t>
        </is>
      </c>
      <c r="G7" s="24">
        <f>IFERROR(IF(LEN(TRIM(CLEAN(SUBSTITUTE(Setup!$B$2,CHAR(160)," "))))=0,"CHECK REVIEWER ID",IF(OR(A7="",COUNTIF($A$2:$A$7,A7)&lt;&gt;1,LEFT(A7,LEN("2024::jama.2024.2302::"))&lt;&gt;"2024::jama.2024.2302::"),"CHECK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</sheetData>
  <autoFilter ref="A1:R7"/>
  <conditionalFormatting sqref="H2:H7">
    <cfRule type="expression" priority="8" dxfId="70">
      <formula>NOT(AND(OR($D2="retain",$D2=""),$E2="statistical_results"))</formula>
    </cfRule>
  </conditionalFormatting>
  <conditionalFormatting sqref="I2:I7">
    <cfRule type="expression" priority="9" dxfId="70">
      <formula>NOT(AND(OR($D2="retain",$D2=""),$E2="statistical_results"))</formula>
    </cfRule>
  </conditionalFormatting>
  <conditionalFormatting sqref="J2:J7">
    <cfRule type="expression" priority="10" dxfId="70">
      <formula>NOT(AND(OR($D2="retain",$D2=""),$E2="statistical_results"))</formula>
    </cfRule>
  </conditionalFormatting>
  <conditionalFormatting sqref="K2:K7">
    <cfRule type="expression" priority="11" dxfId="70">
      <formula>NOT(AND(OR($D2="retain",$D2=""),OR($E2="report_internal_inconsistency",$E2="plan_material")))</formula>
    </cfRule>
  </conditionalFormatting>
  <conditionalFormatting sqref="L2:L7">
    <cfRule type="expression" priority="12" dxfId="70">
      <formula>NOT(AND(OR($D2="retain",$D2=""),$E2="protocol_report"))</formula>
    </cfRule>
  </conditionalFormatting>
  <conditionalFormatting sqref="G2:G7">
    <cfRule type="expression" priority="13" dxfId="71">
      <formula>G2&lt;&gt;"PRIMARY READY"</formula>
    </cfRule>
  </conditionalFormatting>
  <dataValidations count="8">
    <dataValidation sqref="D2:D7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7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7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7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7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7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7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7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4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2024::jama.2024.23898::C001</t>
        </is>
      </c>
      <c r="B2" s="20" t="inlineStr">
        <is>
          <t>Secondary quality-of-life significance summary</t>
        </is>
      </c>
      <c r="C2" s="20" t="inlineStr">
        <is>
          <t>REPORT jama_paterson_2024_oi_240139_1741633738.12862.pdf — PDF p. 1; jama_paterson_2024_oi_240139_1741633738.12862.pdf — PDF p. 5; jama_paterson_2024_oi_240139_1741633738.12862.pdf — PDF p. 6; jama_paterson_2024_oi_240139_1741633738.12862.pdf — PDF p. 7; jama_paterson_2024_oi_240139_1741633738.12862.pdf — PDF p. 8; corroborating PLAN joi240139supp2_prod_1741633738.17362.pdf — PDF p. 14, secondary multiplicity convention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ID",IF(OR(A2="",COUNTIF($A$2:$A$14,A2)&lt;&gt;1,LEFT(A2,LEN("2024::jama.2024.23898::"))&lt;&gt;"2024::jama.2024.23898::"),"CHECK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2024::jama.2024.23898::C002</t>
        </is>
      </c>
      <c r="B3" s="24" t="inlineStr">
        <is>
          <t>Safety analysis population and exposure requirement</t>
        </is>
      </c>
      <c r="C3" s="24" t="inlineStr">
        <is>
          <t>PLAN joi240139supp2_prod_1741633738.17362.pdf — PDF p. 13, adverse-event population; REPORT jama_paterson_2024_oi_240139_1741633738.12862.pdf — PDF p. 3, Figure 1 receipt/safety boxes and footnote b; jama_paterson_2024_oi_240139_1741633738.12862.pdf — PDF p. 8, Table 3 AE/SAE rows, headings and footnote e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ID",IF(OR(A3="",COUNTIF($A$2:$A$14,A3)&lt;&gt;1,LEFT(A3,LEN("2024::jama.2024.23898::"))&lt;&gt;"2024::jama.2024.23898::"),"CHECK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2024::jama.2024.23898::C003</t>
        </is>
      </c>
      <c r="B4" s="20" t="inlineStr">
        <is>
          <t>Postoperative opioid accumulation window</t>
        </is>
      </c>
      <c r="C4" s="20" t="inlineStr">
        <is>
          <t>PLAN joi240139supp1_prod_1741633738.16362.pdf — PDF p. 17; joi240139supp1_prod_1741633738.16362.pdf — PDF p. 33; joi240139supp1_prod_1741633738.16362.pdf — PDF p. 35; joi240139supp2_prod_1741633738.17362.pdf — PDF p. 11, collection schedule; REPORT jama_paterson_2024_oi_240139_1741633738.12862.pdf — PDF p. 4; jama_paterson_2024_oi_240139_1741633738.12862.pdf — PDF p. 5; jama_paterson_2024_oi_240139_1741633738.12862.pdf — PDF p. 6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ID",IF(OR(A4="",COUNTIF($A$2:$A$14,A4)&lt;&gt;1,LEFT(A4,LEN("2024::jama.2024.23898::"))&lt;&gt;"2024::jama.2024.23898::"),"CHECK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2024::jama.2024.23898::C004</t>
        </is>
      </c>
      <c r="B5" s="24" t="inlineStr">
        <is>
          <t>Total hospital stay outcome hierarchy</t>
        </is>
      </c>
      <c r="C5" s="24" t="inlineStr">
        <is>
          <t>Conflicting REPORT jama_paterson_2024_oi_240139_1741633738.12862.pdf — PDF p. 4; jama_paterson_2024_oi_240139_1741633738.12862.pdf — PDF p. 7; jama_paterson_2024_oi_240139_1741633738.12862.pdf — PDF p. 8; corroborating PLAN joi240139supp1_prod_1741633738.16362.pdf — PDF p. 16; joi240139supp1_prod_1741633738.16362.pdf — PDF p. 18; joi240139supp2_prod_1741633738.17362.pdf — PDF p. 10, tertiary outcomes</t>
        </is>
      </c>
      <c r="D5" s="21" t="n"/>
      <c r="E5" s="21" t="inlineStr">
        <is>
          <t>report_internal_inconsistency</t>
        </is>
      </c>
      <c r="F5" s="21" t="inlineStr">
        <is>
          <t>no</t>
        </is>
      </c>
      <c r="G5" s="24">
        <f>IFERROR(IF(LEN(TRIM(CLEAN(SUBSTITUTE(Setup!$B$2,CHAR(160)," "))))=0,"CHECK REVIEWER ID",IF(OR(A5="",COUNTIF($A$2:$A$14,A5)&lt;&gt;1,LEFT(A5,LEN("2024::jama.2024.23898::"))&lt;&gt;"2024::jama.2024.23898::"),"CHECK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2024::jama.2024.23898::C005</t>
        </is>
      </c>
      <c r="B6" s="20" t="inlineStr">
        <is>
          <t>Unplanned readmission observation window</t>
        </is>
      </c>
      <c r="C6" s="20" t="inlineStr">
        <is>
          <t>PLAN joi240139supp1_prod_1741633738.16362.pdf — PDF p. 16; joi240139supp1_prod_1741633738.16362.pdf — PDF p. 18; joi240139supp2_prod_1741633738.17362.pdf — PDF p. 10; joi240139supp2_prod_1741633738.17362.pdf — PDF p. 27; REPORT jama_paterson_2024_oi_240139_1741633738.12862.pdf — PDF p. 4, outcomes and follow-up; jama_paterson_2024_oi_240139_1741633738.12862.pdf — PDF p. 8, Table 3 readmission row and footnote c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ID",IF(OR(A6="",COUNTIF($A$2:$A$14,A6)&lt;&gt;1,LEFT(A6,LEN("2024::jama.2024.23898::"))&lt;&gt;"2024::jama.2024.23898::"),"CHECK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2024::jama.2024.23898::C006</t>
        </is>
      </c>
      <c r="B7" s="24" t="inlineStr">
        <is>
          <t>Primary logit and log-link specifications</t>
        </is>
      </c>
      <c r="C7" s="24" t="inlineStr">
        <is>
          <t>PLAN joi240139supp1_prod_1741633738.16362.pdf — PDF p. 40, §10.2; physical page, printed footer Page 41 of 61; joi240139supp2_prod_1741633738.17362.pdf — PDF p. 3; joi240139supp2_prod_1741633738.17362.pdf — PDF p. 14; joi240139supp2_prod_1741633738.17362.pdf — PDF p. 34; REPORT jama_paterson_2024_oi_240139_1741633738.12862.pdf — PDF p. 5; jama_paterson_2024_oi_240139_1741633738.12862.pdf — PDF p. 6; protocol cover/version context joi240139supp1_prod_1741633738.16362.pdf — PDF p. 1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ID",IF(OR(A7="",COUNTIF($A$2:$A$14,A7)&lt;&gt;1,LEFT(A7,LEN("2024::jama.2024.23898::"))&lt;&gt;"2024::jama.2024.23898::"),"CHECK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2024::jama.2024.23898::C007</t>
        </is>
      </c>
      <c r="B8" s="20" t="inlineStr">
        <is>
          <t>Planned unadjusted primary and key-secondary analyses</t>
        </is>
      </c>
      <c r="C8" s="20" t="inlineStr">
        <is>
          <t>PLAN joi240139supp2_prod_1741633738.17362.pdf — PDF p. 20, Tables 13.8–13.9; joi240139supp2_prod_1741633738.17362.pdf — PDF p. 21, Table 13.10; joi240139supp2_prod_1741633738.17362.pdf — PDF p. 26, Tables 13.21–13.22; reported-output/key-secondary identification jama_paterson_2024_oi_240139_1741633738.12862.pdf — PDF p. 1; jama_paterson_2024_oi_240139_1741633738.12862.pdf — PDF p. 5; jama_paterson_2024_oi_240139_1741633738.12862.pdf — PDF p. 6; jama_paterson_2024_oi_240139_1741633738.12862.pdf — PDF p. 7; jama_paterson_2024_oi_240139_1741633738.12862.pdf — PDF p. 8; joi240139supp3_prod_1741633738.18862.pdf — PDF p. 2, subgroup outputs; complete absence-search REPORT union: jama_paterson_2024_oi_240139_1741633738.12862.pdf — PDF p. 1; jama_paterson_2024_oi_240139_1741633738.12862.pdf — PDF p. 2; jama_paterson_2024_oi_240139_1741633738.12862.pdf — PDF p. 3; jama_paterson_2024_oi_240139_1741633738.12862.pdf — PDF p. 4; jama_paterson_2024_oi_240139_1741633738.12862.pdf — PDF p. 5; jama_paterson_2024_oi_240139_1741633738.12862.pdf — PDF p. 6; jama_paterson_2024_oi_240139_1741633738.12862.pdf — PDF p. 7; jama_paterson_2024_oi_240139_1741633738.12862.pdf — PDF p. 8; jama_paterson_2024_oi_240139_1741633738.12862.pdf — PDF p. 9; jama_paterson_2024_oi_240139_1741633738.12862.pdf — PDF p. 10; joi240139supp3_prod_1741633738.18862.pdf — PDF p. 1; joi240139supp3_prod_1741633738.18862.pdf — PDF p. 2; joi240139supp4_prod_1741633738.20861.pdf — PDF p. 1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ID",IF(OR(A8="",COUNTIF($A$2:$A$14,A8)&lt;&gt;1,LEFT(A8,LEN("2024::jama.2024.23898::"))&lt;&gt;"2024::jama.2024.23898::"),"CHECK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Height="1" s="25">
      <c r="A9" s="24" t="inlineStr">
        <is>
          <t>2024::jama.2024.23898::C008</t>
        </is>
      </c>
      <c r="B9" s="24" t="inlineStr">
        <is>
          <t>Planned Edinburgh primary sensitivity analysis</t>
        </is>
      </c>
      <c r="C9" s="24" t="inlineStr">
        <is>
          <t>PLAN joi240139supp2_prod_1741633738.17362.pdf — PDF p.15, §11.6 primary sensitivity analysis. REPORT jama_paterson_2024_oi_240139_1741633738.12862.pdf — PDF p.5, analysis methods and results, jama_paterson_2024_oi_240139_1741633738.12862.pdf — PDF p.6, Table 2 primary estimates, jama_paterson_2024_oi_240139_1741633738.12862.pdf — PDF p.7, robustness discussion, jama_paterson_2024_oi_240139_1741633738.12862.pdf — PDF p.9, limitations, and joi240139supp3_prod_1741633738.18862.pdf — PDF p.2, subgroup eFigure. The absence check also covered every remaining page of the main article, both pages of the subgroup supplement and joi240139supp4_prod_1741633738.20861.pdf — PDF p.1, data-sharing statement, comprising all 13 supplied REPORT pages.</t>
        </is>
      </c>
      <c r="D9" s="21" t="n"/>
      <c r="E9" s="21" t="inlineStr">
        <is>
          <t>protocol_report</t>
        </is>
      </c>
      <c r="F9" s="21" t="inlineStr">
        <is>
          <t>no</t>
        </is>
      </c>
      <c r="G9" s="24">
        <f>IFERROR(IF(LEN(TRIM(CLEAN(SUBSTITUTE(Setup!$B$2,CHAR(160)," "))))=0,"CHECK REVIEWER ID",IF(OR(A9="",COUNTIF($A$2:$A$14,A9)&lt;&gt;1,LEFT(A9,LEN("2024::jama.2024.23898::"))&lt;&gt;"2024::jama.2024.23898::"),"CHECK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Height="1" s="25">
      <c r="A10" s="20" t="inlineStr">
        <is>
          <t>2024::jama.2024.23898::C009</t>
        </is>
      </c>
      <c r="B10" s="20" t="inlineStr">
        <is>
          <t>Discharge and readiness model specifications</t>
        </is>
      </c>
      <c r="C10" s="20" t="inlineStr">
        <is>
          <t>PLAN joi240139supp2_prod_1741633738.17362.pdf — PDF p.14, §11.4 secondary analyses, joi240139supp2_prod_1741633738.17362.pdf — PDF p.26, Tables 13.21–13.22 and model footnotes, and joi240139supp2_prod_1741633738.17362.pdf — PDF p.36, discharge/readiness sample commands. REPORT jama_paterson_2024_oi_240139_1741633738.12862.pdf — PDF p.5, time-to-event methods and jama_paterson_2024_oi_240139_1741633738.12862.pdf — PDF p.7, Table 2 medical-discharge/patient-readiness rows and footnotes c,d.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ID",IF(OR(A10="",COUNTIF($A$2:$A$14,A10)&lt;&gt;1,LEFT(A10,LEN("2024::jama.2024.23898::"))&lt;&gt;"2024::jama.2024.23898::"),"CHECK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Height="1" s="25">
      <c r="A11" s="24" t="inlineStr">
        <is>
          <t>2024::jama.2024.23898::C010</t>
        </is>
      </c>
      <c r="B11" s="24" t="inlineStr">
        <is>
          <t>Planned key-secondary result components</t>
        </is>
      </c>
      <c r="C11" s="24" t="inlineStr">
        <is>
          <t>The five component groups and their affected locations are listed separately below. Key-secondary status is established by REPORT jama_paterson_2024_oi_240139_1741633738.12862.pdf — PDF p.1, abstract outcome list and jama_paterson_2024_oi_240139_1741633738.12862.pdf — PDF p.4, outcome list; jama_paterson_2024_oi_240139_1741633738.12862.pdf — PDF p.5, results summary supplies no missing component output. The absence comparison covered the complete main article, the two-page subgroup supplement and joi240139supp4_prod_1741633738.20861.pdf — PDF p.1, all 13 REPORT pages.</t>
        </is>
      </c>
      <c r="D11" s="21" t="n"/>
      <c r="E11" s="21" t="inlineStr">
        <is>
          <t>protocol_report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ID",IF(OR(A11="",COUNTIF($A$2:$A$14,A11)&lt;&gt;1,LEFT(A11,LEN("2024::jama.2024.23898::"))&lt;&gt;"2024::jama.2024.23898::"),"CHECK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Height="1" s="25">
      <c r="A12" s="20" t="inlineStr">
        <is>
          <t>2024::jama.2024.23898::C011</t>
        </is>
      </c>
      <c r="B12" s="20" t="inlineStr">
        <is>
          <t>GI-2 and GI-3 survival time origin</t>
        </is>
      </c>
      <c r="C12" s="20" t="inlineStr">
        <is>
          <t>PLAN joi240139supp1_prod_1741633738.16362.pdf — PDF p.16, GI-2/GI-3 endpoint definitions; joi240139supp2_prod_1741633738.17362.pdf — PDF p.9, endpoint prose, joi240139supp2_prod_1741633738.17362.pdf — PDF p.33, binary composite definitions, and joi240139supp2_prod_1741633738.17362.pdf — PDF p.34, continuous survival Time definitions. Corroborating REPORT jama_paterson_2024_oi_240139_1741633738.12862.pdf — PDF p.6, GI-2/GI-3 time-to-event results and jama_paterson_2024_oi_240139_1741633738.12862.pdf — PDF p.8, Figure 2 time axis.</t>
        </is>
      </c>
      <c r="D12" s="21" t="n"/>
      <c r="E12" s="21" t="inlineStr">
        <is>
          <t>plan_material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ID",IF(OR(A12="",COUNTIF($A$2:$A$14,A12)&lt;&gt;1,LEFT(A12,LEN("2024::jama.2024.23898::"))&lt;&gt;"2024::jama.2024.23898::"),"CHECK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Height="1" s="25">
      <c r="A13" s="24" t="inlineStr">
        <is>
          <t>2024::jama.2024.23898::C012</t>
        </is>
      </c>
      <c r="B13" s="24" t="inlineStr">
        <is>
          <t>ERAS subgroup age adjustment specification</t>
        </is>
      </c>
      <c r="C13" s="24" t="inlineStr">
        <is>
          <t>PLAN joi240139supp2_prod_1741633738.17362.pdf — PDF p.14, §11.3–11.5 model/subgroup instructions, joi240139supp2_prod_1741633738.17362.pdf — PDF p.15, subgroup specification continued, and joi240139supp2_prod_1741633738.17362.pdf — PDF p.38, ERAS sample command and adjacent age-subgroup command. joi240139supp2_prod_1741633738.17362.pdf — SAP PDF p.34, primary-model sample command corroborates the age term. REPORT jama_paterson_2024_oi_240139_1741633738.12862.pdf — PDF p.5, subgroup interaction method and joi240139supp3_prod_1741633738.18862.pdf — PDF p.2, ERAS subgroup results provide context and the affected estimates.</t>
        </is>
      </c>
      <c r="D13" s="21" t="n"/>
      <c r="E13" s="21" t="inlineStr">
        <is>
          <t>plan_material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ID",IF(OR(A13="",COUNTIF($A$2:$A$14,A13)&lt;&gt;1,LEFT(A13,LEN("2024::jama.2024.23898::"))&lt;&gt;"2024::jama.2024.23898::"),"CHECK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Height="1" s="25">
      <c r="A14" s="20" t="inlineStr">
        <is>
          <t>2024::jama.2024.23898::C013</t>
        </is>
      </c>
      <c r="B14" s="20" t="inlineStr">
        <is>
          <t>Subgroup confidence-level definitions</t>
        </is>
      </c>
      <c r="C14" s="20" t="inlineStr">
        <is>
          <t>REPORT joi240139supp3_prod_1741633738.18862.pdf — PDF p.2, eFigure horizontal-line legend, 12 subgroup rows, overall row and numeric-interval caption. Corroborating REPORT jama_paterson_2024_oi_240139_1741633738.12862.pdf — PDF p.5, confidence/subgroup methods, jama_paterson_2024_oi_240139_1741633738.12862.pdf — PDF p.6, overall primary 95% interval, and PLAN joi240139supp2_prod_1741633738.17362.pdf — PDF p.15, subgroup significance and CI rule.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ID",IF(OR(A14="",COUNTIF($A$2:$A$14,A14)&lt;&gt;1,LEFT(A14,LEN("2024::jama.2024.23898::"))&lt;&gt;"2024::jama.2024.23898::"),"CHECK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6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2024::jama.2024.25786::C001</t>
        </is>
      </c>
      <c r="B2" s="20" t="inlineStr">
        <is>
          <t>Randomized counts carry retained or analyzed population labels</t>
        </is>
      </c>
      <c r="C2" s="20" t="inlineStr">
        <is>
          <t>jama_arleth_2024_oi_240147_1738701765.27201.pdf — REPORT main PDF p. 1; jama_arleth_2024_oi_240147_1738701765.27201.pdf — REPORT main PDF p. 2; jama_arleth_2024_oi_240147_1738701765.27201.pdf — REPORT main PDF p. 3; jama_arleth_2024_oi_240147_1738701765.27201.pdf — REPORT main PDF p. 5.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ID",IF(OR(A2="",COUNTIF($A$2:$A$16,A2)&lt;&gt;1,LEFT(A2,LEN("2024::jama.2024.25786::"))&lt;&gt;"2024::jama.2024.25786::"),"CHECK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2024::jama.2024.25786::C002</t>
        </is>
      </c>
      <c r="B3" s="24" t="inlineStr">
        <is>
          <t>Accrual maximum and evaluable target use unclear populations</t>
        </is>
      </c>
      <c r="C3" s="24" t="inlineStr">
        <is>
          <t>jama_arleth_2024_oi_240147_1738701765.27201.pdf — REPORT main PDF p. 3; jama_arleth_2024_oi_240147_1738701765.27201.pdf — REPORT main PDF p. 5; joi240147supp1_prod_1738701765.28701.pdf — PLAN plan PDF p. 13; joi240147supp1_prod_1738701765.28701.pdf — PLAN plan PDF p. 26; joi240147supp1_prod_1738701765.28701.pdf — PLAN plan PDF p. 49; joi240147supp1_prod_1738701765.28701.pdf — PLAN plan PDF p. 62; joi240147supp1_prod_1738701765.28701.pdf — PLAN plan PDF p. 84; joi240147supp1_prod_1738701765.28701.pdf — PLAN plan PDF p. 85.</t>
        </is>
      </c>
      <c r="D3" s="21" t="n"/>
      <c r="E3" s="21" t="inlineStr">
        <is>
          <t>protocol_report</t>
        </is>
      </c>
      <c r="F3" s="21" t="inlineStr">
        <is>
          <t>no</t>
        </is>
      </c>
      <c r="G3" s="24">
        <f>IFERROR(IF(LEN(TRIM(CLEAN(SUBSTITUTE(Setup!$B$2,CHAR(160)," "))))=0,"CHECK REVIEWER ID",IF(OR(A3="",COUNTIF($A$2:$A$16,A3)&lt;&gt;1,LEFT(A3,LEN("2024::jama.2024.25786::"))&lt;&gt;"2024::jama.2024.25786::"),"CHECK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2024::jama.2024.25786::C003</t>
        </is>
      </c>
      <c r="B4" s="20" t="inlineStr">
        <is>
          <t>Prespecified secondary outcome hierarchy becomes key or exploratory</t>
        </is>
      </c>
      <c r="C4" s="20" t="inlineStr">
        <is>
          <t>jama_arleth_2024_oi_240147_1738701765.27201.pdf — REPORT main PDF p. 5; jama_arleth_2024_oi_240147_1738701765.27201.pdf — REPORT main PDF p. 6; joi240147supp1_prod_1738701765.28701.pdf — PLAN plan PDF p. 13; joi240147supp1_prod_1738701765.28701.pdf — PLAN plan PDF p. 23; joi240147supp1_prod_1738701765.28701.pdf — PLAN plan PDF p. 24; joi240147supp1_prod_1738701765.28701.pdf — PLAN plan PDF p. 49; joi240147supp1_prod_1738701765.28701.pdf — PLAN plan PDF p. 59; joi240147supp1_prod_1738701765.28701.pdf — PLAN plan PDF p. 60; joi240147supp1_prod_1738701765.28701.pdf — PLAN plan PDF p. 80; joi240147supp1_prod_1738701765.28701.pdf — PLAN plan PDF p. 84; joi240147supp1_prod_1738701765.28701.pdf — PLAN plan PDF p. 85; joi240147supp1_prod_1738701765.28701.pdf — PLAN plan PDF p. 86; joi240147supp1_prod_1738701765.28701.pdf — PLAN plan PDF p. 88; joi240147supp1_prod_1738701765.28701.pdf — PLAN plan PDF p. 89; joi240147supp1_prod_1738701765.28701.pdf — PLAN plan PDF p. 92; joi240147supp1_prod_1738701765.28701.pdf — PLAN plan PDF p. 100; joi240147supp1_prod_1738701765.28701.pdf — PLAN plan PDF p. 101; joi240147supp2_prod_1738701765.29201.pdf — REPORT results PDF p. 10; joi240147supp2_prod_1738701765.29201.pdf — REPORT results PDF p. 17; joi240147supp2_prod_1738701765.29201.pdf — REPORT results PDF p. 18; joi240147supp2_prod_1738701765.29201.pdf — REPORT results PDF p. 19.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ID",IF(OR(A4="",COUNTIF($A$2:$A$16,A4)&lt;&gt;1,LEFT(A4,LEN("2024::jama.2024.25786::"))&lt;&gt;"2024::jama.2024.25786::"),"CHECK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2024::jama.2024.25786::C004</t>
        </is>
      </c>
      <c r="B5" s="24" t="inlineStr">
        <is>
          <t>Protocol pneumonia-adjusted primary model is absent from reported model set</t>
        </is>
      </c>
      <c r="C5" s="24" t="inlineStr">
        <is>
          <t>jama_arleth_2024_oi_240147_1738701765.27201.pdf — REPORT main PDF p. 5; joi240147supp1_prod_1738701765.28701.pdf — PLAN plan PDF p. 26; joi240147supp1_prod_1738701765.28701.pdf — PLAN plan PDF p. 62; joi240147supp1_prod_1738701765.28701.pdf — PLAN plan PDF p. 78; joi240147supp1_prod_1738701765.28701.pdf — PLAN plan PDF p. 79; joi240147supp1_prod_1738701765.28701.pdf — PLAN plan PDF p. 80; joi240147supp1_prod_1738701765.28701.pdf — PLAN plan PDF p. 84; joi240147supp1_prod_1738701765.28701.pdf — PLAN plan PDF p. 88; joi240147supp1_prod_1738701765.28701.pdf — PLAN plan PDF p. 89; joi240147supp2_prod_1738701765.29201.pdf — REPORT results PDF p. 11; joi240147supp2_prod_1738701765.29201.pdf — REPORT results PDF p. 12; joi240147supp2_prod_1738701765.29201.pdf — REPORT results PDF p. 17; joi240147supp2_prod_1738701765.29201.pdf — REPORT results PDF p. 22.</t>
        </is>
      </c>
      <c r="D5" s="21" t="n"/>
      <c r="E5" s="21" t="inlineStr">
        <is>
          <t>protocol_report</t>
        </is>
      </c>
      <c r="F5" s="21" t="inlineStr">
        <is>
          <t>no</t>
        </is>
      </c>
      <c r="G5" s="24">
        <f>IFERROR(IF(LEN(TRIM(CLEAN(SUBSTITUTE(Setup!$B$2,CHAR(160)," "))))=0,"CHECK REVIEWER ID",IF(OR(A5="",COUNTIF($A$2:$A$16,A5)&lt;&gt;1,LEFT(A5,LEN("2024::jama.2024.25786::"))&lt;&gt;"2024::jama.2024.25786::"),"CHECK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2024::jama.2024.25786::C005</t>
        </is>
      </c>
      <c r="B6" s="20" t="inlineStr">
        <is>
          <t>Planned primary-outcome hypoxemia subgroup is not reported</t>
        </is>
      </c>
      <c r="C6" s="20" t="inlineStr">
        <is>
          <t>jama_arleth_2024_oi_240147_1738701765.27201.pdf — REPORT main PDF p. 5; jama_arleth_2024_oi_240147_1738701765.27201.pdf — REPORT main PDF p. 8; joi240147supp1_prod_1738701765.28701.pdf — PLAN plan PDF p. 26; joi240147supp1_prod_1738701765.28701.pdf — PLAN plan PDF p. 62; joi240147supp1_prod_1738701765.28701.pdf — PLAN plan PDF p. 84; joi240147supp1_prod_1738701765.28701.pdf — PLAN plan PDF p. 89; joi240147supp2_prod_1738701765.29201.pdf — REPORT results PDF p. 17; joi240147supp2_prod_1738701765.29201.pdf — REPORT results PDF p. 18; joi240147supp2_prod_1738701765.29201.pdf — REPORT results PDF p. 19; joi240147supp2_prod_1738701765.29201.pdf — REPORT results PDF p. 20; joi240147supp2_prod_1738701765.29201.pdf — REPORT results PDF p. 21; joi240147supp2_prod_1738701765.29201.pdf — REPORT results PDF p. 22; joi240147supp2_prod_1738701765.29201.pdf — REPORT results PDF p. 23; joi240147supp2_prod_1738701765.29201.pdf — REPORT results PDF p. 24; joi240147supp2_prod_1738701765.29201.pdf — REPORT results PDF p. 25.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ID",IF(OR(A6="",COUNTIF($A$2:$A$16,A6)&lt;&gt;1,LEFT(A6,LEN("2024::jama.2024.25786::"))&lt;&gt;"2024::jama.2024.25786::"),"CHECK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2024::jama.2024.25786::C006</t>
        </is>
      </c>
      <c r="B7" s="24" t="inlineStr">
        <is>
          <t>Intubation subgroup changes from trauma clock to randomization status</t>
        </is>
      </c>
      <c r="C7" s="24" t="inlineStr">
        <is>
          <t>jama_arleth_2024_oi_240147_1738701765.27201.pdf — REPORT main PDF p. 5; jama_arleth_2024_oi_240147_1738701765.27201.pdf — REPORT main PDF p. 8; joi240147supp1_prod_1738701765.28701.pdf — PLAN plan PDF p. 26; joi240147supp1_prod_1738701765.28701.pdf — PLAN plan PDF p. 62; joi240147supp1_prod_1738701765.28701.pdf — PLAN plan PDF p. 84; joi240147supp1_prod_1738701765.28701.pdf — PLAN plan PDF p. 89; joi240147supp2_prod_1738701765.29201.pdf — REPORT results PDF p. 16; joi240147supp2_prod_1738701765.29201.pdf — REPORT results PDF p. 20; joi240147supp2_prod_1738701765.29201.pdf — REPORT results PDF p. 21.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ID",IF(OR(A7="",COUNTIF($A$2:$A$16,A7)&lt;&gt;1,LEFT(A7,LEN("2024::jama.2024.25786::"))&lt;&gt;"2024::jama.2024.25786::"),"CHECK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2024::jama.2024.25786::C007</t>
        </is>
      </c>
      <c r="B8" s="20" t="inlineStr">
        <is>
          <t>Planned categorical key-secondary tests are replaced by logistic models</t>
        </is>
      </c>
      <c r="C8" s="20" t="inlineStr">
        <is>
          <t>jama_arleth_2024_oi_240147_1738701765.27201.pdf — REPORT main PDF p. 5; jama_arleth_2024_oi_240147_1738701765.27201.pdf — REPORT main PDF p. 6; joi240147supp1_prod_1738701765.28701.pdf — PLAN plan PDF p. 23; joi240147supp1_prod_1738701765.28701.pdf — PLAN plan PDF p. 26; joi240147supp1_prod_1738701765.28701.pdf — PLAN plan PDF p. 59; joi240147supp1_prod_1738701765.28701.pdf — PLAN plan PDF p. 62; joi240147supp1_prod_1738701765.28701.pdf — PLAN plan PDF p. 78; joi240147supp1_prod_1738701765.28701.pdf — PLAN plan PDF p. 79; joi240147supp1_prod_1738701765.28701.pdf — PLAN plan PDF p. 80; joi240147supp1_prod_1738701765.28701.pdf — PLAN plan PDF p. 84; joi240147supp1_prod_1738701765.28701.pdf — PLAN plan PDF p. 88; joi240147supp1_prod_1738701765.28701.pdf — PLAN plan PDF p. 89; joi240147supp2_prod_1738701765.29201.pdf — REPORT results PDF p. 17.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ID",IF(OR(A8="",COUNTIF($A$2:$A$16,A8)&lt;&gt;1,LEFT(A8,LEN("2024::jama.2024.25786::"))&lt;&gt;"2024::jama.2024.25786::"),"CHECK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Height="1" s="25">
      <c r="A9" s="24" t="inlineStr">
        <is>
          <t>2024::jama.2024.25786::C008</t>
        </is>
      </c>
      <c r="B9" s="24" t="inlineStr">
        <is>
          <t>SSI risk-difference interval and nominal odds-ratio tests give different null readings</t>
        </is>
      </c>
      <c r="C9" s="24" t="inlineStr">
        <is>
          <t>jama_arleth_2024_oi_240147_1738701765.27201.pdf — REPORT main PDF p. 5; jama_arleth_2024_oi_240147_1738701765.27201.pdf — REPORT main PDF p. 6; joi240147supp1_prod_1738701765.28701.pdf — PLAN plan PDF p. 86; joi240147supp2_prod_1738701765.29201.pdf — REPORT results PDF p. 18.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ID",IF(OR(A9="",COUNTIF($A$2:$A$16,A9)&lt;&gt;1,LEFT(A9,LEN("2024::jama.2024.25786::"))&lt;&gt;"2024::jama.2024.25786::"),"CHECK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Height="1" s="25">
      <c r="A10" s="20" t="inlineStr">
        <is>
          <t>2024::jama.2024.25786::C009</t>
        </is>
      </c>
      <c r="B10" s="20" t="inlineStr">
        <is>
          <t>SSI classification criteria differ between SAP and results supplement</t>
        </is>
      </c>
      <c r="C10" s="20" t="inlineStr">
        <is>
          <t>jama_arleth_2024_oi_240147_1738701765.27201.pdf — REPORT main PDF p. 6; joi240147supp1_prod_1738701765.28701.pdf — PLAN plan PDF p. 84; joi240147supp1_prod_1738701765.28701.pdf — PLAN plan PDF p. 101; joi240147supp2_prod_1738701765.29201.pdf — REPORT results PDF p. 9; joi240147supp2_prod_1738701765.29201.pdf — REPORT results PDF p. 18.</t>
        </is>
      </c>
      <c r="D10" s="21" t="n"/>
      <c r="E10" s="21" t="inlineStr">
        <is>
          <t>protocol_report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ID",IF(OR(A10="",COUNTIF($A$2:$A$16,A10)&lt;&gt;1,LEFT(A10,LEN("2024::jama.2024.25786::"))&lt;&gt;"2024::jama.2024.25786::"),"CHECK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Height="1" s="25">
      <c r="A11" s="24" t="inlineStr">
        <is>
          <t>2024::jama.2024.25786::C010</t>
        </is>
      </c>
      <c r="B11" s="24" t="inlineStr">
        <is>
          <t>ICU subgroup membership does not map to reported ICU admission counts</t>
        </is>
      </c>
      <c r="C11" s="24" t="inlineStr">
        <is>
          <t>jama_arleth_2024_oi_240147_1738701765.27201.pdf — REPORT main PDF p. 4; jama_arleth_2024_oi_240147_1738701765.27201.pdf — REPORT main PDF p. 5; jama_arleth_2024_oi_240147_1738701765.27201.pdf — REPORT main PDF p. 8; joi240147supp2_prod_1738701765.29201.pdf — REPORT results PDF p. 9; joi240147supp2_prod_1738701765.29201.pdf — REPORT results PDF p. 10; joi240147supp2_prod_1738701765.29201.pdf — REPORT results PDF p. 18; joi240147supp2_prod_1738701765.29201.pdf — REPORT results PDF p. 20; joi240147supp1_prod_1738701765.28701.pdf — PLAN plan PDF p. 89.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ID",IF(OR(A11="",COUNTIF($A$2:$A$16,A11)&lt;&gt;1,LEFT(A11,LEN("2024::jama.2024.25786::"))&lt;&gt;"2024::jama.2024.25786::"),"CHECK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Height="1" s="25">
      <c r="A12" s="20" t="inlineStr">
        <is>
          <t>2024::jama.2024.25786::C011</t>
        </is>
      </c>
      <c r="B12" s="20" t="inlineStr">
        <is>
          <t>Liberal AIS below 3 percentage does not reconcile across displays and its count pair</t>
        </is>
      </c>
      <c r="C12" s="20" t="inlineStr">
        <is>
          <t>jama_arleth_2024_oi_240147_1738701765.27201.pdf — REPORT main PDF p. 8; joi240147supp2_prod_1738701765.29201.pdf — REPORT results PDF p. 20; joi240147supp2_prod_1738701765.29201.pdf — REPORT results PDF p. 21.</t>
        </is>
      </c>
      <c r="D12" s="21" t="n"/>
      <c r="E12" s="21" t="inlineStr">
        <is>
          <t>statistical_results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ID",IF(OR(A12="",COUNTIF($A$2:$A$16,A12)&lt;&gt;1,LEFT(A12,LEN("2024::jama.2024.25786::"))&lt;&gt;"2024::jama.2024.25786::"),"CHECK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Height="1" s="25">
      <c r="A13" s="24" t="inlineStr">
        <is>
          <t>2024::jama.2024.25786::C012</t>
        </is>
      </c>
      <c r="B13" s="24" t="inlineStr">
        <is>
          <t>Bern receiving-center percentages do not reconcile with printed pairs</t>
        </is>
      </c>
      <c r="C13" s="24" t="inlineStr">
        <is>
          <t>joi240147supp2_prod_1738701765.29201.pdf — REPORT results PDF p. 14.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ID",IF(OR(A13="",COUNTIF($A$2:$A$16,A13)&lt;&gt;1,LEFT(A13,LEN("2024::jama.2024.25786::"))&lt;&gt;"2024::jama.2024.25786::"),"CHECK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Height="1" s="25">
      <c r="A14" s="20" t="inlineStr">
        <is>
          <t>2024::jama.2024.25786::C013</t>
        </is>
      </c>
      <c r="B14" s="20" t="inlineStr">
        <is>
          <t>Liberal walk-in percentage differs from its printed count pair</t>
        </is>
      </c>
      <c r="C14" s="20" t="inlineStr">
        <is>
          <t>joi240147supp2_prod_1738701765.29201.pdf — REPORT results PDF p. 15.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ID",IF(OR(A14="",COUNTIF($A$2:$A$16,A14)&lt;&gt;1,LEFT(A14,LEN("2024::jama.2024.25786::"))&lt;&gt;"2024::jama.2024.25786::"),"CHECK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Height="1" s="25">
      <c r="A15" s="24" t="inlineStr">
        <is>
          <t>2024::jama.2024.25786::C014</t>
        </is>
      </c>
      <c r="B15" s="24" t="inlineStr">
        <is>
          <t>Liberal vascular-surgery percentage is positive beside a zero numerator</t>
        </is>
      </c>
      <c r="C15" s="24" t="inlineStr">
        <is>
          <t>joi240147supp2_prod_1738701765.29201.pdf — REPORT results PDF p. 15.</t>
        </is>
      </c>
      <c r="D15" s="21" t="n"/>
      <c r="E15" s="21" t="inlineStr">
        <is>
          <t>statistical_results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ID",IF(OR(A15="",COUNTIF($A$2:$A$16,A15)&lt;&gt;1,LEFT(A15,LEN("2024::jama.2024.25786::"))&lt;&gt;"2024::jama.2024.25786::"),"CHECK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  <row r="16" ht="92" customHeight="1" s="25">
      <c r="A16" s="20" t="inlineStr">
        <is>
          <t>2024::jama.2024.25786::C015</t>
        </is>
      </c>
      <c r="B16" s="20" t="inlineStr">
        <is>
          <t>Exclusion percentages and printed denominators describe different quantities</t>
        </is>
      </c>
      <c r="C16" s="20" t="inlineStr">
        <is>
          <t>joi240147supp2_prod_1738701765.29201.pdf — REPORT results PDF p. 24.</t>
        </is>
      </c>
      <c r="D16" s="21" t="n"/>
      <c r="E16" s="21" t="inlineStr">
        <is>
          <t>statistical_results</t>
        </is>
      </c>
      <c r="F16" s="21" t="inlineStr">
        <is>
          <t>no</t>
        </is>
      </c>
      <c r="G16" s="20">
        <f>IFERROR(IF(LEN(TRIM(CLEAN(SUBSTITUTE(Setup!$B$2,CHAR(160)," "))))=0,"CHECK REVIEWER ID",IF(OR(A16="",COUNTIF($A$2:$A$16,A16)&lt;&gt;1,LEFT(A16,LEN("2024::jama.2024.25786::"))&lt;&gt;"2024::jama.2024.25786::"),"CHECK KEY",IF(OR(AND(NOT(AND(D16="retain",E16="statistical_results")),H16&lt;&gt;"",NOT(EXACT(H16,"not_applicable"))),AND(NOT(AND(D16="retain",E16="statistical_results")),I16&lt;&gt;"",NOT(EXACT(I16,"not_applicable"))),AND(NOT(AND(D16="retain",E16="statistical_results")),J16&lt;&gt;"",NOT(EXACT(J16,"not_applicable"))),AND(NOT(AND(D16="retain",OR(E16="report_internal_inconsistency",E16="plan_material"))),K16&lt;&gt;"",NOT(EXACT(K16,"not_applicable"))),AND(NOT(AND(D16="retain",E16="protocol_report")),L16&lt;&gt;"",NOT(EXACT(L16,"not_applicable")))),"CLEAR INACTIVE VALUES",IF(OR(NOT(OR(EXACT(D16,"retain"),EXACT(D16,"exclude"),EXACT(D16,"discuss"))),NOT(OR(EXACT(E16,"statistical_results"),EXACT(E16,"report_internal_inconsistency"),EXACT(E16,"plan_material"),EXACT(E16,"protocol_report"))),AND(AND(D16="retain",E16="statistical_results"),NOT(OR(EXACT(H16,"confirmed_issue"),EXACT(H16,"probable_issue"),EXACT(H16,"not_issue"),EXACT(H16,"indeterminate")))),AND(AND(D16="retain",E16="statistical_results"),NOT(OR(EXACT(I16,"substantive"),EXACT(I16,"minor_presentation"),EXACT(I16,"indeterminate")))),AND(AND(D16="retain",E16="statistical_results"),J16&lt;&gt;"",NOT(OR(EXACT(J16,"direct"),EXACT(J16,"possible"),EXACT(J16,"unlikely"),EXACT(J16,"unknown")))),AND(AND(D16="retain",OR(E16="report_internal_inconsistency",E16="plan_material")),NOT(OR(EXACT(K16,"substantive_inconsistency"),EXACT(K16,"minor_presentation"),EXACT(K16,"non_inconsistency"),EXACT(K16,"indeterminate")))),AND(AND(D16="retain",E16="protocol_report"),L16&lt;&gt;"",NOT(OR(EXACT(L16,"substantive_difference"),EXACT(L16,"minor_presentation"),EXACT(L16,"version_timing"),EXACT(L16,"non_inconsistency"),EXACT(L16,"indeterminate"))))),"CHECK FIELDS",IF(AND(F16&lt;&gt;"",NOT(OR(EXACT(F16,"no"),EXACT(F16,"primary_done")))),"CHECK COMPLETE",IF(EXACT(F16,"primary_done"),"PRIMARY READY","PRIMARY DRAFT")))))),"CHECK INPUT / KEY")</f>
        <v/>
      </c>
      <c r="H16" s="21">
        <f>IF(AND(OR(D16="retain",D16=""),E16="statistical_results"),"","not_applicable")</f>
        <v/>
      </c>
      <c r="I16" s="21">
        <f>IF(AND(OR(D16="retain",D16=""),E16="statistical_results"),"","not_applicable")</f>
        <v/>
      </c>
      <c r="J16" s="22">
        <f>IF(AND(OR(D16="retain",D16=""),E16="statistical_results"),"","not_applicable")</f>
        <v/>
      </c>
      <c r="K16" s="21">
        <f>IF(AND(OR(D16="retain",D16=""),OR(E16="report_internal_inconsistency",E16="plan_material")),"","not_applicable")</f>
        <v/>
      </c>
      <c r="L16" s="22">
        <f>IF(AND(OR(D16="retain",D16=""),E16="protocol_report"),"","not_applicable")</f>
        <v/>
      </c>
      <c r="M16" s="20" t="n"/>
      <c r="N16" s="23" t="n"/>
      <c r="O16" s="23" t="n"/>
      <c r="P16" s="23" t="n"/>
      <c r="Q16" s="23" t="n"/>
      <c r="R16" s="22" t="n"/>
    </row>
  </sheetData>
  <autoFilter ref="A1:R16"/>
  <conditionalFormatting sqref="H2:H16">
    <cfRule type="expression" priority="8" dxfId="70">
      <formula>NOT(AND(OR($D2="retain",$D2=""),$E2="statistical_results"))</formula>
    </cfRule>
  </conditionalFormatting>
  <conditionalFormatting sqref="I2:I16">
    <cfRule type="expression" priority="9" dxfId="70">
      <formula>NOT(AND(OR($D2="retain",$D2=""),$E2="statistical_results"))</formula>
    </cfRule>
  </conditionalFormatting>
  <conditionalFormatting sqref="J2:J16">
    <cfRule type="expression" priority="10" dxfId="70">
      <formula>NOT(AND(OR($D2="retain",$D2=""),$E2="statistical_results"))</formula>
    </cfRule>
  </conditionalFormatting>
  <conditionalFormatting sqref="K2:K16">
    <cfRule type="expression" priority="11" dxfId="70">
      <formula>NOT(AND(OR($D2="retain",$D2=""),OR($E2="report_internal_inconsistency",$E2="plan_material")))</formula>
    </cfRule>
  </conditionalFormatting>
  <conditionalFormatting sqref="L2:L16">
    <cfRule type="expression" priority="12" dxfId="70">
      <formula>NOT(AND(OR($D2="retain",$D2=""),$E2="protocol_report"))</formula>
    </cfRule>
  </conditionalFormatting>
  <conditionalFormatting sqref="G2:G16">
    <cfRule type="expression" priority="13" dxfId="71">
      <formula>G2&lt;&gt;"PRIMARY READY"</formula>
    </cfRule>
  </conditionalFormatting>
  <dataValidations count="8">
    <dataValidation sqref="D2:D16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6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6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6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6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6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6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6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5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2024::jama.2024.4183::C001</t>
        </is>
      </c>
      <c r="B2" s="20" t="inlineStr">
        <is>
          <t>Planned and reported primary continuation populations</t>
        </is>
      </c>
      <c r="C2" s="20" t="inlineStr">
        <is>
          <t>joi240036supp1_prod_1716416466.00349.pdf — p.7, Participants; joi240036supp1_prod_1716416466.00349.pdf — p.24, final pharmacotherapy paragraph; joi240036supp1_prod_1716416466.00349.pdf — p.25, first paragraph; joi240036supp1_prod_1716416466.00349.pdf — p.28, general strategy and coding/model; joi240036supp1_prod_1716416466.00349.pdf — p.29, Aims 2–3; joi240036supp1_prod_1716416466.00349.pdf — p.30, continuing Aim 3 contrasts; jama_cinciripini_2024_oi_240036_1716416465.98349.pdf — main p.1, both Results paragraphs; jama_cinciripini_2024_oi_240036_1716416465.98349.pdf — Main p.4, Results/flow prose; jama_cinciripini_2024_oi_240036_1716416465.98349.pdf — Main p.6, Figure 2 and footnote c; jama_cinciripini_2024_oi_240036_1716416465.98349.pdf — Main p.8, first limitation; joi240036supp2_prod_1716416466.01349.pdf — supplement p.6, phase-II weighting/coding</t>
        </is>
      </c>
      <c r="D2" s="21" t="n"/>
      <c r="E2" s="21" t="inlineStr">
        <is>
          <t>protocol_report</t>
        </is>
      </c>
      <c r="F2" s="21" t="inlineStr">
        <is>
          <t>no</t>
        </is>
      </c>
      <c r="G2" s="20">
        <f>IFERROR(IF(LEN(TRIM(CLEAN(SUBSTITUTE(Setup!$B$2,CHAR(160)," "))))=0,"CHECK REVIEWER ID",IF(OR(A2="",COUNTIF($A$2:$A$15,A2)&lt;&gt;1,LEFT(A2,LEN("2024::jama.2024.4183::"))&lt;&gt;"2024::jama.2024.4183::"),"CHECK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2024::jama.2024.4183::C002</t>
        </is>
      </c>
      <c r="B3" s="24" t="inlineStr">
        <is>
          <t>Weight mapping for 75 assigned continuation participants</t>
        </is>
      </c>
      <c r="C3" s="24" t="inlineStr">
        <is>
          <t>jama_cinciripini_2024_oi_240036_1716416465.98349.pdf — main p.1, assigned counts; jama_cinciripini_2024_oi_240036_1716416465.98349.pdf — p.4, statistical methods and participant flow; jama_cinciripini_2024_oi_240036_1716416465.98349.pdf — p.6, Figure 2/footnote c; jama_cinciripini_2024_oi_240036_1716416465.98349.pdf — main p.7, Figure 3; joi240036supp2_prod_1716416466.01349.pdf — supplement p.5, opening eAppendix 3; joi240036supp2_prod_1716416466.01349.pdf — P.6, first two paragraphs and coding; joi240036supp2_prod_1716416466.01349.pdf — Supplement p.19, eTable 3 headings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ID",IF(OR(A3="",COUNTIF($A$2:$A$15,A3)&lt;&gt;1,LEFT(A3,LEN("2024::jama.2024.4183::"))&lt;&gt;"2024::jama.2024.4183::"),"CHECK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2024::jama.2024.4183::C003</t>
        </is>
      </c>
      <c r="B4" s="20" t="inlineStr">
        <is>
          <t>Mixed denominators in abstract allocation percentages</t>
        </is>
      </c>
      <c r="C4" s="20" t="inlineStr">
        <is>
          <t>jama_cinciripini_2024_oi_240036_1716416465.98349.pdf — main p.1, CNRT and VAR Results paragraphs; jama_cinciripini_2024_oi_240036_1716416465.98349.pdf — main p.6, Figure 2 branches</t>
        </is>
      </c>
      <c r="D4" s="21" t="n"/>
      <c r="E4" s="21" t="inlineStr">
        <is>
          <t>statistical_results</t>
        </is>
      </c>
      <c r="F4" s="21" t="inlineStr">
        <is>
          <t>no</t>
        </is>
      </c>
      <c r="G4" s="20">
        <f>IFERROR(IF(LEN(TRIM(CLEAN(SUBSTITUTE(Setup!$B$2,CHAR(160)," "))))=0,"CHECK REVIEWER ID",IF(OR(A4="",COUNTIF($A$2:$A$15,A4)&lt;&gt;1,LEFT(A4,LEN("2024::jama.2024.4183::"))&lt;&gt;"2024::jama.2024.4183::"),"CHECK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2024::jama.2024.4183::C004</t>
        </is>
      </c>
      <c r="B5" s="24" t="inlineStr">
        <is>
          <t>Primary CNRT lower credible limit differs across locations</t>
        </is>
      </c>
      <c r="C5" s="24" t="inlineStr">
        <is>
          <t>jama_cinciripini_2024_oi_240036_1716416465.98349.pdf — main p.1, CNRT Results; jama_cinciripini_2024_oi_240036_1716416465.98349.pdf — main p.5, Smoking Cessation End of Phase 2, CNRT paragraph; joi240036supp2_prod_1716416466.01349.pdf — supplement p.21, eTable 4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ID",IF(OR(A5="",COUNTIF($A$2:$A$15,A5)&lt;&gt;1,LEFT(A5,LEN("2024::jama.2024.4183::"))&lt;&gt;"2024::jama.2024.4183::"),"CHECK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2024::jama.2024.4183::C005</t>
        </is>
      </c>
      <c r="B6" s="20" t="inlineStr">
        <is>
          <t>Primary varenicline-to-CNRT direction, sign, and attribution</t>
        </is>
      </c>
      <c r="C6" s="20" t="inlineStr">
        <is>
          <t>jama_cinciripini_2024_oi_240036_1716416465.98349.pdf — main p.1, VAR Results; jama_cinciripini_2024_oi_240036_1716416465.98349.pdf — main p.5, VAR nonabstainer paragraph; jama_cinciripini_2024_oi_240036_1716416465.98349.pdf — main p.7, Figure 3 VAR nonabstainer rows; joi240036supp2_prod_1716416466.01349.pdf — supplement p.21, eTable 4 VAR switch-CNRT versus VAR-stay row; jama_cinciripini_2024_oi_240036_1716416465.98349.pdf — Main p.8, Discussion</t>
        </is>
      </c>
      <c r="D6" s="21" t="n"/>
      <c r="E6" s="21" t="inlineStr">
        <is>
          <t>statistical_results</t>
        </is>
      </c>
      <c r="F6" s="21" t="inlineStr">
        <is>
          <t>no</t>
        </is>
      </c>
      <c r="G6" s="20">
        <f>IFERROR(IF(LEN(TRIM(CLEAN(SUBSTITUTE(Setup!$B$2,CHAR(160)," "))))=0,"CHECK REVIEWER ID",IF(OR(A6="",COUNTIF($A$2:$A$15,A6)&lt;&gt;1,LEFT(A6,LEN("2024::jama.2024.4183::"))&lt;&gt;"2024::jama.2024.4183::"),"CHECK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2024::jama.2024.4183::C006</t>
        </is>
      </c>
      <c r="B7" s="24" t="inlineStr">
        <is>
          <t>Reported prespecified posterior criterion differs from plan</t>
        </is>
      </c>
      <c r="C7" s="24" t="inlineStr">
        <is>
          <t>joi240036supp1_prod_1716416466.00349.pdf — p.31, paragraph preceding Data Simulation Model; joi240036supp1_prod_1716416466.00349.pdf — Plan p.33, power prose; joi240036supp1_prod_1716416466.00349.pdf — p.34, Table 3; jama_cinciripini_2024_oi_240036_1716416465.98349.pdf — main p.4, Sample Size Determination and Statistical Analysis Plan; joi240036supp2_prod_1716416466.01349.pdf — supplement p.9, first paragraph; joi240036supp2_prod_1716416466.01349.pdf — supplement p.18, eTable 2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ID",IF(OR(A7="",COUNTIF($A$2:$A$15,A7)&lt;&gt;1,LEFT(A7,LEN("2024::jama.2024.4183::"))&lt;&gt;"2024::jama.2024.4183::"),"CHECK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2024::jama.2024.4183::C007</t>
        </is>
      </c>
      <c r="B8" s="20" t="inlineStr">
        <is>
          <t>Planned primary-model robustness analyses absent from reports</t>
        </is>
      </c>
      <c r="C8" s="20" t="inlineStr">
        <is>
          <t>joi240036supp1_prod_1716416466.00349.pdf — p.28, general analytic strategy and prior paragraphs; jama_cinciripini_2024_oi_240036_1716416465.98349.pdf — p.4, methods/intent-to-treat; jama_cinciripini_2024_oi_240036_1716416465.98349.pdf — p.7, secondary outcomes; jama_cinciripini_2024_oi_240036_1716416465.98349.pdf — p.8, post hoc analyses/limitations; joi240036supp2_prod_1716416466.01349.pdf — pp.1–3, complete contents; joi240036supp2_prod_1716416466.01349.pdf — p.5; joi240036supp2_prod_1716416466.01349.pdf — p.6; joi240036supp2_prod_1716416466.01349.pdf — p.7; joi240036supp2_prod_1716416466.01349.pdf — p.8; joi240036supp2_prod_1716416466.01349.pdf — p.9; joi240036supp2_prod_1716416466.01349.pdf — p.10; joi240036supp2_prod_1716416466.01349.pdf — p.11; joi240036supp2_prod_1716416466.01349.pdf — p.12; joi240036supp2_prod_1716416466.01349.pdf — p.13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ID",IF(OR(A8="",COUNTIF($A$2:$A$15,A8)&lt;&gt;1,LEFT(A8,LEN("2024::jama.2024.4183::"))&lt;&gt;"2024::jama.2024.4183::"),"CHECK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Height="1" s="25">
      <c r="A9" s="24" t="inlineStr">
        <is>
          <t>2024::jama.2024.4183::C008</t>
        </is>
      </c>
      <c r="B9" s="24" t="inlineStr">
        <is>
          <t>EOT plus 30-day varenicline continuation denominator</t>
        </is>
      </c>
      <c r="C9" s="24" t="inlineStr">
        <is>
          <t>jama_cinciripini_2024_oi_240036_1716416465.98349.pdf — main p.7, Secondary Outcomes of Abstinence; joi240036supp2_prod_1716416466.01349.pdf — supplement p.10, opening continuation of summarized analysis; joi240036supp2_prod_1716416466.01349.pdf — supplement p.15, eFigure 2 final VAR nonabstainer-to-VAR row; jama_cinciripini_2024_oi_240036_1716416465.98349.pdf — main p.6, VAR continuation branch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ID",IF(OR(A9="",COUNTIF($A$2:$A$15,A9)&lt;&gt;1,LEFT(A9,LEN("2024::jama.2024.4183::"))&lt;&gt;"2024::jama.2024.4183::"),"CHECK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Height="1" s="25">
      <c r="A10" s="20" t="inlineStr">
        <is>
          <t>2024::jama.2024.4183::C009</t>
        </is>
      </c>
      <c r="B10" s="20" t="inlineStr">
        <is>
          <t>Six-month CNRT summary probabilities and risk difference</t>
        </is>
      </c>
      <c r="C10" s="20" t="inlineStr">
        <is>
          <t>jama_cinciripini_2024_oi_240036_1716416465.98349.pdf — main p.7, six-month Secondary Outcomes sentence; joi240036supp2_prod_1716416466.01349.pdf — supplement p.10, six-month summarized analysis; jama_cinciripini_2024_oi_240036_1716416465.98349.pdf — Main p.1, final Results sentence; joi240036supp2_prod_1716416466.01349.pdf — supplement p.11, six-month CNRT detailed paragraph; joi240036supp2_prod_1716416466.01349.pdf — Supplement p.16, eFigure 3 matched CNRT rows; joi240036supp2_prod_1716416466.01349.pdf — Supplement p.33, eTable 9 six-month CNRT+ contrast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ID",IF(OR(A10="",COUNTIF($A$2:$A$15,A10)&lt;&gt;1,LEFT(A10,LEN("2024::jama.2024.4183::"))&lt;&gt;"2024::jama.2024.4183::"),"CHECK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Height="1" s="25">
      <c r="A11" s="24" t="inlineStr">
        <is>
          <t>2024::jama.2024.4183::C010</t>
        </is>
      </c>
      <c r="B11" s="24" t="inlineStr">
        <is>
          <t>Week-6 design intervals and generating beta distributions</t>
        </is>
      </c>
      <c r="C11" s="24" t="inlineStr">
        <is>
          <t>joi240036supp1_prod_1716416466.00349.pdf — p.31, Data Simulation Model; joi240036supp1_prod_1716416466.00349.pdf — p.32, Figure 2; joi240036supp2_prod_1716416466.01349.pdf — supplement p.5, eFigure 1 description; joi240036supp2_prod_1716416466.01349.pdf — supplement p.14, eFigure 1</t>
        </is>
      </c>
      <c r="D11" s="21" t="n"/>
      <c r="E11" s="21" t="inlineStr">
        <is>
          <t>plan_material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ID",IF(OR(A11="",COUNTIF($A$2:$A$15,A11)&lt;&gt;1,LEFT(A11,LEN("2024::jama.2024.4183::"))&lt;&gt;"2024::jama.2024.4183::"),"CHECK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Height="1" s="25">
      <c r="A12" s="20" t="inlineStr">
        <is>
          <t>2024::jama.2024.4183::C011</t>
        </is>
      </c>
      <c r="B12" s="20" t="inlineStr">
        <is>
          <t>Revised normal prior variance and printed odds interval</t>
        </is>
      </c>
      <c r="C12" s="20" t="inlineStr">
        <is>
          <t>joi240036supp2_prod_1716416466.01349.pdf — supplement p.7, initial coefficient-prior paragraph; joi240036supp2_prod_1716416466.01349.pdf — p.8, first prior paragraph; joi240036supp2_prod_1716416466.01349.pdf — p.8 model-fitting paragraph</t>
        </is>
      </c>
      <c r="D12" s="21" t="n"/>
      <c r="E12" s="21" t="inlineStr">
        <is>
          <t>statistical_results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ID",IF(OR(A12="",COUNTIF($A$2:$A$15,A12)&lt;&gt;1,LEFT(A12,LEN("2024::jama.2024.4183::"))&lt;&gt;"2024::jama.2024.4183::"),"CHECK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Height="1" s="25">
      <c r="A13" s="24" t="inlineStr">
        <is>
          <t>2024::jama.2024.4183::C012</t>
        </is>
      </c>
      <c r="B13" s="24" t="inlineStr">
        <is>
          <t>Repeated EOT plus 30-day decimal-scale discrepancies</t>
        </is>
      </c>
      <c r="C13" s="24" t="inlineStr">
        <is>
          <t>joi240036supp2_prod_1716416466.01349.pdf — Supplement p.10, CNRT nonabstainer switch probability; joi240036supp2_prod_1716416466.01349.pdf — P.15, eFigure 2 CNRT nonabstainer→VAR; joi240036supp2_prod_1716416466.01349.pdf — P.10, same CNRT probability sentence, increase; joi240036supp2_prod_1716416466.01349.pdf — P.15, eFigure 2 CNRT nonabstainer→CNRT+; joi240036supp2_prod_1716416466.01349.pdf — P.10, CNRT switch-minus-continuation ARD; joi240036supp2_prod_1716416466.01349.pdf — P.33, eTable 9 EOT+30 CNRT VAR-switch column; joi240036supp2_prod_1716416466.01349.pdf — P.10, final VAR nonabstainer probability sentence, increase; joi240036supp2_prod_1716416466.01349.pdf — P.15, eFigure 2 VAR nonabstainer→VAR+; joi240036supp2_prod_1716416466.01349.pdf — P.11, first paragraph, VAR increase-minus-continuation ARD; joi240036supp2_prod_1716416466.01349.pdf — P.33, eTable 9 EOT+30 VAR+ column; joi240036supp2_prod_1716416466.01349.pdf — P.11, second paragraph, VAR increase-minus-switch ARD; joi240036supp2_prod_1716416466.01349.pdf — P.34, eTable 10 EOT+30 VAR column; joi240036supp2_prod_1716416466.01349.pdf — P.11, phase-1 abstainers paragraph, CNRT versus VAR ARD; joi240036supp2_prod_1716416466.01349.pdf — P.35, eTable 11 EOT+30 row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ID",IF(OR(A13="",COUNTIF($A$2:$A$15,A13)&lt;&gt;1,LEFT(A13,LEN("2024::jama.2024.4183::"))&lt;&gt;"2024::jama.2024.4183::"),"CHECK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Height="1" s="25">
      <c r="A14" s="20" t="inlineStr">
        <is>
          <t>2024::jama.2024.4183::C013</t>
        </is>
      </c>
      <c r="B14" s="20" t="inlineStr">
        <is>
          <t>Six-month responder credible limits differ across locations</t>
        </is>
      </c>
      <c r="C14" s="20" t="inlineStr">
        <is>
          <t>joi240036supp2_prod_1716416466.01349.pdf — supplement p.12, Continuous Abstinence at 6 months for Abstainers; joi240036supp2_prod_1716416466.01349.pdf — supplement p.35, eTable 11 six-month Continuous Abstinence row; joi240036supp2_prod_1716416466.01349.pdf — P.16, eFigure 3 responder rows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ID",IF(OR(A14="",COUNTIF($A$2:$A$15,A14)&lt;&gt;1,LEFT(A14,LEN("2024::jama.2024.4183::"))&lt;&gt;"2024::jama.2024.4183::"),"CHECK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  <row r="15" ht="92" customHeight="1" s="25">
      <c r="A15" s="24" t="inlineStr">
        <is>
          <t>2024::jama.2024.4183::C014</t>
        </is>
      </c>
      <c r="B15" s="24" t="inlineStr">
        <is>
          <t>Augmented-CNRT dose attached to the primary-design input</t>
        </is>
      </c>
      <c r="C15" s="24" t="inlineStr">
        <is>
          <t>joi240036supp2_prod_1716416466.01349.pdf — supplement p.14, eFigure 1 caption and CNRT+ week-12 cell; joi240036supp2_prod_1716416466.01349.pdf — supplement p.17, eTable 1 caption; joi240036supp2_prod_1716416466.01349.pdf — Supplement p.18, eTable 2 caption; joi240036supp2_prod_1716416466.01349.pdf — P.15, eFigure 2 caption; joi240036supp2_prod_1716416466.01349.pdf — p.16, eFigure 3 caption; jama_cinciripini_2024_oi_240036_1716416465.98349.pdf — main p.4, first medication paragraph; jama_cinciripini_2024_oi_240036_1716416465.98349.pdf — main p.7, Figure 3 caption; jama_cinciripini_2024_oi_240036_1716416465.98349.pdf — Main p.8, second limitation; joi240036supp1_prod_1716416466.00349.pdf — p.25, medication paragraph</t>
        </is>
      </c>
      <c r="D15" s="21" t="n"/>
      <c r="E15" s="21" t="inlineStr">
        <is>
          <t>report_internal_inconsistency</t>
        </is>
      </c>
      <c r="F15" s="21" t="inlineStr">
        <is>
          <t>no</t>
        </is>
      </c>
      <c r="G15" s="24">
        <f>IFERROR(IF(LEN(TRIM(CLEAN(SUBSTITUTE(Setup!$B$2,CHAR(160)," "))))=0,"CHECK REVIEWER ID",IF(OR(A15="",COUNTIF($A$2:$A$15,A15)&lt;&gt;1,LEFT(A15,LEN("2024::jama.2024.4183::"))&lt;&gt;"2024::jama.2024.4183::"),"CHECK KEY",IF(OR(AND(NOT(AND(D15="retain",E15="statistical_results")),H15&lt;&gt;"",NOT(EXACT(H15,"not_applicable"))),AND(NOT(AND(D15="retain",E15="statistical_results")),I15&lt;&gt;"",NOT(EXACT(I15,"not_applicable"))),AND(NOT(AND(D15="retain",E15="statistical_results")),J15&lt;&gt;"",NOT(EXACT(J15,"not_applicable"))),AND(NOT(AND(D15="retain",OR(E15="report_internal_inconsistency",E15="plan_material"))),K15&lt;&gt;"",NOT(EXACT(K15,"not_applicable"))),AND(NOT(AND(D15="retain",E15="protocol_report")),L15&lt;&gt;"",NOT(EXACT(L15,"not_applicable")))),"CLEAR INACTIVE VALUES",IF(OR(NOT(OR(EXACT(D15,"retain"),EXACT(D15,"exclude"),EXACT(D15,"discuss"))),NOT(OR(EXACT(E15,"statistical_results"),EXACT(E15,"report_internal_inconsistency"),EXACT(E15,"plan_material"),EXACT(E15,"protocol_report"))),AND(AND(D15="retain",E15="statistical_results"),NOT(OR(EXACT(H15,"confirmed_issue"),EXACT(H15,"probable_issue"),EXACT(H15,"not_issue"),EXACT(H15,"indeterminate")))),AND(AND(D15="retain",E15="statistical_results"),NOT(OR(EXACT(I15,"substantive"),EXACT(I15,"minor_presentation"),EXACT(I15,"indeterminate")))),AND(AND(D15="retain",E15="statistical_results"),J15&lt;&gt;"",NOT(OR(EXACT(J15,"direct"),EXACT(J15,"possible"),EXACT(J15,"unlikely"),EXACT(J15,"unknown")))),AND(AND(D15="retain",OR(E15="report_internal_inconsistency",E15="plan_material")),NOT(OR(EXACT(K15,"substantive_inconsistency"),EXACT(K15,"minor_presentation"),EXACT(K15,"non_inconsistency"),EXACT(K15,"indeterminate")))),AND(AND(D15="retain",E15="protocol_report"),L15&lt;&gt;"",NOT(OR(EXACT(L15,"substantive_difference"),EXACT(L15,"minor_presentation"),EXACT(L15,"version_timing"),EXACT(L15,"non_inconsistency"),EXACT(L15,"indeterminate"))))),"CHECK FIELDS",IF(AND(F15&lt;&gt;"",NOT(OR(EXACT(F15,"no"),EXACT(F15,"primary_done")))),"CHECK COMPLETE",IF(EXACT(F15,"primary_done"),"PRIMARY READY","PRIMARY DRAFT")))))),"CHECK INPUT / KEY")</f>
        <v/>
      </c>
      <c r="H15" s="21">
        <f>IF(AND(OR(D15="retain",D15=""),E15="statistical_results"),"","not_applicable")</f>
        <v/>
      </c>
      <c r="I15" s="21">
        <f>IF(AND(OR(D15="retain",D15=""),E15="statistical_results"),"","not_applicable")</f>
        <v/>
      </c>
      <c r="J15" s="22">
        <f>IF(AND(OR(D15="retain",D15=""),E15="statistical_results"),"","not_applicable")</f>
        <v/>
      </c>
      <c r="K15" s="21">
        <f>IF(AND(OR(D15="retain",D15=""),OR(E15="report_internal_inconsistency",E15="plan_material")),"","not_applicable")</f>
        <v/>
      </c>
      <c r="L15" s="22">
        <f>IF(AND(OR(D15="retain",D15=""),E15="protocol_report"),"","not_applicable")</f>
        <v/>
      </c>
      <c r="M15" s="24" t="n"/>
      <c r="N15" s="23" t="n"/>
      <c r="O15" s="23" t="n"/>
      <c r="P15" s="23" t="n"/>
      <c r="Q15" s="23" t="n"/>
      <c r="R15" s="22" t="n"/>
    </row>
  </sheetData>
  <autoFilter ref="A1:R15"/>
  <conditionalFormatting sqref="H2:H15">
    <cfRule type="expression" priority="8" dxfId="70">
      <formula>NOT(AND(OR($D2="retain",$D2=""),$E2="statistical_results"))</formula>
    </cfRule>
  </conditionalFormatting>
  <conditionalFormatting sqref="I2:I15">
    <cfRule type="expression" priority="9" dxfId="70">
      <formula>NOT(AND(OR($D2="retain",$D2=""),$E2="statistical_results"))</formula>
    </cfRule>
  </conditionalFormatting>
  <conditionalFormatting sqref="J2:J15">
    <cfRule type="expression" priority="10" dxfId="70">
      <formula>NOT(AND(OR($D2="retain",$D2=""),$E2="statistical_results"))</formula>
    </cfRule>
  </conditionalFormatting>
  <conditionalFormatting sqref="K2:K15">
    <cfRule type="expression" priority="11" dxfId="70">
      <formula>NOT(AND(OR($D2="retain",$D2=""),OR($E2="report_internal_inconsistency",$E2="plan_material")))</formula>
    </cfRule>
  </conditionalFormatting>
  <conditionalFormatting sqref="L2:L15">
    <cfRule type="expression" priority="12" dxfId="70">
      <formula>NOT(AND(OR($D2="retain",$D2=""),$E2="protocol_report"))</formula>
    </cfRule>
  </conditionalFormatting>
  <conditionalFormatting sqref="G2:G15">
    <cfRule type="expression" priority="13" dxfId="71">
      <formula>G2&lt;&gt;"PRIMARY READY"</formula>
    </cfRule>
  </conditionalFormatting>
  <dataValidations count="8">
    <dataValidation sqref="D2:D15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5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5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5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5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5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5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5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"/>
  <sheetViews>
    <sheetView tabSelected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14" min="1" max="1"/>
    <col width="28" customWidth="1" style="14" min="2" max="2"/>
    <col width="22" customWidth="1" style="14" min="3" max="3"/>
    <col width="20" customWidth="1" style="14" min="4" max="4"/>
    <col width="35" customWidth="1" style="14" min="5" max="5"/>
    <col width="17" customWidth="1" style="14" min="6" max="6"/>
    <col width="29" customWidth="1" style="14" min="7" max="7"/>
    <col width="28" customWidth="1" style="14" min="8" max="8"/>
    <col width="20" customWidth="1" style="14" min="9" max="9"/>
    <col width="20" customWidth="1" style="14" min="10" max="10"/>
    <col width="34" customWidth="1" style="14" min="11" max="11"/>
    <col width="26" customWidth="1" style="14" min="12" max="12"/>
    <col hidden="1" width="3" customWidth="1" style="14" min="13" max="13"/>
    <col hidden="1" width="3" customWidth="1" style="14" min="14" max="14"/>
    <col hidden="1" width="3" customWidth="1" style="14" min="15" max="15"/>
    <col hidden="1" width="3" customWidth="1" style="14" min="16" max="16"/>
    <col hidden="1" width="3" customWidth="1" style="14" min="17" max="17"/>
    <col width="32" customWidth="1" style="14" min="18" max="18"/>
  </cols>
  <sheetData>
    <row r="1" ht="70" customFormat="1" customHeight="1" s="14">
      <c r="A1" s="19" t="inlineStr">
        <is>
          <t>Candidate key</t>
        </is>
      </c>
      <c r="B1" s="19" t="inlineStr">
        <is>
          <t>Candidate title</t>
        </is>
      </c>
      <c r="C1" s="19" t="inlineStr">
        <is>
          <t>Source location</t>
        </is>
      </c>
      <c r="D1" s="19" t="inlineStr">
        <is>
          <t>Disposition</t>
        </is>
      </c>
      <c r="E1" s="19" t="inlineStr">
        <is>
          <t>Review domain (AI suggestion; editable)</t>
        </is>
      </c>
      <c r="F1" s="19" t="inlineStr">
        <is>
          <t>Complete</t>
        </is>
      </c>
      <c r="G1" s="19" t="inlineStr">
        <is>
          <t>Validation hint</t>
        </is>
      </c>
      <c r="H1" s="19" t="inlineStr">
        <is>
          <t>Statistical_or_numerical issue</t>
        </is>
      </c>
      <c r="I1" s="19" t="inlineStr">
        <is>
          <t>Substantiveness</t>
        </is>
      </c>
      <c r="J1" s="19" t="inlineStr">
        <is>
          <t>Downstream impact</t>
        </is>
      </c>
      <c r="K1" s="19" t="inlineStr">
        <is>
          <t>Report-internal or planning-material inconsistency</t>
        </is>
      </c>
      <c r="L1" s="19" t="inlineStr">
        <is>
          <t>Protocol interpretation</t>
        </is>
      </c>
      <c r="M1" s="19" t="n"/>
      <c r="N1" s="19" t="n"/>
      <c r="O1" s="19" t="n"/>
      <c r="P1" s="19" t="n"/>
      <c r="Q1" s="19" t="n"/>
      <c r="R1" s="19" t="inlineStr">
        <is>
          <t>Notes (optional)</t>
        </is>
      </c>
    </row>
    <row r="2" ht="92" customHeight="1" s="25">
      <c r="A2" s="20" t="inlineStr">
        <is>
          <t>2024::jama.2024.6063::C001</t>
        </is>
      </c>
      <c r="B2" s="20" t="inlineStr">
        <is>
          <t>Primary signed contrast differs between report locations</t>
        </is>
      </c>
      <c r="C2" s="20" t="inlineStr">
        <is>
          <t>DOC-001 jama_laslett_2024_oi_240048_1727199125.7595.pdf — p1 abstract, jama_laslett_2024_oi_240048_1727199125.7595.pdf — p2 Key Points, jama_laslett_2024_oi_240048_1727199125.7595.pdf — p6 Table 2, jama_laslett_2024_oi_240048_1727199125.7595.pdf — p7 primary text; DOC-004 joi240048supp3_prod_1727199125.83025.pdf — p2 original row, joi240048supp3_prod_1727199125.83025.pdf — p5 VAS24.</t>
        </is>
      </c>
      <c r="D2" s="21" t="n"/>
      <c r="E2" s="21" t="inlineStr">
        <is>
          <t>statistical_results</t>
        </is>
      </c>
      <c r="F2" s="21" t="inlineStr">
        <is>
          <t>no</t>
        </is>
      </c>
      <c r="G2" s="20">
        <f>IFERROR(IF(LEN(TRIM(CLEAN(SUBSTITUTE(Setup!$B$2,CHAR(160)," "))))=0,"CHECK REVIEWER ID",IF(OR(A2="",COUNTIF($A$2:$A$14,A2)&lt;&gt;1,LEFT(A2,LEN("2024::jama.2024.6063::"))&lt;&gt;"2024::jama.2024.6063::"),"CHECK KEY",IF(OR(AND(NOT(AND(D2="retain",E2="statistical_results")),H2&lt;&gt;"",NOT(EXACT(H2,"not_applicable"))),AND(NOT(AND(D2="retain",E2="statistical_results")),I2&lt;&gt;"",NOT(EXACT(I2,"not_applicable"))),AND(NOT(AND(D2="retain",E2="statistical_results")),J2&lt;&gt;"",NOT(EXACT(J2,"not_applicable"))),AND(NOT(AND(D2="retain",OR(E2="report_internal_inconsistency",E2="plan_material"))),K2&lt;&gt;"",NOT(EXACT(K2,"not_applicable"))),AND(NOT(AND(D2="retain",E2="protocol_report")),L2&lt;&gt;"",NOT(EXACT(L2,"not_applicable")))),"CLEAR INACTIVE VALUES",IF(OR(NOT(OR(EXACT(D2,"retain"),EXACT(D2,"exclude"),EXACT(D2,"discuss"))),NOT(OR(EXACT(E2,"statistical_results"),EXACT(E2,"report_internal_inconsistency"),EXACT(E2,"plan_material"),EXACT(E2,"protocol_report"))),AND(AND(D2="retain",E2="statistical_results"),NOT(OR(EXACT(H2,"confirmed_issue"),EXACT(H2,"probable_issue"),EXACT(H2,"not_issue"),EXACT(H2,"indeterminate")))),AND(AND(D2="retain",E2="statistical_results"),NOT(OR(EXACT(I2,"substantive"),EXACT(I2,"minor_presentation"),EXACT(I2,"indeterminate")))),AND(AND(D2="retain",E2="statistical_results"),J2&lt;&gt;"",NOT(OR(EXACT(J2,"direct"),EXACT(J2,"possible"),EXACT(J2,"unlikely"),EXACT(J2,"unknown")))),AND(AND(D2="retain",OR(E2="report_internal_inconsistency",E2="plan_material")),NOT(OR(EXACT(K2,"substantive_inconsistency"),EXACT(K2,"minor_presentation"),EXACT(K2,"non_inconsistency"),EXACT(K2,"indeterminate")))),AND(AND(D2="retain",E2="protocol_report"),L2&lt;&gt;"",NOT(OR(EXACT(L2,"substantive_difference"),EXACT(L2,"minor_presentation"),EXACT(L2,"version_timing"),EXACT(L2,"non_inconsistency"),EXACT(L2,"indeterminate"))))),"CHECK FIELDS",IF(AND(F2&lt;&gt;"",NOT(OR(EXACT(F2,"no"),EXACT(F2,"primary_done")))),"CHECK COMPLETE",IF(EXACT(F2,"primary_done"),"PRIMARY READY","PRIMARY DRAFT")))))),"CHECK INPUT / KEY")</f>
        <v/>
      </c>
      <c r="H2" s="21">
        <f>IF(AND(OR(D2="retain",D2=""),E2="statistical_results"),"","not_applicable")</f>
        <v/>
      </c>
      <c r="I2" s="21">
        <f>IF(AND(OR(D2="retain",D2=""),E2="statistical_results"),"","not_applicable")</f>
        <v/>
      </c>
      <c r="J2" s="22">
        <f>IF(AND(OR(D2="retain",D2=""),E2="statistical_results"),"","not_applicable")</f>
        <v/>
      </c>
      <c r="K2" s="21">
        <f>IF(AND(OR(D2="retain",D2=""),OR(E2="report_internal_inconsistency",E2="plan_material")),"","not_applicable")</f>
        <v/>
      </c>
      <c r="L2" s="22">
        <f>IF(AND(OR(D2="retain",D2=""),E2="protocol_report"),"","not_applicable")</f>
        <v/>
      </c>
      <c r="M2" s="20" t="n"/>
      <c r="N2" s="23" t="n"/>
      <c r="O2" s="23" t="n"/>
      <c r="P2" s="23" t="n"/>
      <c r="Q2" s="23" t="n"/>
      <c r="R2" s="22" t="n"/>
    </row>
    <row r="3" ht="92" customHeight="1" s="25">
      <c r="A3" s="24" t="inlineStr">
        <is>
          <t>2024::jama.2024.6063::C002</t>
        </is>
      </c>
      <c r="B3" s="24" t="inlineStr">
        <is>
          <t>Placebo composition percentages differ by a decimal place</t>
        </is>
      </c>
      <c r="C3" s="24" t="inlineStr">
        <is>
          <t>DOC-001 jama_laslett_2024_oi_240048_1727199125.7595.pdf — p2 intervention last line, jama_laslett_2024_oi_240048_1727199125.7595.pdf — p3 continuation, jama_laslett_2024_oi_240048_1727199125.7595.pdf — p9 Discussion.</t>
        </is>
      </c>
      <c r="D3" s="21" t="n"/>
      <c r="E3" s="21" t="inlineStr">
        <is>
          <t>statistical_results</t>
        </is>
      </c>
      <c r="F3" s="21" t="inlineStr">
        <is>
          <t>no</t>
        </is>
      </c>
      <c r="G3" s="24">
        <f>IFERROR(IF(LEN(TRIM(CLEAN(SUBSTITUTE(Setup!$B$2,CHAR(160)," "))))=0,"CHECK REVIEWER ID",IF(OR(A3="",COUNTIF($A$2:$A$14,A3)&lt;&gt;1,LEFT(A3,LEN("2024::jama.2024.6063::"))&lt;&gt;"2024::jama.2024.6063::"),"CHECK KEY",IF(OR(AND(NOT(AND(D3="retain",E3="statistical_results")),H3&lt;&gt;"",NOT(EXACT(H3,"not_applicable"))),AND(NOT(AND(D3="retain",E3="statistical_results")),I3&lt;&gt;"",NOT(EXACT(I3,"not_applicable"))),AND(NOT(AND(D3="retain",E3="statistical_results")),J3&lt;&gt;"",NOT(EXACT(J3,"not_applicable"))),AND(NOT(AND(D3="retain",OR(E3="report_internal_inconsistency",E3="plan_material"))),K3&lt;&gt;"",NOT(EXACT(K3,"not_applicable"))),AND(NOT(AND(D3="retain",E3="protocol_report")),L3&lt;&gt;"",NOT(EXACT(L3,"not_applicable")))),"CLEAR INACTIVE VALUES",IF(OR(NOT(OR(EXACT(D3,"retain"),EXACT(D3,"exclude"),EXACT(D3,"discuss"))),NOT(OR(EXACT(E3,"statistical_results"),EXACT(E3,"report_internal_inconsistency"),EXACT(E3,"plan_material"),EXACT(E3,"protocol_report"))),AND(AND(D3="retain",E3="statistical_results"),NOT(OR(EXACT(H3,"confirmed_issue"),EXACT(H3,"probable_issue"),EXACT(H3,"not_issue"),EXACT(H3,"indeterminate")))),AND(AND(D3="retain",E3="statistical_results"),NOT(OR(EXACT(I3,"substantive"),EXACT(I3,"minor_presentation"),EXACT(I3,"indeterminate")))),AND(AND(D3="retain",E3="statistical_results"),J3&lt;&gt;"",NOT(OR(EXACT(J3,"direct"),EXACT(J3,"possible"),EXACT(J3,"unlikely"),EXACT(J3,"unknown")))),AND(AND(D3="retain",OR(E3="report_internal_inconsistency",E3="plan_material")),NOT(OR(EXACT(K3,"substantive_inconsistency"),EXACT(K3,"minor_presentation"),EXACT(K3,"non_inconsistency"),EXACT(K3,"indeterminate")))),AND(AND(D3="retain",E3="protocol_report"),L3&lt;&gt;"",NOT(OR(EXACT(L3,"substantive_difference"),EXACT(L3,"minor_presentation"),EXACT(L3,"version_timing"),EXACT(L3,"non_inconsistency"),EXACT(L3,"indeterminate"))))),"CHECK FIELDS",IF(AND(F3&lt;&gt;"",NOT(OR(EXACT(F3,"no"),EXACT(F3,"primary_done")))),"CHECK COMPLETE",IF(EXACT(F3,"primary_done"),"PRIMARY READY","PRIMARY DRAFT")))))),"CHECK INPUT / KEY")</f>
        <v/>
      </c>
      <c r="H3" s="21">
        <f>IF(AND(OR(D3="retain",D3=""),E3="statistical_results"),"","not_applicable")</f>
        <v/>
      </c>
      <c r="I3" s="21">
        <f>IF(AND(OR(D3="retain",D3=""),E3="statistical_results"),"","not_applicable")</f>
        <v/>
      </c>
      <c r="J3" s="22">
        <f>IF(AND(OR(D3="retain",D3=""),E3="statistical_results"),"","not_applicable")</f>
        <v/>
      </c>
      <c r="K3" s="21">
        <f>IF(AND(OR(D3="retain",D3=""),OR(E3="report_internal_inconsistency",E3="plan_material")),"","not_applicable")</f>
        <v/>
      </c>
      <c r="L3" s="22">
        <f>IF(AND(OR(D3="retain",D3=""),E3="protocol_report"),"","not_applicable")</f>
        <v/>
      </c>
      <c r="M3" s="24" t="n"/>
      <c r="N3" s="23" t="n"/>
      <c r="O3" s="23" t="n"/>
      <c r="P3" s="23" t="n"/>
      <c r="Q3" s="23" t="n"/>
      <c r="R3" s="22" t="n"/>
    </row>
    <row r="4" ht="92" customHeight="1" s="25">
      <c r="A4" s="20" t="inlineStr">
        <is>
          <t>2024::jama.2024.6063::C003</t>
        </is>
      </c>
      <c r="B4" s="20" t="inlineStr">
        <is>
          <t>Primary VAS recall periods differ between plan and report</t>
        </is>
      </c>
      <c r="C4" s="20" t="inlineStr">
        <is>
          <t>DOC-001 jama_laslett_2024_oi_240048_1727199125.7595.pdf — p3 primary outcome, jama_laslett_2024_oi_240048_1727199125.7595.pdf — p5 Table 1 footnote b; DOC-002 joi240048supp1_prod_1727199125.7845.pdf — p6 primary definition, joi240048supp1_prod_1727199125.7845.pdf — p8 primary question.</t>
        </is>
      </c>
      <c r="D4" s="21" t="n"/>
      <c r="E4" s="21" t="inlineStr">
        <is>
          <t>protocol_report</t>
        </is>
      </c>
      <c r="F4" s="21" t="inlineStr">
        <is>
          <t>no</t>
        </is>
      </c>
      <c r="G4" s="20">
        <f>IFERROR(IF(LEN(TRIM(CLEAN(SUBSTITUTE(Setup!$B$2,CHAR(160)," "))))=0,"CHECK REVIEWER ID",IF(OR(A4="",COUNTIF($A$2:$A$14,A4)&lt;&gt;1,LEFT(A4,LEN("2024::jama.2024.6063::"))&lt;&gt;"2024::jama.2024.6063::"),"CHECK KEY",IF(OR(AND(NOT(AND(D4="retain",E4="statistical_results")),H4&lt;&gt;"",NOT(EXACT(H4,"not_applicable"))),AND(NOT(AND(D4="retain",E4="statistical_results")),I4&lt;&gt;"",NOT(EXACT(I4,"not_applicable"))),AND(NOT(AND(D4="retain",E4="statistical_results")),J4&lt;&gt;"",NOT(EXACT(J4,"not_applicable"))),AND(NOT(AND(D4="retain",OR(E4="report_internal_inconsistency",E4="plan_material"))),K4&lt;&gt;"",NOT(EXACT(K4,"not_applicable"))),AND(NOT(AND(D4="retain",E4="protocol_report")),L4&lt;&gt;"",NOT(EXACT(L4,"not_applicable")))),"CLEAR INACTIVE VALUES",IF(OR(NOT(OR(EXACT(D4,"retain"),EXACT(D4,"exclude"),EXACT(D4,"discuss"))),NOT(OR(EXACT(E4,"statistical_results"),EXACT(E4,"report_internal_inconsistency"),EXACT(E4,"plan_material"),EXACT(E4,"protocol_report"))),AND(AND(D4="retain",E4="statistical_results"),NOT(OR(EXACT(H4,"confirmed_issue"),EXACT(H4,"probable_issue"),EXACT(H4,"not_issue"),EXACT(H4,"indeterminate")))),AND(AND(D4="retain",E4="statistical_results"),NOT(OR(EXACT(I4,"substantive"),EXACT(I4,"minor_presentation"),EXACT(I4,"indeterminate")))),AND(AND(D4="retain",E4="statistical_results"),J4&lt;&gt;"",NOT(OR(EXACT(J4,"direct"),EXACT(J4,"possible"),EXACT(J4,"unlikely"),EXACT(J4,"unknown")))),AND(AND(D4="retain",OR(E4="report_internal_inconsistency",E4="plan_material")),NOT(OR(EXACT(K4,"substantive_inconsistency"),EXACT(K4,"minor_presentation"),EXACT(K4,"non_inconsistency"),EXACT(K4,"indeterminate")))),AND(AND(D4="retain",E4="protocol_report"),L4&lt;&gt;"",NOT(OR(EXACT(L4,"substantive_difference"),EXACT(L4,"minor_presentation"),EXACT(L4,"version_timing"),EXACT(L4,"non_inconsistency"),EXACT(L4,"indeterminate"))))),"CHECK FIELDS",IF(AND(F4&lt;&gt;"",NOT(OR(EXACT(F4,"no"),EXACT(F4,"primary_done")))),"CHECK COMPLETE",IF(EXACT(F4,"primary_done"),"PRIMARY READY","PRIMARY DRAFT")))))),"CHECK INPUT / KEY")</f>
        <v/>
      </c>
      <c r="H4" s="21">
        <f>IF(AND(OR(D4="retain",D4=""),E4="statistical_results"),"","not_applicable")</f>
        <v/>
      </c>
      <c r="I4" s="21">
        <f>IF(AND(OR(D4="retain",D4=""),E4="statistical_results"),"","not_applicable")</f>
        <v/>
      </c>
      <c r="J4" s="22">
        <f>IF(AND(OR(D4="retain",D4=""),E4="statistical_results"),"","not_applicable")</f>
        <v/>
      </c>
      <c r="K4" s="21">
        <f>IF(AND(OR(D4="retain",D4=""),OR(E4="report_internal_inconsistency",E4="plan_material")),"","not_applicable")</f>
        <v/>
      </c>
      <c r="L4" s="22">
        <f>IF(AND(OR(D4="retain",D4=""),E4="protocol_report"),"","not_applicable")</f>
        <v/>
      </c>
      <c r="M4" s="20" t="n"/>
      <c r="N4" s="23" t="n"/>
      <c r="O4" s="23" t="n"/>
      <c r="P4" s="23" t="n"/>
      <c r="Q4" s="23" t="n"/>
      <c r="R4" s="22" t="n"/>
    </row>
    <row r="5" ht="92" customHeight="1" s="25">
      <c r="A5" s="24" t="inlineStr">
        <is>
          <t>2024::jama.2024.6063::C004</t>
        </is>
      </c>
      <c r="B5" s="24" t="inlineStr">
        <is>
          <t>ICOAP item count does not identify the scoring denominator</t>
        </is>
      </c>
      <c r="C5" s="24" t="inlineStr">
        <is>
          <t>DOC-001 jama_laslett_2024_oi_240048_1727199125.7595.pdf — p4 post hoc scoring, jama_laslett_2024_oi_240048_1727199125.7595.pdf — p5 Table 1 footnote g, jama_laslett_2024_oi_240048_1727199125.7595.pdf — p6 ICOAP rows/descriptions.</t>
        </is>
      </c>
      <c r="D5" s="21" t="n"/>
      <c r="E5" s="21" t="inlineStr">
        <is>
          <t>statistical_results</t>
        </is>
      </c>
      <c r="F5" s="21" t="inlineStr">
        <is>
          <t>no</t>
        </is>
      </c>
      <c r="G5" s="24">
        <f>IFERROR(IF(LEN(TRIM(CLEAN(SUBSTITUTE(Setup!$B$2,CHAR(160)," "))))=0,"CHECK REVIEWER ID",IF(OR(A5="",COUNTIF($A$2:$A$14,A5)&lt;&gt;1,LEFT(A5,LEN("2024::jama.2024.6063::"))&lt;&gt;"2024::jama.2024.6063::"),"CHECK KEY",IF(OR(AND(NOT(AND(D5="retain",E5="statistical_results")),H5&lt;&gt;"",NOT(EXACT(H5,"not_applicable"))),AND(NOT(AND(D5="retain",E5="statistical_results")),I5&lt;&gt;"",NOT(EXACT(I5,"not_applicable"))),AND(NOT(AND(D5="retain",E5="statistical_results")),J5&lt;&gt;"",NOT(EXACT(J5,"not_applicable"))),AND(NOT(AND(D5="retain",OR(E5="report_internal_inconsistency",E5="plan_material"))),K5&lt;&gt;"",NOT(EXACT(K5,"not_applicable"))),AND(NOT(AND(D5="retain",E5="protocol_report")),L5&lt;&gt;"",NOT(EXACT(L5,"not_applicable")))),"CLEAR INACTIVE VALUES",IF(OR(NOT(OR(EXACT(D5,"retain"),EXACT(D5,"exclude"),EXACT(D5,"discuss"))),NOT(OR(EXACT(E5,"statistical_results"),EXACT(E5,"report_internal_inconsistency"),EXACT(E5,"plan_material"),EXACT(E5,"protocol_report"))),AND(AND(D5="retain",E5="statistical_results"),NOT(OR(EXACT(H5,"confirmed_issue"),EXACT(H5,"probable_issue"),EXACT(H5,"not_issue"),EXACT(H5,"indeterminate")))),AND(AND(D5="retain",E5="statistical_results"),NOT(OR(EXACT(I5,"substantive"),EXACT(I5,"minor_presentation"),EXACT(I5,"indeterminate")))),AND(AND(D5="retain",E5="statistical_results"),J5&lt;&gt;"",NOT(OR(EXACT(J5,"direct"),EXACT(J5,"possible"),EXACT(J5,"unlikely"),EXACT(J5,"unknown")))),AND(AND(D5="retain",OR(E5="report_internal_inconsistency",E5="plan_material")),NOT(OR(EXACT(K5,"substantive_inconsistency"),EXACT(K5,"minor_presentation"),EXACT(K5,"non_inconsistency"),EXACT(K5,"indeterminate")))),AND(AND(D5="retain",E5="protocol_report"),L5&lt;&gt;"",NOT(OR(EXACT(L5,"substantive_difference"),EXACT(L5,"minor_presentation"),EXACT(L5,"version_timing"),EXACT(L5,"non_inconsistency"),EXACT(L5,"indeterminate"))))),"CHECK FIELDS",IF(AND(F5&lt;&gt;"",NOT(OR(EXACT(F5,"no"),EXACT(F5,"primary_done")))),"CHECK COMPLETE",IF(EXACT(F5,"primary_done"),"PRIMARY READY","PRIMARY DRAFT")))))),"CHECK INPUT / KEY")</f>
        <v/>
      </c>
      <c r="H5" s="21">
        <f>IF(AND(OR(D5="retain",D5=""),E5="statistical_results"),"","not_applicable")</f>
        <v/>
      </c>
      <c r="I5" s="21">
        <f>IF(AND(OR(D5="retain",D5=""),E5="statistical_results"),"","not_applicable")</f>
        <v/>
      </c>
      <c r="J5" s="22">
        <f>IF(AND(OR(D5="retain",D5=""),E5="statistical_results"),"","not_applicable")</f>
        <v/>
      </c>
      <c r="K5" s="21">
        <f>IF(AND(OR(D5="retain",D5=""),OR(E5="report_internal_inconsistency",E5="plan_material")),"","not_applicable")</f>
        <v/>
      </c>
      <c r="L5" s="22">
        <f>IF(AND(OR(D5="retain",D5=""),E5="protocol_report"),"","not_applicable")</f>
        <v/>
      </c>
      <c r="M5" s="24" t="n"/>
      <c r="N5" s="23" t="n"/>
      <c r="O5" s="23" t="n"/>
      <c r="P5" s="23" t="n"/>
      <c r="Q5" s="23" t="n"/>
      <c r="R5" s="22" t="n"/>
    </row>
    <row r="6" ht="92" customHeight="1" s="25">
      <c r="A6" s="20" t="inlineStr">
        <is>
          <t>2024::jama.2024.6063::C005</t>
        </is>
      </c>
      <c r="B6" s="20" t="inlineStr">
        <is>
          <t>Adopted power specifications differ between plan and report</t>
        </is>
      </c>
      <c r="C6" s="20" t="inlineStr">
        <is>
          <t>DOC-001 jama_laslett_2024_oi_240048_1727199125.7595.pdf — p4 power; DOC-002 joi240048supp1_prod_1727199125.7845.pdf — p2 effusion hypothesis, joi240048supp1_prod_1727199125.7845.pdf — p12 adopted power.</t>
        </is>
      </c>
      <c r="D6" s="21" t="n"/>
      <c r="E6" s="21" t="inlineStr">
        <is>
          <t>protocol_report</t>
        </is>
      </c>
      <c r="F6" s="21" t="inlineStr">
        <is>
          <t>no</t>
        </is>
      </c>
      <c r="G6" s="20">
        <f>IFERROR(IF(LEN(TRIM(CLEAN(SUBSTITUTE(Setup!$B$2,CHAR(160)," "))))=0,"CHECK REVIEWER ID",IF(OR(A6="",COUNTIF($A$2:$A$14,A6)&lt;&gt;1,LEFT(A6,LEN("2024::jama.2024.6063::"))&lt;&gt;"2024::jama.2024.6063::"),"CHECK KEY",IF(OR(AND(NOT(AND(D6="retain",E6="statistical_results")),H6&lt;&gt;"",NOT(EXACT(H6,"not_applicable"))),AND(NOT(AND(D6="retain",E6="statistical_results")),I6&lt;&gt;"",NOT(EXACT(I6,"not_applicable"))),AND(NOT(AND(D6="retain",E6="statistical_results")),J6&lt;&gt;"",NOT(EXACT(J6,"not_applicable"))),AND(NOT(AND(D6="retain",OR(E6="report_internal_inconsistency",E6="plan_material"))),K6&lt;&gt;"",NOT(EXACT(K6,"not_applicable"))),AND(NOT(AND(D6="retain",E6="protocol_report")),L6&lt;&gt;"",NOT(EXACT(L6,"not_applicable")))),"CLEAR INACTIVE VALUES",IF(OR(NOT(OR(EXACT(D6,"retain"),EXACT(D6,"exclude"),EXACT(D6,"discuss"))),NOT(OR(EXACT(E6,"statistical_results"),EXACT(E6,"report_internal_inconsistency"),EXACT(E6,"plan_material"),EXACT(E6,"protocol_report"))),AND(AND(D6="retain",E6="statistical_results"),NOT(OR(EXACT(H6,"confirmed_issue"),EXACT(H6,"probable_issue"),EXACT(H6,"not_issue"),EXACT(H6,"indeterminate")))),AND(AND(D6="retain",E6="statistical_results"),NOT(OR(EXACT(I6,"substantive"),EXACT(I6,"minor_presentation"),EXACT(I6,"indeterminate")))),AND(AND(D6="retain",E6="statistical_results"),J6&lt;&gt;"",NOT(OR(EXACT(J6,"direct"),EXACT(J6,"possible"),EXACT(J6,"unlikely"),EXACT(J6,"unknown")))),AND(AND(D6="retain",OR(E6="report_internal_inconsistency",E6="plan_material")),NOT(OR(EXACT(K6,"substantive_inconsistency"),EXACT(K6,"minor_presentation"),EXACT(K6,"non_inconsistency"),EXACT(K6,"indeterminate")))),AND(AND(D6="retain",E6="protocol_report"),L6&lt;&gt;"",NOT(OR(EXACT(L6,"substantive_difference"),EXACT(L6,"minor_presentation"),EXACT(L6,"version_timing"),EXACT(L6,"non_inconsistency"),EXACT(L6,"indeterminate"))))),"CHECK FIELDS",IF(AND(F6&lt;&gt;"",NOT(OR(EXACT(F6,"no"),EXACT(F6,"primary_done")))),"CHECK COMPLETE",IF(EXACT(F6,"primary_done"),"PRIMARY READY","PRIMARY DRAFT")))))),"CHECK INPUT / KEY")</f>
        <v/>
      </c>
      <c r="H6" s="21">
        <f>IF(AND(OR(D6="retain",D6=""),E6="statistical_results"),"","not_applicable")</f>
        <v/>
      </c>
      <c r="I6" s="21">
        <f>IF(AND(OR(D6="retain",D6=""),E6="statistical_results"),"","not_applicable")</f>
        <v/>
      </c>
      <c r="J6" s="22">
        <f>IF(AND(OR(D6="retain",D6=""),E6="statistical_results"),"","not_applicable")</f>
        <v/>
      </c>
      <c r="K6" s="21">
        <f>IF(AND(OR(D6="retain",D6=""),OR(E6="report_internal_inconsistency",E6="plan_material")),"","not_applicable")</f>
        <v/>
      </c>
      <c r="L6" s="22">
        <f>IF(AND(OR(D6="retain",D6=""),E6="protocol_report"),"","not_applicable")</f>
        <v/>
      </c>
      <c r="M6" s="20" t="n"/>
      <c r="N6" s="23" t="n"/>
      <c r="O6" s="23" t="n"/>
      <c r="P6" s="23" t="n"/>
      <c r="Q6" s="23" t="n"/>
      <c r="R6" s="22" t="n"/>
    </row>
    <row r="7" ht="92" customHeight="1" s="25">
      <c r="A7" s="24" t="inlineStr">
        <is>
          <t>2024::jama.2024.6063::C006</t>
        </is>
      </c>
      <c r="B7" s="24" t="inlineStr">
        <is>
          <t>Reported primary model differs from the supplied planned model</t>
        </is>
      </c>
      <c r="C7" s="24" t="inlineStr">
        <is>
          <t>DOC-001 jama_laslett_2024_oi_240048_1727199125.7595.pdf — p4 statistical methods, jama_laslett_2024_oi_240048_1727199125.7595.pdf — p7 continuation; DOC-002 joi240048supp1_prod_1727199125.7845.pdf — p12 Statistics; DOC-003 joi240048supp2_prod_1727199125.8245.pdf — p1 lines 5–7.</t>
        </is>
      </c>
      <c r="D7" s="21" t="n"/>
      <c r="E7" s="21" t="inlineStr">
        <is>
          <t>protocol_report</t>
        </is>
      </c>
      <c r="F7" s="21" t="inlineStr">
        <is>
          <t>no</t>
        </is>
      </c>
      <c r="G7" s="24">
        <f>IFERROR(IF(LEN(TRIM(CLEAN(SUBSTITUTE(Setup!$B$2,CHAR(160)," "))))=0,"CHECK REVIEWER ID",IF(OR(A7="",COUNTIF($A$2:$A$14,A7)&lt;&gt;1,LEFT(A7,LEN("2024::jama.2024.6063::"))&lt;&gt;"2024::jama.2024.6063::"),"CHECK KEY",IF(OR(AND(NOT(AND(D7="retain",E7="statistical_results")),H7&lt;&gt;"",NOT(EXACT(H7,"not_applicable"))),AND(NOT(AND(D7="retain",E7="statistical_results")),I7&lt;&gt;"",NOT(EXACT(I7,"not_applicable"))),AND(NOT(AND(D7="retain",E7="statistical_results")),J7&lt;&gt;"",NOT(EXACT(J7,"not_applicable"))),AND(NOT(AND(D7="retain",OR(E7="report_internal_inconsistency",E7="plan_material"))),K7&lt;&gt;"",NOT(EXACT(K7,"not_applicable"))),AND(NOT(AND(D7="retain",E7="protocol_report")),L7&lt;&gt;"",NOT(EXACT(L7,"not_applicable")))),"CLEAR INACTIVE VALUES",IF(OR(NOT(OR(EXACT(D7,"retain"),EXACT(D7,"exclude"),EXACT(D7,"discuss"))),NOT(OR(EXACT(E7,"statistical_results"),EXACT(E7,"report_internal_inconsistency"),EXACT(E7,"plan_material"),EXACT(E7,"protocol_report"))),AND(AND(D7="retain",E7="statistical_results"),NOT(OR(EXACT(H7,"confirmed_issue"),EXACT(H7,"probable_issue"),EXACT(H7,"not_issue"),EXACT(H7,"indeterminate")))),AND(AND(D7="retain",E7="statistical_results"),NOT(OR(EXACT(I7,"substantive"),EXACT(I7,"minor_presentation"),EXACT(I7,"indeterminate")))),AND(AND(D7="retain",E7="statistical_results"),J7&lt;&gt;"",NOT(OR(EXACT(J7,"direct"),EXACT(J7,"possible"),EXACT(J7,"unlikely"),EXACT(J7,"unknown")))),AND(AND(D7="retain",OR(E7="report_internal_inconsistency",E7="plan_material")),NOT(OR(EXACT(K7,"substantive_inconsistency"),EXACT(K7,"minor_presentation"),EXACT(K7,"non_inconsistency"),EXACT(K7,"indeterminate")))),AND(AND(D7="retain",E7="protocol_report"),L7&lt;&gt;"",NOT(OR(EXACT(L7,"substantive_difference"),EXACT(L7,"minor_presentation"),EXACT(L7,"version_timing"),EXACT(L7,"non_inconsistency"),EXACT(L7,"indeterminate"))))),"CHECK FIELDS",IF(AND(F7&lt;&gt;"",NOT(OR(EXACT(F7,"no"),EXACT(F7,"primary_done")))),"CHECK COMPLETE",IF(EXACT(F7,"primary_done"),"PRIMARY READY","PRIMARY DRAFT")))))),"CHECK INPUT / KEY")</f>
        <v/>
      </c>
      <c r="H7" s="21">
        <f>IF(AND(OR(D7="retain",D7=""),E7="statistical_results"),"","not_applicable")</f>
        <v/>
      </c>
      <c r="I7" s="21">
        <f>IF(AND(OR(D7="retain",D7=""),E7="statistical_results"),"","not_applicable")</f>
        <v/>
      </c>
      <c r="J7" s="22">
        <f>IF(AND(OR(D7="retain",D7=""),E7="statistical_results"),"","not_applicable")</f>
        <v/>
      </c>
      <c r="K7" s="21">
        <f>IF(AND(OR(D7="retain",D7=""),OR(E7="report_internal_inconsistency",E7="plan_material")),"","not_applicable")</f>
        <v/>
      </c>
      <c r="L7" s="22">
        <f>IF(AND(OR(D7="retain",D7=""),E7="protocol_report"),"","not_applicable")</f>
        <v/>
      </c>
      <c r="M7" s="24" t="n"/>
      <c r="N7" s="23" t="n"/>
      <c r="O7" s="23" t="n"/>
      <c r="P7" s="23" t="n"/>
      <c r="Q7" s="23" t="n"/>
      <c r="R7" s="22" t="n"/>
    </row>
    <row r="8" ht="92" customHeight="1" s="25">
      <c r="A8" s="20" t="inlineStr">
        <is>
          <t>2024::jama.2024.6063::C007</t>
        </is>
      </c>
      <c r="B8" s="20" t="inlineStr">
        <is>
          <t>Planned per-protocol primary efficacy analysis is not reported</t>
        </is>
      </c>
      <c r="C8" s="20" t="inlineStr">
        <is>
          <t>DOC-002 joi240048supp1_prod_1727199125.7845.pdf — p12 Statistics; DOC-003 joi240048supp2_prod_1727199125.8245.pdf — p1 lines 8–9; DOC-001 jama_laslett_2024_oi_240048_1727199125.7595.pdf — p4 methods, jama_laslett_2024_oi_240048_1727199125.7595.pdf — p6 efficacy table, jama_laslett_2024_oi_240048_1727199125.7595.pdf — p7 methods/results; DOC-004 joi240048supp3_prod_1727199125.83025.pdf — p2 sensitivity table, joi240048supp3_prod_1727199125.83025.pdf — p3 adherence.</t>
        </is>
      </c>
      <c r="D8" s="21" t="n"/>
      <c r="E8" s="21" t="inlineStr">
        <is>
          <t>protocol_report</t>
        </is>
      </c>
      <c r="F8" s="21" t="inlineStr">
        <is>
          <t>no</t>
        </is>
      </c>
      <c r="G8" s="20">
        <f>IFERROR(IF(LEN(TRIM(CLEAN(SUBSTITUTE(Setup!$B$2,CHAR(160)," "))))=0,"CHECK REVIEWER ID",IF(OR(A8="",COUNTIF($A$2:$A$14,A8)&lt;&gt;1,LEFT(A8,LEN("2024::jama.2024.6063::"))&lt;&gt;"2024::jama.2024.6063::"),"CHECK KEY",IF(OR(AND(NOT(AND(D8="retain",E8="statistical_results")),H8&lt;&gt;"",NOT(EXACT(H8,"not_applicable"))),AND(NOT(AND(D8="retain",E8="statistical_results")),I8&lt;&gt;"",NOT(EXACT(I8,"not_applicable"))),AND(NOT(AND(D8="retain",E8="statistical_results")),J8&lt;&gt;"",NOT(EXACT(J8,"not_applicable"))),AND(NOT(AND(D8="retain",OR(E8="report_internal_inconsistency",E8="plan_material"))),K8&lt;&gt;"",NOT(EXACT(K8,"not_applicable"))),AND(NOT(AND(D8="retain",E8="protocol_report")),L8&lt;&gt;"",NOT(EXACT(L8,"not_applicable")))),"CLEAR INACTIVE VALUES",IF(OR(NOT(OR(EXACT(D8,"retain"),EXACT(D8,"exclude"),EXACT(D8,"discuss"))),NOT(OR(EXACT(E8,"statistical_results"),EXACT(E8,"report_internal_inconsistency"),EXACT(E8,"plan_material"),EXACT(E8,"protocol_report"))),AND(AND(D8="retain",E8="statistical_results"),NOT(OR(EXACT(H8,"confirmed_issue"),EXACT(H8,"probable_issue"),EXACT(H8,"not_issue"),EXACT(H8,"indeterminate")))),AND(AND(D8="retain",E8="statistical_results"),NOT(OR(EXACT(I8,"substantive"),EXACT(I8,"minor_presentation"),EXACT(I8,"indeterminate")))),AND(AND(D8="retain",E8="statistical_results"),J8&lt;&gt;"",NOT(OR(EXACT(J8,"direct"),EXACT(J8,"possible"),EXACT(J8,"unlikely"),EXACT(J8,"unknown")))),AND(AND(D8="retain",OR(E8="report_internal_inconsistency",E8="plan_material")),NOT(OR(EXACT(K8,"substantive_inconsistency"),EXACT(K8,"minor_presentation"),EXACT(K8,"non_inconsistency"),EXACT(K8,"indeterminate")))),AND(AND(D8="retain",E8="protocol_report"),L8&lt;&gt;"",NOT(OR(EXACT(L8,"substantive_difference"),EXACT(L8,"minor_presentation"),EXACT(L8,"version_timing"),EXACT(L8,"non_inconsistency"),EXACT(L8,"indeterminate"))))),"CHECK FIELDS",IF(AND(F8&lt;&gt;"",NOT(OR(EXACT(F8,"no"),EXACT(F8,"primary_done")))),"CHECK COMPLETE",IF(EXACT(F8,"primary_done"),"PRIMARY READY","PRIMARY DRAFT")))))),"CHECK INPUT / KEY")</f>
        <v/>
      </c>
      <c r="H8" s="21">
        <f>IF(AND(OR(D8="retain",D8=""),E8="statistical_results"),"","not_applicable")</f>
        <v/>
      </c>
      <c r="I8" s="21">
        <f>IF(AND(OR(D8="retain",D8=""),E8="statistical_results"),"","not_applicable")</f>
        <v/>
      </c>
      <c r="J8" s="22">
        <f>IF(AND(OR(D8="retain",D8=""),E8="statistical_results"),"","not_applicable")</f>
        <v/>
      </c>
      <c r="K8" s="21">
        <f>IF(AND(OR(D8="retain",D8=""),OR(E8="report_internal_inconsistency",E8="plan_material")),"","not_applicable")</f>
        <v/>
      </c>
      <c r="L8" s="22">
        <f>IF(AND(OR(D8="retain",D8=""),E8="protocol_report"),"","not_applicable")</f>
        <v/>
      </c>
      <c r="M8" s="20" t="n"/>
      <c r="N8" s="23" t="n"/>
      <c r="O8" s="23" t="n"/>
      <c r="P8" s="23" t="n"/>
      <c r="Q8" s="23" t="n"/>
      <c r="R8" s="22" t="n"/>
    </row>
    <row r="9" ht="92" customHeight="1" s="25">
      <c r="A9" s="24" t="inlineStr">
        <is>
          <t>2024::jama.2024.6063::C008</t>
        </is>
      </c>
      <c r="B9" s="24" t="inlineStr">
        <is>
          <t>Repeated modeled arm-change and point-contrast discrepancies</t>
        </is>
      </c>
      <c r="C9" s="24" t="inlineStr">
        <is>
          <t>DOC-001 jama_laslett_2024_oi_240048_1727199125.7595.pdf — p6 ICOAP total/intermittent; DOC-004 joi240048supp3_prod_1727199125.83025.pdf — p5 weight-bearing/function week4, joi240048supp3_prod_1727199125.83025.pdf — p6 hsCRP12/24 and glucose12. Producing model corroboration: DOC-001 jama_laslett_2024_oi_240048_1727199125.7595.pdf — p4, jama_laslett_2024_oi_240048_1727199125.7595.pdf — p7.</t>
        </is>
      </c>
      <c r="D9" s="21" t="n"/>
      <c r="E9" s="21" t="inlineStr">
        <is>
          <t>statistical_results</t>
        </is>
      </c>
      <c r="F9" s="21" t="inlineStr">
        <is>
          <t>no</t>
        </is>
      </c>
      <c r="G9" s="24">
        <f>IFERROR(IF(LEN(TRIM(CLEAN(SUBSTITUTE(Setup!$B$2,CHAR(160)," "))))=0,"CHECK REVIEWER ID",IF(OR(A9="",COUNTIF($A$2:$A$14,A9)&lt;&gt;1,LEFT(A9,LEN("2024::jama.2024.6063::"))&lt;&gt;"2024::jama.2024.6063::"),"CHECK KEY",IF(OR(AND(NOT(AND(D9="retain",E9="statistical_results")),H9&lt;&gt;"",NOT(EXACT(H9,"not_applicable"))),AND(NOT(AND(D9="retain",E9="statistical_results")),I9&lt;&gt;"",NOT(EXACT(I9,"not_applicable"))),AND(NOT(AND(D9="retain",E9="statistical_results")),J9&lt;&gt;"",NOT(EXACT(J9,"not_applicable"))),AND(NOT(AND(D9="retain",OR(E9="report_internal_inconsistency",E9="plan_material"))),K9&lt;&gt;"",NOT(EXACT(K9,"not_applicable"))),AND(NOT(AND(D9="retain",E9="protocol_report")),L9&lt;&gt;"",NOT(EXACT(L9,"not_applicable")))),"CLEAR INACTIVE VALUES",IF(OR(NOT(OR(EXACT(D9,"retain"),EXACT(D9,"exclude"),EXACT(D9,"discuss"))),NOT(OR(EXACT(E9,"statistical_results"),EXACT(E9,"report_internal_inconsistency"),EXACT(E9,"plan_material"),EXACT(E9,"protocol_report"))),AND(AND(D9="retain",E9="statistical_results"),NOT(OR(EXACT(H9,"confirmed_issue"),EXACT(H9,"probable_issue"),EXACT(H9,"not_issue"),EXACT(H9,"indeterminate")))),AND(AND(D9="retain",E9="statistical_results"),NOT(OR(EXACT(I9,"substantive"),EXACT(I9,"minor_presentation"),EXACT(I9,"indeterminate")))),AND(AND(D9="retain",E9="statistical_results"),J9&lt;&gt;"",NOT(OR(EXACT(J9,"direct"),EXACT(J9,"possible"),EXACT(J9,"unlikely"),EXACT(J9,"unknown")))),AND(AND(D9="retain",OR(E9="report_internal_inconsistency",E9="plan_material")),NOT(OR(EXACT(K9,"substantive_inconsistency"),EXACT(K9,"minor_presentation"),EXACT(K9,"non_inconsistency"),EXACT(K9,"indeterminate")))),AND(AND(D9="retain",E9="protocol_report"),L9&lt;&gt;"",NOT(OR(EXACT(L9,"substantive_difference"),EXACT(L9,"minor_presentation"),EXACT(L9,"version_timing"),EXACT(L9,"non_inconsistency"),EXACT(L9,"indeterminate"))))),"CHECK FIELDS",IF(AND(F9&lt;&gt;"",NOT(OR(EXACT(F9,"no"),EXACT(F9,"primary_done")))),"CHECK COMPLETE",IF(EXACT(F9,"primary_done"),"PRIMARY READY","PRIMARY DRAFT")))))),"CHECK INPUT / KEY")</f>
        <v/>
      </c>
      <c r="H9" s="21">
        <f>IF(AND(OR(D9="retain",D9=""),E9="statistical_results"),"","not_applicable")</f>
        <v/>
      </c>
      <c r="I9" s="21">
        <f>IF(AND(OR(D9="retain",D9=""),E9="statistical_results"),"","not_applicable")</f>
        <v/>
      </c>
      <c r="J9" s="22">
        <f>IF(AND(OR(D9="retain",D9=""),E9="statistical_results"),"","not_applicable")</f>
        <v/>
      </c>
      <c r="K9" s="21">
        <f>IF(AND(OR(D9="retain",D9=""),OR(E9="report_internal_inconsistency",E9="plan_material")),"","not_applicable")</f>
        <v/>
      </c>
      <c r="L9" s="22">
        <f>IF(AND(OR(D9="retain",D9=""),E9="protocol_report"),"","not_applicable")</f>
        <v/>
      </c>
      <c r="M9" s="24" t="n"/>
      <c r="N9" s="23" t="n"/>
      <c r="O9" s="23" t="n"/>
      <c r="P9" s="23" t="n"/>
      <c r="Q9" s="23" t="n"/>
      <c r="R9" s="22" t="n"/>
    </row>
    <row r="10" ht="92" customHeight="1" s="25">
      <c r="A10" s="20" t="inlineStr">
        <is>
          <t>2024::jama.2024.6063::C009</t>
        </is>
      </c>
      <c r="B10" s="20" t="inlineStr">
        <is>
          <t>Selected adverse-event counts change treatment attribution</t>
        </is>
      </c>
      <c r="C10" s="20" t="inlineStr">
        <is>
          <t>DOC-001 jama_laslett_2024_oi_240048_1727199125.7595.pdf — p8 Table 3; DOC-004 joi240048supp3_prod_1727199125.83025.pdf — p10 cough and treatment headers, joi240048supp3_prod_1727199125.83025.pdf — p11 gastrointestinal rows.</t>
        </is>
      </c>
      <c r="D10" s="21" t="n"/>
      <c r="E10" s="21" t="inlineStr">
        <is>
          <t>statistical_results</t>
        </is>
      </c>
      <c r="F10" s="21" t="inlineStr">
        <is>
          <t>no</t>
        </is>
      </c>
      <c r="G10" s="20">
        <f>IFERROR(IF(LEN(TRIM(CLEAN(SUBSTITUTE(Setup!$B$2,CHAR(160)," "))))=0,"CHECK REVIEWER ID",IF(OR(A10="",COUNTIF($A$2:$A$14,A10)&lt;&gt;1,LEFT(A10,LEN("2024::jama.2024.6063::"))&lt;&gt;"2024::jama.2024.6063::"),"CHECK KEY",IF(OR(AND(NOT(AND(D10="retain",E10="statistical_results")),H10&lt;&gt;"",NOT(EXACT(H10,"not_applicable"))),AND(NOT(AND(D10="retain",E10="statistical_results")),I10&lt;&gt;"",NOT(EXACT(I10,"not_applicable"))),AND(NOT(AND(D10="retain",E10="statistical_results")),J10&lt;&gt;"",NOT(EXACT(J10,"not_applicable"))),AND(NOT(AND(D10="retain",OR(E10="report_internal_inconsistency",E10="plan_material"))),K10&lt;&gt;"",NOT(EXACT(K10,"not_applicable"))),AND(NOT(AND(D10="retain",E10="protocol_report")),L10&lt;&gt;"",NOT(EXACT(L10,"not_applicable")))),"CLEAR INACTIVE VALUES",IF(OR(NOT(OR(EXACT(D10,"retain"),EXACT(D10,"exclude"),EXACT(D10,"discuss"))),NOT(OR(EXACT(E10,"statistical_results"),EXACT(E10,"report_internal_inconsistency"),EXACT(E10,"plan_material"),EXACT(E10,"protocol_report"))),AND(AND(D10="retain",E10="statistical_results"),NOT(OR(EXACT(H10,"confirmed_issue"),EXACT(H10,"probable_issue"),EXACT(H10,"not_issue"),EXACT(H10,"indeterminate")))),AND(AND(D10="retain",E10="statistical_results"),NOT(OR(EXACT(I10,"substantive"),EXACT(I10,"minor_presentation"),EXACT(I10,"indeterminate")))),AND(AND(D10="retain",E10="statistical_results"),J10&lt;&gt;"",NOT(OR(EXACT(J10,"direct"),EXACT(J10,"possible"),EXACT(J10,"unlikely"),EXACT(J10,"unknown")))),AND(AND(D10="retain",OR(E10="report_internal_inconsistency",E10="plan_material")),NOT(OR(EXACT(K10,"substantive_inconsistency"),EXACT(K10,"minor_presentation"),EXACT(K10,"non_inconsistency"),EXACT(K10,"indeterminate")))),AND(AND(D10="retain",E10="protocol_report"),L10&lt;&gt;"",NOT(OR(EXACT(L10,"substantive_difference"),EXACT(L10,"minor_presentation"),EXACT(L10,"version_timing"),EXACT(L10,"non_inconsistency"),EXACT(L10,"indeterminate"))))),"CHECK FIELDS",IF(AND(F10&lt;&gt;"",NOT(OR(EXACT(F10,"no"),EXACT(F10,"primary_done")))),"CHECK COMPLETE",IF(EXACT(F10,"primary_done"),"PRIMARY READY","PRIMARY DRAFT")))))),"CHECK INPUT / KEY")</f>
        <v/>
      </c>
      <c r="H10" s="21">
        <f>IF(AND(OR(D10="retain",D10=""),E10="statistical_results"),"","not_applicable")</f>
        <v/>
      </c>
      <c r="I10" s="21">
        <f>IF(AND(OR(D10="retain",D10=""),E10="statistical_results"),"","not_applicable")</f>
        <v/>
      </c>
      <c r="J10" s="22">
        <f>IF(AND(OR(D10="retain",D10=""),E10="statistical_results"),"","not_applicable")</f>
        <v/>
      </c>
      <c r="K10" s="21">
        <f>IF(AND(OR(D10="retain",D10=""),OR(E10="report_internal_inconsistency",E10="plan_material")),"","not_applicable")</f>
        <v/>
      </c>
      <c r="L10" s="22">
        <f>IF(AND(OR(D10="retain",D10=""),E10="protocol_report"),"","not_applicable")</f>
        <v/>
      </c>
      <c r="M10" s="20" t="n"/>
      <c r="N10" s="23" t="n"/>
      <c r="O10" s="23" t="n"/>
      <c r="P10" s="23" t="n"/>
      <c r="Q10" s="23" t="n"/>
      <c r="R10" s="22" t="n"/>
    </row>
    <row r="11" ht="92" customHeight="1" s="25">
      <c r="A11" s="24" t="inlineStr">
        <is>
          <t>2024::jama.2024.6063::C010</t>
        </is>
      </c>
      <c r="B11" s="24" t="inlineStr">
        <is>
          <t>Serious-event relatedness classifications do not reconcile</t>
        </is>
      </c>
      <c r="C11" s="24" t="inlineStr">
        <is>
          <t>DOC-001 jama_laslett_2024_oi_240048_1727199125.7595.pdf — p8 Table 3, footnote b, narrative; DOC-004 joi240048supp3_prod_1727199125.83025.pdf — p14 eTable 8 relatedness entries.</t>
        </is>
      </c>
      <c r="D11" s="21" t="n"/>
      <c r="E11" s="21" t="inlineStr">
        <is>
          <t>statistical_results</t>
        </is>
      </c>
      <c r="F11" s="21" t="inlineStr">
        <is>
          <t>no</t>
        </is>
      </c>
      <c r="G11" s="24">
        <f>IFERROR(IF(LEN(TRIM(CLEAN(SUBSTITUTE(Setup!$B$2,CHAR(160)," "))))=0,"CHECK REVIEWER ID",IF(OR(A11="",COUNTIF($A$2:$A$14,A11)&lt;&gt;1,LEFT(A11,LEN("2024::jama.2024.6063::"))&lt;&gt;"2024::jama.2024.6063::"),"CHECK KEY",IF(OR(AND(NOT(AND(D11="retain",E11="statistical_results")),H11&lt;&gt;"",NOT(EXACT(H11,"not_applicable"))),AND(NOT(AND(D11="retain",E11="statistical_results")),I11&lt;&gt;"",NOT(EXACT(I11,"not_applicable"))),AND(NOT(AND(D11="retain",E11="statistical_results")),J11&lt;&gt;"",NOT(EXACT(J11,"not_applicable"))),AND(NOT(AND(D11="retain",OR(E11="report_internal_inconsistency",E11="plan_material"))),K11&lt;&gt;"",NOT(EXACT(K11,"not_applicable"))),AND(NOT(AND(D11="retain",E11="protocol_report")),L11&lt;&gt;"",NOT(EXACT(L11,"not_applicable")))),"CLEAR INACTIVE VALUES",IF(OR(NOT(OR(EXACT(D11,"retain"),EXACT(D11,"exclude"),EXACT(D11,"discuss"))),NOT(OR(EXACT(E11,"statistical_results"),EXACT(E11,"report_internal_inconsistency"),EXACT(E11,"plan_material"),EXACT(E11,"protocol_report"))),AND(AND(D11="retain",E11="statistical_results"),NOT(OR(EXACT(H11,"confirmed_issue"),EXACT(H11,"probable_issue"),EXACT(H11,"not_issue"),EXACT(H11,"indeterminate")))),AND(AND(D11="retain",E11="statistical_results"),NOT(OR(EXACT(I11,"substantive"),EXACT(I11,"minor_presentation"),EXACT(I11,"indeterminate")))),AND(AND(D11="retain",E11="statistical_results"),J11&lt;&gt;"",NOT(OR(EXACT(J11,"direct"),EXACT(J11,"possible"),EXACT(J11,"unlikely"),EXACT(J11,"unknown")))),AND(AND(D11="retain",OR(E11="report_internal_inconsistency",E11="plan_material")),NOT(OR(EXACT(K11,"substantive_inconsistency"),EXACT(K11,"minor_presentation"),EXACT(K11,"non_inconsistency"),EXACT(K11,"indeterminate")))),AND(AND(D11="retain",E11="protocol_report"),L11&lt;&gt;"",NOT(OR(EXACT(L11,"substantive_difference"),EXACT(L11,"minor_presentation"),EXACT(L11,"version_timing"),EXACT(L11,"non_inconsistency"),EXACT(L11,"indeterminate"))))),"CHECK FIELDS",IF(AND(F11&lt;&gt;"",NOT(OR(EXACT(F11,"no"),EXACT(F11,"primary_done")))),"CHECK COMPLETE",IF(EXACT(F11,"primary_done"),"PRIMARY READY","PRIMARY DRAFT")))))),"CHECK INPUT / KEY")</f>
        <v/>
      </c>
      <c r="H11" s="21">
        <f>IF(AND(OR(D11="retain",D11=""),E11="statistical_results"),"","not_applicable")</f>
        <v/>
      </c>
      <c r="I11" s="21">
        <f>IF(AND(OR(D11="retain",D11=""),E11="statistical_results"),"","not_applicable")</f>
        <v/>
      </c>
      <c r="J11" s="22">
        <f>IF(AND(OR(D11="retain",D11=""),E11="statistical_results"),"","not_applicable")</f>
        <v/>
      </c>
      <c r="K11" s="21">
        <f>IF(AND(OR(D11="retain",D11=""),OR(E11="report_internal_inconsistency",E11="plan_material")),"","not_applicable")</f>
        <v/>
      </c>
      <c r="L11" s="22">
        <f>IF(AND(OR(D11="retain",D11=""),E11="protocol_report"),"","not_applicable")</f>
        <v/>
      </c>
      <c r="M11" s="24" t="n"/>
      <c r="N11" s="23" t="n"/>
      <c r="O11" s="23" t="n"/>
      <c r="P11" s="23" t="n"/>
      <c r="Q11" s="23" t="n"/>
      <c r="R11" s="22" t="n"/>
    </row>
    <row r="12" ht="92" customHeight="1" s="25">
      <c r="A12" s="20" t="inlineStr">
        <is>
          <t>2024::jama.2024.6063::C011</t>
        </is>
      </c>
      <c r="B12" s="20" t="inlineStr">
        <is>
          <t>Planned effusion power does not reproduce from supplied inputs</t>
        </is>
      </c>
      <c r="C12" s="20" t="inlineStr">
        <is>
          <t>DOC-002 joi240048supp1_prod_1727199125.7845.pdf — p2 effusion hypothesis, joi240048supp1_prod_1727199125.7845.pdf — p12 Power/Statistics; DOC-003 joi240048supp2_prod_1727199125.8245.pdf — p1 model and significance corroboration.</t>
        </is>
      </c>
      <c r="D12" s="21" t="n"/>
      <c r="E12" s="21" t="inlineStr">
        <is>
          <t>plan_material</t>
        </is>
      </c>
      <c r="F12" s="21" t="inlineStr">
        <is>
          <t>no</t>
        </is>
      </c>
      <c r="G12" s="20">
        <f>IFERROR(IF(LEN(TRIM(CLEAN(SUBSTITUTE(Setup!$B$2,CHAR(160)," "))))=0,"CHECK REVIEWER ID",IF(OR(A12="",COUNTIF($A$2:$A$14,A12)&lt;&gt;1,LEFT(A12,LEN("2024::jama.2024.6063::"))&lt;&gt;"2024::jama.2024.6063::"),"CHECK KEY",IF(OR(AND(NOT(AND(D12="retain",E12="statistical_results")),H12&lt;&gt;"",NOT(EXACT(H12,"not_applicable"))),AND(NOT(AND(D12="retain",E12="statistical_results")),I12&lt;&gt;"",NOT(EXACT(I12,"not_applicable"))),AND(NOT(AND(D12="retain",E12="statistical_results")),J12&lt;&gt;"",NOT(EXACT(J12,"not_applicable"))),AND(NOT(AND(D12="retain",OR(E12="report_internal_inconsistency",E12="plan_material"))),K12&lt;&gt;"",NOT(EXACT(K12,"not_applicable"))),AND(NOT(AND(D12="retain",E12="protocol_report")),L12&lt;&gt;"",NOT(EXACT(L12,"not_applicable")))),"CLEAR INACTIVE VALUES",IF(OR(NOT(OR(EXACT(D12,"retain"),EXACT(D12,"exclude"),EXACT(D12,"discuss"))),NOT(OR(EXACT(E12,"statistical_results"),EXACT(E12,"report_internal_inconsistency"),EXACT(E12,"plan_material"),EXACT(E12,"protocol_report"))),AND(AND(D12="retain",E12="statistical_results"),NOT(OR(EXACT(H12,"confirmed_issue"),EXACT(H12,"probable_issue"),EXACT(H12,"not_issue"),EXACT(H12,"indeterminate")))),AND(AND(D12="retain",E12="statistical_results"),NOT(OR(EXACT(I12,"substantive"),EXACT(I12,"minor_presentation"),EXACT(I12,"indeterminate")))),AND(AND(D12="retain",E12="statistical_results"),J12&lt;&gt;"",NOT(OR(EXACT(J12,"direct"),EXACT(J12,"possible"),EXACT(J12,"unlikely"),EXACT(J12,"unknown")))),AND(AND(D12="retain",OR(E12="report_internal_inconsistency",E12="plan_material")),NOT(OR(EXACT(K12,"substantive_inconsistency"),EXACT(K12,"minor_presentation"),EXACT(K12,"non_inconsistency"),EXACT(K12,"indeterminate")))),AND(AND(D12="retain",E12="protocol_report"),L12&lt;&gt;"",NOT(OR(EXACT(L12,"substantive_difference"),EXACT(L12,"minor_presentation"),EXACT(L12,"version_timing"),EXACT(L12,"non_inconsistency"),EXACT(L12,"indeterminate"))))),"CHECK FIELDS",IF(AND(F12&lt;&gt;"",NOT(OR(EXACT(F12,"no"),EXACT(F12,"primary_done")))),"CHECK COMPLETE",IF(EXACT(F12,"primary_done"),"PRIMARY READY","PRIMARY DRAFT")))))),"CHECK INPUT / KEY")</f>
        <v/>
      </c>
      <c r="H12" s="21">
        <f>IF(AND(OR(D12="retain",D12=""),E12="statistical_results"),"","not_applicable")</f>
        <v/>
      </c>
      <c r="I12" s="21">
        <f>IF(AND(OR(D12="retain",D12=""),E12="statistical_results"),"","not_applicable")</f>
        <v/>
      </c>
      <c r="J12" s="22">
        <f>IF(AND(OR(D12="retain",D12=""),E12="statistical_results"),"","not_applicable")</f>
        <v/>
      </c>
      <c r="K12" s="21">
        <f>IF(AND(OR(D12="retain",D12=""),OR(E12="report_internal_inconsistency",E12="plan_material")),"","not_applicable")</f>
        <v/>
      </c>
      <c r="L12" s="22">
        <f>IF(AND(OR(D12="retain",D12=""),E12="protocol_report"),"","not_applicable")</f>
        <v/>
      </c>
      <c r="M12" s="20" t="n"/>
      <c r="N12" s="23" t="n"/>
      <c r="O12" s="23" t="n"/>
      <c r="P12" s="23" t="n"/>
      <c r="Q12" s="23" t="n"/>
      <c r="R12" s="22" t="n"/>
    </row>
    <row r="13" ht="92" customHeight="1" s="25">
      <c r="A13" s="24" t="inlineStr">
        <is>
          <t>2024::jama.2024.6063::C012</t>
        </is>
      </c>
      <c r="B13" s="24" t="inlineStr">
        <is>
          <t>Repeated contrast-interval widths differ from a reproducing display rule</t>
        </is>
      </c>
      <c r="C13" s="24" t="inlineStr">
        <is>
          <t>DOC-004 joi240048supp3_prod_1727199125.83025.pdf — p6 glucose12/24, TG12, HDL12, LDL12, hsCRP12 and adjustment footnote, joi240048supp3_prod_1727199125.83025.pdf — p5 WOMAC total4/8/12/16/20/24; DOC-001 jama_laslett_2024_oi_240048_1727199125.7595.pdf — p6 WOMAC total24 and glucose24 corroboration, jama_laslett_2024_oi_240048_1727199125.7595.pdf — p4 model methods, jama_laslett_2024_oi_240048_1727199125.7595.pdf — p7 model continuation.</t>
        </is>
      </c>
      <c r="D13" s="21" t="n"/>
      <c r="E13" s="21" t="inlineStr">
        <is>
          <t>statistical_results</t>
        </is>
      </c>
      <c r="F13" s="21" t="inlineStr">
        <is>
          <t>no</t>
        </is>
      </c>
      <c r="G13" s="24">
        <f>IFERROR(IF(LEN(TRIM(CLEAN(SUBSTITUTE(Setup!$B$2,CHAR(160)," "))))=0,"CHECK REVIEWER ID",IF(OR(A13="",COUNTIF($A$2:$A$14,A13)&lt;&gt;1,LEFT(A13,LEN("2024::jama.2024.6063::"))&lt;&gt;"2024::jama.2024.6063::"),"CHECK KEY",IF(OR(AND(NOT(AND(D13="retain",E13="statistical_results")),H13&lt;&gt;"",NOT(EXACT(H13,"not_applicable"))),AND(NOT(AND(D13="retain",E13="statistical_results")),I13&lt;&gt;"",NOT(EXACT(I13,"not_applicable"))),AND(NOT(AND(D13="retain",E13="statistical_results")),J13&lt;&gt;"",NOT(EXACT(J13,"not_applicable"))),AND(NOT(AND(D13="retain",OR(E13="report_internal_inconsistency",E13="plan_material"))),K13&lt;&gt;"",NOT(EXACT(K13,"not_applicable"))),AND(NOT(AND(D13="retain",E13="protocol_report")),L13&lt;&gt;"",NOT(EXACT(L13,"not_applicable")))),"CLEAR INACTIVE VALUES",IF(OR(NOT(OR(EXACT(D13,"retain"),EXACT(D13,"exclude"),EXACT(D13,"discuss"))),NOT(OR(EXACT(E13,"statistical_results"),EXACT(E13,"report_internal_inconsistency"),EXACT(E13,"plan_material"),EXACT(E13,"protocol_report"))),AND(AND(D13="retain",E13="statistical_results"),NOT(OR(EXACT(H13,"confirmed_issue"),EXACT(H13,"probable_issue"),EXACT(H13,"not_issue"),EXACT(H13,"indeterminate")))),AND(AND(D13="retain",E13="statistical_results"),NOT(OR(EXACT(I13,"substantive"),EXACT(I13,"minor_presentation"),EXACT(I13,"indeterminate")))),AND(AND(D13="retain",E13="statistical_results"),J13&lt;&gt;"",NOT(OR(EXACT(J13,"direct"),EXACT(J13,"possible"),EXACT(J13,"unlikely"),EXACT(J13,"unknown")))),AND(AND(D13="retain",OR(E13="report_internal_inconsistency",E13="plan_material")),NOT(OR(EXACT(K13,"substantive_inconsistency"),EXACT(K13,"minor_presentation"),EXACT(K13,"non_inconsistency"),EXACT(K13,"indeterminate")))),AND(AND(D13="retain",E13="protocol_report"),L13&lt;&gt;"",NOT(OR(EXACT(L13,"substantive_difference"),EXACT(L13,"minor_presentation"),EXACT(L13,"version_timing"),EXACT(L13,"non_inconsistency"),EXACT(L13,"indeterminate"))))),"CHECK FIELDS",IF(AND(F13&lt;&gt;"",NOT(OR(EXACT(F13,"no"),EXACT(F13,"primary_done")))),"CHECK COMPLETE",IF(EXACT(F13,"primary_done"),"PRIMARY READY","PRIMARY DRAFT")))))),"CHECK INPUT / KEY")</f>
        <v/>
      </c>
      <c r="H13" s="21">
        <f>IF(AND(OR(D13="retain",D13=""),E13="statistical_results"),"","not_applicable")</f>
        <v/>
      </c>
      <c r="I13" s="21">
        <f>IF(AND(OR(D13="retain",D13=""),E13="statistical_results"),"","not_applicable")</f>
        <v/>
      </c>
      <c r="J13" s="22">
        <f>IF(AND(OR(D13="retain",D13=""),E13="statistical_results"),"","not_applicable")</f>
        <v/>
      </c>
      <c r="K13" s="21">
        <f>IF(AND(OR(D13="retain",D13=""),OR(E13="report_internal_inconsistency",E13="plan_material")),"","not_applicable")</f>
        <v/>
      </c>
      <c r="L13" s="22">
        <f>IF(AND(OR(D13="retain",D13=""),E13="protocol_report"),"","not_applicable")</f>
        <v/>
      </c>
      <c r="M13" s="24" t="n"/>
      <c r="N13" s="23" t="n"/>
      <c r="O13" s="23" t="n"/>
      <c r="P13" s="23" t="n"/>
      <c r="Q13" s="23" t="n"/>
      <c r="R13" s="22" t="n"/>
    </row>
    <row r="14" ht="92" customHeight="1" s="25">
      <c r="A14" s="20" t="inlineStr">
        <is>
          <t>2024::jama.2024.6063::C013</t>
        </is>
      </c>
      <c r="B14" s="20" t="inlineStr">
        <is>
          <t>WORMS smaller-one-unit percentages differ from their counts</t>
        </is>
      </c>
      <c r="C14" s="20" t="inlineStr">
        <is>
          <t>DOC-004 joi240048supp3_prod_1727199125.83025.pdf — p8 eTable 5 smaller-one-unit and totals.</t>
        </is>
      </c>
      <c r="D14" s="21" t="n"/>
      <c r="E14" s="21" t="inlineStr">
        <is>
          <t>statistical_results</t>
        </is>
      </c>
      <c r="F14" s="21" t="inlineStr">
        <is>
          <t>no</t>
        </is>
      </c>
      <c r="G14" s="20">
        <f>IFERROR(IF(LEN(TRIM(CLEAN(SUBSTITUTE(Setup!$B$2,CHAR(160)," "))))=0,"CHECK REVIEWER ID",IF(OR(A14="",COUNTIF($A$2:$A$14,A14)&lt;&gt;1,LEFT(A14,LEN("2024::jama.2024.6063::"))&lt;&gt;"2024::jama.2024.6063::"),"CHECK KEY",IF(OR(AND(NOT(AND(D14="retain",E14="statistical_results")),H14&lt;&gt;"",NOT(EXACT(H14,"not_applicable"))),AND(NOT(AND(D14="retain",E14="statistical_results")),I14&lt;&gt;"",NOT(EXACT(I14,"not_applicable"))),AND(NOT(AND(D14="retain",E14="statistical_results")),J14&lt;&gt;"",NOT(EXACT(J14,"not_applicable"))),AND(NOT(AND(D14="retain",OR(E14="report_internal_inconsistency",E14="plan_material"))),K14&lt;&gt;"",NOT(EXACT(K14,"not_applicable"))),AND(NOT(AND(D14="retain",E14="protocol_report")),L14&lt;&gt;"",NOT(EXACT(L14,"not_applicable")))),"CLEAR INACTIVE VALUES",IF(OR(NOT(OR(EXACT(D14,"retain"),EXACT(D14,"exclude"),EXACT(D14,"discuss"))),NOT(OR(EXACT(E14,"statistical_results"),EXACT(E14,"report_internal_inconsistency"),EXACT(E14,"plan_material"),EXACT(E14,"protocol_report"))),AND(AND(D14="retain",E14="statistical_results"),NOT(OR(EXACT(H14,"confirmed_issue"),EXACT(H14,"probable_issue"),EXACT(H14,"not_issue"),EXACT(H14,"indeterminate")))),AND(AND(D14="retain",E14="statistical_results"),NOT(OR(EXACT(I14,"substantive"),EXACT(I14,"minor_presentation"),EXACT(I14,"indeterminate")))),AND(AND(D14="retain",E14="statistical_results"),J14&lt;&gt;"",NOT(OR(EXACT(J14,"direct"),EXACT(J14,"possible"),EXACT(J14,"unlikely"),EXACT(J14,"unknown")))),AND(AND(D14="retain",OR(E14="report_internal_inconsistency",E14="plan_material")),NOT(OR(EXACT(K14,"substantive_inconsistency"),EXACT(K14,"minor_presentation"),EXACT(K14,"non_inconsistency"),EXACT(K14,"indeterminate")))),AND(AND(D14="retain",E14="protocol_report"),L14&lt;&gt;"",NOT(OR(EXACT(L14,"substantive_difference"),EXACT(L14,"minor_presentation"),EXACT(L14,"version_timing"),EXACT(L14,"non_inconsistency"),EXACT(L14,"indeterminate"))))),"CHECK FIELDS",IF(AND(F14&lt;&gt;"",NOT(OR(EXACT(F14,"no"),EXACT(F14,"primary_done")))),"CHECK COMPLETE",IF(EXACT(F14,"primary_done"),"PRIMARY READY","PRIMARY DRAFT")))))),"CHECK INPUT / KEY")</f>
        <v/>
      </c>
      <c r="H14" s="21">
        <f>IF(AND(OR(D14="retain",D14=""),E14="statistical_results"),"","not_applicable")</f>
        <v/>
      </c>
      <c r="I14" s="21">
        <f>IF(AND(OR(D14="retain",D14=""),E14="statistical_results"),"","not_applicable")</f>
        <v/>
      </c>
      <c r="J14" s="22">
        <f>IF(AND(OR(D14="retain",D14=""),E14="statistical_results"),"","not_applicable")</f>
        <v/>
      </c>
      <c r="K14" s="21">
        <f>IF(AND(OR(D14="retain",D14=""),OR(E14="report_internal_inconsistency",E14="plan_material")),"","not_applicable")</f>
        <v/>
      </c>
      <c r="L14" s="22">
        <f>IF(AND(OR(D14="retain",D14=""),E14="protocol_report"),"","not_applicable")</f>
        <v/>
      </c>
      <c r="M14" s="20" t="n"/>
      <c r="N14" s="23" t="n"/>
      <c r="O14" s="23" t="n"/>
      <c r="P14" s="23" t="n"/>
      <c r="Q14" s="23" t="n"/>
      <c r="R14" s="22" t="n"/>
    </row>
  </sheetData>
  <autoFilter ref="A1:R14"/>
  <conditionalFormatting sqref="H2:H14">
    <cfRule type="expression" priority="8" dxfId="70">
      <formula>NOT(AND(OR($D2="retain",$D2=""),$E2="statistical_results"))</formula>
    </cfRule>
  </conditionalFormatting>
  <conditionalFormatting sqref="I2:I14">
    <cfRule type="expression" priority="9" dxfId="70">
      <formula>NOT(AND(OR($D2="retain",$D2=""),$E2="statistical_results"))</formula>
    </cfRule>
  </conditionalFormatting>
  <conditionalFormatting sqref="J2:J14">
    <cfRule type="expression" priority="10" dxfId="70">
      <formula>NOT(AND(OR($D2="retain",$D2=""),$E2="statistical_results"))</formula>
    </cfRule>
  </conditionalFormatting>
  <conditionalFormatting sqref="K2:K14">
    <cfRule type="expression" priority="11" dxfId="70">
      <formula>NOT(AND(OR($D2="retain",$D2=""),OR($E2="report_internal_inconsistency",$E2="plan_material")))</formula>
    </cfRule>
  </conditionalFormatting>
  <conditionalFormatting sqref="L2:L14">
    <cfRule type="expression" priority="12" dxfId="70">
      <formula>NOT(AND(OR($D2="retain",$D2=""),$E2="protocol_report"))</formula>
    </cfRule>
  </conditionalFormatting>
  <conditionalFormatting sqref="G2:G14">
    <cfRule type="expression" priority="13" dxfId="71">
      <formula>G2&lt;&gt;"PRIMARY READY"</formula>
    </cfRule>
  </conditionalFormatting>
  <dataValidations count="8">
    <dataValidation sqref="D2:D14" showDropDown="0" showInputMessage="0" showErrorMessage="1" allowBlank="1" errorTitle="Use a listed option" error="Choose an option; G also checks pasted entries." type="list" errorStyle="stop">
      <formula1>"retain,exclude,discuss"</formula1>
    </dataValidation>
    <dataValidation sqref="E2:E14" showDropDown="0" showInputMessage="0" showErrorMessage="1" allowBlank="1" errorTitle="Use a listed option" error="Choose an option; G also checks pasted entries." type="list" errorStyle="stop">
      <formula1>"statistical_results,report_internal_inconsistency,plan_material,protocol_report"</formula1>
    </dataValidation>
    <dataValidation sqref="F2:F14" showDropDown="0" showInputMessage="0" showErrorMessage="1" allowBlank="1" errorTitle="Use a listed option" error="Choose an option; G also checks pasted entries." type="list" errorStyle="stop">
      <formula1>"no,primary_done"</formula1>
    </dataValidation>
    <dataValidation sqref="H2:H14" showDropDown="0" showInputMessage="0" showErrorMessage="1" allowBlank="1" errorTitle="Use a listed option" error="Choose an option; G also checks pasted entries." type="list" errorStyle="stop">
      <formula1>"confirmed_issue,probable_issue,not_issue,indeterminate,not_applicable"</formula1>
    </dataValidation>
    <dataValidation sqref="I2:I14" showDropDown="0" showInputMessage="0" showErrorMessage="1" allowBlank="1" errorTitle="Use a listed option" error="Choose an option; G also checks pasted entries." type="list" errorStyle="stop">
      <formula1>"substantive,minor_presentation,indeterminate,not_applicable"</formula1>
    </dataValidation>
    <dataValidation sqref="J2:J14" showDropDown="0" showInputMessage="0" showErrorMessage="1" allowBlank="1" errorTitle="Use a listed option" error="Choose an option; G also checks pasted entries." type="list" errorStyle="stop">
      <formula1>"direct,possible,unlikely,unknown,not_applicable"</formula1>
    </dataValidation>
    <dataValidation sqref="K2:K14" showDropDown="0" showInputMessage="0" showErrorMessage="1" allowBlank="1" errorTitle="Use a listed option" error="Choose an option; G also checks pasted entries." type="list" errorStyle="stop">
      <formula1>"substantive_inconsistency,minor_presentation,non_inconsistency,indeterminate,not_applicable"</formula1>
    </dataValidation>
    <dataValidation sqref="L2:L14" showDropDown="0" showInputMessage="0" showErrorMessage="1" allowBlank="1" errorTitle="Use a listed option" error="Choose an option; G also checks pasted entries." type="list" errorStyle="stop">
      <formula1>"substantive_difference,minor_presentation,version_timing,non_inconsistency,indeterminate,not_applicable"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tabSelected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14" min="1" max="1"/>
    <col width="30" customWidth="1" style="14" min="2" max="2"/>
    <col width="40" customWidth="1" style="14" min="3" max="3"/>
    <col width="96" customWidth="1" style="14" min="4" max="4"/>
    <col width="28" customWidth="1" style="14" min="5" max="5"/>
  </cols>
  <sheetData>
    <row r="1" ht="42" customFormat="1" customHeight="1" s="14">
      <c r="A1" s="15" t="inlineStr">
        <is>
          <t>Field name</t>
        </is>
      </c>
      <c r="B1" s="15" t="inlineStr">
        <is>
          <t>Option / value</t>
        </is>
      </c>
      <c r="C1" s="15" t="inlineStr">
        <is>
          <t>Requirement / scope</t>
        </is>
      </c>
      <c r="D1" s="15" t="inlineStr">
        <is>
          <t>Explanation and example</t>
        </is>
      </c>
      <c r="E1" s="15" t="inlineStr">
        <is>
          <t>Internal key</t>
        </is>
      </c>
    </row>
    <row r="2" ht="100" customFormat="1" customHeight="1" s="14">
      <c r="A2" s="16" t="inlineStr">
        <is>
          <t>Working method</t>
        </is>
      </c>
      <c r="B2" s="16" t="inlineStr">
        <is>
          <t>GUIDE</t>
        </is>
      </c>
      <c r="C2" s="16" t="inlineStr">
        <is>
          <t>Independent primary</t>
        </is>
      </c>
      <c r="D2" s="16" t="inlineStr">
        <is>
          <t>Blank means no answer, never inherited. Clear obsolete literal answers after branch changes. not_applicable means inactive.</t>
        </is>
      </c>
      <c r="E2" s="16" t="n"/>
    </row>
    <row r="3" ht="100" customFormat="1" customHeight="1" s="14">
      <c r="A3" s="17" t="inlineStr">
        <is>
          <t>Required judgments</t>
        </is>
      </c>
      <c r="B3" s="17" t="inlineStr">
        <is>
          <t>GUIDE</t>
        </is>
      </c>
      <c r="C3" s="17" t="inlineStr">
        <is>
          <t>Retain only</t>
        </is>
      </c>
      <c r="D3" s="17" t="inlineStr">
        <is>
          <t>statistical_results: issue + substantiveness; report_internal_inconsistency or plan_material: internalStatus. protocol_report: no extra required judgment; interpretation is optional.</t>
        </is>
      </c>
      <c r="E3" s="17" t="n"/>
    </row>
    <row r="4" ht="100" customFormat="1" customHeight="1" s="14">
      <c r="A4" s="16" t="inlineStr">
        <is>
          <t>How to read this Codebook</t>
        </is>
      </c>
      <c r="B4" s="16" t="n"/>
      <c r="C4" s="16" t="n"/>
      <c r="D4" s="16" t="n"/>
      <c r="E4" s="16" t="n"/>
    </row>
    <row r="5" ht="100" customFormat="1" customHeight="1" s="14">
      <c r="A5" s="17" t="inlineStr">
        <is>
          <t>1  |  Common decisions and optional notes</t>
        </is>
      </c>
      <c r="B5" s="17" t="n"/>
      <c r="C5" s="17" t="n"/>
      <c r="D5" s="17" t="n"/>
      <c r="E5" s="17" t="n"/>
    </row>
    <row r="6" ht="100" customFormat="1" customHeight="1" s="14">
      <c r="A6" s="16" t="inlineStr">
        <is>
          <t>Disposition</t>
        </is>
      </c>
      <c r="B6" s="16" t="inlineStr">
        <is>
          <t>FIELD</t>
        </is>
      </c>
      <c r="C6" s="16" t="inlineStr">
        <is>
          <t>Required; all domains</t>
        </is>
      </c>
      <c r="D6" s="16" t="inlineStr">
        <is>
          <t>Keep, exclude, or defer for discussion. Blank means untouched, not discuss. No AI disposition is preselected.</t>
        </is>
      </c>
      <c r="E6" s="16" t="inlineStr">
        <is>
          <t>disposition</t>
        </is>
      </c>
    </row>
    <row r="7" ht="100" customFormat="1" customHeight="1" s="14">
      <c r="A7" s="17" t="n"/>
      <c r="B7" s="17" t="inlineStr">
        <is>
          <t>retain</t>
        </is>
      </c>
      <c r="C7" s="17" t="inlineStr">
        <is>
          <t>Option</t>
        </is>
      </c>
      <c r="D7" s="17" t="inlineStr">
        <is>
          <t>Retain candidate. After human review, keep this finding in the applicable review results; retaining a protocol discrepancy does not automatically confirm an issue.</t>
        </is>
      </c>
      <c r="E7" s="17" t="n"/>
    </row>
    <row r="8" ht="100" customFormat="1" customHeight="1" s="14">
      <c r="A8" s="16" t="n"/>
      <c r="B8" s="16" t="inlineStr">
        <is>
          <t>exclude</t>
        </is>
      </c>
      <c r="C8" s="16" t="inlineStr">
        <is>
          <t>Option</t>
        </is>
      </c>
      <c r="D8" s="16" t="inlineStr">
        <is>
          <t>Do not retain. The candidate has been assessed and should not remain as a finding, for example because the apparent mismatch has a satisfactory explanation.</t>
        </is>
      </c>
      <c r="E8" s="16" t="n"/>
    </row>
    <row r="9" ht="100" customFormat="1" customHeight="1" s="14">
      <c r="A9" s="17" t="n"/>
      <c r="B9" s="17" t="inlineStr">
        <is>
          <t>discuss</t>
        </is>
      </c>
      <c r="C9" s="17" t="inlineStr">
        <is>
          <t>Option</t>
        </is>
      </c>
      <c r="D9" s="17" t="inlineStr">
        <is>
          <t>Needs discussion. The reviewer has considered the candidate but cannot settle the disposition without further discussion. This is a decision to defer, not an untouched blank.</t>
        </is>
      </c>
      <c r="E9" s="17" t="n"/>
    </row>
    <row r="10" ht="100" customFormat="1" customHeight="1" s="14">
      <c r="A10" s="16" t="inlineStr">
        <is>
          <t>Review domain</t>
        </is>
      </c>
      <c r="B10" s="16" t="inlineStr">
        <is>
          <t>FIELD</t>
        </is>
      </c>
      <c r="C10" s="16" t="inlineStr">
        <is>
          <t>Required; all domains</t>
        </is>
      </c>
      <c r="D10" s="16" t="inlineStr">
        <is>
          <t>Choose the assessment branch first. It controls automatic not_applicable defaults and which judgments are required. All four choices are available; the frozen document relationship code does not change.</t>
        </is>
      </c>
      <c r="E10" s="16" t="inlineStr">
        <is>
          <t>domain</t>
        </is>
      </c>
    </row>
    <row r="11" ht="100" customFormat="1" customHeight="1" s="14">
      <c r="A11" s="17" t="n"/>
      <c r="B11" s="17" t="inlineStr">
        <is>
          <t>statistical_results</t>
        </is>
      </c>
      <c r="C11" s="17" t="inlineStr">
        <is>
          <t>Option</t>
        </is>
      </c>
      <c r="D11" s="17" t="inlineStr">
        <is>
          <t>Statistical results (S_C / S_W). Assess reported numbers, estimates, intervals, denominators or statistical claims in the current report materials.</t>
        </is>
      </c>
      <c r="E11" s="17" t="n"/>
    </row>
    <row r="12" ht="100" customFormat="1" customHeight="1" s="14">
      <c r="A12" s="16" t="n"/>
      <c r="B12" s="16" t="inlineStr">
        <is>
          <t>report_internal_inconsistency</t>
        </is>
      </c>
      <c r="C12" s="16" t="inlineStr">
        <is>
          <t>Option</t>
        </is>
      </c>
      <c r="D12" s="16" t="inlineStr">
        <is>
          <t>Report internal inconsistency (S_C / S_W). Assess inconsistencies within the main paper, within the updated supplement, or between the main paper and updated supplement. The name describes the report materials being compared; it is not restricted to nonstatistical content. Use statistical_results when specifically judging a statistical or numerical reporting issue.</t>
        </is>
      </c>
      <c r="E12" s="16" t="n"/>
    </row>
    <row r="13" ht="100" customFormat="1" customHeight="1" s="14">
      <c r="A13" s="17" t="n"/>
      <c r="B13" s="17" t="inlineStr">
        <is>
          <t>protocol_report</t>
        </is>
      </c>
      <c r="C13" s="17" t="inlineStr">
        <is>
          <t>Option</t>
        </is>
      </c>
      <c r="D13" s="17" t="inlineStr">
        <is>
          <t>Protocol-report (P_R). Assess whether planned and reported conduct or analyses meaningfully differ, using the compared materials. No search for acknowledgment or reasons for changes is required.</t>
        </is>
      </c>
      <c r="E13" s="17" t="n"/>
    </row>
    <row r="14" ht="100" customFormat="1" customHeight="1" s="14">
      <c r="A14" s="16" t="n"/>
      <c r="B14" s="16" t="inlineStr">
        <is>
          <t>plan_material</t>
        </is>
      </c>
      <c r="C14" s="16" t="inlineStr">
        <is>
          <t>Option</t>
        </is>
      </c>
      <c r="D14" s="16" t="inlineStr">
        <is>
          <t>Plan material (P_P). Assess an inconsistency involving planning materials themselves rather than a planned-versus-reported result. The original relationship code remains unchanged.</t>
        </is>
      </c>
      <c r="E14" s="16" t="n"/>
    </row>
    <row r="15" ht="100" customFormat="1" customHeight="1" s="14">
      <c r="A15" s="17" t="inlineStr">
        <is>
          <t>Complete</t>
        </is>
      </c>
      <c r="B15" s="17" t="inlineStr">
        <is>
          <t>FIELD</t>
        </is>
      </c>
      <c r="C15" s="17" t="inlineStr">
        <is>
          <t>Independent primary</t>
        </is>
      </c>
      <c r="D15" s="17" t="inlineStr">
        <is>
          <t>Use no while drafting; primary_done after manual review. Reset to no before editing a completed row, review again, then mark primary_done.</t>
        </is>
      </c>
      <c r="E15" s="17" t="inlineStr">
        <is>
          <t>reviewComplete</t>
        </is>
      </c>
    </row>
    <row r="16" ht="100" customFormat="1" customHeight="1" s="14">
      <c r="A16" s="16" t="n"/>
      <c r="B16" s="16" t="inlineStr">
        <is>
          <t>no</t>
        </is>
      </c>
      <c r="C16" s="16" t="inlineStr">
        <is>
          <t>Option</t>
        </is>
      </c>
      <c r="D16" s="16" t="inlineStr">
        <is>
          <t>Draft. This review stage is not yet confirmed complete; AI suggestions or partially filled fields do not count as completed human review.</t>
        </is>
      </c>
      <c r="E16" s="16" t="n"/>
    </row>
    <row r="17" ht="100" customFormat="1" customHeight="1" s="14">
      <c r="A17" s="17" t="inlineStr">
        <is>
          <t>Validation hint</t>
        </is>
      </c>
      <c r="B17" s="17" t="inlineStr">
        <is>
          <t>FIELD</t>
        </is>
      </c>
      <c r="C17" s="17" t="inlineStr">
        <is>
          <t>Calculated</t>
        </is>
      </c>
      <c r="D17" s="17" t="inlineStr">
        <is>
          <t>PRIMARY READY means valid independent primary entry and manual completion, including discuss. Other hints identify missing or invalid input. This does not establish scientific accuracy.</t>
        </is>
      </c>
      <c r="E17" s="17" t="inlineStr">
        <is>
          <t>readiness</t>
        </is>
      </c>
    </row>
    <row r="18" ht="100" customFormat="1" customHeight="1" s="14">
      <c r="A18" s="16" t="inlineStr">
        <is>
          <t>Notes (optional)</t>
        </is>
      </c>
      <c r="B18" s="16" t="inlineStr">
        <is>
          <t>FIELD</t>
        </is>
      </c>
      <c r="C18" s="16" t="inlineStr">
        <is>
          <t>Optional</t>
        </is>
      </c>
      <c r="D18" s="16" t="inlineStr">
        <is>
          <t>Optional English context. Clearing removes the text; no inheritance and no control words.</t>
        </is>
      </c>
      <c r="E18" s="16" t="inlineStr">
        <is>
          <t>notes</t>
        </is>
      </c>
    </row>
    <row r="19" ht="100" customFormat="1" customHeight="1" s="14">
      <c r="A19" s="17" t="inlineStr">
        <is>
          <t>2  |  Statistical results: two required judgments</t>
        </is>
      </c>
      <c r="B19" s="17" t="n"/>
      <c r="C19" s="17" t="n"/>
      <c r="D19" s="17" t="n"/>
      <c r="E19" s="17" t="n"/>
    </row>
    <row r="20" ht="100" customFormat="1" customHeight="1" s="14">
      <c r="A20" s="16" t="inlineStr">
        <is>
          <t>Statistical_or_numerical issue</t>
        </is>
      </c>
      <c r="B20" s="16" t="inlineStr">
        <is>
          <t>FIELD</t>
        </is>
      </c>
      <c r="C20" s="16" t="inlineStr">
        <is>
          <t>Required; retained statistical_results</t>
        </is>
      </c>
      <c r="D20" s="16" t="inlineStr">
        <is>
          <t>Does a statistical or numerical reporting issue exist? Example: a reported percentage conflicts with its stated numerator and denominator after checking definitions. Certainty is separate from importance.</t>
        </is>
      </c>
      <c r="E20" s="16" t="inlineStr">
        <is>
          <t>statisticalIssueStatus</t>
        </is>
      </c>
    </row>
    <row r="21" ht="100" customFormat="1" customHeight="1" s="14">
      <c r="A21" s="17" t="n"/>
      <c r="B21" s="17" t="inlineStr">
        <is>
          <t>confirmed_issue</t>
        </is>
      </c>
      <c r="C21" s="17" t="inlineStr">
        <is>
          <t>Option</t>
        </is>
      </c>
      <c r="D21" s="17" t="inlineStr">
        <is>
          <t>Confirmed statistical or numerical reporting issue. The available evidence establishes a reporting issue or contradiction, even if the correct replacement value is not known.</t>
        </is>
      </c>
      <c r="E21" s="17" t="n"/>
    </row>
    <row r="22" ht="100" customFormat="1" customHeight="1" s="14">
      <c r="A22" s="16" t="n"/>
      <c r="B22" s="16" t="inlineStr">
        <is>
          <t>probable_issue</t>
        </is>
      </c>
      <c r="C22" s="16" t="inlineStr">
        <is>
          <t>Option</t>
        </is>
      </c>
      <c r="D22" s="16" t="inlineStr">
        <is>
          <t>Probable statistical or numerical reporting issue. The evidence favors a reporting issue, but an unresolved limitation or plausible alternative prevents confirmation.</t>
        </is>
      </c>
      <c r="E22" s="16" t="n"/>
    </row>
    <row r="23" ht="100" customFormat="1" customHeight="1" s="14">
      <c r="A23" s="17" t="n"/>
      <c r="B23" s="17" t="inlineStr">
        <is>
          <t>not_issue</t>
        </is>
      </c>
      <c r="C23" s="17" t="inlineStr">
        <is>
          <t>Option</t>
        </is>
      </c>
      <c r="D23" s="17" t="inlineStr">
        <is>
          <t>Not a statistical or numerical issue. The apparent discrepancy is consistent with a valid calculation, definition, analysis method or reporting context.</t>
        </is>
      </c>
      <c r="E23" s="17" t="n"/>
    </row>
    <row r="24" ht="100" customFormat="1" customHeight="1" s="14">
      <c r="A24" s="16" t="n"/>
      <c r="B24" s="16" t="inlineStr">
        <is>
          <t>indeterminate</t>
        </is>
      </c>
      <c r="C24" s="16" t="inlineStr">
        <is>
          <t>Option</t>
        </is>
      </c>
      <c r="D24" s="16" t="inlineStr">
        <is>
          <t>Indeterminate. The available evidence does not support deciding whether a statistical or numerical reporting issue exists; neither confirmation nor dismissal is justified.</t>
        </is>
      </c>
      <c r="E24" s="16" t="n"/>
    </row>
    <row r="25" ht="100" customFormat="1" customHeight="1" s="14">
      <c r="A25" s="17" t="n"/>
      <c r="B25" s="17" t="inlineStr">
        <is>
          <t>not_applicable</t>
        </is>
      </c>
      <c r="C25" s="17" t="inlineStr">
        <is>
          <t>Option</t>
        </is>
      </c>
      <c r="D25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25" s="17" t="n"/>
    </row>
    <row r="26" ht="100" customFormat="1" customHeight="1" s="14">
      <c r="A26" s="16" t="inlineStr">
        <is>
          <t>Substantiveness</t>
        </is>
      </c>
      <c r="B26" s="16" t="inlineStr">
        <is>
          <t>FIELD</t>
        </is>
      </c>
      <c r="C26" s="16" t="inlineStr">
        <is>
          <t>Required; retained statistical_results</t>
        </is>
      </c>
      <c r="D26" s="16" t="inlineStr">
        <is>
          <t>Could the issue meaningfully affect interpretation or data use? A harmless spacing typo is minor_presentation; an ambiguous extractable effect estimate may be substantive. An issue can be confirmed yet minor.</t>
        </is>
      </c>
      <c r="E26" s="16" t="inlineStr">
        <is>
          <t>substantiveStatus</t>
        </is>
      </c>
    </row>
    <row r="27" ht="100" customFormat="1" customHeight="1" s="14">
      <c r="A27" s="17" t="n"/>
      <c r="B27" s="17" t="inlineStr">
        <is>
          <t>substantive</t>
        </is>
      </c>
      <c r="C27" s="17" t="inlineStr">
        <is>
          <t>Option</t>
        </is>
      </c>
      <c r="D27" s="17" t="inlineStr">
        <is>
          <t>Substantive. The issue could meaningfully change interpretation, data extraction or downstream analysis, rather than only the presentation of the result.</t>
        </is>
      </c>
      <c r="E27" s="17" t="n"/>
    </row>
    <row r="28" ht="100" customFormat="1" customHeight="1" s="14">
      <c r="A28" s="16" t="n"/>
      <c r="B28" s="16" t="inlineStr">
        <is>
          <t>minor_presentation</t>
        </is>
      </c>
      <c r="C28" s="16" t="inlineStr">
        <is>
          <t>Option</t>
        </is>
      </c>
      <c r="D28" s="16" t="inlineStr">
        <is>
          <t>Minor or presentation only. The intended result remains clear and the issue is a small formatting, labeling or typographic problem without a meaningful change in interpretation.</t>
        </is>
      </c>
      <c r="E28" s="16" t="n"/>
    </row>
    <row r="29" ht="100" customFormat="1" customHeight="1" s="14">
      <c r="A29" s="17" t="n"/>
      <c r="B29" s="17" t="inlineStr">
        <is>
          <t>indeterminate</t>
        </is>
      </c>
      <c r="C29" s="17" t="inlineStr">
        <is>
          <t>Option</t>
        </is>
      </c>
      <c r="D29" s="17" t="inlineStr">
        <is>
          <t>Indeterminate. There is not enough information to decide whether the issue is substantive or limited to presentation.</t>
        </is>
      </c>
      <c r="E29" s="17" t="n"/>
    </row>
    <row r="30" ht="100" customFormat="1" customHeight="1" s="14">
      <c r="A30" s="16" t="n"/>
      <c r="B30" s="16" t="inlineStr">
        <is>
          <t>not_applicable</t>
        </is>
      </c>
      <c r="C30" s="16" t="inlineStr">
        <is>
          <t>Option</t>
        </is>
      </c>
      <c r="D30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0" s="16" t="n"/>
    </row>
    <row r="31" ht="100" customFormat="1" customHeight="1" s="14">
      <c r="A31" s="17" t="inlineStr">
        <is>
          <t>Downstream impact</t>
        </is>
      </c>
      <c r="B31" s="17" t="inlineStr">
        <is>
          <t>FIELD</t>
        </is>
      </c>
      <c r="C31" s="17" t="inlineStr">
        <is>
          <t>Optional; retained statistical_results</t>
        </is>
      </c>
      <c r="D31" s="17" t="inlineStr">
        <is>
          <t>Add only useful information about later extraction or analysis. direct means the affected value itself may be extracted, not that harm has occurred. Blank is allowed and means not assessed; it is not unlikely or not_applicable. This field does not determine temporal eligibility.</t>
        </is>
      </c>
      <c r="E31" s="17" t="inlineStr">
        <is>
          <t>downstreamImpact</t>
        </is>
      </c>
    </row>
    <row r="32" ht="100" customFormat="1" customHeight="1" s="14">
      <c r="A32" s="16" t="n"/>
      <c r="B32" s="16" t="inlineStr">
        <is>
          <t>direct</t>
        </is>
      </c>
      <c r="C32" s="16" t="inlineStr">
        <is>
          <t>Option</t>
        </is>
      </c>
      <c r="D32" s="16" t="inlineStr">
        <is>
          <t>Direct extraction or analysis impact. The affected value or definition is itself an input to data extraction or subsequent analysis; this describes potential impact, not proven downstream harm.</t>
        </is>
      </c>
      <c r="E32" s="16" t="n"/>
    </row>
    <row r="33" ht="100" customFormat="1" customHeight="1" s="14">
      <c r="A33" s="17" t="n"/>
      <c r="B33" s="17" t="inlineStr">
        <is>
          <t>possible</t>
        </is>
      </c>
      <c r="C33" s="17" t="inlineStr">
        <is>
          <t>Option</t>
        </is>
      </c>
      <c r="D33" s="17" t="inlineStr">
        <is>
          <t>Possible downstream impact. A plausible route to affecting later interpretation, extraction or analysis exists, but the connection is indirect or uncertain.</t>
        </is>
      </c>
      <c r="E33" s="17" t="n"/>
    </row>
    <row r="34" ht="100" customFormat="1" customHeight="1" s="14">
      <c r="A34" s="16" t="n"/>
      <c r="B34" s="16" t="inlineStr">
        <is>
          <t>unlikely</t>
        </is>
      </c>
      <c r="C34" s="16" t="inlineStr">
        <is>
          <t>Option</t>
        </is>
      </c>
      <c r="D34" s="16" t="inlineStr">
        <is>
          <t>Unlikely downstream impact. The issue is unlikely to change extracted information or later analysis because the relevant result remains clear and usable.</t>
        </is>
      </c>
      <c r="E34" s="16" t="n"/>
    </row>
    <row r="35" ht="100" customFormat="1" customHeight="1" s="14">
      <c r="A35" s="17" t="n"/>
      <c r="B35" s="17" t="inlineStr">
        <is>
          <t>unknown</t>
        </is>
      </c>
      <c r="C35" s="17" t="inlineStr">
        <is>
          <t>Option</t>
        </is>
      </c>
      <c r="D35" s="17" t="inlineStr">
        <is>
          <t>Unable to assess. The materials do not establish enough about the affected information or its likely use to judge downstream impact.</t>
        </is>
      </c>
      <c r="E35" s="17" t="n"/>
    </row>
    <row r="36" ht="100" customFormat="1" customHeight="1" s="14">
      <c r="A36" s="16" t="n"/>
      <c r="B36" s="16" t="inlineStr">
        <is>
          <t>not_applicable</t>
        </is>
      </c>
      <c r="C36" s="16" t="inlineStr">
        <is>
          <t>Option</t>
        </is>
      </c>
      <c r="D36" s="16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36" s="16" t="n"/>
    </row>
    <row r="37" ht="100" customFormat="1" customHeight="1" s="14">
      <c r="A37" s="17" t="inlineStr">
        <is>
          <t>3  |  Report internal or planning-material inconsistency</t>
        </is>
      </c>
      <c r="B37" s="17" t="n"/>
      <c r="C37" s="17" t="n"/>
      <c r="D37" s="17" t="n"/>
      <c r="E37" s="17" t="n"/>
    </row>
    <row r="38" ht="100" customFormat="1" customHeight="1" s="14">
      <c r="A38" s="16" t="inlineStr">
        <is>
          <t>Report-internal or planning-material inconsistency</t>
        </is>
      </c>
      <c r="B38" s="16" t="inlineStr">
        <is>
          <t>FIELD</t>
        </is>
      </c>
      <c r="C38" s="16" t="inlineStr">
        <is>
          <t>Required; retained report_internal_inconsistency or plan_material</t>
        </is>
      </c>
      <c r="D38" s="16" t="inlineStr">
        <is>
          <t>Judge whether the compared materials are inconsistent and how much that matters. For report_internal_inconsistency, compare content within the main paper, within the updated supplement, or between those two report materials. For plan_material, compare planning materials such as protocol versus protocol or SAP. Plan versus final report belongs to protocol_report. Use statistical_results when specifically judging a statistical or numerical reporting issue.</t>
        </is>
      </c>
      <c r="E38" s="16" t="inlineStr">
        <is>
          <t>internalStatus</t>
        </is>
      </c>
    </row>
    <row r="39" ht="100" customFormat="1" customHeight="1" s="14">
      <c r="A39" s="17" t="n"/>
      <c r="B39" s="17" t="inlineStr">
        <is>
          <t>substantive_inconsistency</t>
        </is>
      </c>
      <c r="C39" s="17" t="inlineStr">
        <is>
          <t>Option</t>
        </is>
      </c>
      <c r="D39" s="17" t="inlineStr">
        <is>
          <t>Substantive inconsistency. Conflicting statements, values, labels, or descriptions in the compared report or planning materials could materially change how the study, population, procedures or results are understood.</t>
        </is>
      </c>
      <c r="E39" s="17" t="n"/>
    </row>
    <row r="40" ht="100" customFormat="1" customHeight="1" s="14">
      <c r="A40" s="16" t="n"/>
      <c r="B40" s="16" t="inlineStr">
        <is>
          <t>minor_presentation</t>
        </is>
      </c>
      <c r="C40" s="16" t="inlineStr">
        <is>
          <t>Option</t>
        </is>
      </c>
      <c r="D40" s="16" t="inlineStr">
        <is>
          <t>Minor presentation inconsistency. A real discrepancy exists, but it mainly affects presentation, including minor wording or labeling problems, and the intended meaning remains clear. Example: an imprecise label whose intended meaning is clear from context.</t>
        </is>
      </c>
      <c r="E40" s="16" t="n"/>
    </row>
    <row r="41" ht="100" customFormat="1" customHeight="1" s="14">
      <c r="A41" s="17" t="n"/>
      <c r="B41" s="17" t="inlineStr">
        <is>
          <t>non_inconsistency</t>
        </is>
      </c>
      <c r="C41" s="17" t="inlineStr">
        <is>
          <t>Option</t>
        </is>
      </c>
      <c r="D41" s="17" t="inlineStr">
        <is>
          <t>Not an inconsistency. The statements are compatible once their definitions, populations, time points or other context are taken into account. This includes different wording with the same substantive meaning. Example: participants and study participants refer to the same group.</t>
        </is>
      </c>
      <c r="E41" s="17" t="n"/>
    </row>
    <row r="42" ht="100" customFormat="1" customHeight="1" s="14">
      <c r="A42" s="16" t="n"/>
      <c r="B42" s="16" t="inlineStr">
        <is>
          <t>indeterminate</t>
        </is>
      </c>
      <c r="C42" s="16" t="inlineStr">
        <is>
          <t>Option</t>
        </is>
      </c>
      <c r="D42" s="16" t="inlineStr">
        <is>
          <t>Indeterminate. The available material is insufficient to establish whether the statements conflict or how important any conflict is.</t>
        </is>
      </c>
      <c r="E42" s="16" t="n"/>
    </row>
    <row r="43" ht="100" customFormat="1" customHeight="1" s="14">
      <c r="A43" s="17" t="n"/>
      <c r="B43" s="17" t="inlineStr">
        <is>
          <t>not_applicable</t>
        </is>
      </c>
      <c r="C43" s="17" t="inlineStr">
        <is>
          <t>Option</t>
        </is>
      </c>
      <c r="D43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43" s="17" t="n"/>
    </row>
    <row r="44" ht="100" customFormat="1" customHeight="1" s="14">
      <c r="A44" s="16" t="inlineStr">
        <is>
          <t>4  |  Protocol versus report: optional description only</t>
        </is>
      </c>
      <c r="B44" s="16" t="n"/>
      <c r="C44" s="16" t="n"/>
      <c r="D44" s="16" t="n"/>
      <c r="E44" s="16" t="n"/>
    </row>
    <row r="45" ht="100" customFormat="1" customHeight="1" s="14">
      <c r="A45" s="17" t="inlineStr">
        <is>
          <t>Protocol interpretation</t>
        </is>
      </c>
      <c r="B45" s="17" t="inlineStr">
        <is>
          <t>FIELD</t>
        </is>
      </c>
      <c r="C45" s="17" t="inlineStr">
        <is>
          <t>Optional; retained protocol_report</t>
        </is>
      </c>
      <c r="D45" s="17" t="inlineStr">
        <is>
          <t>Describe the compared plan and report only when useful: meaningful difference, minor presentation issue, version/timing ambiguity, no inconsistency, or indeterminate. Use minor_presentation for a small wording problem and non_inconsistency for equivalent wording with no actual conflict. Use the available comparison evidence; no additional search for change records or reasons is required. Blank is allowed and never blocks completion. Retained protocol differences are descriptive and excluded from temporal analysis.</t>
        </is>
      </c>
      <c r="E45" s="17" t="inlineStr">
        <is>
          <t>protocolInterpretation</t>
        </is>
      </c>
    </row>
    <row r="46" ht="100" customFormat="1" customHeight="1" s="14">
      <c r="A46" s="16" t="n"/>
      <c r="B46" s="16" t="inlineStr">
        <is>
          <t>substantive_difference</t>
        </is>
      </c>
      <c r="C46" s="16" t="inlineStr">
        <is>
          <t>Option</t>
        </is>
      </c>
      <c r="D46" s="16" t="inlineStr">
        <is>
          <t>Substantive difference. The compared plan and report meaningfully differ in an outcome, population, procedure, or analysis. This describes the difference; it does not establish an issue or an unjustified change. Example: the planned primary time point is 12 months but the report uses 6 months.</t>
        </is>
      </c>
      <c r="E46" s="16" t="n"/>
    </row>
    <row r="47" ht="100" customFormat="1" customHeight="1" s="14">
      <c r="A47" s="17" t="n"/>
      <c r="B47" s="17" t="inlineStr">
        <is>
          <t>minor_presentation</t>
        </is>
      </c>
      <c r="C47" s="17" t="inlineStr">
        <is>
          <t>Option</t>
        </is>
      </c>
      <c r="D47" s="17" t="inlineStr">
        <is>
          <t>Minor presentation difference. A minor wording, labeling or presentation problem exists, but the intended planned and reported meaning or conduct remains clear. Example: an imprecise outcome label clarified by the same definition in both documents.</t>
        </is>
      </c>
      <c r="E47" s="17" t="n"/>
    </row>
    <row r="48" ht="100" customFormat="1" customHeight="1" s="14">
      <c r="A48" s="16" t="n"/>
      <c r="B48" s="16" t="inlineStr">
        <is>
          <t>version_timing</t>
        </is>
      </c>
      <c r="C48" s="16" t="inlineStr">
        <is>
          <t>Option</t>
        </is>
      </c>
      <c r="D48" s="16" t="inlineStr">
        <is>
          <t>Version or timing ambiguity. The difference may reflect which protocol version or date is being compared; the sequence cannot be resolved from the available material.</t>
        </is>
      </c>
      <c r="E48" s="16" t="n"/>
    </row>
    <row r="49" ht="100" customFormat="1" customHeight="1" s="14">
      <c r="A49" s="17" t="n"/>
      <c r="B49" s="17" t="inlineStr">
        <is>
          <t>non_inconsistency</t>
        </is>
      </c>
      <c r="C49" s="17" t="inlineStr">
        <is>
          <t>Option</t>
        </is>
      </c>
      <c r="D49" s="17" t="inlineStr">
        <is>
          <t>No inconsistency. The compared statements are compatible after checking the population, definitions, time points, or context, including equivalent wording with no change in meaning or conduct. Example: week 12 and 12 weeks after baseline describe the same time point. Normally consider Disposition=exclude for this candidate.</t>
        </is>
      </c>
      <c r="E49" s="17" t="n"/>
    </row>
    <row r="50" ht="100" customFormat="1" customHeight="1" s="14">
      <c r="A50" s="16" t="n"/>
      <c r="B50" s="16" t="inlineStr">
        <is>
          <t>indeterminate</t>
        </is>
      </c>
      <c r="C50" s="16" t="inlineStr">
        <is>
          <t>Option</t>
        </is>
      </c>
      <c r="D50" s="16" t="inlineStr">
        <is>
          <t>Indeterminate. The available evidence cannot support a more specific interpretation of the planned-versus-reported difference.</t>
        </is>
      </c>
      <c r="E50" s="16" t="n"/>
    </row>
    <row r="51" ht="100" customFormat="1" customHeight="1" s="14">
      <c r="A51" s="17" t="n"/>
      <c r="B51" s="17" t="inlineStr">
        <is>
          <t>not_applicable</t>
        </is>
      </c>
      <c r="C51" s="17" t="inlineStr">
        <is>
          <t>Option</t>
        </is>
      </c>
      <c r="D51" s="17" t="inlineStr">
        <is>
          <t>Automatic default outside this field's review domain or for a non-retained candidate. It is not an issue verdict, missing evidence, or an unanswered applicable question. Do not choose it for an applicable field.</t>
        </is>
      </c>
      <c r="E51" s="17" t="n"/>
    </row>
    <row r="52" ht="100" customFormat="1" customHeight="1" s="14">
      <c r="A52" s="16" t="inlineStr">
        <is>
          <t>5  |  Candidate context</t>
        </is>
      </c>
      <c r="B52" s="16" t="n"/>
      <c r="C52" s="16" t="n"/>
      <c r="D52" s="16" t="n"/>
      <c r="E52" s="16" t="n"/>
    </row>
    <row r="53" ht="100" customFormat="1" customHeight="1" s="14">
      <c r="A53" s="17" t="inlineStr">
        <is>
          <t>Candidate key</t>
        </is>
      </c>
      <c r="B53" s="17" t="inlineStr">
        <is>
          <t>FIELD</t>
        </is>
      </c>
      <c r="C53" s="17" t="inlineStr">
        <is>
          <t>Reference</t>
        </is>
      </c>
      <c r="D53" s="17" t="inlineStr">
        <is>
          <t>Unique candidate identity used for matching, even after complete rows are reordered. Never edit this value.</t>
        </is>
      </c>
      <c r="E53" s="17" t="inlineStr">
        <is>
          <t>key</t>
        </is>
      </c>
    </row>
    <row r="54" ht="100" customFormat="1" customHeight="1" s="14">
      <c r="A54" s="16" t="inlineStr">
        <is>
          <t>Candidate title</t>
        </is>
      </c>
      <c r="B54" s="16" t="inlineStr">
        <is>
          <t>FIELD</t>
        </is>
      </c>
      <c r="C54" s="16" t="inlineStr">
        <is>
          <t>Reference</t>
        </is>
      </c>
      <c r="D54" s="16" t="inlineStr">
        <is>
          <t>Short candidate title. A candidate is an AI flag for human assessment, not a confirmed issue.</t>
        </is>
      </c>
      <c r="E54" s="16" t="inlineStr">
        <is>
          <t>title</t>
        </is>
      </c>
    </row>
    <row r="55" ht="100" customFormat="1" customHeight="1" s="14">
      <c r="A55" s="17" t="inlineStr">
        <is>
          <t>Source location</t>
        </is>
      </c>
      <c r="B55" s="17" t="inlineStr">
        <is>
          <t>FIELD</t>
        </is>
      </c>
      <c r="C55" s="17" t="inlineStr">
        <is>
          <t>Source reference</t>
        </is>
      </c>
      <c r="D55" s="17" t="inlineStr">
        <is>
          <t>Where to check the source claim. Open the original documents named here (file and PDF page).</t>
        </is>
      </c>
      <c r="E55" s="17" t="inlineStr">
        <is>
          <t>locations</t>
        </is>
      </c>
    </row>
    <row r="56" ht="100" customFormat="1" customHeight="1" s="14">
      <c r="A56" s="16" t="inlineStr">
        <is>
          <t>Complete</t>
        </is>
      </c>
      <c r="B56" s="16" t="inlineStr">
        <is>
          <t>primary_done</t>
        </is>
      </c>
      <c r="C56" s="16" t="inlineStr">
        <is>
          <t>Independent primary</t>
        </is>
      </c>
      <c r="D56" s="16" t="inlineStr">
        <is>
          <t>Use no while drafting; primary_done after manual review. Reset to no before editing a completed row, review again, then mark primary_done.</t>
        </is>
      </c>
      <c r="E56" s="16" t="inlineStr">
        <is>
          <t>reviewComplete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2026-09-19T05:14:09Z</dcterms:created>
  <dcterms:modified xsi:type="dcterms:W3CDTF">2026-10-11T18:23:50Z</dcterms:modified>
</cp:coreProperties>
</file>