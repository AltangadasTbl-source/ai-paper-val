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 name="_Primary" sheetId="20" state="veryHidden" r:id="rId20"/>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24_0318_key">'_Primary'!$A$2:$A$92</definedName>
    <definedName name="primary_jama_2024_0318_disposition">'_Primary'!$B$2:$B$92</definedName>
    <definedName name="primary_jama_2024_0318_domain">'_Primary'!$C$2:$C$92</definedName>
    <definedName name="primary_jama_2024_0572_key">'_Primary'!$A$2:$A$92</definedName>
    <definedName name="primary_jama_2024_0572_disposition">'_Primary'!$B$2:$B$92</definedName>
    <definedName name="primary_jama_2024_0572_domain">'_Primary'!$C$2:$C$92</definedName>
    <definedName name="primary_jama_2024_11057_key">'_Primary'!$A$2:$A$92</definedName>
    <definedName name="primary_jama_2024_11057_disposition">'_Primary'!$B$2:$B$92</definedName>
    <definedName name="primary_jama_2024_11057_domain">'_Primary'!$C$2:$C$92</definedName>
    <definedName name="primary_jama_2024_12829_key">'_Primary'!$A$2:$A$92</definedName>
    <definedName name="primary_jama_2024_12829_disposition">'_Primary'!$B$2:$B$92</definedName>
    <definedName name="primary_jama_2024_12829_domain">'_Primary'!$C$2:$C$92</definedName>
    <definedName name="primary_jama_2024_19585_key">'_Primary'!$A$2:$A$92</definedName>
    <definedName name="primary_jama_2024_19585_disposition">'_Primary'!$B$2:$B$92</definedName>
    <definedName name="primary_jama_2024_19585_domain">'_Primary'!$C$2:$C$92</definedName>
    <definedName name="primary_jama_2024_2302_key">'_Primary'!$A$2:$A$92</definedName>
    <definedName name="primary_jama_2024_2302_disposition">'_Primary'!$B$2:$B$92</definedName>
    <definedName name="primary_jama_2024_2302_domain">'_Primary'!$C$2:$C$92</definedName>
    <definedName name="primary_jama_2024_23898_key">'_Primary'!$A$2:$A$92</definedName>
    <definedName name="primary_jama_2024_23898_disposition">'_Primary'!$B$2:$B$92</definedName>
    <definedName name="primary_jama_2024_23898_domain">'_Primary'!$C$2:$C$92</definedName>
    <definedName name="primary_jama_2024_25786_key">'_Primary'!$A$2:$A$92</definedName>
    <definedName name="primary_jama_2024_25786_disposition">'_Primary'!$B$2:$B$92</definedName>
    <definedName name="primary_jama_2024_25786_domain">'_Primary'!$C$2:$C$92</definedName>
    <definedName name="primary_jama_2024_4183_key">'_Primary'!$A$2:$A$92</definedName>
    <definedName name="primary_jama_2024_4183_disposition">'_Primary'!$B$2:$B$92</definedName>
    <definedName name="primary_jama_2024_4183_domain">'_Primary'!$C$2:$C$92</definedName>
    <definedName name="primary_jama_2024_6063_key">'_Primary'!$A$2:$A$92</definedName>
    <definedName name="primary_jama_2024_6063_disposition">'_Primary'!$B$2:$B$92</definedName>
    <definedName name="primary_jama_2024_6063_domain">'_Primary'!$C$2:$C$92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'C_jama.2024.0318'!$A$1:$S$7</definedName>
    <definedName name="_xlnm.Print_Titles" localSheetId="3">'C_jama.2024.0318'!$1:$1</definedName>
    <definedName name="_xlnm._FilterDatabase" localSheetId="4" hidden="1">'C_jama.2024.0572'!$A$1:$S$3</definedName>
    <definedName name="_xlnm.Print_Titles" localSheetId="4">'C_jama.2024.0572'!$1:$1</definedName>
    <definedName name="_xlnm._FilterDatabase" localSheetId="5" hidden="1">'C_jama.2024.11057'!$A$1:$S$4</definedName>
    <definedName name="_xlnm.Print_Titles" localSheetId="5">'C_jama.2024.11057'!$1:$1</definedName>
    <definedName name="_xlnm._FilterDatabase" localSheetId="6" hidden="1">'C_jama.2024.12829'!$A$1:$S$18</definedName>
    <definedName name="_xlnm.Print_Titles" localSheetId="6">'C_jama.2024.12829'!$1:$1</definedName>
    <definedName name="_xlnm._FilterDatabase" localSheetId="7" hidden="1">'C_jama.2024.19585'!$A$1:$S$4</definedName>
    <definedName name="_xlnm.Print_Titles" localSheetId="7">'C_jama.2024.19585'!$1:$1</definedName>
    <definedName name="_xlnm._FilterDatabase" localSheetId="8" hidden="1">'C_jama.2024.2302'!$A$1:$S$6</definedName>
    <definedName name="_xlnm.Print_Titles" localSheetId="8">'C_jama.2024.2302'!$1:$1</definedName>
    <definedName name="_xlnm._FilterDatabase" localSheetId="9" hidden="1">'C_jama.2024.23898'!$A$1:$S$8</definedName>
    <definedName name="_xlnm.Print_Titles" localSheetId="9">'C_jama.2024.23898'!$1:$1</definedName>
    <definedName name="_xlnm._FilterDatabase" localSheetId="10" hidden="1">'C_jama.2024.25786'!$A$1:$S$9</definedName>
    <definedName name="_xlnm.Print_Titles" localSheetId="10">'C_jama.2024.25786'!$1:$1</definedName>
    <definedName name="_xlnm._FilterDatabase" localSheetId="11" hidden="1">'C_jama.2024.4183'!$A$1:$S$25</definedName>
    <definedName name="_xlnm.Print_Titles" localSheetId="11">'C_jama.2024.4183'!$1:$1</definedName>
    <definedName name="_xlnm._FilterDatabase" localSheetId="12" hidden="1">'C_jama.2024.6063'!$A$1:$S$17</definedName>
    <definedName name="_xlnm.Print_Titles" localSheetId="12">'C_jama.2024.6063'!$1:$1</definedName>
    <definedName name="_xlnm._FilterDatabase" localSheetId="13" hidden="1">'Candidates'!$A$1:$AB$92</definedName>
    <definedName name="_xlnm.Print_Titles" localSheetId="13">'Candidates'!$1:$1</definedName>
    <definedName name="_xlnm._FilterDatabase" localSheetId="14" hidden="1">'Evidence'!$A$1:$D$365</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'Links'!$A$1:$E$358</definedName>
    <definedName name="_xlnm.Print_Titles" localSheetId="17">'Links'!$1:$1</definedName>
    <definedName name="_xlnm._FilterDatabase" localSheetId="18" hidden="1">'Relations'!$A$1:$D$108</definedName>
    <definedName name="_xlnm.Print_Titles" localSheetId="18">'Relations'!$1:$1</definedName>
    <definedName name="_xlnm._FilterDatabase" localSheetId="19" hidden="1">'_Primary'!$A$1:$K$92</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2024 | checker_template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AWAITING PRIMARY HANDOFF: layout template only. Run prepare-checker on the completed Primary file to create a ready Checker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row>
    <row r="3" ht="30" customHeight="1">
      <c r="A3" s="3" t="inlineStr">
        <is>
          <t>primaryReviewerName</t>
        </is>
      </c>
      <c r="B3" s="3"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jama.2024.0318</t>
        </is>
      </c>
      <c r="B2" s="2" t="inlineStr">
        <is>
          <t>C_jama.2024.0318</t>
        </is>
      </c>
      <c r="C2" s="2" t="n">
        <v>6</v>
      </c>
    </row>
    <row r="3" ht="30" customHeight="1">
      <c r="A3" s="3" t="inlineStr">
        <is>
          <t>jama.2024.0572</t>
        </is>
      </c>
      <c r="B3" s="3" t="inlineStr">
        <is>
          <t>C_jama.2024.0572</t>
        </is>
      </c>
      <c r="C3" s="3" t="n">
        <v>2</v>
      </c>
    </row>
    <row r="4" ht="30" customHeight="1">
      <c r="A4" s="2" t="inlineStr">
        <is>
          <t>jama.2024.11057</t>
        </is>
      </c>
      <c r="B4" s="2" t="inlineStr">
        <is>
          <t>C_jama.2024.11057</t>
        </is>
      </c>
      <c r="C4" s="2" t="n">
        <v>3</v>
      </c>
    </row>
    <row r="5" ht="30" customHeight="1">
      <c r="A5" s="3" t="inlineStr">
        <is>
          <t>jama.2024.12829</t>
        </is>
      </c>
      <c r="B5" s="3" t="inlineStr">
        <is>
          <t>C_jama.2024.12829</t>
        </is>
      </c>
      <c r="C5" s="3" t="n">
        <v>17</v>
      </c>
    </row>
    <row r="6" ht="30" customHeight="1">
      <c r="A6" s="2" t="inlineStr">
        <is>
          <t>jama.2024.19585</t>
        </is>
      </c>
      <c r="B6" s="2" t="inlineStr">
        <is>
          <t>C_jama.2024.19585</t>
        </is>
      </c>
      <c r="C6" s="2" t="n">
        <v>3</v>
      </c>
    </row>
    <row r="7" ht="30" customHeight="1">
      <c r="A7" s="3" t="inlineStr">
        <is>
          <t>jama.2024.2302</t>
        </is>
      </c>
      <c r="B7" s="3" t="inlineStr">
        <is>
          <t>C_jama.2024.2302</t>
        </is>
      </c>
      <c r="C7" s="3" t="n">
        <v>5</v>
      </c>
    </row>
    <row r="8" ht="30" customHeight="1">
      <c r="A8" s="2" t="inlineStr">
        <is>
          <t>jama.2024.23898</t>
        </is>
      </c>
      <c r="B8" s="2" t="inlineStr">
        <is>
          <t>C_jama.2024.23898</t>
        </is>
      </c>
      <c r="C8" s="2" t="n">
        <v>7</v>
      </c>
    </row>
    <row r="9" ht="30" customHeight="1">
      <c r="A9" s="3" t="inlineStr">
        <is>
          <t>jama.2024.25786</t>
        </is>
      </c>
      <c r="B9" s="3" t="inlineStr">
        <is>
          <t>C_jama.2024.25786</t>
        </is>
      </c>
      <c r="C9" s="3" t="n">
        <v>8</v>
      </c>
    </row>
    <row r="10" ht="30" customHeight="1">
      <c r="A10" s="2" t="inlineStr">
        <is>
          <t>jama.2024.4183</t>
        </is>
      </c>
      <c r="B10" s="2" t="inlineStr">
        <is>
          <t>C_jama.2024.4183</t>
        </is>
      </c>
      <c r="C10" s="2" t="n">
        <v>24</v>
      </c>
    </row>
    <row r="11" ht="30" customHeight="1">
      <c r="A11" s="3" t="inlineStr">
        <is>
          <t>jama.2024.6063</t>
        </is>
      </c>
      <c r="B11" s="3" t="inlineStr">
        <is>
          <t>C_jama.2024.6063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c r="F2" s="8" t="inlineStr">
        <is>
          <t>no</t>
        </is>
      </c>
      <c r="G2" s="2">
        <f>IF(OR(AND(OR(AND(IF($D2="",INDEX(primary_jama_2024_0318_disposition,MATCH($A2,primary_jama_2024_0318_key,0)),$D2)&lt;&gt;"",IF($D2="",INDEX(primary_jama_2024_0318_disposition,MATCH($A2,primary_jama_2024_0318_key,0)),$D2)&lt;&gt;"retain"),NOT(OR(IF($E2="",INDEX(primary_jama_2024_0318_domain,MATCH($A2,primary_jama_2024_0318_key,0)),$E2)="statistical_results"))),H2&lt;&gt;"",H2&lt;&gt;"not_applicable"),AND(OR(AND(IF($D2="",INDEX(primary_jama_2024_0318_disposition,MATCH($A2,primary_jama_2024_0318_key,0)),$D2)&lt;&gt;"",IF($D2="",INDEX(primary_jama_2024_0318_disposition,MATCH($A2,primary_jama_2024_0318_key,0)),$D2)&lt;&gt;"retain"),NOT(OR(IF($E2="",INDEX(primary_jama_2024_0318_domain,MATCH($A2,primary_jama_2024_0318_key,0)),$E2)="statistical_results"))),I2&lt;&gt;"",I2&lt;&gt;"not_applicable"),AND(OR(AND(IF($D2="",INDEX(primary_jama_2024_0318_disposition,MATCH($A2,primary_jama_2024_0318_key,0)),$D2)&lt;&gt;"",IF($D2="",INDEX(primary_jama_2024_0318_disposition,MATCH($A2,primary_jama_2024_0318_key,0)),$D2)&lt;&gt;"retain"),NOT(OR(IF($E2="",INDEX(primary_jama_2024_0318_domain,MATCH($A2,primary_jama_2024_0318_key,0)),$E2)="statistical_results"))),J2&lt;&gt;"",J2&lt;&gt;"not_applicable"),AND(OR(AND(IF($D2="",INDEX(primary_jama_2024_0318_disposition,MATCH($A2,primary_jama_2024_0318_key,0)),$D2)&lt;&gt;"",IF($D2="",INDEX(primary_jama_2024_0318_disposition,MATCH($A2,primary_jama_2024_0318_key,0)),$D2)&lt;&gt;"retain"),NOT(OR(IF($E2="",INDEX(primary_jama_2024_0318_domain,MATCH($A2,primary_jama_2024_0318_key,0)),$E2)="internal_nonstatistical",IF($E2="",INDEX(primary_jama_2024_0318_domain,MATCH($A2,primary_jama_2024_0318_key,0)),$E2)="plan_material"))),K2&lt;&gt;"",K2&lt;&gt;"not_applicable"),AND(OR(AND(IF($D2="",INDEX(primary_jama_2024_0318_disposition,MATCH($A2,primary_jama_2024_0318_key,0)),$D2)&lt;&gt;"",IF($D2="",INDEX(primary_jama_2024_0318_disposition,MATCH($A2,primary_jama_2024_0318_key,0)),$D2)&lt;&gt;"retain"),NOT(OR(IF($E2="",INDEX(primary_jama_2024_0318_domain,MATCH($A2,primary_jama_2024_0318_key,0)),$E2)="protocol_report"))),L2&lt;&gt;"",L2&lt;&gt;"not_applicable")),"CLEAR INACTIVE VALUES",IF(O2="","PENDING",IF(AND(O2&lt;&gt;"agree",LEN(TRIM(P2))=0),"COMMENT NEEDED",IF(F2="yes","CHECKED - see resolution","DRAFT"))))</f>
        <v/>
      </c>
      <c r="H2" s="8">
        <f>IF(OR(AND(IF($D2="",INDEX(primary_jama_2024_0318_disposition,MATCH($A2,primary_jama_2024_0318_key,0)),$D2)&lt;&gt;"",IF($D2="",INDEX(primary_jama_2024_0318_disposition,MATCH($A2,primary_jama_2024_0318_key,0)),$D2)&lt;&gt;"retain"),NOT(OR(IF($E2="",INDEX(primary_jama_2024_0318_domain,MATCH($A2,primary_jama_2024_0318_key,0)),$E2)="statistical_results"))),"not_applicable","")</f>
        <v/>
      </c>
      <c r="I2" s="8">
        <f>IF(OR(AND(IF($D2="",INDEX(primary_jama_2024_0318_disposition,MATCH($A2,primary_jama_2024_0318_key,0)),$D2)&lt;&gt;"",IF($D2="",INDEX(primary_jama_2024_0318_disposition,MATCH($A2,primary_jama_2024_0318_key,0)),$D2)&lt;&gt;"retain"),NOT(OR(IF($E2="",INDEX(primary_jama_2024_0318_domain,MATCH($A2,primary_jama_2024_0318_key,0)),$E2)="statistical_results"))),"not_applicable","")</f>
        <v/>
      </c>
      <c r="J2" s="9">
        <f>IF(OR(AND(IF($D2="",INDEX(primary_jama_2024_0318_disposition,MATCH($A2,primary_jama_2024_0318_key,0)),$D2)&lt;&gt;"",IF($D2="",INDEX(primary_jama_2024_0318_disposition,MATCH($A2,primary_jama_2024_0318_key,0)),$D2)&lt;&gt;"retain"),NOT(OR(IF($E2="",INDEX(primary_jama_2024_0318_domain,MATCH($A2,primary_jama_2024_0318_key,0)),$E2)="statistical_results"))),"not_applicable","")</f>
        <v/>
      </c>
      <c r="K2" s="8">
        <f>IF(OR(AND(IF($D2="",INDEX(primary_jama_2024_0318_disposition,MATCH($A2,primary_jama_2024_0318_key,0)),$D2)&lt;&gt;"",IF($D2="",INDEX(primary_jama_2024_0318_disposition,MATCH($A2,primary_jama_2024_0318_key,0)),$D2)&lt;&gt;"retain"),NOT(OR(IF($E2="",INDEX(primary_jama_2024_0318_domain,MATCH($A2,primary_jama_2024_0318_key,0)),$E2)="internal_nonstatistical",IF($E2="",INDEX(primary_jama_2024_0318_domain,MATCH($A2,primary_jama_2024_0318_key,0)),$E2)="plan_material"))),"not_applicable","")</f>
        <v/>
      </c>
      <c r="L2" s="9">
        <f>IF(OR(AND(IF($D2="",INDEX(primary_jama_2024_0318_disposition,MATCH($A2,primary_jama_2024_0318_key,0)),$D2)&lt;&gt;"",IF($D2="",INDEX(primary_jama_2024_0318_disposition,MATCH($A2,primary_jama_2024_0318_key,0)),$D2)&lt;&gt;"retain"),NOT(OR(IF($E2="",INDEX(primary_jama_2024_0318_domain,MATCH($A2,primary_jama_2024_0318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c r="F3" s="8" t="inlineStr">
        <is>
          <t>no</t>
        </is>
      </c>
      <c r="G3" s="3">
        <f>IF(OR(AND(OR(AND(IF($D3="",INDEX(primary_jama_2024_0318_disposition,MATCH($A3,primary_jama_2024_0318_key,0)),$D3)&lt;&gt;"",IF($D3="",INDEX(primary_jama_2024_0318_disposition,MATCH($A3,primary_jama_2024_0318_key,0)),$D3)&lt;&gt;"retain"),NOT(OR(IF($E3="",INDEX(primary_jama_2024_0318_domain,MATCH($A3,primary_jama_2024_0318_key,0)),$E3)="statistical_results"))),H3&lt;&gt;"",H3&lt;&gt;"not_applicable"),AND(OR(AND(IF($D3="",INDEX(primary_jama_2024_0318_disposition,MATCH($A3,primary_jama_2024_0318_key,0)),$D3)&lt;&gt;"",IF($D3="",INDEX(primary_jama_2024_0318_disposition,MATCH($A3,primary_jama_2024_0318_key,0)),$D3)&lt;&gt;"retain"),NOT(OR(IF($E3="",INDEX(primary_jama_2024_0318_domain,MATCH($A3,primary_jama_2024_0318_key,0)),$E3)="statistical_results"))),I3&lt;&gt;"",I3&lt;&gt;"not_applicable"),AND(OR(AND(IF($D3="",INDEX(primary_jama_2024_0318_disposition,MATCH($A3,primary_jama_2024_0318_key,0)),$D3)&lt;&gt;"",IF($D3="",INDEX(primary_jama_2024_0318_disposition,MATCH($A3,primary_jama_2024_0318_key,0)),$D3)&lt;&gt;"retain"),NOT(OR(IF($E3="",INDEX(primary_jama_2024_0318_domain,MATCH($A3,primary_jama_2024_0318_key,0)),$E3)="statistical_results"))),J3&lt;&gt;"",J3&lt;&gt;"not_applicable"),AND(OR(AND(IF($D3="",INDEX(primary_jama_2024_0318_disposition,MATCH($A3,primary_jama_2024_0318_key,0)),$D3)&lt;&gt;"",IF($D3="",INDEX(primary_jama_2024_0318_disposition,MATCH($A3,primary_jama_2024_0318_key,0)),$D3)&lt;&gt;"retain"),NOT(OR(IF($E3="",INDEX(primary_jama_2024_0318_domain,MATCH($A3,primary_jama_2024_0318_key,0)),$E3)="internal_nonstatistical",IF($E3="",INDEX(primary_jama_2024_0318_domain,MATCH($A3,primary_jama_2024_0318_key,0)),$E3)="plan_material"))),K3&lt;&gt;"",K3&lt;&gt;"not_applicable"),AND(OR(AND(IF($D3="",INDEX(primary_jama_2024_0318_disposition,MATCH($A3,primary_jama_2024_0318_key,0)),$D3)&lt;&gt;"",IF($D3="",INDEX(primary_jama_2024_0318_disposition,MATCH($A3,primary_jama_2024_0318_key,0)),$D3)&lt;&gt;"retain"),NOT(OR(IF($E3="",INDEX(primary_jama_2024_0318_domain,MATCH($A3,primary_jama_2024_0318_key,0)),$E3)="protocol_report"))),L3&lt;&gt;"",L3&lt;&gt;"not_applicable")),"CLEAR INACTIVE VALUES",IF(O3="","PENDING",IF(AND(O3&lt;&gt;"agree",LEN(TRIM(P3))=0),"COMMENT NEEDED",IF(F3="yes","CHECKED - see resolution","DRAFT"))))</f>
        <v/>
      </c>
      <c r="H3" s="8">
        <f>IF(OR(AND(IF($D3="",INDEX(primary_jama_2024_0318_disposition,MATCH($A3,primary_jama_2024_0318_key,0)),$D3)&lt;&gt;"",IF($D3="",INDEX(primary_jama_2024_0318_disposition,MATCH($A3,primary_jama_2024_0318_key,0)),$D3)&lt;&gt;"retain"),NOT(OR(IF($E3="",INDEX(primary_jama_2024_0318_domain,MATCH($A3,primary_jama_2024_0318_key,0)),$E3)="statistical_results"))),"not_applicable","")</f>
        <v/>
      </c>
      <c r="I3" s="8">
        <f>IF(OR(AND(IF($D3="",INDEX(primary_jama_2024_0318_disposition,MATCH($A3,primary_jama_2024_0318_key,0)),$D3)&lt;&gt;"",IF($D3="",INDEX(primary_jama_2024_0318_disposition,MATCH($A3,primary_jama_2024_0318_key,0)),$D3)&lt;&gt;"retain"),NOT(OR(IF($E3="",INDEX(primary_jama_2024_0318_domain,MATCH($A3,primary_jama_2024_0318_key,0)),$E3)="statistical_results"))),"not_applicable","")</f>
        <v/>
      </c>
      <c r="J3" s="9">
        <f>IF(OR(AND(IF($D3="",INDEX(primary_jama_2024_0318_disposition,MATCH($A3,primary_jama_2024_0318_key,0)),$D3)&lt;&gt;"",IF($D3="",INDEX(primary_jama_2024_0318_disposition,MATCH($A3,primary_jama_2024_0318_key,0)),$D3)&lt;&gt;"retain"),NOT(OR(IF($E3="",INDEX(primary_jama_2024_0318_domain,MATCH($A3,primary_jama_2024_0318_key,0)),$E3)="statistical_results"))),"not_applicable","")</f>
        <v/>
      </c>
      <c r="K3" s="8">
        <f>IF(OR(AND(IF($D3="",INDEX(primary_jama_2024_0318_disposition,MATCH($A3,primary_jama_2024_0318_key,0)),$D3)&lt;&gt;"",IF($D3="",INDEX(primary_jama_2024_0318_disposition,MATCH($A3,primary_jama_2024_0318_key,0)),$D3)&lt;&gt;"retain"),NOT(OR(IF($E3="",INDEX(primary_jama_2024_0318_domain,MATCH($A3,primary_jama_2024_0318_key,0)),$E3)="internal_nonstatistical",IF($E3="",INDEX(primary_jama_2024_0318_domain,MATCH($A3,primary_jama_2024_0318_key,0)),$E3)="plan_material"))),"not_applicable","")</f>
        <v/>
      </c>
      <c r="L3" s="9">
        <f>IF(OR(AND(IF($D3="",INDEX(primary_jama_2024_0318_disposition,MATCH($A3,primary_jama_2024_0318_key,0)),$D3)&lt;&gt;"",IF($D3="",INDEX(primary_jama_2024_0318_disposition,MATCH($A3,primary_jama_2024_0318_key,0)),$D3)&lt;&gt;"retain"),NOT(OR(IF($E3="",INDEX(primary_jama_2024_0318_domain,MATCH($A3,primary_jama_2024_0318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c r="F4" s="8" t="inlineStr">
        <is>
          <t>no</t>
        </is>
      </c>
      <c r="G4" s="2">
        <f>IF(OR(AND(OR(AND(IF($D4="",INDEX(primary_jama_2024_0318_disposition,MATCH($A4,primary_jama_2024_0318_key,0)),$D4)&lt;&gt;"",IF($D4="",INDEX(primary_jama_2024_0318_disposition,MATCH($A4,primary_jama_2024_0318_key,0)),$D4)&lt;&gt;"retain"),NOT(OR(IF($E4="",INDEX(primary_jama_2024_0318_domain,MATCH($A4,primary_jama_2024_0318_key,0)),$E4)="statistical_results"))),H4&lt;&gt;"",H4&lt;&gt;"not_applicable"),AND(OR(AND(IF($D4="",INDEX(primary_jama_2024_0318_disposition,MATCH($A4,primary_jama_2024_0318_key,0)),$D4)&lt;&gt;"",IF($D4="",INDEX(primary_jama_2024_0318_disposition,MATCH($A4,primary_jama_2024_0318_key,0)),$D4)&lt;&gt;"retain"),NOT(OR(IF($E4="",INDEX(primary_jama_2024_0318_domain,MATCH($A4,primary_jama_2024_0318_key,0)),$E4)="statistical_results"))),I4&lt;&gt;"",I4&lt;&gt;"not_applicable"),AND(OR(AND(IF($D4="",INDEX(primary_jama_2024_0318_disposition,MATCH($A4,primary_jama_2024_0318_key,0)),$D4)&lt;&gt;"",IF($D4="",INDEX(primary_jama_2024_0318_disposition,MATCH($A4,primary_jama_2024_0318_key,0)),$D4)&lt;&gt;"retain"),NOT(OR(IF($E4="",INDEX(primary_jama_2024_0318_domain,MATCH($A4,primary_jama_2024_0318_key,0)),$E4)="statistical_results"))),J4&lt;&gt;"",J4&lt;&gt;"not_applicable"),AND(OR(AND(IF($D4="",INDEX(primary_jama_2024_0318_disposition,MATCH($A4,primary_jama_2024_0318_key,0)),$D4)&lt;&gt;"",IF($D4="",INDEX(primary_jama_2024_0318_disposition,MATCH($A4,primary_jama_2024_0318_key,0)),$D4)&lt;&gt;"retain"),NOT(OR(IF($E4="",INDEX(primary_jama_2024_0318_domain,MATCH($A4,primary_jama_2024_0318_key,0)),$E4)="internal_nonstatistical",IF($E4="",INDEX(primary_jama_2024_0318_domain,MATCH($A4,primary_jama_2024_0318_key,0)),$E4)="plan_material"))),K4&lt;&gt;"",K4&lt;&gt;"not_applicable"),AND(OR(AND(IF($D4="",INDEX(primary_jama_2024_0318_disposition,MATCH($A4,primary_jama_2024_0318_key,0)),$D4)&lt;&gt;"",IF($D4="",INDEX(primary_jama_2024_0318_disposition,MATCH($A4,primary_jama_2024_0318_key,0)),$D4)&lt;&gt;"retain"),NOT(OR(IF($E4="",INDEX(primary_jama_2024_0318_domain,MATCH($A4,primary_jama_2024_0318_key,0)),$E4)="protocol_report"))),L4&lt;&gt;"",L4&lt;&gt;"not_applicable")),"CLEAR INACTIVE VALUES",IF(O4="","PENDING",IF(AND(O4&lt;&gt;"agree",LEN(TRIM(P4))=0),"COMMENT NEEDED",IF(F4="yes","CHECKED - see resolution","DRAFT"))))</f>
        <v/>
      </c>
      <c r="H4" s="8">
        <f>IF(OR(AND(IF($D4="",INDEX(primary_jama_2024_0318_disposition,MATCH($A4,primary_jama_2024_0318_key,0)),$D4)&lt;&gt;"",IF($D4="",INDEX(primary_jama_2024_0318_disposition,MATCH($A4,primary_jama_2024_0318_key,0)),$D4)&lt;&gt;"retain"),NOT(OR(IF($E4="",INDEX(primary_jama_2024_0318_domain,MATCH($A4,primary_jama_2024_0318_key,0)),$E4)="statistical_results"))),"not_applicable","")</f>
        <v/>
      </c>
      <c r="I4" s="8">
        <f>IF(OR(AND(IF($D4="",INDEX(primary_jama_2024_0318_disposition,MATCH($A4,primary_jama_2024_0318_key,0)),$D4)&lt;&gt;"",IF($D4="",INDEX(primary_jama_2024_0318_disposition,MATCH($A4,primary_jama_2024_0318_key,0)),$D4)&lt;&gt;"retain"),NOT(OR(IF($E4="",INDEX(primary_jama_2024_0318_domain,MATCH($A4,primary_jama_2024_0318_key,0)),$E4)="statistical_results"))),"not_applicable","")</f>
        <v/>
      </c>
      <c r="J4" s="9">
        <f>IF(OR(AND(IF($D4="",INDEX(primary_jama_2024_0318_disposition,MATCH($A4,primary_jama_2024_0318_key,0)),$D4)&lt;&gt;"",IF($D4="",INDEX(primary_jama_2024_0318_disposition,MATCH($A4,primary_jama_2024_0318_key,0)),$D4)&lt;&gt;"retain"),NOT(OR(IF($E4="",INDEX(primary_jama_2024_0318_domain,MATCH($A4,primary_jama_2024_0318_key,0)),$E4)="statistical_results"))),"not_applicable","")</f>
        <v/>
      </c>
      <c r="K4" s="8">
        <f>IF(OR(AND(IF($D4="",INDEX(primary_jama_2024_0318_disposition,MATCH($A4,primary_jama_2024_0318_key,0)),$D4)&lt;&gt;"",IF($D4="",INDEX(primary_jama_2024_0318_disposition,MATCH($A4,primary_jama_2024_0318_key,0)),$D4)&lt;&gt;"retain"),NOT(OR(IF($E4="",INDEX(primary_jama_2024_0318_domain,MATCH($A4,primary_jama_2024_0318_key,0)),$E4)="internal_nonstatistical",IF($E4="",INDEX(primary_jama_2024_0318_domain,MATCH($A4,primary_jama_2024_0318_key,0)),$E4)="plan_material"))),"not_applicable","")</f>
        <v/>
      </c>
      <c r="L4" s="9">
        <f>IF(OR(AND(IF($D4="",INDEX(primary_jama_2024_0318_disposition,MATCH($A4,primary_jama_2024_0318_key,0)),$D4)&lt;&gt;"",IF($D4="",INDEX(primary_jama_2024_0318_disposition,MATCH($A4,primary_jama_2024_0318_key,0)),$D4)&lt;&gt;"retain"),NOT(OR(IF($E4="",INDEX(primary_jama_2024_0318_domain,MATCH($A4,primary_jama_2024_0318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c r="F5" s="8" t="inlineStr">
        <is>
          <t>no</t>
        </is>
      </c>
      <c r="G5" s="3">
        <f>IF(OR(AND(OR(AND(IF($D5="",INDEX(primary_jama_2024_0318_disposition,MATCH($A5,primary_jama_2024_0318_key,0)),$D5)&lt;&gt;"",IF($D5="",INDEX(primary_jama_2024_0318_disposition,MATCH($A5,primary_jama_2024_0318_key,0)),$D5)&lt;&gt;"retain"),NOT(OR(IF($E5="",INDEX(primary_jama_2024_0318_domain,MATCH($A5,primary_jama_2024_0318_key,0)),$E5)="statistical_results"))),H5&lt;&gt;"",H5&lt;&gt;"not_applicable"),AND(OR(AND(IF($D5="",INDEX(primary_jama_2024_0318_disposition,MATCH($A5,primary_jama_2024_0318_key,0)),$D5)&lt;&gt;"",IF($D5="",INDEX(primary_jama_2024_0318_disposition,MATCH($A5,primary_jama_2024_0318_key,0)),$D5)&lt;&gt;"retain"),NOT(OR(IF($E5="",INDEX(primary_jama_2024_0318_domain,MATCH($A5,primary_jama_2024_0318_key,0)),$E5)="statistical_results"))),I5&lt;&gt;"",I5&lt;&gt;"not_applicable"),AND(OR(AND(IF($D5="",INDEX(primary_jama_2024_0318_disposition,MATCH($A5,primary_jama_2024_0318_key,0)),$D5)&lt;&gt;"",IF($D5="",INDEX(primary_jama_2024_0318_disposition,MATCH($A5,primary_jama_2024_0318_key,0)),$D5)&lt;&gt;"retain"),NOT(OR(IF($E5="",INDEX(primary_jama_2024_0318_domain,MATCH($A5,primary_jama_2024_0318_key,0)),$E5)="statistical_results"))),J5&lt;&gt;"",J5&lt;&gt;"not_applicable"),AND(OR(AND(IF($D5="",INDEX(primary_jama_2024_0318_disposition,MATCH($A5,primary_jama_2024_0318_key,0)),$D5)&lt;&gt;"",IF($D5="",INDEX(primary_jama_2024_0318_disposition,MATCH($A5,primary_jama_2024_0318_key,0)),$D5)&lt;&gt;"retain"),NOT(OR(IF($E5="",INDEX(primary_jama_2024_0318_domain,MATCH($A5,primary_jama_2024_0318_key,0)),$E5)="internal_nonstatistical",IF($E5="",INDEX(primary_jama_2024_0318_domain,MATCH($A5,primary_jama_2024_0318_key,0)),$E5)="plan_material"))),K5&lt;&gt;"",K5&lt;&gt;"not_applicable"),AND(OR(AND(IF($D5="",INDEX(primary_jama_2024_0318_disposition,MATCH($A5,primary_jama_2024_0318_key,0)),$D5)&lt;&gt;"",IF($D5="",INDEX(primary_jama_2024_0318_disposition,MATCH($A5,primary_jama_2024_0318_key,0)),$D5)&lt;&gt;"retain"),NOT(OR(IF($E5="",INDEX(primary_jama_2024_0318_domain,MATCH($A5,primary_jama_2024_0318_key,0)),$E5)="protocol_report"))),L5&lt;&gt;"",L5&lt;&gt;"not_applicable")),"CLEAR INACTIVE VALUES",IF(O5="","PENDING",IF(AND(O5&lt;&gt;"agree",LEN(TRIM(P5))=0),"COMMENT NEEDED",IF(F5="yes","CHECKED - see resolution","DRAFT"))))</f>
        <v/>
      </c>
      <c r="H5" s="8">
        <f>IF(OR(AND(IF($D5="",INDEX(primary_jama_2024_0318_disposition,MATCH($A5,primary_jama_2024_0318_key,0)),$D5)&lt;&gt;"",IF($D5="",INDEX(primary_jama_2024_0318_disposition,MATCH($A5,primary_jama_2024_0318_key,0)),$D5)&lt;&gt;"retain"),NOT(OR(IF($E5="",INDEX(primary_jama_2024_0318_domain,MATCH($A5,primary_jama_2024_0318_key,0)),$E5)="statistical_results"))),"not_applicable","")</f>
        <v/>
      </c>
      <c r="I5" s="8">
        <f>IF(OR(AND(IF($D5="",INDEX(primary_jama_2024_0318_disposition,MATCH($A5,primary_jama_2024_0318_key,0)),$D5)&lt;&gt;"",IF($D5="",INDEX(primary_jama_2024_0318_disposition,MATCH($A5,primary_jama_2024_0318_key,0)),$D5)&lt;&gt;"retain"),NOT(OR(IF($E5="",INDEX(primary_jama_2024_0318_domain,MATCH($A5,primary_jama_2024_0318_key,0)),$E5)="statistical_results"))),"not_applicable","")</f>
        <v/>
      </c>
      <c r="J5" s="9">
        <f>IF(OR(AND(IF($D5="",INDEX(primary_jama_2024_0318_disposition,MATCH($A5,primary_jama_2024_0318_key,0)),$D5)&lt;&gt;"",IF($D5="",INDEX(primary_jama_2024_0318_disposition,MATCH($A5,primary_jama_2024_0318_key,0)),$D5)&lt;&gt;"retain"),NOT(OR(IF($E5="",INDEX(primary_jama_2024_0318_domain,MATCH($A5,primary_jama_2024_0318_key,0)),$E5)="statistical_results"))),"not_applicable","")</f>
        <v/>
      </c>
      <c r="K5" s="8">
        <f>IF(OR(AND(IF($D5="",INDEX(primary_jama_2024_0318_disposition,MATCH($A5,primary_jama_2024_0318_key,0)),$D5)&lt;&gt;"",IF($D5="",INDEX(primary_jama_2024_0318_disposition,MATCH($A5,primary_jama_2024_0318_key,0)),$D5)&lt;&gt;"retain"),NOT(OR(IF($E5="",INDEX(primary_jama_2024_0318_domain,MATCH($A5,primary_jama_2024_0318_key,0)),$E5)="internal_nonstatistical",IF($E5="",INDEX(primary_jama_2024_0318_domain,MATCH($A5,primary_jama_2024_0318_key,0)),$E5)="plan_material"))),"not_applicable","")</f>
        <v/>
      </c>
      <c r="L5" s="9">
        <f>IF(OR(AND(IF($D5="",INDEX(primary_jama_2024_0318_disposition,MATCH($A5,primary_jama_2024_0318_key,0)),$D5)&lt;&gt;"",IF($D5="",INDEX(primary_jama_2024_0318_disposition,MATCH($A5,primary_jama_2024_0318_key,0)),$D5)&lt;&gt;"retain"),NOT(OR(IF($E5="",INDEX(primary_jama_2024_0318_domain,MATCH($A5,primary_jama_2024_0318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c r="F6" s="8" t="inlineStr">
        <is>
          <t>no</t>
        </is>
      </c>
      <c r="G6" s="2">
        <f>IF(OR(AND(OR(AND(IF($D6="",INDEX(primary_jama_2024_0318_disposition,MATCH($A6,primary_jama_2024_0318_key,0)),$D6)&lt;&gt;"",IF($D6="",INDEX(primary_jama_2024_0318_disposition,MATCH($A6,primary_jama_2024_0318_key,0)),$D6)&lt;&gt;"retain"),NOT(OR(IF($E6="",INDEX(primary_jama_2024_0318_domain,MATCH($A6,primary_jama_2024_0318_key,0)),$E6)="statistical_results"))),H6&lt;&gt;"",H6&lt;&gt;"not_applicable"),AND(OR(AND(IF($D6="",INDEX(primary_jama_2024_0318_disposition,MATCH($A6,primary_jama_2024_0318_key,0)),$D6)&lt;&gt;"",IF($D6="",INDEX(primary_jama_2024_0318_disposition,MATCH($A6,primary_jama_2024_0318_key,0)),$D6)&lt;&gt;"retain"),NOT(OR(IF($E6="",INDEX(primary_jama_2024_0318_domain,MATCH($A6,primary_jama_2024_0318_key,0)),$E6)="statistical_results"))),I6&lt;&gt;"",I6&lt;&gt;"not_applicable"),AND(OR(AND(IF($D6="",INDEX(primary_jama_2024_0318_disposition,MATCH($A6,primary_jama_2024_0318_key,0)),$D6)&lt;&gt;"",IF($D6="",INDEX(primary_jama_2024_0318_disposition,MATCH($A6,primary_jama_2024_0318_key,0)),$D6)&lt;&gt;"retain"),NOT(OR(IF($E6="",INDEX(primary_jama_2024_0318_domain,MATCH($A6,primary_jama_2024_0318_key,0)),$E6)="statistical_results"))),J6&lt;&gt;"",J6&lt;&gt;"not_applicable"),AND(OR(AND(IF($D6="",INDEX(primary_jama_2024_0318_disposition,MATCH($A6,primary_jama_2024_0318_key,0)),$D6)&lt;&gt;"",IF($D6="",INDEX(primary_jama_2024_0318_disposition,MATCH($A6,primary_jama_2024_0318_key,0)),$D6)&lt;&gt;"retain"),NOT(OR(IF($E6="",INDEX(primary_jama_2024_0318_domain,MATCH($A6,primary_jama_2024_0318_key,0)),$E6)="internal_nonstatistical",IF($E6="",INDEX(primary_jama_2024_0318_domain,MATCH($A6,primary_jama_2024_0318_key,0)),$E6)="plan_material"))),K6&lt;&gt;"",K6&lt;&gt;"not_applicable"),AND(OR(AND(IF($D6="",INDEX(primary_jama_2024_0318_disposition,MATCH($A6,primary_jama_2024_0318_key,0)),$D6)&lt;&gt;"",IF($D6="",INDEX(primary_jama_2024_0318_disposition,MATCH($A6,primary_jama_2024_0318_key,0)),$D6)&lt;&gt;"retain"),NOT(OR(IF($E6="",INDEX(primary_jama_2024_0318_domain,MATCH($A6,primary_jama_2024_0318_key,0)),$E6)="protocol_report"))),L6&lt;&gt;"",L6&lt;&gt;"not_applicable")),"CLEAR INACTIVE VALUES",IF(O6="","PENDING",IF(AND(O6&lt;&gt;"agree",LEN(TRIM(P6))=0),"COMMENT NEEDED",IF(F6="yes","CHECKED - see resolution","DRAFT"))))</f>
        <v/>
      </c>
      <c r="H6" s="8">
        <f>IF(OR(AND(IF($D6="",INDEX(primary_jama_2024_0318_disposition,MATCH($A6,primary_jama_2024_0318_key,0)),$D6)&lt;&gt;"",IF($D6="",INDEX(primary_jama_2024_0318_disposition,MATCH($A6,primary_jama_2024_0318_key,0)),$D6)&lt;&gt;"retain"),NOT(OR(IF($E6="",INDEX(primary_jama_2024_0318_domain,MATCH($A6,primary_jama_2024_0318_key,0)),$E6)="statistical_results"))),"not_applicable","")</f>
        <v/>
      </c>
      <c r="I6" s="8">
        <f>IF(OR(AND(IF($D6="",INDEX(primary_jama_2024_0318_disposition,MATCH($A6,primary_jama_2024_0318_key,0)),$D6)&lt;&gt;"",IF($D6="",INDEX(primary_jama_2024_0318_disposition,MATCH($A6,primary_jama_2024_0318_key,0)),$D6)&lt;&gt;"retain"),NOT(OR(IF($E6="",INDEX(primary_jama_2024_0318_domain,MATCH($A6,primary_jama_2024_0318_key,0)),$E6)="statistical_results"))),"not_applicable","")</f>
        <v/>
      </c>
      <c r="J6" s="9">
        <f>IF(OR(AND(IF($D6="",INDEX(primary_jama_2024_0318_disposition,MATCH($A6,primary_jama_2024_0318_key,0)),$D6)&lt;&gt;"",IF($D6="",INDEX(primary_jama_2024_0318_disposition,MATCH($A6,primary_jama_2024_0318_key,0)),$D6)&lt;&gt;"retain"),NOT(OR(IF($E6="",INDEX(primary_jama_2024_0318_domain,MATCH($A6,primary_jama_2024_0318_key,0)),$E6)="statistical_results"))),"not_applicable","")</f>
        <v/>
      </c>
      <c r="K6" s="8">
        <f>IF(OR(AND(IF($D6="",INDEX(primary_jama_2024_0318_disposition,MATCH($A6,primary_jama_2024_0318_key,0)),$D6)&lt;&gt;"",IF($D6="",INDEX(primary_jama_2024_0318_disposition,MATCH($A6,primary_jama_2024_0318_key,0)),$D6)&lt;&gt;"retain"),NOT(OR(IF($E6="",INDEX(primary_jama_2024_0318_domain,MATCH($A6,primary_jama_2024_0318_key,0)),$E6)="internal_nonstatistical",IF($E6="",INDEX(primary_jama_2024_0318_domain,MATCH($A6,primary_jama_2024_0318_key,0)),$E6)="plan_material"))),"not_applicable","")</f>
        <v/>
      </c>
      <c r="L6" s="9">
        <f>IF(OR(AND(IF($D6="",INDEX(primary_jama_2024_0318_disposition,MATCH($A6,primary_jama_2024_0318_key,0)),$D6)&lt;&gt;"",IF($D6="",INDEX(primary_jama_2024_0318_disposition,MATCH($A6,primary_jama_2024_0318_key,0)),$D6)&lt;&gt;"retain"),NOT(OR(IF($E6="",INDEX(primary_jama_2024_0318_domain,MATCH($A6,primary_jama_2024_0318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c r="F7" s="8" t="inlineStr">
        <is>
          <t>no</t>
        </is>
      </c>
      <c r="G7" s="3">
        <f>IF(OR(AND(OR(AND(IF($D7="",INDEX(primary_jama_2024_0318_disposition,MATCH($A7,primary_jama_2024_0318_key,0)),$D7)&lt;&gt;"",IF($D7="",INDEX(primary_jama_2024_0318_disposition,MATCH($A7,primary_jama_2024_0318_key,0)),$D7)&lt;&gt;"retain"),NOT(OR(IF($E7="",INDEX(primary_jama_2024_0318_domain,MATCH($A7,primary_jama_2024_0318_key,0)),$E7)="statistical_results"))),H7&lt;&gt;"",H7&lt;&gt;"not_applicable"),AND(OR(AND(IF($D7="",INDEX(primary_jama_2024_0318_disposition,MATCH($A7,primary_jama_2024_0318_key,0)),$D7)&lt;&gt;"",IF($D7="",INDEX(primary_jama_2024_0318_disposition,MATCH($A7,primary_jama_2024_0318_key,0)),$D7)&lt;&gt;"retain"),NOT(OR(IF($E7="",INDEX(primary_jama_2024_0318_domain,MATCH($A7,primary_jama_2024_0318_key,0)),$E7)="statistical_results"))),I7&lt;&gt;"",I7&lt;&gt;"not_applicable"),AND(OR(AND(IF($D7="",INDEX(primary_jama_2024_0318_disposition,MATCH($A7,primary_jama_2024_0318_key,0)),$D7)&lt;&gt;"",IF($D7="",INDEX(primary_jama_2024_0318_disposition,MATCH($A7,primary_jama_2024_0318_key,0)),$D7)&lt;&gt;"retain"),NOT(OR(IF($E7="",INDEX(primary_jama_2024_0318_domain,MATCH($A7,primary_jama_2024_0318_key,0)),$E7)="statistical_results"))),J7&lt;&gt;"",J7&lt;&gt;"not_applicable"),AND(OR(AND(IF($D7="",INDEX(primary_jama_2024_0318_disposition,MATCH($A7,primary_jama_2024_0318_key,0)),$D7)&lt;&gt;"",IF($D7="",INDEX(primary_jama_2024_0318_disposition,MATCH($A7,primary_jama_2024_0318_key,0)),$D7)&lt;&gt;"retain"),NOT(OR(IF($E7="",INDEX(primary_jama_2024_0318_domain,MATCH($A7,primary_jama_2024_0318_key,0)),$E7)="internal_nonstatistical",IF($E7="",INDEX(primary_jama_2024_0318_domain,MATCH($A7,primary_jama_2024_0318_key,0)),$E7)="plan_material"))),K7&lt;&gt;"",K7&lt;&gt;"not_applicable"),AND(OR(AND(IF($D7="",INDEX(primary_jama_2024_0318_disposition,MATCH($A7,primary_jama_2024_0318_key,0)),$D7)&lt;&gt;"",IF($D7="",INDEX(primary_jama_2024_0318_disposition,MATCH($A7,primary_jama_2024_0318_key,0)),$D7)&lt;&gt;"retain"),NOT(OR(IF($E7="",INDEX(primary_jama_2024_0318_domain,MATCH($A7,primary_jama_2024_0318_key,0)),$E7)="protocol_report"))),L7&lt;&gt;"",L7&lt;&gt;"not_applicable")),"CLEAR INACTIVE VALUES",IF(O7="","PENDING",IF(AND(O7&lt;&gt;"agree",LEN(TRIM(P7))=0),"COMMENT NEEDED",IF(F7="yes","CHECKED - see resolution","DRAFT"))))</f>
        <v/>
      </c>
      <c r="H7" s="8">
        <f>IF(OR(AND(IF($D7="",INDEX(primary_jama_2024_0318_disposition,MATCH($A7,primary_jama_2024_0318_key,0)),$D7)&lt;&gt;"",IF($D7="",INDEX(primary_jama_2024_0318_disposition,MATCH($A7,primary_jama_2024_0318_key,0)),$D7)&lt;&gt;"retain"),NOT(OR(IF($E7="",INDEX(primary_jama_2024_0318_domain,MATCH($A7,primary_jama_2024_0318_key,0)),$E7)="statistical_results"))),"not_applicable","")</f>
        <v/>
      </c>
      <c r="I7" s="8">
        <f>IF(OR(AND(IF($D7="",INDEX(primary_jama_2024_0318_disposition,MATCH($A7,primary_jama_2024_0318_key,0)),$D7)&lt;&gt;"",IF($D7="",INDEX(primary_jama_2024_0318_disposition,MATCH($A7,primary_jama_2024_0318_key,0)),$D7)&lt;&gt;"retain"),NOT(OR(IF($E7="",INDEX(primary_jama_2024_0318_domain,MATCH($A7,primary_jama_2024_0318_key,0)),$E7)="statistical_results"))),"not_applicable","")</f>
        <v/>
      </c>
      <c r="J7" s="9">
        <f>IF(OR(AND(IF($D7="",INDEX(primary_jama_2024_0318_disposition,MATCH($A7,primary_jama_2024_0318_key,0)),$D7)&lt;&gt;"",IF($D7="",INDEX(primary_jama_2024_0318_disposition,MATCH($A7,primary_jama_2024_0318_key,0)),$D7)&lt;&gt;"retain"),NOT(OR(IF($E7="",INDEX(primary_jama_2024_0318_domain,MATCH($A7,primary_jama_2024_0318_key,0)),$E7)="statistical_results"))),"not_applicable","")</f>
        <v/>
      </c>
      <c r="K7" s="8">
        <f>IF(OR(AND(IF($D7="",INDEX(primary_jama_2024_0318_disposition,MATCH($A7,primary_jama_2024_0318_key,0)),$D7)&lt;&gt;"",IF($D7="",INDEX(primary_jama_2024_0318_disposition,MATCH($A7,primary_jama_2024_0318_key,0)),$D7)&lt;&gt;"retain"),NOT(OR(IF($E7="",INDEX(primary_jama_2024_0318_domain,MATCH($A7,primary_jama_2024_0318_key,0)),$E7)="internal_nonstatistical",IF($E7="",INDEX(primary_jama_2024_0318_domain,MATCH($A7,primary_jama_2024_0318_key,0)),$E7)="plan_material"))),"not_applicable","")</f>
        <v/>
      </c>
      <c r="L7" s="9">
        <f>IF(OR(AND(IF($D7="",INDEX(primary_jama_2024_0318_disposition,MATCH($A7,primary_jama_2024_0318_key,0)),$D7)&lt;&gt;"",IF($D7="",INDEX(primary_jama_2024_0318_disposition,MATCH($A7,primary_jama_2024_0318_key,0)),$D7)&lt;&gt;"retain"),NOT(OR(IF($E7="",INDEX(primary_jama_2024_0318_domain,MATCH($A7,primary_jama_2024_0318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
    <cfRule type="expression" priority="1" dxfId="0" stopIfTrue="1">
      <formula>AND(OR(AND(IF($D2="",INDEX(primary_jama_2024_0318_disposition,MATCH($A2,primary_jama_2024_0318_key,0)),$D2)&lt;&gt;"",IF($D2="",INDEX(primary_jama_2024_0318_disposition,MATCH($A2,primary_jama_2024_0318_key,0)),$D2)&lt;&gt;"retain"),NOT(OR(IF($E2="",INDEX(primary_jama_2024_0318_domain,MATCH($A2,primary_jama_2024_0318_key,0)),$E2)="statistical_results"))),H2&lt;&gt;"",H2&lt;&gt;"not_applicable")</formula>
    </cfRule>
    <cfRule type="expression" priority="2" dxfId="1">
      <formula>OR(AND(IF($D2="",INDEX(primary_jama_2024_0318_disposition,MATCH($A2,primary_jama_2024_0318_key,0)),$D2)&lt;&gt;"",IF($D2="",INDEX(primary_jama_2024_0318_disposition,MATCH($A2,primary_jama_2024_0318_key,0)),$D2)&lt;&gt;"retain"),NOT(OR(IF($E2="",INDEX(primary_jama_2024_0318_domain,MATCH($A2,primary_jama_2024_0318_key,0)),$E2)="statistical_results")))</formula>
    </cfRule>
  </conditionalFormatting>
  <conditionalFormatting sqref="H3">
    <cfRule type="expression" priority="3" dxfId="0" stopIfTrue="1">
      <formula>AND(OR(AND(IF($D3="",INDEX(primary_jama_2024_0318_disposition,MATCH($A3,primary_jama_2024_0318_key,0)),$D3)&lt;&gt;"",IF($D3="",INDEX(primary_jama_2024_0318_disposition,MATCH($A3,primary_jama_2024_0318_key,0)),$D3)&lt;&gt;"retain"),NOT(OR(IF($E3="",INDEX(primary_jama_2024_0318_domain,MATCH($A3,primary_jama_2024_0318_key,0)),$E3)="statistical_results"))),H3&lt;&gt;"",H3&lt;&gt;"not_applicable")</formula>
    </cfRule>
    <cfRule type="expression" priority="4" dxfId="1">
      <formula>OR(AND(IF($D3="",INDEX(primary_jama_2024_0318_disposition,MATCH($A3,primary_jama_2024_0318_key,0)),$D3)&lt;&gt;"",IF($D3="",INDEX(primary_jama_2024_0318_disposition,MATCH($A3,primary_jama_2024_0318_key,0)),$D3)&lt;&gt;"retain"),NOT(OR(IF($E3="",INDEX(primary_jama_2024_0318_domain,MATCH($A3,primary_jama_2024_0318_key,0)),$E3)="statistical_results")))</formula>
    </cfRule>
  </conditionalFormatting>
  <conditionalFormatting sqref="H4">
    <cfRule type="expression" priority="5" dxfId="0" stopIfTrue="1">
      <formula>AND(OR(AND(IF($D4="",INDEX(primary_jama_2024_0318_disposition,MATCH($A4,primary_jama_2024_0318_key,0)),$D4)&lt;&gt;"",IF($D4="",INDEX(primary_jama_2024_0318_disposition,MATCH($A4,primary_jama_2024_0318_key,0)),$D4)&lt;&gt;"retain"),NOT(OR(IF($E4="",INDEX(primary_jama_2024_0318_domain,MATCH($A4,primary_jama_2024_0318_key,0)),$E4)="statistical_results"))),H4&lt;&gt;"",H4&lt;&gt;"not_applicable")</formula>
    </cfRule>
    <cfRule type="expression" priority="6" dxfId="1">
      <formula>OR(AND(IF($D4="",INDEX(primary_jama_2024_0318_disposition,MATCH($A4,primary_jama_2024_0318_key,0)),$D4)&lt;&gt;"",IF($D4="",INDEX(primary_jama_2024_0318_disposition,MATCH($A4,primary_jama_2024_0318_key,0)),$D4)&lt;&gt;"retain"),NOT(OR(IF($E4="",INDEX(primary_jama_2024_0318_domain,MATCH($A4,primary_jama_2024_0318_key,0)),$E4)="statistical_results")))</formula>
    </cfRule>
  </conditionalFormatting>
  <conditionalFormatting sqref="H5">
    <cfRule type="expression" priority="7" dxfId="0" stopIfTrue="1">
      <formula>AND(OR(AND(IF($D5="",INDEX(primary_jama_2024_0318_disposition,MATCH($A5,primary_jama_2024_0318_key,0)),$D5)&lt;&gt;"",IF($D5="",INDEX(primary_jama_2024_0318_disposition,MATCH($A5,primary_jama_2024_0318_key,0)),$D5)&lt;&gt;"retain"),NOT(OR(IF($E5="",INDEX(primary_jama_2024_0318_domain,MATCH($A5,primary_jama_2024_0318_key,0)),$E5)="statistical_results"))),H5&lt;&gt;"",H5&lt;&gt;"not_applicable")</formula>
    </cfRule>
    <cfRule type="expression" priority="8" dxfId="1">
      <formula>OR(AND(IF($D5="",INDEX(primary_jama_2024_0318_disposition,MATCH($A5,primary_jama_2024_0318_key,0)),$D5)&lt;&gt;"",IF($D5="",INDEX(primary_jama_2024_0318_disposition,MATCH($A5,primary_jama_2024_0318_key,0)),$D5)&lt;&gt;"retain"),NOT(OR(IF($E5="",INDEX(primary_jama_2024_0318_domain,MATCH($A5,primary_jama_2024_0318_key,0)),$E5)="statistical_results")))</formula>
    </cfRule>
  </conditionalFormatting>
  <conditionalFormatting sqref="H6">
    <cfRule type="expression" priority="9" dxfId="0" stopIfTrue="1">
      <formula>AND(OR(AND(IF($D6="",INDEX(primary_jama_2024_0318_disposition,MATCH($A6,primary_jama_2024_0318_key,0)),$D6)&lt;&gt;"",IF($D6="",INDEX(primary_jama_2024_0318_disposition,MATCH($A6,primary_jama_2024_0318_key,0)),$D6)&lt;&gt;"retain"),NOT(OR(IF($E6="",INDEX(primary_jama_2024_0318_domain,MATCH($A6,primary_jama_2024_0318_key,0)),$E6)="statistical_results"))),H6&lt;&gt;"",H6&lt;&gt;"not_applicable")</formula>
    </cfRule>
    <cfRule type="expression" priority="10" dxfId="1">
      <formula>OR(AND(IF($D6="",INDEX(primary_jama_2024_0318_disposition,MATCH($A6,primary_jama_2024_0318_key,0)),$D6)&lt;&gt;"",IF($D6="",INDEX(primary_jama_2024_0318_disposition,MATCH($A6,primary_jama_2024_0318_key,0)),$D6)&lt;&gt;"retain"),NOT(OR(IF($E6="",INDEX(primary_jama_2024_0318_domain,MATCH($A6,primary_jama_2024_0318_key,0)),$E6)="statistical_results")))</formula>
    </cfRule>
  </conditionalFormatting>
  <conditionalFormatting sqref="H7">
    <cfRule type="expression" priority="11" dxfId="0" stopIfTrue="1">
      <formula>AND(OR(AND(IF($D7="",INDEX(primary_jama_2024_0318_disposition,MATCH($A7,primary_jama_2024_0318_key,0)),$D7)&lt;&gt;"",IF($D7="",INDEX(primary_jama_2024_0318_disposition,MATCH($A7,primary_jama_2024_0318_key,0)),$D7)&lt;&gt;"retain"),NOT(OR(IF($E7="",INDEX(primary_jama_2024_0318_domain,MATCH($A7,primary_jama_2024_0318_key,0)),$E7)="statistical_results"))),H7&lt;&gt;"",H7&lt;&gt;"not_applicable")</formula>
    </cfRule>
    <cfRule type="expression" priority="12" dxfId="1">
      <formula>OR(AND(IF($D7="",INDEX(primary_jama_2024_0318_disposition,MATCH($A7,primary_jama_2024_0318_key,0)),$D7)&lt;&gt;"",IF($D7="",INDEX(primary_jama_2024_0318_disposition,MATCH($A7,primary_jama_2024_0318_key,0)),$D7)&lt;&gt;"retain"),NOT(OR(IF($E7="",INDEX(primary_jama_2024_0318_domain,MATCH($A7,primary_jama_2024_0318_key,0)),$E7)="statistical_results")))</formula>
    </cfRule>
  </conditionalFormatting>
  <conditionalFormatting sqref="I2">
    <cfRule type="expression" priority="13" dxfId="0" stopIfTrue="1">
      <formula>AND(OR(AND(IF($D2="",INDEX(primary_jama_2024_0318_disposition,MATCH($A2,primary_jama_2024_0318_key,0)),$D2)&lt;&gt;"",IF($D2="",INDEX(primary_jama_2024_0318_disposition,MATCH($A2,primary_jama_2024_0318_key,0)),$D2)&lt;&gt;"retain"),NOT(OR(IF($E2="",INDEX(primary_jama_2024_0318_domain,MATCH($A2,primary_jama_2024_0318_key,0)),$E2)="statistical_results"))),I2&lt;&gt;"",I2&lt;&gt;"not_applicable")</formula>
    </cfRule>
    <cfRule type="expression" priority="14" dxfId="1">
      <formula>OR(AND(IF($D2="",INDEX(primary_jama_2024_0318_disposition,MATCH($A2,primary_jama_2024_0318_key,0)),$D2)&lt;&gt;"",IF($D2="",INDEX(primary_jama_2024_0318_disposition,MATCH($A2,primary_jama_2024_0318_key,0)),$D2)&lt;&gt;"retain"),NOT(OR(IF($E2="",INDEX(primary_jama_2024_0318_domain,MATCH($A2,primary_jama_2024_0318_key,0)),$E2)="statistical_results")))</formula>
    </cfRule>
  </conditionalFormatting>
  <conditionalFormatting sqref="I3">
    <cfRule type="expression" priority="15" dxfId="0" stopIfTrue="1">
      <formula>AND(OR(AND(IF($D3="",INDEX(primary_jama_2024_0318_disposition,MATCH($A3,primary_jama_2024_0318_key,0)),$D3)&lt;&gt;"",IF($D3="",INDEX(primary_jama_2024_0318_disposition,MATCH($A3,primary_jama_2024_0318_key,0)),$D3)&lt;&gt;"retain"),NOT(OR(IF($E3="",INDEX(primary_jama_2024_0318_domain,MATCH($A3,primary_jama_2024_0318_key,0)),$E3)="statistical_results"))),I3&lt;&gt;"",I3&lt;&gt;"not_applicable")</formula>
    </cfRule>
    <cfRule type="expression" priority="16" dxfId="1">
      <formula>OR(AND(IF($D3="",INDEX(primary_jama_2024_0318_disposition,MATCH($A3,primary_jama_2024_0318_key,0)),$D3)&lt;&gt;"",IF($D3="",INDEX(primary_jama_2024_0318_disposition,MATCH($A3,primary_jama_2024_0318_key,0)),$D3)&lt;&gt;"retain"),NOT(OR(IF($E3="",INDEX(primary_jama_2024_0318_domain,MATCH($A3,primary_jama_2024_0318_key,0)),$E3)="statistical_results")))</formula>
    </cfRule>
  </conditionalFormatting>
  <conditionalFormatting sqref="I4">
    <cfRule type="expression" priority="17" dxfId="0" stopIfTrue="1">
      <formula>AND(OR(AND(IF($D4="",INDEX(primary_jama_2024_0318_disposition,MATCH($A4,primary_jama_2024_0318_key,0)),$D4)&lt;&gt;"",IF($D4="",INDEX(primary_jama_2024_0318_disposition,MATCH($A4,primary_jama_2024_0318_key,0)),$D4)&lt;&gt;"retain"),NOT(OR(IF($E4="",INDEX(primary_jama_2024_0318_domain,MATCH($A4,primary_jama_2024_0318_key,0)),$E4)="statistical_results"))),I4&lt;&gt;"",I4&lt;&gt;"not_applicable")</formula>
    </cfRule>
    <cfRule type="expression" priority="18" dxfId="1">
      <formula>OR(AND(IF($D4="",INDEX(primary_jama_2024_0318_disposition,MATCH($A4,primary_jama_2024_0318_key,0)),$D4)&lt;&gt;"",IF($D4="",INDEX(primary_jama_2024_0318_disposition,MATCH($A4,primary_jama_2024_0318_key,0)),$D4)&lt;&gt;"retain"),NOT(OR(IF($E4="",INDEX(primary_jama_2024_0318_domain,MATCH($A4,primary_jama_2024_0318_key,0)),$E4)="statistical_results")))</formula>
    </cfRule>
  </conditionalFormatting>
  <conditionalFormatting sqref="I5">
    <cfRule type="expression" priority="19" dxfId="0" stopIfTrue="1">
      <formula>AND(OR(AND(IF($D5="",INDEX(primary_jama_2024_0318_disposition,MATCH($A5,primary_jama_2024_0318_key,0)),$D5)&lt;&gt;"",IF($D5="",INDEX(primary_jama_2024_0318_disposition,MATCH($A5,primary_jama_2024_0318_key,0)),$D5)&lt;&gt;"retain"),NOT(OR(IF($E5="",INDEX(primary_jama_2024_0318_domain,MATCH($A5,primary_jama_2024_0318_key,0)),$E5)="statistical_results"))),I5&lt;&gt;"",I5&lt;&gt;"not_applicable")</formula>
    </cfRule>
    <cfRule type="expression" priority="20" dxfId="1">
      <formula>OR(AND(IF($D5="",INDEX(primary_jama_2024_0318_disposition,MATCH($A5,primary_jama_2024_0318_key,0)),$D5)&lt;&gt;"",IF($D5="",INDEX(primary_jama_2024_0318_disposition,MATCH($A5,primary_jama_2024_0318_key,0)),$D5)&lt;&gt;"retain"),NOT(OR(IF($E5="",INDEX(primary_jama_2024_0318_domain,MATCH($A5,primary_jama_2024_0318_key,0)),$E5)="statistical_results")))</formula>
    </cfRule>
  </conditionalFormatting>
  <conditionalFormatting sqref="I6">
    <cfRule type="expression" priority="21" dxfId="0" stopIfTrue="1">
      <formula>AND(OR(AND(IF($D6="",INDEX(primary_jama_2024_0318_disposition,MATCH($A6,primary_jama_2024_0318_key,0)),$D6)&lt;&gt;"",IF($D6="",INDEX(primary_jama_2024_0318_disposition,MATCH($A6,primary_jama_2024_0318_key,0)),$D6)&lt;&gt;"retain"),NOT(OR(IF($E6="",INDEX(primary_jama_2024_0318_domain,MATCH($A6,primary_jama_2024_0318_key,0)),$E6)="statistical_results"))),I6&lt;&gt;"",I6&lt;&gt;"not_applicable")</formula>
    </cfRule>
    <cfRule type="expression" priority="22" dxfId="1">
      <formula>OR(AND(IF($D6="",INDEX(primary_jama_2024_0318_disposition,MATCH($A6,primary_jama_2024_0318_key,0)),$D6)&lt;&gt;"",IF($D6="",INDEX(primary_jama_2024_0318_disposition,MATCH($A6,primary_jama_2024_0318_key,0)),$D6)&lt;&gt;"retain"),NOT(OR(IF($E6="",INDEX(primary_jama_2024_0318_domain,MATCH($A6,primary_jama_2024_0318_key,0)),$E6)="statistical_results")))</formula>
    </cfRule>
  </conditionalFormatting>
  <conditionalFormatting sqref="I7">
    <cfRule type="expression" priority="23" dxfId="0" stopIfTrue="1">
      <formula>AND(OR(AND(IF($D7="",INDEX(primary_jama_2024_0318_disposition,MATCH($A7,primary_jama_2024_0318_key,0)),$D7)&lt;&gt;"",IF($D7="",INDEX(primary_jama_2024_0318_disposition,MATCH($A7,primary_jama_2024_0318_key,0)),$D7)&lt;&gt;"retain"),NOT(OR(IF($E7="",INDEX(primary_jama_2024_0318_domain,MATCH($A7,primary_jama_2024_0318_key,0)),$E7)="statistical_results"))),I7&lt;&gt;"",I7&lt;&gt;"not_applicable")</formula>
    </cfRule>
    <cfRule type="expression" priority="24" dxfId="1">
      <formula>OR(AND(IF($D7="",INDEX(primary_jama_2024_0318_disposition,MATCH($A7,primary_jama_2024_0318_key,0)),$D7)&lt;&gt;"",IF($D7="",INDEX(primary_jama_2024_0318_disposition,MATCH($A7,primary_jama_2024_0318_key,0)),$D7)&lt;&gt;"retain"),NOT(OR(IF($E7="",INDEX(primary_jama_2024_0318_domain,MATCH($A7,primary_jama_2024_0318_key,0)),$E7)="statistical_results")))</formula>
    </cfRule>
  </conditionalFormatting>
  <conditionalFormatting sqref="J2">
    <cfRule type="expression" priority="25" dxfId="0" stopIfTrue="1">
      <formula>AND(OR(AND(IF($D2="",INDEX(primary_jama_2024_0318_disposition,MATCH($A2,primary_jama_2024_0318_key,0)),$D2)&lt;&gt;"",IF($D2="",INDEX(primary_jama_2024_0318_disposition,MATCH($A2,primary_jama_2024_0318_key,0)),$D2)&lt;&gt;"retain"),NOT(OR(IF($E2="",INDEX(primary_jama_2024_0318_domain,MATCH($A2,primary_jama_2024_0318_key,0)),$E2)="statistical_results"))),J2&lt;&gt;"",J2&lt;&gt;"not_applicable")</formula>
    </cfRule>
    <cfRule type="expression" priority="26" dxfId="1">
      <formula>OR(AND(IF($D2="",INDEX(primary_jama_2024_0318_disposition,MATCH($A2,primary_jama_2024_0318_key,0)),$D2)&lt;&gt;"",IF($D2="",INDEX(primary_jama_2024_0318_disposition,MATCH($A2,primary_jama_2024_0318_key,0)),$D2)&lt;&gt;"retain"),NOT(OR(IF($E2="",INDEX(primary_jama_2024_0318_domain,MATCH($A2,primary_jama_2024_0318_key,0)),$E2)="statistical_results")))</formula>
    </cfRule>
  </conditionalFormatting>
  <conditionalFormatting sqref="J3">
    <cfRule type="expression" priority="27" dxfId="0" stopIfTrue="1">
      <formula>AND(OR(AND(IF($D3="",INDEX(primary_jama_2024_0318_disposition,MATCH($A3,primary_jama_2024_0318_key,0)),$D3)&lt;&gt;"",IF($D3="",INDEX(primary_jama_2024_0318_disposition,MATCH($A3,primary_jama_2024_0318_key,0)),$D3)&lt;&gt;"retain"),NOT(OR(IF($E3="",INDEX(primary_jama_2024_0318_domain,MATCH($A3,primary_jama_2024_0318_key,0)),$E3)="statistical_results"))),J3&lt;&gt;"",J3&lt;&gt;"not_applicable")</formula>
    </cfRule>
    <cfRule type="expression" priority="28" dxfId="1">
      <formula>OR(AND(IF($D3="",INDEX(primary_jama_2024_0318_disposition,MATCH($A3,primary_jama_2024_0318_key,0)),$D3)&lt;&gt;"",IF($D3="",INDEX(primary_jama_2024_0318_disposition,MATCH($A3,primary_jama_2024_0318_key,0)),$D3)&lt;&gt;"retain"),NOT(OR(IF($E3="",INDEX(primary_jama_2024_0318_domain,MATCH($A3,primary_jama_2024_0318_key,0)),$E3)="statistical_results")))</formula>
    </cfRule>
  </conditionalFormatting>
  <conditionalFormatting sqref="J4">
    <cfRule type="expression" priority="29" dxfId="0" stopIfTrue="1">
      <formula>AND(OR(AND(IF($D4="",INDEX(primary_jama_2024_0318_disposition,MATCH($A4,primary_jama_2024_0318_key,0)),$D4)&lt;&gt;"",IF($D4="",INDEX(primary_jama_2024_0318_disposition,MATCH($A4,primary_jama_2024_0318_key,0)),$D4)&lt;&gt;"retain"),NOT(OR(IF($E4="",INDEX(primary_jama_2024_0318_domain,MATCH($A4,primary_jama_2024_0318_key,0)),$E4)="statistical_results"))),J4&lt;&gt;"",J4&lt;&gt;"not_applicable")</formula>
    </cfRule>
    <cfRule type="expression" priority="30" dxfId="1">
      <formula>OR(AND(IF($D4="",INDEX(primary_jama_2024_0318_disposition,MATCH($A4,primary_jama_2024_0318_key,0)),$D4)&lt;&gt;"",IF($D4="",INDEX(primary_jama_2024_0318_disposition,MATCH($A4,primary_jama_2024_0318_key,0)),$D4)&lt;&gt;"retain"),NOT(OR(IF($E4="",INDEX(primary_jama_2024_0318_domain,MATCH($A4,primary_jama_2024_0318_key,0)),$E4)="statistical_results")))</formula>
    </cfRule>
  </conditionalFormatting>
  <conditionalFormatting sqref="J5">
    <cfRule type="expression" priority="31" dxfId="0" stopIfTrue="1">
      <formula>AND(OR(AND(IF($D5="",INDEX(primary_jama_2024_0318_disposition,MATCH($A5,primary_jama_2024_0318_key,0)),$D5)&lt;&gt;"",IF($D5="",INDEX(primary_jama_2024_0318_disposition,MATCH($A5,primary_jama_2024_0318_key,0)),$D5)&lt;&gt;"retain"),NOT(OR(IF($E5="",INDEX(primary_jama_2024_0318_domain,MATCH($A5,primary_jama_2024_0318_key,0)),$E5)="statistical_results"))),J5&lt;&gt;"",J5&lt;&gt;"not_applicable")</formula>
    </cfRule>
    <cfRule type="expression" priority="32" dxfId="1">
      <formula>OR(AND(IF($D5="",INDEX(primary_jama_2024_0318_disposition,MATCH($A5,primary_jama_2024_0318_key,0)),$D5)&lt;&gt;"",IF($D5="",INDEX(primary_jama_2024_0318_disposition,MATCH($A5,primary_jama_2024_0318_key,0)),$D5)&lt;&gt;"retain"),NOT(OR(IF($E5="",INDEX(primary_jama_2024_0318_domain,MATCH($A5,primary_jama_2024_0318_key,0)),$E5)="statistical_results")))</formula>
    </cfRule>
  </conditionalFormatting>
  <conditionalFormatting sqref="J6">
    <cfRule type="expression" priority="33" dxfId="0" stopIfTrue="1">
      <formula>AND(OR(AND(IF($D6="",INDEX(primary_jama_2024_0318_disposition,MATCH($A6,primary_jama_2024_0318_key,0)),$D6)&lt;&gt;"",IF($D6="",INDEX(primary_jama_2024_0318_disposition,MATCH($A6,primary_jama_2024_0318_key,0)),$D6)&lt;&gt;"retain"),NOT(OR(IF($E6="",INDEX(primary_jama_2024_0318_domain,MATCH($A6,primary_jama_2024_0318_key,0)),$E6)="statistical_results"))),J6&lt;&gt;"",J6&lt;&gt;"not_applicable")</formula>
    </cfRule>
    <cfRule type="expression" priority="34" dxfId="1">
      <formula>OR(AND(IF($D6="",INDEX(primary_jama_2024_0318_disposition,MATCH($A6,primary_jama_2024_0318_key,0)),$D6)&lt;&gt;"",IF($D6="",INDEX(primary_jama_2024_0318_disposition,MATCH($A6,primary_jama_2024_0318_key,0)),$D6)&lt;&gt;"retain"),NOT(OR(IF($E6="",INDEX(primary_jama_2024_0318_domain,MATCH($A6,primary_jama_2024_0318_key,0)),$E6)="statistical_results")))</formula>
    </cfRule>
  </conditionalFormatting>
  <conditionalFormatting sqref="J7">
    <cfRule type="expression" priority="35" dxfId="0" stopIfTrue="1">
      <formula>AND(OR(AND(IF($D7="",INDEX(primary_jama_2024_0318_disposition,MATCH($A7,primary_jama_2024_0318_key,0)),$D7)&lt;&gt;"",IF($D7="",INDEX(primary_jama_2024_0318_disposition,MATCH($A7,primary_jama_2024_0318_key,0)),$D7)&lt;&gt;"retain"),NOT(OR(IF($E7="",INDEX(primary_jama_2024_0318_domain,MATCH($A7,primary_jama_2024_0318_key,0)),$E7)="statistical_results"))),J7&lt;&gt;"",J7&lt;&gt;"not_applicable")</formula>
    </cfRule>
    <cfRule type="expression" priority="36" dxfId="1">
      <formula>OR(AND(IF($D7="",INDEX(primary_jama_2024_0318_disposition,MATCH($A7,primary_jama_2024_0318_key,0)),$D7)&lt;&gt;"",IF($D7="",INDEX(primary_jama_2024_0318_disposition,MATCH($A7,primary_jama_2024_0318_key,0)),$D7)&lt;&gt;"retain"),NOT(OR(IF($E7="",INDEX(primary_jama_2024_0318_domain,MATCH($A7,primary_jama_2024_0318_key,0)),$E7)="statistical_results")))</formula>
    </cfRule>
  </conditionalFormatting>
  <conditionalFormatting sqref="K2">
    <cfRule type="expression" priority="37" dxfId="0" stopIfTrue="1">
      <formula>AND(OR(AND(IF($D2="",INDEX(primary_jama_2024_0318_disposition,MATCH($A2,primary_jama_2024_0318_key,0)),$D2)&lt;&gt;"",IF($D2="",INDEX(primary_jama_2024_0318_disposition,MATCH($A2,primary_jama_2024_0318_key,0)),$D2)&lt;&gt;"retain"),NOT(OR(IF($E2="",INDEX(primary_jama_2024_0318_domain,MATCH($A2,primary_jama_2024_0318_key,0)),$E2)="internal_nonstatistical",IF($E2="",INDEX(primary_jama_2024_0318_domain,MATCH($A2,primary_jama_2024_0318_key,0)),$E2)="plan_material"))),K2&lt;&gt;"",K2&lt;&gt;"not_applicable")</formula>
    </cfRule>
    <cfRule type="expression" priority="38" dxfId="1">
      <formula>OR(AND(IF($D2="",INDEX(primary_jama_2024_0318_disposition,MATCH($A2,primary_jama_2024_0318_key,0)),$D2)&lt;&gt;"",IF($D2="",INDEX(primary_jama_2024_0318_disposition,MATCH($A2,primary_jama_2024_0318_key,0)),$D2)&lt;&gt;"retain"),NOT(OR(IF($E2="",INDEX(primary_jama_2024_0318_domain,MATCH($A2,primary_jama_2024_0318_key,0)),$E2)="internal_nonstatistical",IF($E2="",INDEX(primary_jama_2024_0318_domain,MATCH($A2,primary_jama_2024_0318_key,0)),$E2)="plan_material")))</formula>
    </cfRule>
  </conditionalFormatting>
  <conditionalFormatting sqref="K3">
    <cfRule type="expression" priority="39" dxfId="0" stopIfTrue="1">
      <formula>AND(OR(AND(IF($D3="",INDEX(primary_jama_2024_0318_disposition,MATCH($A3,primary_jama_2024_0318_key,0)),$D3)&lt;&gt;"",IF($D3="",INDEX(primary_jama_2024_0318_disposition,MATCH($A3,primary_jama_2024_0318_key,0)),$D3)&lt;&gt;"retain"),NOT(OR(IF($E3="",INDEX(primary_jama_2024_0318_domain,MATCH($A3,primary_jama_2024_0318_key,0)),$E3)="internal_nonstatistical",IF($E3="",INDEX(primary_jama_2024_0318_domain,MATCH($A3,primary_jama_2024_0318_key,0)),$E3)="plan_material"))),K3&lt;&gt;"",K3&lt;&gt;"not_applicable")</formula>
    </cfRule>
    <cfRule type="expression" priority="40" dxfId="1">
      <formula>OR(AND(IF($D3="",INDEX(primary_jama_2024_0318_disposition,MATCH($A3,primary_jama_2024_0318_key,0)),$D3)&lt;&gt;"",IF($D3="",INDEX(primary_jama_2024_0318_disposition,MATCH($A3,primary_jama_2024_0318_key,0)),$D3)&lt;&gt;"retain"),NOT(OR(IF($E3="",INDEX(primary_jama_2024_0318_domain,MATCH($A3,primary_jama_2024_0318_key,0)),$E3)="internal_nonstatistical",IF($E3="",INDEX(primary_jama_2024_0318_domain,MATCH($A3,primary_jama_2024_0318_key,0)),$E3)="plan_material")))</formula>
    </cfRule>
  </conditionalFormatting>
  <conditionalFormatting sqref="K4">
    <cfRule type="expression" priority="41" dxfId="0" stopIfTrue="1">
      <formula>AND(OR(AND(IF($D4="",INDEX(primary_jama_2024_0318_disposition,MATCH($A4,primary_jama_2024_0318_key,0)),$D4)&lt;&gt;"",IF($D4="",INDEX(primary_jama_2024_0318_disposition,MATCH($A4,primary_jama_2024_0318_key,0)),$D4)&lt;&gt;"retain"),NOT(OR(IF($E4="",INDEX(primary_jama_2024_0318_domain,MATCH($A4,primary_jama_2024_0318_key,0)),$E4)="internal_nonstatistical",IF($E4="",INDEX(primary_jama_2024_0318_domain,MATCH($A4,primary_jama_2024_0318_key,0)),$E4)="plan_material"))),K4&lt;&gt;"",K4&lt;&gt;"not_applicable")</formula>
    </cfRule>
    <cfRule type="expression" priority="42" dxfId="1">
      <formula>OR(AND(IF($D4="",INDEX(primary_jama_2024_0318_disposition,MATCH($A4,primary_jama_2024_0318_key,0)),$D4)&lt;&gt;"",IF($D4="",INDEX(primary_jama_2024_0318_disposition,MATCH($A4,primary_jama_2024_0318_key,0)),$D4)&lt;&gt;"retain"),NOT(OR(IF($E4="",INDEX(primary_jama_2024_0318_domain,MATCH($A4,primary_jama_2024_0318_key,0)),$E4)="internal_nonstatistical",IF($E4="",INDEX(primary_jama_2024_0318_domain,MATCH($A4,primary_jama_2024_0318_key,0)),$E4)="plan_material")))</formula>
    </cfRule>
  </conditionalFormatting>
  <conditionalFormatting sqref="K5">
    <cfRule type="expression" priority="43" dxfId="0" stopIfTrue="1">
      <formula>AND(OR(AND(IF($D5="",INDEX(primary_jama_2024_0318_disposition,MATCH($A5,primary_jama_2024_0318_key,0)),$D5)&lt;&gt;"",IF($D5="",INDEX(primary_jama_2024_0318_disposition,MATCH($A5,primary_jama_2024_0318_key,0)),$D5)&lt;&gt;"retain"),NOT(OR(IF($E5="",INDEX(primary_jama_2024_0318_domain,MATCH($A5,primary_jama_2024_0318_key,0)),$E5)="internal_nonstatistical",IF($E5="",INDEX(primary_jama_2024_0318_domain,MATCH($A5,primary_jama_2024_0318_key,0)),$E5)="plan_material"))),K5&lt;&gt;"",K5&lt;&gt;"not_applicable")</formula>
    </cfRule>
    <cfRule type="expression" priority="44" dxfId="1">
      <formula>OR(AND(IF($D5="",INDEX(primary_jama_2024_0318_disposition,MATCH($A5,primary_jama_2024_0318_key,0)),$D5)&lt;&gt;"",IF($D5="",INDEX(primary_jama_2024_0318_disposition,MATCH($A5,primary_jama_2024_0318_key,0)),$D5)&lt;&gt;"retain"),NOT(OR(IF($E5="",INDEX(primary_jama_2024_0318_domain,MATCH($A5,primary_jama_2024_0318_key,0)),$E5)="internal_nonstatistical",IF($E5="",INDEX(primary_jama_2024_0318_domain,MATCH($A5,primary_jama_2024_0318_key,0)),$E5)="plan_material")))</formula>
    </cfRule>
  </conditionalFormatting>
  <conditionalFormatting sqref="K6">
    <cfRule type="expression" priority="45" dxfId="0" stopIfTrue="1">
      <formula>AND(OR(AND(IF($D6="",INDEX(primary_jama_2024_0318_disposition,MATCH($A6,primary_jama_2024_0318_key,0)),$D6)&lt;&gt;"",IF($D6="",INDEX(primary_jama_2024_0318_disposition,MATCH($A6,primary_jama_2024_0318_key,0)),$D6)&lt;&gt;"retain"),NOT(OR(IF($E6="",INDEX(primary_jama_2024_0318_domain,MATCH($A6,primary_jama_2024_0318_key,0)),$E6)="internal_nonstatistical",IF($E6="",INDEX(primary_jama_2024_0318_domain,MATCH($A6,primary_jama_2024_0318_key,0)),$E6)="plan_material"))),K6&lt;&gt;"",K6&lt;&gt;"not_applicable")</formula>
    </cfRule>
    <cfRule type="expression" priority="46" dxfId="1">
      <formula>OR(AND(IF($D6="",INDEX(primary_jama_2024_0318_disposition,MATCH($A6,primary_jama_2024_0318_key,0)),$D6)&lt;&gt;"",IF($D6="",INDEX(primary_jama_2024_0318_disposition,MATCH($A6,primary_jama_2024_0318_key,0)),$D6)&lt;&gt;"retain"),NOT(OR(IF($E6="",INDEX(primary_jama_2024_0318_domain,MATCH($A6,primary_jama_2024_0318_key,0)),$E6)="internal_nonstatistical",IF($E6="",INDEX(primary_jama_2024_0318_domain,MATCH($A6,primary_jama_2024_0318_key,0)),$E6)="plan_material")))</formula>
    </cfRule>
  </conditionalFormatting>
  <conditionalFormatting sqref="K7">
    <cfRule type="expression" priority="47" dxfId="0" stopIfTrue="1">
      <formula>AND(OR(AND(IF($D7="",INDEX(primary_jama_2024_0318_disposition,MATCH($A7,primary_jama_2024_0318_key,0)),$D7)&lt;&gt;"",IF($D7="",INDEX(primary_jama_2024_0318_disposition,MATCH($A7,primary_jama_2024_0318_key,0)),$D7)&lt;&gt;"retain"),NOT(OR(IF($E7="",INDEX(primary_jama_2024_0318_domain,MATCH($A7,primary_jama_2024_0318_key,0)),$E7)="internal_nonstatistical",IF($E7="",INDEX(primary_jama_2024_0318_domain,MATCH($A7,primary_jama_2024_0318_key,0)),$E7)="plan_material"))),K7&lt;&gt;"",K7&lt;&gt;"not_applicable")</formula>
    </cfRule>
    <cfRule type="expression" priority="48" dxfId="1">
      <formula>OR(AND(IF($D7="",INDEX(primary_jama_2024_0318_disposition,MATCH($A7,primary_jama_2024_0318_key,0)),$D7)&lt;&gt;"",IF($D7="",INDEX(primary_jama_2024_0318_disposition,MATCH($A7,primary_jama_2024_0318_key,0)),$D7)&lt;&gt;"retain"),NOT(OR(IF($E7="",INDEX(primary_jama_2024_0318_domain,MATCH($A7,primary_jama_2024_0318_key,0)),$E7)="internal_nonstatistical",IF($E7="",INDEX(primary_jama_2024_0318_domain,MATCH($A7,primary_jama_2024_0318_key,0)),$E7)="plan_material")))</formula>
    </cfRule>
  </conditionalFormatting>
  <conditionalFormatting sqref="L2">
    <cfRule type="expression" priority="49" dxfId="0" stopIfTrue="1">
      <formula>AND(OR(AND(IF($D2="",INDEX(primary_jama_2024_0318_disposition,MATCH($A2,primary_jama_2024_0318_key,0)),$D2)&lt;&gt;"",IF($D2="",INDEX(primary_jama_2024_0318_disposition,MATCH($A2,primary_jama_2024_0318_key,0)),$D2)&lt;&gt;"retain"),NOT(OR(IF($E2="",INDEX(primary_jama_2024_0318_domain,MATCH($A2,primary_jama_2024_0318_key,0)),$E2)="protocol_report"))),L2&lt;&gt;"",L2&lt;&gt;"not_applicable")</formula>
    </cfRule>
    <cfRule type="expression" priority="50" dxfId="1">
      <formula>OR(AND(IF($D2="",INDEX(primary_jama_2024_0318_disposition,MATCH($A2,primary_jama_2024_0318_key,0)),$D2)&lt;&gt;"",IF($D2="",INDEX(primary_jama_2024_0318_disposition,MATCH($A2,primary_jama_2024_0318_key,0)),$D2)&lt;&gt;"retain"),NOT(OR(IF($E2="",INDEX(primary_jama_2024_0318_domain,MATCH($A2,primary_jama_2024_0318_key,0)),$E2)="protocol_report")))</formula>
    </cfRule>
  </conditionalFormatting>
  <conditionalFormatting sqref="L3">
    <cfRule type="expression" priority="51" dxfId="0" stopIfTrue="1">
      <formula>AND(OR(AND(IF($D3="",INDEX(primary_jama_2024_0318_disposition,MATCH($A3,primary_jama_2024_0318_key,0)),$D3)&lt;&gt;"",IF($D3="",INDEX(primary_jama_2024_0318_disposition,MATCH($A3,primary_jama_2024_0318_key,0)),$D3)&lt;&gt;"retain"),NOT(OR(IF($E3="",INDEX(primary_jama_2024_0318_domain,MATCH($A3,primary_jama_2024_0318_key,0)),$E3)="protocol_report"))),L3&lt;&gt;"",L3&lt;&gt;"not_applicable")</formula>
    </cfRule>
    <cfRule type="expression" priority="52" dxfId="1">
      <formula>OR(AND(IF($D3="",INDEX(primary_jama_2024_0318_disposition,MATCH($A3,primary_jama_2024_0318_key,0)),$D3)&lt;&gt;"",IF($D3="",INDEX(primary_jama_2024_0318_disposition,MATCH($A3,primary_jama_2024_0318_key,0)),$D3)&lt;&gt;"retain"),NOT(OR(IF($E3="",INDEX(primary_jama_2024_0318_domain,MATCH($A3,primary_jama_2024_0318_key,0)),$E3)="protocol_report")))</formula>
    </cfRule>
  </conditionalFormatting>
  <conditionalFormatting sqref="L4">
    <cfRule type="expression" priority="53" dxfId="0" stopIfTrue="1">
      <formula>AND(OR(AND(IF($D4="",INDEX(primary_jama_2024_0318_disposition,MATCH($A4,primary_jama_2024_0318_key,0)),$D4)&lt;&gt;"",IF($D4="",INDEX(primary_jama_2024_0318_disposition,MATCH($A4,primary_jama_2024_0318_key,0)),$D4)&lt;&gt;"retain"),NOT(OR(IF($E4="",INDEX(primary_jama_2024_0318_domain,MATCH($A4,primary_jama_2024_0318_key,0)),$E4)="protocol_report"))),L4&lt;&gt;"",L4&lt;&gt;"not_applicable")</formula>
    </cfRule>
    <cfRule type="expression" priority="54" dxfId="1">
      <formula>OR(AND(IF($D4="",INDEX(primary_jama_2024_0318_disposition,MATCH($A4,primary_jama_2024_0318_key,0)),$D4)&lt;&gt;"",IF($D4="",INDEX(primary_jama_2024_0318_disposition,MATCH($A4,primary_jama_2024_0318_key,0)),$D4)&lt;&gt;"retain"),NOT(OR(IF($E4="",INDEX(primary_jama_2024_0318_domain,MATCH($A4,primary_jama_2024_0318_key,0)),$E4)="protocol_report")))</formula>
    </cfRule>
  </conditionalFormatting>
  <conditionalFormatting sqref="L5">
    <cfRule type="expression" priority="55" dxfId="0" stopIfTrue="1">
      <formula>AND(OR(AND(IF($D5="",INDEX(primary_jama_2024_0318_disposition,MATCH($A5,primary_jama_2024_0318_key,0)),$D5)&lt;&gt;"",IF($D5="",INDEX(primary_jama_2024_0318_disposition,MATCH($A5,primary_jama_2024_0318_key,0)),$D5)&lt;&gt;"retain"),NOT(OR(IF($E5="",INDEX(primary_jama_2024_0318_domain,MATCH($A5,primary_jama_2024_0318_key,0)),$E5)="protocol_report"))),L5&lt;&gt;"",L5&lt;&gt;"not_applicable")</formula>
    </cfRule>
    <cfRule type="expression" priority="56" dxfId="1">
      <formula>OR(AND(IF($D5="",INDEX(primary_jama_2024_0318_disposition,MATCH($A5,primary_jama_2024_0318_key,0)),$D5)&lt;&gt;"",IF($D5="",INDEX(primary_jama_2024_0318_disposition,MATCH($A5,primary_jama_2024_0318_key,0)),$D5)&lt;&gt;"retain"),NOT(OR(IF($E5="",INDEX(primary_jama_2024_0318_domain,MATCH($A5,primary_jama_2024_0318_key,0)),$E5)="protocol_report")))</formula>
    </cfRule>
  </conditionalFormatting>
  <conditionalFormatting sqref="L6">
    <cfRule type="expression" priority="57" dxfId="0" stopIfTrue="1">
      <formula>AND(OR(AND(IF($D6="",INDEX(primary_jama_2024_0318_disposition,MATCH($A6,primary_jama_2024_0318_key,0)),$D6)&lt;&gt;"",IF($D6="",INDEX(primary_jama_2024_0318_disposition,MATCH($A6,primary_jama_2024_0318_key,0)),$D6)&lt;&gt;"retain"),NOT(OR(IF($E6="",INDEX(primary_jama_2024_0318_domain,MATCH($A6,primary_jama_2024_0318_key,0)),$E6)="protocol_report"))),L6&lt;&gt;"",L6&lt;&gt;"not_applicable")</formula>
    </cfRule>
    <cfRule type="expression" priority="58" dxfId="1">
      <formula>OR(AND(IF($D6="",INDEX(primary_jama_2024_0318_disposition,MATCH($A6,primary_jama_2024_0318_key,0)),$D6)&lt;&gt;"",IF($D6="",INDEX(primary_jama_2024_0318_disposition,MATCH($A6,primary_jama_2024_0318_key,0)),$D6)&lt;&gt;"retain"),NOT(OR(IF($E6="",INDEX(primary_jama_2024_0318_domain,MATCH($A6,primary_jama_2024_0318_key,0)),$E6)="protocol_report")))</formula>
    </cfRule>
  </conditionalFormatting>
  <conditionalFormatting sqref="L7">
    <cfRule type="expression" priority="59" dxfId="0" stopIfTrue="1">
      <formula>AND(OR(AND(IF($D7="",INDEX(primary_jama_2024_0318_disposition,MATCH($A7,primary_jama_2024_0318_key,0)),$D7)&lt;&gt;"",IF($D7="",INDEX(primary_jama_2024_0318_disposition,MATCH($A7,primary_jama_2024_0318_key,0)),$D7)&lt;&gt;"retain"),NOT(OR(IF($E7="",INDEX(primary_jama_2024_0318_domain,MATCH($A7,primary_jama_2024_0318_key,0)),$E7)="protocol_report"))),L7&lt;&gt;"",L7&lt;&gt;"not_applicable")</formula>
    </cfRule>
    <cfRule type="expression" priority="60" dxfId="1">
      <formula>OR(AND(IF($D7="",INDEX(primary_jama_2024_0318_disposition,MATCH($A7,primary_jama_2024_0318_key,0)),$D7)&lt;&gt;"",IF($D7="",INDEX(primary_jama_2024_0318_disposition,MATCH($A7,primary_jama_2024_0318_key,0)),$D7)&lt;&gt;"retain"),NOT(OR(IF($E7="",INDEX(primary_jama_2024_0318_domain,MATCH($A7,primary_jama_2024_0318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7" showDropDown="0" showInputMessage="1" showErrorMessage="1" allowBlank="1" errorTitle="Invalid option" error="Choose a listed value." promptTitle="Checker result" prompt="See Codebook for meanings." type="list" errorStyle="stop">
      <formula1>opt_checkStatus</formula1>
    </dataValidation>
    <dataValidation sqref="Q2:Q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c r="F2" s="8" t="inlineStr">
        <is>
          <t>no</t>
        </is>
      </c>
      <c r="G2" s="2">
        <f>IF(OR(AND(OR(AND(IF($D2="",INDEX(primary_jama_2024_0572_disposition,MATCH($A2,primary_jama_2024_0572_key,0)),$D2)&lt;&gt;"",IF($D2="",INDEX(primary_jama_2024_0572_disposition,MATCH($A2,primary_jama_2024_0572_key,0)),$D2)&lt;&gt;"retain"),NOT(OR(IF($E2="",INDEX(primary_jama_2024_0572_domain,MATCH($A2,primary_jama_2024_0572_key,0)),$E2)="statistical_results"))),H2&lt;&gt;"",H2&lt;&gt;"not_applicable"),AND(OR(AND(IF($D2="",INDEX(primary_jama_2024_0572_disposition,MATCH($A2,primary_jama_2024_0572_key,0)),$D2)&lt;&gt;"",IF($D2="",INDEX(primary_jama_2024_0572_disposition,MATCH($A2,primary_jama_2024_0572_key,0)),$D2)&lt;&gt;"retain"),NOT(OR(IF($E2="",INDEX(primary_jama_2024_0572_domain,MATCH($A2,primary_jama_2024_0572_key,0)),$E2)="statistical_results"))),I2&lt;&gt;"",I2&lt;&gt;"not_applicable"),AND(OR(AND(IF($D2="",INDEX(primary_jama_2024_0572_disposition,MATCH($A2,primary_jama_2024_0572_key,0)),$D2)&lt;&gt;"",IF($D2="",INDEX(primary_jama_2024_0572_disposition,MATCH($A2,primary_jama_2024_0572_key,0)),$D2)&lt;&gt;"retain"),NOT(OR(IF($E2="",INDEX(primary_jama_2024_0572_domain,MATCH($A2,primary_jama_2024_0572_key,0)),$E2)="statistical_results"))),J2&lt;&gt;"",J2&lt;&gt;"not_applicable"),AND(OR(AND(IF($D2="",INDEX(primary_jama_2024_0572_disposition,MATCH($A2,primary_jama_2024_0572_key,0)),$D2)&lt;&gt;"",IF($D2="",INDEX(primary_jama_2024_0572_disposition,MATCH($A2,primary_jama_2024_0572_key,0)),$D2)&lt;&gt;"retain"),NOT(OR(IF($E2="",INDEX(primary_jama_2024_0572_domain,MATCH($A2,primary_jama_2024_0572_key,0)),$E2)="internal_nonstatistical",IF($E2="",INDEX(primary_jama_2024_0572_domain,MATCH($A2,primary_jama_2024_0572_key,0)),$E2)="plan_material"))),K2&lt;&gt;"",K2&lt;&gt;"not_applicable"),AND(OR(AND(IF($D2="",INDEX(primary_jama_2024_0572_disposition,MATCH($A2,primary_jama_2024_0572_key,0)),$D2)&lt;&gt;"",IF($D2="",INDEX(primary_jama_2024_0572_disposition,MATCH($A2,primary_jama_2024_0572_key,0)),$D2)&lt;&gt;"retain"),NOT(OR(IF($E2="",INDEX(primary_jama_2024_0572_domain,MATCH($A2,primary_jama_2024_0572_key,0)),$E2)="protocol_report"))),L2&lt;&gt;"",L2&lt;&gt;"not_applicable")),"CLEAR INACTIVE VALUES",IF(O2="","PENDING",IF(AND(O2&lt;&gt;"agree",LEN(TRIM(P2))=0),"COMMENT NEEDED",IF(F2="yes","CHECKED - see resolution","DRAFT"))))</f>
        <v/>
      </c>
      <c r="H2" s="8">
        <f>IF(OR(AND(IF($D2="",INDEX(primary_jama_2024_0572_disposition,MATCH($A2,primary_jama_2024_0572_key,0)),$D2)&lt;&gt;"",IF($D2="",INDEX(primary_jama_2024_0572_disposition,MATCH($A2,primary_jama_2024_0572_key,0)),$D2)&lt;&gt;"retain"),NOT(OR(IF($E2="",INDEX(primary_jama_2024_0572_domain,MATCH($A2,primary_jama_2024_0572_key,0)),$E2)="statistical_results"))),"not_applicable","")</f>
        <v/>
      </c>
      <c r="I2" s="8">
        <f>IF(OR(AND(IF($D2="",INDEX(primary_jama_2024_0572_disposition,MATCH($A2,primary_jama_2024_0572_key,0)),$D2)&lt;&gt;"",IF($D2="",INDEX(primary_jama_2024_0572_disposition,MATCH($A2,primary_jama_2024_0572_key,0)),$D2)&lt;&gt;"retain"),NOT(OR(IF($E2="",INDEX(primary_jama_2024_0572_domain,MATCH($A2,primary_jama_2024_0572_key,0)),$E2)="statistical_results"))),"not_applicable","")</f>
        <v/>
      </c>
      <c r="J2" s="9">
        <f>IF(OR(AND(IF($D2="",INDEX(primary_jama_2024_0572_disposition,MATCH($A2,primary_jama_2024_0572_key,0)),$D2)&lt;&gt;"",IF($D2="",INDEX(primary_jama_2024_0572_disposition,MATCH($A2,primary_jama_2024_0572_key,0)),$D2)&lt;&gt;"retain"),NOT(OR(IF($E2="",INDEX(primary_jama_2024_0572_domain,MATCH($A2,primary_jama_2024_0572_key,0)),$E2)="statistical_results"))),"not_applicable","")</f>
        <v/>
      </c>
      <c r="K2" s="8">
        <f>IF(OR(AND(IF($D2="",INDEX(primary_jama_2024_0572_disposition,MATCH($A2,primary_jama_2024_0572_key,0)),$D2)&lt;&gt;"",IF($D2="",INDEX(primary_jama_2024_0572_disposition,MATCH($A2,primary_jama_2024_0572_key,0)),$D2)&lt;&gt;"retain"),NOT(OR(IF($E2="",INDEX(primary_jama_2024_0572_domain,MATCH($A2,primary_jama_2024_0572_key,0)),$E2)="internal_nonstatistical",IF($E2="",INDEX(primary_jama_2024_0572_domain,MATCH($A2,primary_jama_2024_0572_key,0)),$E2)="plan_material"))),"not_applicable","")</f>
        <v/>
      </c>
      <c r="L2" s="9">
        <f>IF(OR(AND(IF($D2="",INDEX(primary_jama_2024_0572_disposition,MATCH($A2,primary_jama_2024_0572_key,0)),$D2)&lt;&gt;"",IF($D2="",INDEX(primary_jama_2024_0572_disposition,MATCH($A2,primary_jama_2024_0572_key,0)),$D2)&lt;&gt;"retain"),NOT(OR(IF($E2="",INDEX(primary_jama_2024_0572_domain,MATCH($A2,primary_jama_2024_0572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c r="F3" s="8" t="inlineStr">
        <is>
          <t>no</t>
        </is>
      </c>
      <c r="G3" s="3">
        <f>IF(OR(AND(OR(AND(IF($D3="",INDEX(primary_jama_2024_0572_disposition,MATCH($A3,primary_jama_2024_0572_key,0)),$D3)&lt;&gt;"",IF($D3="",INDEX(primary_jama_2024_0572_disposition,MATCH($A3,primary_jama_2024_0572_key,0)),$D3)&lt;&gt;"retain"),NOT(OR(IF($E3="",INDEX(primary_jama_2024_0572_domain,MATCH($A3,primary_jama_2024_0572_key,0)),$E3)="statistical_results"))),H3&lt;&gt;"",H3&lt;&gt;"not_applicable"),AND(OR(AND(IF($D3="",INDEX(primary_jama_2024_0572_disposition,MATCH($A3,primary_jama_2024_0572_key,0)),$D3)&lt;&gt;"",IF($D3="",INDEX(primary_jama_2024_0572_disposition,MATCH($A3,primary_jama_2024_0572_key,0)),$D3)&lt;&gt;"retain"),NOT(OR(IF($E3="",INDEX(primary_jama_2024_0572_domain,MATCH($A3,primary_jama_2024_0572_key,0)),$E3)="statistical_results"))),I3&lt;&gt;"",I3&lt;&gt;"not_applicable"),AND(OR(AND(IF($D3="",INDEX(primary_jama_2024_0572_disposition,MATCH($A3,primary_jama_2024_0572_key,0)),$D3)&lt;&gt;"",IF($D3="",INDEX(primary_jama_2024_0572_disposition,MATCH($A3,primary_jama_2024_0572_key,0)),$D3)&lt;&gt;"retain"),NOT(OR(IF($E3="",INDEX(primary_jama_2024_0572_domain,MATCH($A3,primary_jama_2024_0572_key,0)),$E3)="statistical_results"))),J3&lt;&gt;"",J3&lt;&gt;"not_applicable"),AND(OR(AND(IF($D3="",INDEX(primary_jama_2024_0572_disposition,MATCH($A3,primary_jama_2024_0572_key,0)),$D3)&lt;&gt;"",IF($D3="",INDEX(primary_jama_2024_0572_disposition,MATCH($A3,primary_jama_2024_0572_key,0)),$D3)&lt;&gt;"retain"),NOT(OR(IF($E3="",INDEX(primary_jama_2024_0572_domain,MATCH($A3,primary_jama_2024_0572_key,0)),$E3)="internal_nonstatistical",IF($E3="",INDEX(primary_jama_2024_0572_domain,MATCH($A3,primary_jama_2024_0572_key,0)),$E3)="plan_material"))),K3&lt;&gt;"",K3&lt;&gt;"not_applicable"),AND(OR(AND(IF($D3="",INDEX(primary_jama_2024_0572_disposition,MATCH($A3,primary_jama_2024_0572_key,0)),$D3)&lt;&gt;"",IF($D3="",INDEX(primary_jama_2024_0572_disposition,MATCH($A3,primary_jama_2024_0572_key,0)),$D3)&lt;&gt;"retain"),NOT(OR(IF($E3="",INDEX(primary_jama_2024_0572_domain,MATCH($A3,primary_jama_2024_0572_key,0)),$E3)="protocol_report"))),L3&lt;&gt;"",L3&lt;&gt;"not_applicable")),"CLEAR INACTIVE VALUES",IF(O3="","PENDING",IF(AND(O3&lt;&gt;"agree",LEN(TRIM(P3))=0),"COMMENT NEEDED",IF(F3="yes","CHECKED - see resolution","DRAFT"))))</f>
        <v/>
      </c>
      <c r="H3" s="8">
        <f>IF(OR(AND(IF($D3="",INDEX(primary_jama_2024_0572_disposition,MATCH($A3,primary_jama_2024_0572_key,0)),$D3)&lt;&gt;"",IF($D3="",INDEX(primary_jama_2024_0572_disposition,MATCH($A3,primary_jama_2024_0572_key,0)),$D3)&lt;&gt;"retain"),NOT(OR(IF($E3="",INDEX(primary_jama_2024_0572_domain,MATCH($A3,primary_jama_2024_0572_key,0)),$E3)="statistical_results"))),"not_applicable","")</f>
        <v/>
      </c>
      <c r="I3" s="8">
        <f>IF(OR(AND(IF($D3="",INDEX(primary_jama_2024_0572_disposition,MATCH($A3,primary_jama_2024_0572_key,0)),$D3)&lt;&gt;"",IF($D3="",INDEX(primary_jama_2024_0572_disposition,MATCH($A3,primary_jama_2024_0572_key,0)),$D3)&lt;&gt;"retain"),NOT(OR(IF($E3="",INDEX(primary_jama_2024_0572_domain,MATCH($A3,primary_jama_2024_0572_key,0)),$E3)="statistical_results"))),"not_applicable","")</f>
        <v/>
      </c>
      <c r="J3" s="9">
        <f>IF(OR(AND(IF($D3="",INDEX(primary_jama_2024_0572_disposition,MATCH($A3,primary_jama_2024_0572_key,0)),$D3)&lt;&gt;"",IF($D3="",INDEX(primary_jama_2024_0572_disposition,MATCH($A3,primary_jama_2024_0572_key,0)),$D3)&lt;&gt;"retain"),NOT(OR(IF($E3="",INDEX(primary_jama_2024_0572_domain,MATCH($A3,primary_jama_2024_0572_key,0)),$E3)="statistical_results"))),"not_applicable","")</f>
        <v/>
      </c>
      <c r="K3" s="8">
        <f>IF(OR(AND(IF($D3="",INDEX(primary_jama_2024_0572_disposition,MATCH($A3,primary_jama_2024_0572_key,0)),$D3)&lt;&gt;"",IF($D3="",INDEX(primary_jama_2024_0572_disposition,MATCH($A3,primary_jama_2024_0572_key,0)),$D3)&lt;&gt;"retain"),NOT(OR(IF($E3="",INDEX(primary_jama_2024_0572_domain,MATCH($A3,primary_jama_2024_0572_key,0)),$E3)="internal_nonstatistical",IF($E3="",INDEX(primary_jama_2024_0572_domain,MATCH($A3,primary_jama_2024_0572_key,0)),$E3)="plan_material"))),"not_applicable","")</f>
        <v/>
      </c>
      <c r="L3" s="9">
        <f>IF(OR(AND(IF($D3="",INDEX(primary_jama_2024_0572_disposition,MATCH($A3,primary_jama_2024_0572_key,0)),$D3)&lt;&gt;"",IF($D3="",INDEX(primary_jama_2024_0572_disposition,MATCH($A3,primary_jama_2024_0572_key,0)),$D3)&lt;&gt;"retain"),NOT(OR(IF($E3="",INDEX(primary_jama_2024_0572_domain,MATCH($A3,primary_jama_2024_0572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3"/>
  <conditionalFormatting sqref="H2">
    <cfRule type="expression" priority="1" dxfId="0" stopIfTrue="1">
      <formula>AND(OR(AND(IF($D2="",INDEX(primary_jama_2024_0572_disposition,MATCH($A2,primary_jama_2024_0572_key,0)),$D2)&lt;&gt;"",IF($D2="",INDEX(primary_jama_2024_0572_disposition,MATCH($A2,primary_jama_2024_0572_key,0)),$D2)&lt;&gt;"retain"),NOT(OR(IF($E2="",INDEX(primary_jama_2024_0572_domain,MATCH($A2,primary_jama_2024_0572_key,0)),$E2)="statistical_results"))),H2&lt;&gt;"",H2&lt;&gt;"not_applicable")</formula>
    </cfRule>
    <cfRule type="expression" priority="2" dxfId="1">
      <formula>OR(AND(IF($D2="",INDEX(primary_jama_2024_0572_disposition,MATCH($A2,primary_jama_2024_0572_key,0)),$D2)&lt;&gt;"",IF($D2="",INDEX(primary_jama_2024_0572_disposition,MATCH($A2,primary_jama_2024_0572_key,0)),$D2)&lt;&gt;"retain"),NOT(OR(IF($E2="",INDEX(primary_jama_2024_0572_domain,MATCH($A2,primary_jama_2024_0572_key,0)),$E2)="statistical_results")))</formula>
    </cfRule>
  </conditionalFormatting>
  <conditionalFormatting sqref="H3">
    <cfRule type="expression" priority="3" dxfId="0" stopIfTrue="1">
      <formula>AND(OR(AND(IF($D3="",INDEX(primary_jama_2024_0572_disposition,MATCH($A3,primary_jama_2024_0572_key,0)),$D3)&lt;&gt;"",IF($D3="",INDEX(primary_jama_2024_0572_disposition,MATCH($A3,primary_jama_2024_0572_key,0)),$D3)&lt;&gt;"retain"),NOT(OR(IF($E3="",INDEX(primary_jama_2024_0572_domain,MATCH($A3,primary_jama_2024_0572_key,0)),$E3)="statistical_results"))),H3&lt;&gt;"",H3&lt;&gt;"not_applicable")</formula>
    </cfRule>
    <cfRule type="expression" priority="4" dxfId="1">
      <formula>OR(AND(IF($D3="",INDEX(primary_jama_2024_0572_disposition,MATCH($A3,primary_jama_2024_0572_key,0)),$D3)&lt;&gt;"",IF($D3="",INDEX(primary_jama_2024_0572_disposition,MATCH($A3,primary_jama_2024_0572_key,0)),$D3)&lt;&gt;"retain"),NOT(OR(IF($E3="",INDEX(primary_jama_2024_0572_domain,MATCH($A3,primary_jama_2024_0572_key,0)),$E3)="statistical_results")))</formula>
    </cfRule>
  </conditionalFormatting>
  <conditionalFormatting sqref="I2">
    <cfRule type="expression" priority="5" dxfId="0" stopIfTrue="1">
      <formula>AND(OR(AND(IF($D2="",INDEX(primary_jama_2024_0572_disposition,MATCH($A2,primary_jama_2024_0572_key,0)),$D2)&lt;&gt;"",IF($D2="",INDEX(primary_jama_2024_0572_disposition,MATCH($A2,primary_jama_2024_0572_key,0)),$D2)&lt;&gt;"retain"),NOT(OR(IF($E2="",INDEX(primary_jama_2024_0572_domain,MATCH($A2,primary_jama_2024_0572_key,0)),$E2)="statistical_results"))),I2&lt;&gt;"",I2&lt;&gt;"not_applicable")</formula>
    </cfRule>
    <cfRule type="expression" priority="6" dxfId="1">
      <formula>OR(AND(IF($D2="",INDEX(primary_jama_2024_0572_disposition,MATCH($A2,primary_jama_2024_0572_key,0)),$D2)&lt;&gt;"",IF($D2="",INDEX(primary_jama_2024_0572_disposition,MATCH($A2,primary_jama_2024_0572_key,0)),$D2)&lt;&gt;"retain"),NOT(OR(IF($E2="",INDEX(primary_jama_2024_0572_domain,MATCH($A2,primary_jama_2024_0572_key,0)),$E2)="statistical_results")))</formula>
    </cfRule>
  </conditionalFormatting>
  <conditionalFormatting sqref="I3">
    <cfRule type="expression" priority="7" dxfId="0" stopIfTrue="1">
      <formula>AND(OR(AND(IF($D3="",INDEX(primary_jama_2024_0572_disposition,MATCH($A3,primary_jama_2024_0572_key,0)),$D3)&lt;&gt;"",IF($D3="",INDEX(primary_jama_2024_0572_disposition,MATCH($A3,primary_jama_2024_0572_key,0)),$D3)&lt;&gt;"retain"),NOT(OR(IF($E3="",INDEX(primary_jama_2024_0572_domain,MATCH($A3,primary_jama_2024_0572_key,0)),$E3)="statistical_results"))),I3&lt;&gt;"",I3&lt;&gt;"not_applicable")</formula>
    </cfRule>
    <cfRule type="expression" priority="8" dxfId="1">
      <formula>OR(AND(IF($D3="",INDEX(primary_jama_2024_0572_disposition,MATCH($A3,primary_jama_2024_0572_key,0)),$D3)&lt;&gt;"",IF($D3="",INDEX(primary_jama_2024_0572_disposition,MATCH($A3,primary_jama_2024_0572_key,0)),$D3)&lt;&gt;"retain"),NOT(OR(IF($E3="",INDEX(primary_jama_2024_0572_domain,MATCH($A3,primary_jama_2024_0572_key,0)),$E3)="statistical_results")))</formula>
    </cfRule>
  </conditionalFormatting>
  <conditionalFormatting sqref="J2">
    <cfRule type="expression" priority="9" dxfId="0" stopIfTrue="1">
      <formula>AND(OR(AND(IF($D2="",INDEX(primary_jama_2024_0572_disposition,MATCH($A2,primary_jama_2024_0572_key,0)),$D2)&lt;&gt;"",IF($D2="",INDEX(primary_jama_2024_0572_disposition,MATCH($A2,primary_jama_2024_0572_key,0)),$D2)&lt;&gt;"retain"),NOT(OR(IF($E2="",INDEX(primary_jama_2024_0572_domain,MATCH($A2,primary_jama_2024_0572_key,0)),$E2)="statistical_results"))),J2&lt;&gt;"",J2&lt;&gt;"not_applicable")</formula>
    </cfRule>
    <cfRule type="expression" priority="10" dxfId="1">
      <formula>OR(AND(IF($D2="",INDEX(primary_jama_2024_0572_disposition,MATCH($A2,primary_jama_2024_0572_key,0)),$D2)&lt;&gt;"",IF($D2="",INDEX(primary_jama_2024_0572_disposition,MATCH($A2,primary_jama_2024_0572_key,0)),$D2)&lt;&gt;"retain"),NOT(OR(IF($E2="",INDEX(primary_jama_2024_0572_domain,MATCH($A2,primary_jama_2024_0572_key,0)),$E2)="statistical_results")))</formula>
    </cfRule>
  </conditionalFormatting>
  <conditionalFormatting sqref="J3">
    <cfRule type="expression" priority="11" dxfId="0" stopIfTrue="1">
      <formula>AND(OR(AND(IF($D3="",INDEX(primary_jama_2024_0572_disposition,MATCH($A3,primary_jama_2024_0572_key,0)),$D3)&lt;&gt;"",IF($D3="",INDEX(primary_jama_2024_0572_disposition,MATCH($A3,primary_jama_2024_0572_key,0)),$D3)&lt;&gt;"retain"),NOT(OR(IF($E3="",INDEX(primary_jama_2024_0572_domain,MATCH($A3,primary_jama_2024_0572_key,0)),$E3)="statistical_results"))),J3&lt;&gt;"",J3&lt;&gt;"not_applicable")</formula>
    </cfRule>
    <cfRule type="expression" priority="12" dxfId="1">
      <formula>OR(AND(IF($D3="",INDEX(primary_jama_2024_0572_disposition,MATCH($A3,primary_jama_2024_0572_key,0)),$D3)&lt;&gt;"",IF($D3="",INDEX(primary_jama_2024_0572_disposition,MATCH($A3,primary_jama_2024_0572_key,0)),$D3)&lt;&gt;"retain"),NOT(OR(IF($E3="",INDEX(primary_jama_2024_0572_domain,MATCH($A3,primary_jama_2024_0572_key,0)),$E3)="statistical_results")))</formula>
    </cfRule>
  </conditionalFormatting>
  <conditionalFormatting sqref="K2">
    <cfRule type="expression" priority="13" dxfId="0" stopIfTrue="1">
      <formula>AND(OR(AND(IF($D2="",INDEX(primary_jama_2024_0572_disposition,MATCH($A2,primary_jama_2024_0572_key,0)),$D2)&lt;&gt;"",IF($D2="",INDEX(primary_jama_2024_0572_disposition,MATCH($A2,primary_jama_2024_0572_key,0)),$D2)&lt;&gt;"retain"),NOT(OR(IF($E2="",INDEX(primary_jama_2024_0572_domain,MATCH($A2,primary_jama_2024_0572_key,0)),$E2)="internal_nonstatistical",IF($E2="",INDEX(primary_jama_2024_0572_domain,MATCH($A2,primary_jama_2024_0572_key,0)),$E2)="plan_material"))),K2&lt;&gt;"",K2&lt;&gt;"not_applicable")</formula>
    </cfRule>
    <cfRule type="expression" priority="14" dxfId="1">
      <formula>OR(AND(IF($D2="",INDEX(primary_jama_2024_0572_disposition,MATCH($A2,primary_jama_2024_0572_key,0)),$D2)&lt;&gt;"",IF($D2="",INDEX(primary_jama_2024_0572_disposition,MATCH($A2,primary_jama_2024_0572_key,0)),$D2)&lt;&gt;"retain"),NOT(OR(IF($E2="",INDEX(primary_jama_2024_0572_domain,MATCH($A2,primary_jama_2024_0572_key,0)),$E2)="internal_nonstatistical",IF($E2="",INDEX(primary_jama_2024_0572_domain,MATCH($A2,primary_jama_2024_0572_key,0)),$E2)="plan_material")))</formula>
    </cfRule>
  </conditionalFormatting>
  <conditionalFormatting sqref="K3">
    <cfRule type="expression" priority="15" dxfId="0" stopIfTrue="1">
      <formula>AND(OR(AND(IF($D3="",INDEX(primary_jama_2024_0572_disposition,MATCH($A3,primary_jama_2024_0572_key,0)),$D3)&lt;&gt;"",IF($D3="",INDEX(primary_jama_2024_0572_disposition,MATCH($A3,primary_jama_2024_0572_key,0)),$D3)&lt;&gt;"retain"),NOT(OR(IF($E3="",INDEX(primary_jama_2024_0572_domain,MATCH($A3,primary_jama_2024_0572_key,0)),$E3)="internal_nonstatistical",IF($E3="",INDEX(primary_jama_2024_0572_domain,MATCH($A3,primary_jama_2024_0572_key,0)),$E3)="plan_material"))),K3&lt;&gt;"",K3&lt;&gt;"not_applicable")</formula>
    </cfRule>
    <cfRule type="expression" priority="16" dxfId="1">
      <formula>OR(AND(IF($D3="",INDEX(primary_jama_2024_0572_disposition,MATCH($A3,primary_jama_2024_0572_key,0)),$D3)&lt;&gt;"",IF($D3="",INDEX(primary_jama_2024_0572_disposition,MATCH($A3,primary_jama_2024_0572_key,0)),$D3)&lt;&gt;"retain"),NOT(OR(IF($E3="",INDEX(primary_jama_2024_0572_domain,MATCH($A3,primary_jama_2024_0572_key,0)),$E3)="internal_nonstatistical",IF($E3="",INDEX(primary_jama_2024_0572_domain,MATCH($A3,primary_jama_2024_0572_key,0)),$E3)="plan_material")))</formula>
    </cfRule>
  </conditionalFormatting>
  <conditionalFormatting sqref="L2">
    <cfRule type="expression" priority="17" dxfId="0" stopIfTrue="1">
      <formula>AND(OR(AND(IF($D2="",INDEX(primary_jama_2024_0572_disposition,MATCH($A2,primary_jama_2024_0572_key,0)),$D2)&lt;&gt;"",IF($D2="",INDEX(primary_jama_2024_0572_disposition,MATCH($A2,primary_jama_2024_0572_key,0)),$D2)&lt;&gt;"retain"),NOT(OR(IF($E2="",INDEX(primary_jama_2024_0572_domain,MATCH($A2,primary_jama_2024_0572_key,0)),$E2)="protocol_report"))),L2&lt;&gt;"",L2&lt;&gt;"not_applicable")</formula>
    </cfRule>
    <cfRule type="expression" priority="18" dxfId="1">
      <formula>OR(AND(IF($D2="",INDEX(primary_jama_2024_0572_disposition,MATCH($A2,primary_jama_2024_0572_key,0)),$D2)&lt;&gt;"",IF($D2="",INDEX(primary_jama_2024_0572_disposition,MATCH($A2,primary_jama_2024_0572_key,0)),$D2)&lt;&gt;"retain"),NOT(OR(IF($E2="",INDEX(primary_jama_2024_0572_domain,MATCH($A2,primary_jama_2024_0572_key,0)),$E2)="protocol_report")))</formula>
    </cfRule>
  </conditionalFormatting>
  <conditionalFormatting sqref="L3">
    <cfRule type="expression" priority="19" dxfId="0" stopIfTrue="1">
      <formula>AND(OR(AND(IF($D3="",INDEX(primary_jama_2024_0572_disposition,MATCH($A3,primary_jama_2024_0572_key,0)),$D3)&lt;&gt;"",IF($D3="",INDEX(primary_jama_2024_0572_disposition,MATCH($A3,primary_jama_2024_0572_key,0)),$D3)&lt;&gt;"retain"),NOT(OR(IF($E3="",INDEX(primary_jama_2024_0572_domain,MATCH($A3,primary_jama_2024_0572_key,0)),$E3)="protocol_report"))),L3&lt;&gt;"",L3&lt;&gt;"not_applicable")</formula>
    </cfRule>
    <cfRule type="expression" priority="20" dxfId="1">
      <formula>OR(AND(IF($D3="",INDEX(primary_jama_2024_0572_disposition,MATCH($A3,primary_jama_2024_0572_key,0)),$D3)&lt;&gt;"",IF($D3="",INDEX(primary_jama_2024_0572_disposition,MATCH($A3,primary_jama_2024_0572_key,0)),$D3)&lt;&gt;"retain"),NOT(OR(IF($E3="",INDEX(primary_jama_2024_0572_domain,MATCH($A3,primary_jama_2024_0572_key,0)),$E3)="protocol_report")))</formula>
    </cfRule>
  </conditionalFormatting>
  <dataValidations count="10">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3" showDropDown="0" showInputMessage="1" showErrorMessage="1" allowBlank="1" errorTitle="Invalid option" error="Choose a listed value." promptTitle="Checker result" prompt="See Codebook for meanings." type="list" errorStyle="stop">
      <formula1>opt_checkStatus</formula1>
    </dataValidation>
    <dataValidation sqref="Q2:Q3"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c r="F2" s="8" t="inlineStr">
        <is>
          <t>no</t>
        </is>
      </c>
      <c r="G2" s="2">
        <f>IF(OR(AND(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H2&lt;&gt;"",H2&lt;&gt;"not_applicable"),AND(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I2&lt;&gt;"",I2&lt;&gt;"not_applicable"),AND(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J2&lt;&gt;"",J2&lt;&gt;"not_applicable"),AND(OR(AND(IF($D2="",INDEX(primary_jama_2024_11057_disposition,MATCH($A2,primary_jama_2024_11057_key,0)),$D2)&lt;&gt;"",IF($D2="",INDEX(primary_jama_2024_11057_disposition,MATCH($A2,primary_jama_2024_11057_key,0)),$D2)&lt;&gt;"retain"),NOT(OR(IF($E2="",INDEX(primary_jama_2024_11057_domain,MATCH($A2,primary_jama_2024_11057_key,0)),$E2)="internal_nonstatistical",IF($E2="",INDEX(primary_jama_2024_11057_domain,MATCH($A2,primary_jama_2024_11057_key,0)),$E2)="plan_material"))),K2&lt;&gt;"",K2&lt;&gt;"not_applicable"),AND(OR(AND(IF($D2="",INDEX(primary_jama_2024_11057_disposition,MATCH($A2,primary_jama_2024_11057_key,0)),$D2)&lt;&gt;"",IF($D2="",INDEX(primary_jama_2024_11057_disposition,MATCH($A2,primary_jama_2024_11057_key,0)),$D2)&lt;&gt;"retain"),NOT(OR(IF($E2="",INDEX(primary_jama_2024_11057_domain,MATCH($A2,primary_jama_2024_11057_key,0)),$E2)="protocol_report"))),L2&lt;&gt;"",L2&lt;&gt;"not_applicable")),"CLEAR INACTIVE VALUES",IF(O2="","PENDING",IF(AND(O2&lt;&gt;"agree",LEN(TRIM(P2))=0),"COMMENT NEEDED",IF(F2="yes","CHECKED - see resolution","DRAFT"))))</f>
        <v/>
      </c>
      <c r="H2" s="8">
        <f>IF(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not_applicable","")</f>
        <v/>
      </c>
      <c r="I2" s="8">
        <f>IF(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not_applicable","")</f>
        <v/>
      </c>
      <c r="J2" s="9">
        <f>IF(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not_applicable","")</f>
        <v/>
      </c>
      <c r="K2" s="8">
        <f>IF(OR(AND(IF($D2="",INDEX(primary_jama_2024_11057_disposition,MATCH($A2,primary_jama_2024_11057_key,0)),$D2)&lt;&gt;"",IF($D2="",INDEX(primary_jama_2024_11057_disposition,MATCH($A2,primary_jama_2024_11057_key,0)),$D2)&lt;&gt;"retain"),NOT(OR(IF($E2="",INDEX(primary_jama_2024_11057_domain,MATCH($A2,primary_jama_2024_11057_key,0)),$E2)="internal_nonstatistical",IF($E2="",INDEX(primary_jama_2024_11057_domain,MATCH($A2,primary_jama_2024_11057_key,0)),$E2)="plan_material"))),"not_applicable","")</f>
        <v/>
      </c>
      <c r="L2" s="9">
        <f>IF(OR(AND(IF($D2="",INDEX(primary_jama_2024_11057_disposition,MATCH($A2,primary_jama_2024_11057_key,0)),$D2)&lt;&gt;"",IF($D2="",INDEX(primary_jama_2024_11057_disposition,MATCH($A2,primary_jama_2024_11057_key,0)),$D2)&lt;&gt;"retain"),NOT(OR(IF($E2="",INDEX(primary_jama_2024_11057_domain,MATCH($A2,primary_jama_2024_11057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c r="F3" s="8" t="inlineStr">
        <is>
          <t>no</t>
        </is>
      </c>
      <c r="G3" s="3">
        <f>IF(OR(AND(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H3&lt;&gt;"",H3&lt;&gt;"not_applicable"),AND(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I3&lt;&gt;"",I3&lt;&gt;"not_applicable"),AND(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J3&lt;&gt;"",J3&lt;&gt;"not_applicable"),AND(OR(AND(IF($D3="",INDEX(primary_jama_2024_11057_disposition,MATCH($A3,primary_jama_2024_11057_key,0)),$D3)&lt;&gt;"",IF($D3="",INDEX(primary_jama_2024_11057_disposition,MATCH($A3,primary_jama_2024_11057_key,0)),$D3)&lt;&gt;"retain"),NOT(OR(IF($E3="",INDEX(primary_jama_2024_11057_domain,MATCH($A3,primary_jama_2024_11057_key,0)),$E3)="internal_nonstatistical",IF($E3="",INDEX(primary_jama_2024_11057_domain,MATCH($A3,primary_jama_2024_11057_key,0)),$E3)="plan_material"))),K3&lt;&gt;"",K3&lt;&gt;"not_applicable"),AND(OR(AND(IF($D3="",INDEX(primary_jama_2024_11057_disposition,MATCH($A3,primary_jama_2024_11057_key,0)),$D3)&lt;&gt;"",IF($D3="",INDEX(primary_jama_2024_11057_disposition,MATCH($A3,primary_jama_2024_11057_key,0)),$D3)&lt;&gt;"retain"),NOT(OR(IF($E3="",INDEX(primary_jama_2024_11057_domain,MATCH($A3,primary_jama_2024_11057_key,0)),$E3)="protocol_report"))),L3&lt;&gt;"",L3&lt;&gt;"not_applicable")),"CLEAR INACTIVE VALUES",IF(O3="","PENDING",IF(AND(O3&lt;&gt;"agree",LEN(TRIM(P3))=0),"COMMENT NEEDED",IF(F3="yes","CHECKED - see resolution","DRAFT"))))</f>
        <v/>
      </c>
      <c r="H3" s="8">
        <f>IF(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not_applicable","")</f>
        <v/>
      </c>
      <c r="I3" s="8">
        <f>IF(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not_applicable","")</f>
        <v/>
      </c>
      <c r="J3" s="9">
        <f>IF(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not_applicable","")</f>
        <v/>
      </c>
      <c r="K3" s="8">
        <f>IF(OR(AND(IF($D3="",INDEX(primary_jama_2024_11057_disposition,MATCH($A3,primary_jama_2024_11057_key,0)),$D3)&lt;&gt;"",IF($D3="",INDEX(primary_jama_2024_11057_disposition,MATCH($A3,primary_jama_2024_11057_key,0)),$D3)&lt;&gt;"retain"),NOT(OR(IF($E3="",INDEX(primary_jama_2024_11057_domain,MATCH($A3,primary_jama_2024_11057_key,0)),$E3)="internal_nonstatistical",IF($E3="",INDEX(primary_jama_2024_11057_domain,MATCH($A3,primary_jama_2024_11057_key,0)),$E3)="plan_material"))),"not_applicable","")</f>
        <v/>
      </c>
      <c r="L3" s="9">
        <f>IF(OR(AND(IF($D3="",INDEX(primary_jama_2024_11057_disposition,MATCH($A3,primary_jama_2024_11057_key,0)),$D3)&lt;&gt;"",IF($D3="",INDEX(primary_jama_2024_11057_disposition,MATCH($A3,primary_jama_2024_11057_key,0)),$D3)&lt;&gt;"retain"),NOT(OR(IF($E3="",INDEX(primary_jama_2024_11057_domain,MATCH($A3,primary_jama_2024_11057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c r="F4" s="8" t="inlineStr">
        <is>
          <t>no</t>
        </is>
      </c>
      <c r="G4" s="2">
        <f>IF(OR(AND(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H4&lt;&gt;"",H4&lt;&gt;"not_applicable"),AND(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I4&lt;&gt;"",I4&lt;&gt;"not_applicable"),AND(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J4&lt;&gt;"",J4&lt;&gt;"not_applicable"),AND(OR(AND(IF($D4="",INDEX(primary_jama_2024_11057_disposition,MATCH($A4,primary_jama_2024_11057_key,0)),$D4)&lt;&gt;"",IF($D4="",INDEX(primary_jama_2024_11057_disposition,MATCH($A4,primary_jama_2024_11057_key,0)),$D4)&lt;&gt;"retain"),NOT(OR(IF($E4="",INDEX(primary_jama_2024_11057_domain,MATCH($A4,primary_jama_2024_11057_key,0)),$E4)="internal_nonstatistical",IF($E4="",INDEX(primary_jama_2024_11057_domain,MATCH($A4,primary_jama_2024_11057_key,0)),$E4)="plan_material"))),K4&lt;&gt;"",K4&lt;&gt;"not_applicable"),AND(OR(AND(IF($D4="",INDEX(primary_jama_2024_11057_disposition,MATCH($A4,primary_jama_2024_11057_key,0)),$D4)&lt;&gt;"",IF($D4="",INDEX(primary_jama_2024_11057_disposition,MATCH($A4,primary_jama_2024_11057_key,0)),$D4)&lt;&gt;"retain"),NOT(OR(IF($E4="",INDEX(primary_jama_2024_11057_domain,MATCH($A4,primary_jama_2024_11057_key,0)),$E4)="protocol_report"))),L4&lt;&gt;"",L4&lt;&gt;"not_applicable")),"CLEAR INACTIVE VALUES",IF(O4="","PENDING",IF(AND(O4&lt;&gt;"agree",LEN(TRIM(P4))=0),"COMMENT NEEDED",IF(F4="yes","CHECKED - see resolution","DRAFT"))))</f>
        <v/>
      </c>
      <c r="H4" s="8">
        <f>IF(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not_applicable","")</f>
        <v/>
      </c>
      <c r="I4" s="8">
        <f>IF(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not_applicable","")</f>
        <v/>
      </c>
      <c r="J4" s="9">
        <f>IF(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not_applicable","")</f>
        <v/>
      </c>
      <c r="K4" s="8">
        <f>IF(OR(AND(IF($D4="",INDEX(primary_jama_2024_11057_disposition,MATCH($A4,primary_jama_2024_11057_key,0)),$D4)&lt;&gt;"",IF($D4="",INDEX(primary_jama_2024_11057_disposition,MATCH($A4,primary_jama_2024_11057_key,0)),$D4)&lt;&gt;"retain"),NOT(OR(IF($E4="",INDEX(primary_jama_2024_11057_domain,MATCH($A4,primary_jama_2024_11057_key,0)),$E4)="internal_nonstatistical",IF($E4="",INDEX(primary_jama_2024_11057_domain,MATCH($A4,primary_jama_2024_11057_key,0)),$E4)="plan_material"))),"not_applicable","")</f>
        <v/>
      </c>
      <c r="L4" s="9">
        <f>IF(OR(AND(IF($D4="",INDEX(primary_jama_2024_11057_disposition,MATCH($A4,primary_jama_2024_11057_key,0)),$D4)&lt;&gt;"",IF($D4="",INDEX(primary_jama_2024_11057_disposition,MATCH($A4,primary_jama_2024_11057_key,0)),$D4)&lt;&gt;"retain"),NOT(OR(IF($E4="",INDEX(primary_jama_2024_11057_domain,MATCH($A4,primary_jama_2024_11057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H2&lt;&gt;"",H2&lt;&gt;"not_applicable")</formula>
    </cfRule>
    <cfRule type="expression" priority="2" dxfId="1">
      <formula>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formula>
    </cfRule>
  </conditionalFormatting>
  <conditionalFormatting sqref="H3">
    <cfRule type="expression" priority="3" dxfId="0" stopIfTrue="1">
      <formula>AND(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H3&lt;&gt;"",H3&lt;&gt;"not_applicable")</formula>
    </cfRule>
    <cfRule type="expression" priority="4" dxfId="1">
      <formula>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formula>
    </cfRule>
  </conditionalFormatting>
  <conditionalFormatting sqref="H4">
    <cfRule type="expression" priority="5" dxfId="0" stopIfTrue="1">
      <formula>AND(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H4&lt;&gt;"",H4&lt;&gt;"not_applicable")</formula>
    </cfRule>
    <cfRule type="expression" priority="6" dxfId="1">
      <formula>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formula>
    </cfRule>
  </conditionalFormatting>
  <conditionalFormatting sqref="I2">
    <cfRule type="expression" priority="7" dxfId="0" stopIfTrue="1">
      <formula>AND(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I2&lt;&gt;"",I2&lt;&gt;"not_applicable")</formula>
    </cfRule>
    <cfRule type="expression" priority="8" dxfId="1">
      <formula>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formula>
    </cfRule>
  </conditionalFormatting>
  <conditionalFormatting sqref="I3">
    <cfRule type="expression" priority="9" dxfId="0" stopIfTrue="1">
      <formula>AND(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I3&lt;&gt;"",I3&lt;&gt;"not_applicable")</formula>
    </cfRule>
    <cfRule type="expression" priority="10" dxfId="1">
      <formula>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formula>
    </cfRule>
  </conditionalFormatting>
  <conditionalFormatting sqref="I4">
    <cfRule type="expression" priority="11" dxfId="0" stopIfTrue="1">
      <formula>AND(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I4&lt;&gt;"",I4&lt;&gt;"not_applicable")</formula>
    </cfRule>
    <cfRule type="expression" priority="12" dxfId="1">
      <formula>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formula>
    </cfRule>
  </conditionalFormatting>
  <conditionalFormatting sqref="J2">
    <cfRule type="expression" priority="13" dxfId="0" stopIfTrue="1">
      <formula>AND(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J2&lt;&gt;"",J2&lt;&gt;"not_applicable")</formula>
    </cfRule>
    <cfRule type="expression" priority="14" dxfId="1">
      <formula>OR(AND(IF($D2="",INDEX(primary_jama_2024_11057_disposition,MATCH($A2,primary_jama_2024_11057_key,0)),$D2)&lt;&gt;"",IF($D2="",INDEX(primary_jama_2024_11057_disposition,MATCH($A2,primary_jama_2024_11057_key,0)),$D2)&lt;&gt;"retain"),NOT(OR(IF($E2="",INDEX(primary_jama_2024_11057_domain,MATCH($A2,primary_jama_2024_11057_key,0)),$E2)="statistical_results")))</formula>
    </cfRule>
  </conditionalFormatting>
  <conditionalFormatting sqref="J3">
    <cfRule type="expression" priority="15" dxfId="0" stopIfTrue="1">
      <formula>AND(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J3&lt;&gt;"",J3&lt;&gt;"not_applicable")</formula>
    </cfRule>
    <cfRule type="expression" priority="16" dxfId="1">
      <formula>OR(AND(IF($D3="",INDEX(primary_jama_2024_11057_disposition,MATCH($A3,primary_jama_2024_11057_key,0)),$D3)&lt;&gt;"",IF($D3="",INDEX(primary_jama_2024_11057_disposition,MATCH($A3,primary_jama_2024_11057_key,0)),$D3)&lt;&gt;"retain"),NOT(OR(IF($E3="",INDEX(primary_jama_2024_11057_domain,MATCH($A3,primary_jama_2024_11057_key,0)),$E3)="statistical_results")))</formula>
    </cfRule>
  </conditionalFormatting>
  <conditionalFormatting sqref="J4">
    <cfRule type="expression" priority="17" dxfId="0" stopIfTrue="1">
      <formula>AND(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J4&lt;&gt;"",J4&lt;&gt;"not_applicable")</formula>
    </cfRule>
    <cfRule type="expression" priority="18" dxfId="1">
      <formula>OR(AND(IF($D4="",INDEX(primary_jama_2024_11057_disposition,MATCH($A4,primary_jama_2024_11057_key,0)),$D4)&lt;&gt;"",IF($D4="",INDEX(primary_jama_2024_11057_disposition,MATCH($A4,primary_jama_2024_11057_key,0)),$D4)&lt;&gt;"retain"),NOT(OR(IF($E4="",INDEX(primary_jama_2024_11057_domain,MATCH($A4,primary_jama_2024_11057_key,0)),$E4)="statistical_results")))</formula>
    </cfRule>
  </conditionalFormatting>
  <conditionalFormatting sqref="K2">
    <cfRule type="expression" priority="19" dxfId="0" stopIfTrue="1">
      <formula>AND(OR(AND(IF($D2="",INDEX(primary_jama_2024_11057_disposition,MATCH($A2,primary_jama_2024_11057_key,0)),$D2)&lt;&gt;"",IF($D2="",INDEX(primary_jama_2024_11057_disposition,MATCH($A2,primary_jama_2024_11057_key,0)),$D2)&lt;&gt;"retain"),NOT(OR(IF($E2="",INDEX(primary_jama_2024_11057_domain,MATCH($A2,primary_jama_2024_11057_key,0)),$E2)="internal_nonstatistical",IF($E2="",INDEX(primary_jama_2024_11057_domain,MATCH($A2,primary_jama_2024_11057_key,0)),$E2)="plan_material"))),K2&lt;&gt;"",K2&lt;&gt;"not_applicable")</formula>
    </cfRule>
    <cfRule type="expression" priority="20" dxfId="1">
      <formula>OR(AND(IF($D2="",INDEX(primary_jama_2024_11057_disposition,MATCH($A2,primary_jama_2024_11057_key,0)),$D2)&lt;&gt;"",IF($D2="",INDEX(primary_jama_2024_11057_disposition,MATCH($A2,primary_jama_2024_11057_key,0)),$D2)&lt;&gt;"retain"),NOT(OR(IF($E2="",INDEX(primary_jama_2024_11057_domain,MATCH($A2,primary_jama_2024_11057_key,0)),$E2)="internal_nonstatistical",IF($E2="",INDEX(primary_jama_2024_11057_domain,MATCH($A2,primary_jama_2024_11057_key,0)),$E2)="plan_material")))</formula>
    </cfRule>
  </conditionalFormatting>
  <conditionalFormatting sqref="K3">
    <cfRule type="expression" priority="21" dxfId="0" stopIfTrue="1">
      <formula>AND(OR(AND(IF($D3="",INDEX(primary_jama_2024_11057_disposition,MATCH($A3,primary_jama_2024_11057_key,0)),$D3)&lt;&gt;"",IF($D3="",INDEX(primary_jama_2024_11057_disposition,MATCH($A3,primary_jama_2024_11057_key,0)),$D3)&lt;&gt;"retain"),NOT(OR(IF($E3="",INDEX(primary_jama_2024_11057_domain,MATCH($A3,primary_jama_2024_11057_key,0)),$E3)="internal_nonstatistical",IF($E3="",INDEX(primary_jama_2024_11057_domain,MATCH($A3,primary_jama_2024_11057_key,0)),$E3)="plan_material"))),K3&lt;&gt;"",K3&lt;&gt;"not_applicable")</formula>
    </cfRule>
    <cfRule type="expression" priority="22" dxfId="1">
      <formula>OR(AND(IF($D3="",INDEX(primary_jama_2024_11057_disposition,MATCH($A3,primary_jama_2024_11057_key,0)),$D3)&lt;&gt;"",IF($D3="",INDEX(primary_jama_2024_11057_disposition,MATCH($A3,primary_jama_2024_11057_key,0)),$D3)&lt;&gt;"retain"),NOT(OR(IF($E3="",INDEX(primary_jama_2024_11057_domain,MATCH($A3,primary_jama_2024_11057_key,0)),$E3)="internal_nonstatistical",IF($E3="",INDEX(primary_jama_2024_11057_domain,MATCH($A3,primary_jama_2024_11057_key,0)),$E3)="plan_material")))</formula>
    </cfRule>
  </conditionalFormatting>
  <conditionalFormatting sqref="K4">
    <cfRule type="expression" priority="23" dxfId="0" stopIfTrue="1">
      <formula>AND(OR(AND(IF($D4="",INDEX(primary_jama_2024_11057_disposition,MATCH($A4,primary_jama_2024_11057_key,0)),$D4)&lt;&gt;"",IF($D4="",INDEX(primary_jama_2024_11057_disposition,MATCH($A4,primary_jama_2024_11057_key,0)),$D4)&lt;&gt;"retain"),NOT(OR(IF($E4="",INDEX(primary_jama_2024_11057_domain,MATCH($A4,primary_jama_2024_11057_key,0)),$E4)="internal_nonstatistical",IF($E4="",INDEX(primary_jama_2024_11057_domain,MATCH($A4,primary_jama_2024_11057_key,0)),$E4)="plan_material"))),K4&lt;&gt;"",K4&lt;&gt;"not_applicable")</formula>
    </cfRule>
    <cfRule type="expression" priority="24" dxfId="1">
      <formula>OR(AND(IF($D4="",INDEX(primary_jama_2024_11057_disposition,MATCH($A4,primary_jama_2024_11057_key,0)),$D4)&lt;&gt;"",IF($D4="",INDEX(primary_jama_2024_11057_disposition,MATCH($A4,primary_jama_2024_11057_key,0)),$D4)&lt;&gt;"retain"),NOT(OR(IF($E4="",INDEX(primary_jama_2024_11057_domain,MATCH($A4,primary_jama_2024_11057_key,0)),$E4)="internal_nonstatistical",IF($E4="",INDEX(primary_jama_2024_11057_domain,MATCH($A4,primary_jama_2024_11057_key,0)),$E4)="plan_material")))</formula>
    </cfRule>
  </conditionalFormatting>
  <conditionalFormatting sqref="L2">
    <cfRule type="expression" priority="25" dxfId="0" stopIfTrue="1">
      <formula>AND(OR(AND(IF($D2="",INDEX(primary_jama_2024_11057_disposition,MATCH($A2,primary_jama_2024_11057_key,0)),$D2)&lt;&gt;"",IF($D2="",INDEX(primary_jama_2024_11057_disposition,MATCH($A2,primary_jama_2024_11057_key,0)),$D2)&lt;&gt;"retain"),NOT(OR(IF($E2="",INDEX(primary_jama_2024_11057_domain,MATCH($A2,primary_jama_2024_11057_key,0)),$E2)="protocol_report"))),L2&lt;&gt;"",L2&lt;&gt;"not_applicable")</formula>
    </cfRule>
    <cfRule type="expression" priority="26" dxfId="1">
      <formula>OR(AND(IF($D2="",INDEX(primary_jama_2024_11057_disposition,MATCH($A2,primary_jama_2024_11057_key,0)),$D2)&lt;&gt;"",IF($D2="",INDEX(primary_jama_2024_11057_disposition,MATCH($A2,primary_jama_2024_11057_key,0)),$D2)&lt;&gt;"retain"),NOT(OR(IF($E2="",INDEX(primary_jama_2024_11057_domain,MATCH($A2,primary_jama_2024_11057_key,0)),$E2)="protocol_report")))</formula>
    </cfRule>
  </conditionalFormatting>
  <conditionalFormatting sqref="L3">
    <cfRule type="expression" priority="27" dxfId="0" stopIfTrue="1">
      <formula>AND(OR(AND(IF($D3="",INDEX(primary_jama_2024_11057_disposition,MATCH($A3,primary_jama_2024_11057_key,0)),$D3)&lt;&gt;"",IF($D3="",INDEX(primary_jama_2024_11057_disposition,MATCH($A3,primary_jama_2024_11057_key,0)),$D3)&lt;&gt;"retain"),NOT(OR(IF($E3="",INDEX(primary_jama_2024_11057_domain,MATCH($A3,primary_jama_2024_11057_key,0)),$E3)="protocol_report"))),L3&lt;&gt;"",L3&lt;&gt;"not_applicable")</formula>
    </cfRule>
    <cfRule type="expression" priority="28" dxfId="1">
      <formula>OR(AND(IF($D3="",INDEX(primary_jama_2024_11057_disposition,MATCH($A3,primary_jama_2024_11057_key,0)),$D3)&lt;&gt;"",IF($D3="",INDEX(primary_jama_2024_11057_disposition,MATCH($A3,primary_jama_2024_11057_key,0)),$D3)&lt;&gt;"retain"),NOT(OR(IF($E3="",INDEX(primary_jama_2024_11057_domain,MATCH($A3,primary_jama_2024_11057_key,0)),$E3)="protocol_report")))</formula>
    </cfRule>
  </conditionalFormatting>
  <conditionalFormatting sqref="L4">
    <cfRule type="expression" priority="29" dxfId="0" stopIfTrue="1">
      <formula>AND(OR(AND(IF($D4="",INDEX(primary_jama_2024_11057_disposition,MATCH($A4,primary_jama_2024_11057_key,0)),$D4)&lt;&gt;"",IF($D4="",INDEX(primary_jama_2024_11057_disposition,MATCH($A4,primary_jama_2024_11057_key,0)),$D4)&lt;&gt;"retain"),NOT(OR(IF($E4="",INDEX(primary_jama_2024_11057_domain,MATCH($A4,primary_jama_2024_11057_key,0)),$E4)="protocol_report"))),L4&lt;&gt;"",L4&lt;&gt;"not_applicable")</formula>
    </cfRule>
    <cfRule type="expression" priority="30" dxfId="1">
      <formula>OR(AND(IF($D4="",INDEX(primary_jama_2024_11057_disposition,MATCH($A4,primary_jama_2024_11057_key,0)),$D4)&lt;&gt;"",IF($D4="",INDEX(primary_jama_2024_11057_disposition,MATCH($A4,primary_jama_2024_11057_key,0)),$D4)&lt;&gt;"retain"),NOT(OR(IF($E4="",INDEX(primary_jama_2024_11057_domain,MATCH($A4,primary_jama_2024_11057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c r="F2" s="8" t="inlineStr">
        <is>
          <t>no</t>
        </is>
      </c>
      <c r="G2" s="2">
        <f>IF(OR(AND(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H2&lt;&gt;"",H2&lt;&gt;"not_applicable"),AND(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I2&lt;&gt;"",I2&lt;&gt;"not_applicable"),AND(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J2&lt;&gt;"",J2&lt;&gt;"not_applicable"),AND(OR(AND(IF($D2="",INDEX(primary_jama_2024_12829_disposition,MATCH($A2,primary_jama_2024_12829_key,0)),$D2)&lt;&gt;"",IF($D2="",INDEX(primary_jama_2024_12829_disposition,MATCH($A2,primary_jama_2024_12829_key,0)),$D2)&lt;&gt;"retain"),NOT(OR(IF($E2="",INDEX(primary_jama_2024_12829_domain,MATCH($A2,primary_jama_2024_12829_key,0)),$E2)="internal_nonstatistical",IF($E2="",INDEX(primary_jama_2024_12829_domain,MATCH($A2,primary_jama_2024_12829_key,0)),$E2)="plan_material"))),K2&lt;&gt;"",K2&lt;&gt;"not_applicable"),AND(OR(AND(IF($D2="",INDEX(primary_jama_2024_12829_disposition,MATCH($A2,primary_jama_2024_12829_key,0)),$D2)&lt;&gt;"",IF($D2="",INDEX(primary_jama_2024_12829_disposition,MATCH($A2,primary_jama_2024_12829_key,0)),$D2)&lt;&gt;"retain"),NOT(OR(IF($E2="",INDEX(primary_jama_2024_12829_domain,MATCH($A2,primary_jama_2024_12829_key,0)),$E2)="protocol_report"))),L2&lt;&gt;"",L2&lt;&gt;"not_applicable")),"CLEAR INACTIVE VALUES",IF(O2="","PENDING",IF(AND(O2&lt;&gt;"agree",LEN(TRIM(P2))=0),"COMMENT NEEDED",IF(F2="yes","CHECKED - see resolution","DRAFT"))))</f>
        <v/>
      </c>
      <c r="H2" s="8">
        <f>IF(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not_applicable","")</f>
        <v/>
      </c>
      <c r="I2" s="8">
        <f>IF(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not_applicable","")</f>
        <v/>
      </c>
      <c r="J2" s="9">
        <f>IF(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not_applicable","")</f>
        <v/>
      </c>
      <c r="K2" s="8">
        <f>IF(OR(AND(IF($D2="",INDEX(primary_jama_2024_12829_disposition,MATCH($A2,primary_jama_2024_12829_key,0)),$D2)&lt;&gt;"",IF($D2="",INDEX(primary_jama_2024_12829_disposition,MATCH($A2,primary_jama_2024_12829_key,0)),$D2)&lt;&gt;"retain"),NOT(OR(IF($E2="",INDEX(primary_jama_2024_12829_domain,MATCH($A2,primary_jama_2024_12829_key,0)),$E2)="internal_nonstatistical",IF($E2="",INDEX(primary_jama_2024_12829_domain,MATCH($A2,primary_jama_2024_12829_key,0)),$E2)="plan_material"))),"not_applicable","")</f>
        <v/>
      </c>
      <c r="L2" s="9">
        <f>IF(OR(AND(IF($D2="",INDEX(primary_jama_2024_12829_disposition,MATCH($A2,primary_jama_2024_12829_key,0)),$D2)&lt;&gt;"",IF($D2="",INDEX(primary_jama_2024_12829_disposition,MATCH($A2,primary_jama_2024_12829_key,0)),$D2)&lt;&gt;"retain"),NOT(OR(IF($E2="",INDEX(primary_jama_2024_12829_domain,MATCH($A2,primary_jama_2024_12829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c r="F3" s="8" t="inlineStr">
        <is>
          <t>no</t>
        </is>
      </c>
      <c r="G3" s="3">
        <f>IF(OR(AND(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H3&lt;&gt;"",H3&lt;&gt;"not_applicable"),AND(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I3&lt;&gt;"",I3&lt;&gt;"not_applicable"),AND(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J3&lt;&gt;"",J3&lt;&gt;"not_applicable"),AND(OR(AND(IF($D3="",INDEX(primary_jama_2024_12829_disposition,MATCH($A3,primary_jama_2024_12829_key,0)),$D3)&lt;&gt;"",IF($D3="",INDEX(primary_jama_2024_12829_disposition,MATCH($A3,primary_jama_2024_12829_key,0)),$D3)&lt;&gt;"retain"),NOT(OR(IF($E3="",INDEX(primary_jama_2024_12829_domain,MATCH($A3,primary_jama_2024_12829_key,0)),$E3)="internal_nonstatistical",IF($E3="",INDEX(primary_jama_2024_12829_domain,MATCH($A3,primary_jama_2024_12829_key,0)),$E3)="plan_material"))),K3&lt;&gt;"",K3&lt;&gt;"not_applicable"),AND(OR(AND(IF($D3="",INDEX(primary_jama_2024_12829_disposition,MATCH($A3,primary_jama_2024_12829_key,0)),$D3)&lt;&gt;"",IF($D3="",INDEX(primary_jama_2024_12829_disposition,MATCH($A3,primary_jama_2024_12829_key,0)),$D3)&lt;&gt;"retain"),NOT(OR(IF($E3="",INDEX(primary_jama_2024_12829_domain,MATCH($A3,primary_jama_2024_12829_key,0)),$E3)="protocol_report"))),L3&lt;&gt;"",L3&lt;&gt;"not_applicable")),"CLEAR INACTIVE VALUES",IF(O3="","PENDING",IF(AND(O3&lt;&gt;"agree",LEN(TRIM(P3))=0),"COMMENT NEEDED",IF(F3="yes","CHECKED - see resolution","DRAFT"))))</f>
        <v/>
      </c>
      <c r="H3" s="8">
        <f>IF(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not_applicable","")</f>
        <v/>
      </c>
      <c r="I3" s="8">
        <f>IF(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not_applicable","")</f>
        <v/>
      </c>
      <c r="J3" s="9">
        <f>IF(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not_applicable","")</f>
        <v/>
      </c>
      <c r="K3" s="8">
        <f>IF(OR(AND(IF($D3="",INDEX(primary_jama_2024_12829_disposition,MATCH($A3,primary_jama_2024_12829_key,0)),$D3)&lt;&gt;"",IF($D3="",INDEX(primary_jama_2024_12829_disposition,MATCH($A3,primary_jama_2024_12829_key,0)),$D3)&lt;&gt;"retain"),NOT(OR(IF($E3="",INDEX(primary_jama_2024_12829_domain,MATCH($A3,primary_jama_2024_12829_key,0)),$E3)="internal_nonstatistical",IF($E3="",INDEX(primary_jama_2024_12829_domain,MATCH($A3,primary_jama_2024_12829_key,0)),$E3)="plan_material"))),"not_applicable","")</f>
        <v/>
      </c>
      <c r="L3" s="9">
        <f>IF(OR(AND(IF($D3="",INDEX(primary_jama_2024_12829_disposition,MATCH($A3,primary_jama_2024_12829_key,0)),$D3)&lt;&gt;"",IF($D3="",INDEX(primary_jama_2024_12829_disposition,MATCH($A3,primary_jama_2024_12829_key,0)),$D3)&lt;&gt;"retain"),NOT(OR(IF($E3="",INDEX(primary_jama_2024_12829_domain,MATCH($A3,primary_jama_2024_12829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2024::jama.2024.12829::C003</t>
        </is>
      </c>
      <c r="B4" s="2" t="inlineStr">
        <is>
          <t>Table S4 procedure rows use 241 while the column header states 249</t>
        </is>
      </c>
      <c r="C4" s="2" t="inlineStr">
        <is>
          <t>DOC-002 Table S4, PDF p. 17</t>
        </is>
      </c>
      <c r="D4" s="8" t="inlineStr"/>
      <c r="E4" s="8" t="inlineStr"/>
      <c r="F4" s="8" t="inlineStr">
        <is>
          <t>no</t>
        </is>
      </c>
      <c r="G4" s="2">
        <f>IF(OR(AND(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H4&lt;&gt;"",H4&lt;&gt;"not_applicable"),AND(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I4&lt;&gt;"",I4&lt;&gt;"not_applicable"),AND(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J4&lt;&gt;"",J4&lt;&gt;"not_applicable"),AND(OR(AND(IF($D4="",INDEX(primary_jama_2024_12829_disposition,MATCH($A4,primary_jama_2024_12829_key,0)),$D4)&lt;&gt;"",IF($D4="",INDEX(primary_jama_2024_12829_disposition,MATCH($A4,primary_jama_2024_12829_key,0)),$D4)&lt;&gt;"retain"),NOT(OR(IF($E4="",INDEX(primary_jama_2024_12829_domain,MATCH($A4,primary_jama_2024_12829_key,0)),$E4)="internal_nonstatistical",IF($E4="",INDEX(primary_jama_2024_12829_domain,MATCH($A4,primary_jama_2024_12829_key,0)),$E4)="plan_material"))),K4&lt;&gt;"",K4&lt;&gt;"not_applicable"),AND(OR(AND(IF($D4="",INDEX(primary_jama_2024_12829_disposition,MATCH($A4,primary_jama_2024_12829_key,0)),$D4)&lt;&gt;"",IF($D4="",INDEX(primary_jama_2024_12829_disposition,MATCH($A4,primary_jama_2024_12829_key,0)),$D4)&lt;&gt;"retain"),NOT(OR(IF($E4="",INDEX(primary_jama_2024_12829_domain,MATCH($A4,primary_jama_2024_12829_key,0)),$E4)="protocol_report"))),L4&lt;&gt;"",L4&lt;&gt;"not_applicable")),"CLEAR INACTIVE VALUES",IF(O4="","PENDING",IF(AND(O4&lt;&gt;"agree",LEN(TRIM(P4))=0),"COMMENT NEEDED",IF(F4="yes","CHECKED - see resolution","DRAFT"))))</f>
        <v/>
      </c>
      <c r="H4" s="8">
        <f>IF(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not_applicable","")</f>
        <v/>
      </c>
      <c r="I4" s="8">
        <f>IF(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not_applicable","")</f>
        <v/>
      </c>
      <c r="J4" s="9">
        <f>IF(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not_applicable","")</f>
        <v/>
      </c>
      <c r="K4" s="8">
        <f>IF(OR(AND(IF($D4="",INDEX(primary_jama_2024_12829_disposition,MATCH($A4,primary_jama_2024_12829_key,0)),$D4)&lt;&gt;"",IF($D4="",INDEX(primary_jama_2024_12829_disposition,MATCH($A4,primary_jama_2024_12829_key,0)),$D4)&lt;&gt;"retain"),NOT(OR(IF($E4="",INDEX(primary_jama_2024_12829_domain,MATCH($A4,primary_jama_2024_12829_key,0)),$E4)="internal_nonstatistical",IF($E4="",INDEX(primary_jama_2024_12829_domain,MATCH($A4,primary_jama_2024_12829_key,0)),$E4)="plan_material"))),"not_applicable","")</f>
        <v/>
      </c>
      <c r="L4" s="9">
        <f>IF(OR(AND(IF($D4="",INDEX(primary_jama_2024_12829_disposition,MATCH($A4,primary_jama_2024_12829_key,0)),$D4)&lt;&gt;"",IF($D4="",INDEX(primary_jama_2024_12829_disposition,MATCH($A4,primary_jama_2024_12829_key,0)),$D4)&lt;&gt;"retain"),NOT(OR(IF($E4="",INDEX(primary_jama_2024_12829_domain,MATCH($A4,primary_jama_2024_12829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2024::jama.2024.12829::C004</t>
        </is>
      </c>
      <c r="B5" s="3" t="inlineStr">
        <is>
          <t>Table S6 BA 9 (3.9) conflicts with its displayed denominator 249</t>
        </is>
      </c>
      <c r="C5" s="3" t="inlineStr">
        <is>
          <t>DOC-002 Table S6, PDF p. 19</t>
        </is>
      </c>
      <c r="D5" s="8" t="inlineStr"/>
      <c r="E5" s="8" t="inlineStr"/>
      <c r="F5" s="8" t="inlineStr">
        <is>
          <t>no</t>
        </is>
      </c>
      <c r="G5" s="3">
        <f>IF(OR(AND(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H5&lt;&gt;"",H5&lt;&gt;"not_applicable"),AND(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I5&lt;&gt;"",I5&lt;&gt;"not_applicable"),AND(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J5&lt;&gt;"",J5&lt;&gt;"not_applicable"),AND(OR(AND(IF($D5="",INDEX(primary_jama_2024_12829_disposition,MATCH($A5,primary_jama_2024_12829_key,0)),$D5)&lt;&gt;"",IF($D5="",INDEX(primary_jama_2024_12829_disposition,MATCH($A5,primary_jama_2024_12829_key,0)),$D5)&lt;&gt;"retain"),NOT(OR(IF($E5="",INDEX(primary_jama_2024_12829_domain,MATCH($A5,primary_jama_2024_12829_key,0)),$E5)="internal_nonstatistical",IF($E5="",INDEX(primary_jama_2024_12829_domain,MATCH($A5,primary_jama_2024_12829_key,0)),$E5)="plan_material"))),K5&lt;&gt;"",K5&lt;&gt;"not_applicable"),AND(OR(AND(IF($D5="",INDEX(primary_jama_2024_12829_disposition,MATCH($A5,primary_jama_2024_12829_key,0)),$D5)&lt;&gt;"",IF($D5="",INDEX(primary_jama_2024_12829_disposition,MATCH($A5,primary_jama_2024_12829_key,0)),$D5)&lt;&gt;"retain"),NOT(OR(IF($E5="",INDEX(primary_jama_2024_12829_domain,MATCH($A5,primary_jama_2024_12829_key,0)),$E5)="protocol_report"))),L5&lt;&gt;"",L5&lt;&gt;"not_applicable")),"CLEAR INACTIVE VALUES",IF(O5="","PENDING",IF(AND(O5&lt;&gt;"agree",LEN(TRIM(P5))=0),"COMMENT NEEDED",IF(F5="yes","CHECKED - see resolution","DRAFT"))))</f>
        <v/>
      </c>
      <c r="H5" s="8">
        <f>IF(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not_applicable","")</f>
        <v/>
      </c>
      <c r="I5" s="8">
        <f>IF(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not_applicable","")</f>
        <v/>
      </c>
      <c r="J5" s="9">
        <f>IF(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not_applicable","")</f>
        <v/>
      </c>
      <c r="K5" s="8">
        <f>IF(OR(AND(IF($D5="",INDEX(primary_jama_2024_12829_disposition,MATCH($A5,primary_jama_2024_12829_key,0)),$D5)&lt;&gt;"",IF($D5="",INDEX(primary_jama_2024_12829_disposition,MATCH($A5,primary_jama_2024_12829_key,0)),$D5)&lt;&gt;"retain"),NOT(OR(IF($E5="",INDEX(primary_jama_2024_12829_domain,MATCH($A5,primary_jama_2024_12829_key,0)),$E5)="internal_nonstatistical",IF($E5="",INDEX(primary_jama_2024_12829_domain,MATCH($A5,primary_jama_2024_12829_key,0)),$E5)="plan_material"))),"not_applicable","")</f>
        <v/>
      </c>
      <c r="L5" s="9">
        <f>IF(OR(AND(IF($D5="",INDEX(primary_jama_2024_12829_disposition,MATCH($A5,primary_jama_2024_12829_key,0)),$D5)&lt;&gt;"",IF($D5="",INDEX(primary_jama_2024_12829_disposition,MATCH($A5,primary_jama_2024_12829_key,0)),$D5)&lt;&gt;"retain"),NOT(OR(IF($E5="",INDEX(primary_jama_2024_12829_domain,MATCH($A5,primary_jama_2024_12829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c r="F6" s="8" t="inlineStr">
        <is>
          <t>no</t>
        </is>
      </c>
      <c r="G6" s="2">
        <f>IF(OR(AND(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H6&lt;&gt;"",H6&lt;&gt;"not_applicable"),AND(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I6&lt;&gt;"",I6&lt;&gt;"not_applicable"),AND(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J6&lt;&gt;"",J6&lt;&gt;"not_applicable"),AND(OR(AND(IF($D6="",INDEX(primary_jama_2024_12829_disposition,MATCH($A6,primary_jama_2024_12829_key,0)),$D6)&lt;&gt;"",IF($D6="",INDEX(primary_jama_2024_12829_disposition,MATCH($A6,primary_jama_2024_12829_key,0)),$D6)&lt;&gt;"retain"),NOT(OR(IF($E6="",INDEX(primary_jama_2024_12829_domain,MATCH($A6,primary_jama_2024_12829_key,0)),$E6)="internal_nonstatistical",IF($E6="",INDEX(primary_jama_2024_12829_domain,MATCH($A6,primary_jama_2024_12829_key,0)),$E6)="plan_material"))),K6&lt;&gt;"",K6&lt;&gt;"not_applicable"),AND(OR(AND(IF($D6="",INDEX(primary_jama_2024_12829_disposition,MATCH($A6,primary_jama_2024_12829_key,0)),$D6)&lt;&gt;"",IF($D6="",INDEX(primary_jama_2024_12829_disposition,MATCH($A6,primary_jama_2024_12829_key,0)),$D6)&lt;&gt;"retain"),NOT(OR(IF($E6="",INDEX(primary_jama_2024_12829_domain,MATCH($A6,primary_jama_2024_12829_key,0)),$E6)="protocol_report"))),L6&lt;&gt;"",L6&lt;&gt;"not_applicable")),"CLEAR INACTIVE VALUES",IF(O6="","PENDING",IF(AND(O6&lt;&gt;"agree",LEN(TRIM(P6))=0),"COMMENT NEEDED",IF(F6="yes","CHECKED - see resolution","DRAFT"))))</f>
        <v/>
      </c>
      <c r="H6" s="8">
        <f>IF(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not_applicable","")</f>
        <v/>
      </c>
      <c r="I6" s="8">
        <f>IF(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not_applicable","")</f>
        <v/>
      </c>
      <c r="J6" s="9">
        <f>IF(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not_applicable","")</f>
        <v/>
      </c>
      <c r="K6" s="8">
        <f>IF(OR(AND(IF($D6="",INDEX(primary_jama_2024_12829_disposition,MATCH($A6,primary_jama_2024_12829_key,0)),$D6)&lt;&gt;"",IF($D6="",INDEX(primary_jama_2024_12829_disposition,MATCH($A6,primary_jama_2024_12829_key,0)),$D6)&lt;&gt;"retain"),NOT(OR(IF($E6="",INDEX(primary_jama_2024_12829_domain,MATCH($A6,primary_jama_2024_12829_key,0)),$E6)="internal_nonstatistical",IF($E6="",INDEX(primary_jama_2024_12829_domain,MATCH($A6,primary_jama_2024_12829_key,0)),$E6)="plan_material"))),"not_applicable","")</f>
        <v/>
      </c>
      <c r="L6" s="9">
        <f>IF(OR(AND(IF($D6="",INDEX(primary_jama_2024_12829_disposition,MATCH($A6,primary_jama_2024_12829_key,0)),$D6)&lt;&gt;"",IF($D6="",INDEX(primary_jama_2024_12829_disposition,MATCH($A6,primary_jama_2024_12829_key,0)),$D6)&lt;&gt;"retain"),NOT(OR(IF($E6="",INDEX(primary_jama_2024_12829_domain,MATCH($A6,primary_jama_2024_12829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c r="F7" s="8" t="inlineStr">
        <is>
          <t>no</t>
        </is>
      </c>
      <c r="G7" s="3">
        <f>IF(OR(AND(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H7&lt;&gt;"",H7&lt;&gt;"not_applicable"),AND(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I7&lt;&gt;"",I7&lt;&gt;"not_applicable"),AND(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J7&lt;&gt;"",J7&lt;&gt;"not_applicable"),AND(OR(AND(IF($D7="",INDEX(primary_jama_2024_12829_disposition,MATCH($A7,primary_jama_2024_12829_key,0)),$D7)&lt;&gt;"",IF($D7="",INDEX(primary_jama_2024_12829_disposition,MATCH($A7,primary_jama_2024_12829_key,0)),$D7)&lt;&gt;"retain"),NOT(OR(IF($E7="",INDEX(primary_jama_2024_12829_domain,MATCH($A7,primary_jama_2024_12829_key,0)),$E7)="internal_nonstatistical",IF($E7="",INDEX(primary_jama_2024_12829_domain,MATCH($A7,primary_jama_2024_12829_key,0)),$E7)="plan_material"))),K7&lt;&gt;"",K7&lt;&gt;"not_applicable"),AND(OR(AND(IF($D7="",INDEX(primary_jama_2024_12829_disposition,MATCH($A7,primary_jama_2024_12829_key,0)),$D7)&lt;&gt;"",IF($D7="",INDEX(primary_jama_2024_12829_disposition,MATCH($A7,primary_jama_2024_12829_key,0)),$D7)&lt;&gt;"retain"),NOT(OR(IF($E7="",INDEX(primary_jama_2024_12829_domain,MATCH($A7,primary_jama_2024_12829_key,0)),$E7)="protocol_report"))),L7&lt;&gt;"",L7&lt;&gt;"not_applicable")),"CLEAR INACTIVE VALUES",IF(O7="","PENDING",IF(AND(O7&lt;&gt;"agree",LEN(TRIM(P7))=0),"COMMENT NEEDED",IF(F7="yes","CHECKED - see resolution","DRAFT"))))</f>
        <v/>
      </c>
      <c r="H7" s="8">
        <f>IF(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not_applicable","")</f>
        <v/>
      </c>
      <c r="I7" s="8">
        <f>IF(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not_applicable","")</f>
        <v/>
      </c>
      <c r="J7" s="9">
        <f>IF(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not_applicable","")</f>
        <v/>
      </c>
      <c r="K7" s="8">
        <f>IF(OR(AND(IF($D7="",INDEX(primary_jama_2024_12829_disposition,MATCH($A7,primary_jama_2024_12829_key,0)),$D7)&lt;&gt;"",IF($D7="",INDEX(primary_jama_2024_12829_disposition,MATCH($A7,primary_jama_2024_12829_key,0)),$D7)&lt;&gt;"retain"),NOT(OR(IF($E7="",INDEX(primary_jama_2024_12829_domain,MATCH($A7,primary_jama_2024_12829_key,0)),$E7)="internal_nonstatistical",IF($E7="",INDEX(primary_jama_2024_12829_domain,MATCH($A7,primary_jama_2024_12829_key,0)),$E7)="plan_material"))),"not_applicable","")</f>
        <v/>
      </c>
      <c r="L7" s="9">
        <f>IF(OR(AND(IF($D7="",INDEX(primary_jama_2024_12829_disposition,MATCH($A7,primary_jama_2024_12829_key,0)),$D7)&lt;&gt;"",IF($D7="",INDEX(primary_jama_2024_12829_disposition,MATCH($A7,primary_jama_2024_12829_key,0)),$D7)&lt;&gt;"retain"),NOT(OR(IF($E7="",INDEX(primary_jama_2024_12829_domain,MATCH($A7,primary_jama_2024_12829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c r="F8" s="8" t="inlineStr">
        <is>
          <t>no</t>
        </is>
      </c>
      <c r="G8" s="2">
        <f>IF(OR(AND(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H8&lt;&gt;"",H8&lt;&gt;"not_applicable"),AND(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I8&lt;&gt;"",I8&lt;&gt;"not_applicable"),AND(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J8&lt;&gt;"",J8&lt;&gt;"not_applicable"),AND(OR(AND(IF($D8="",INDEX(primary_jama_2024_12829_disposition,MATCH($A8,primary_jama_2024_12829_key,0)),$D8)&lt;&gt;"",IF($D8="",INDEX(primary_jama_2024_12829_disposition,MATCH($A8,primary_jama_2024_12829_key,0)),$D8)&lt;&gt;"retain"),NOT(OR(IF($E8="",INDEX(primary_jama_2024_12829_domain,MATCH($A8,primary_jama_2024_12829_key,0)),$E8)="internal_nonstatistical",IF($E8="",INDEX(primary_jama_2024_12829_domain,MATCH($A8,primary_jama_2024_12829_key,0)),$E8)="plan_material"))),K8&lt;&gt;"",K8&lt;&gt;"not_applicable"),AND(OR(AND(IF($D8="",INDEX(primary_jama_2024_12829_disposition,MATCH($A8,primary_jama_2024_12829_key,0)),$D8)&lt;&gt;"",IF($D8="",INDEX(primary_jama_2024_12829_disposition,MATCH($A8,primary_jama_2024_12829_key,0)),$D8)&lt;&gt;"retain"),NOT(OR(IF($E8="",INDEX(primary_jama_2024_12829_domain,MATCH($A8,primary_jama_2024_12829_key,0)),$E8)="protocol_report"))),L8&lt;&gt;"",L8&lt;&gt;"not_applicable")),"CLEAR INACTIVE VALUES",IF(O8="","PENDING",IF(AND(O8&lt;&gt;"agree",LEN(TRIM(P8))=0),"COMMENT NEEDED",IF(F8="yes","CHECKED - see resolution","DRAFT"))))</f>
        <v/>
      </c>
      <c r="H8" s="8">
        <f>IF(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not_applicable","")</f>
        <v/>
      </c>
      <c r="I8" s="8">
        <f>IF(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not_applicable","")</f>
        <v/>
      </c>
      <c r="J8" s="9">
        <f>IF(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not_applicable","")</f>
        <v/>
      </c>
      <c r="K8" s="8">
        <f>IF(OR(AND(IF($D8="",INDEX(primary_jama_2024_12829_disposition,MATCH($A8,primary_jama_2024_12829_key,0)),$D8)&lt;&gt;"",IF($D8="",INDEX(primary_jama_2024_12829_disposition,MATCH($A8,primary_jama_2024_12829_key,0)),$D8)&lt;&gt;"retain"),NOT(OR(IF($E8="",INDEX(primary_jama_2024_12829_domain,MATCH($A8,primary_jama_2024_12829_key,0)),$E8)="internal_nonstatistical",IF($E8="",INDEX(primary_jama_2024_12829_domain,MATCH($A8,primary_jama_2024_12829_key,0)),$E8)="plan_material"))),"not_applicable","")</f>
        <v/>
      </c>
      <c r="L8" s="9">
        <f>IF(OR(AND(IF($D8="",INDEX(primary_jama_2024_12829_disposition,MATCH($A8,primary_jama_2024_12829_key,0)),$D8)&lt;&gt;"",IF($D8="",INDEX(primary_jama_2024_12829_disposition,MATCH($A8,primary_jama_2024_12829_key,0)),$D8)&lt;&gt;"retain"),NOT(OR(IF($E8="",INDEX(primary_jama_2024_12829_domain,MATCH($A8,primary_jama_2024_12829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c r="F9" s="8" t="inlineStr">
        <is>
          <t>no</t>
        </is>
      </c>
      <c r="G9" s="3">
        <f>IF(OR(AND(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H9&lt;&gt;"",H9&lt;&gt;"not_applicable"),AND(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I9&lt;&gt;"",I9&lt;&gt;"not_applicable"),AND(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J9&lt;&gt;"",J9&lt;&gt;"not_applicable"),AND(OR(AND(IF($D9="",INDEX(primary_jama_2024_12829_disposition,MATCH($A9,primary_jama_2024_12829_key,0)),$D9)&lt;&gt;"",IF($D9="",INDEX(primary_jama_2024_12829_disposition,MATCH($A9,primary_jama_2024_12829_key,0)),$D9)&lt;&gt;"retain"),NOT(OR(IF($E9="",INDEX(primary_jama_2024_12829_domain,MATCH($A9,primary_jama_2024_12829_key,0)),$E9)="internal_nonstatistical",IF($E9="",INDEX(primary_jama_2024_12829_domain,MATCH($A9,primary_jama_2024_12829_key,0)),$E9)="plan_material"))),K9&lt;&gt;"",K9&lt;&gt;"not_applicable"),AND(OR(AND(IF($D9="",INDEX(primary_jama_2024_12829_disposition,MATCH($A9,primary_jama_2024_12829_key,0)),$D9)&lt;&gt;"",IF($D9="",INDEX(primary_jama_2024_12829_disposition,MATCH($A9,primary_jama_2024_12829_key,0)),$D9)&lt;&gt;"retain"),NOT(OR(IF($E9="",INDEX(primary_jama_2024_12829_domain,MATCH($A9,primary_jama_2024_12829_key,0)),$E9)="protocol_report"))),L9&lt;&gt;"",L9&lt;&gt;"not_applicable")),"CLEAR INACTIVE VALUES",IF(O9="","PENDING",IF(AND(O9&lt;&gt;"agree",LEN(TRIM(P9))=0),"COMMENT NEEDED",IF(F9="yes","CHECKED - see resolution","DRAFT"))))</f>
        <v/>
      </c>
      <c r="H9" s="8">
        <f>IF(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not_applicable","")</f>
        <v/>
      </c>
      <c r="I9" s="8">
        <f>IF(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not_applicable","")</f>
        <v/>
      </c>
      <c r="J9" s="9">
        <f>IF(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not_applicable","")</f>
        <v/>
      </c>
      <c r="K9" s="8">
        <f>IF(OR(AND(IF($D9="",INDEX(primary_jama_2024_12829_disposition,MATCH($A9,primary_jama_2024_12829_key,0)),$D9)&lt;&gt;"",IF($D9="",INDEX(primary_jama_2024_12829_disposition,MATCH($A9,primary_jama_2024_12829_key,0)),$D9)&lt;&gt;"retain"),NOT(OR(IF($E9="",INDEX(primary_jama_2024_12829_domain,MATCH($A9,primary_jama_2024_12829_key,0)),$E9)="internal_nonstatistical",IF($E9="",INDEX(primary_jama_2024_12829_domain,MATCH($A9,primary_jama_2024_12829_key,0)),$E9)="plan_material"))),"not_applicable","")</f>
        <v/>
      </c>
      <c r="L9" s="9">
        <f>IF(OR(AND(IF($D9="",INDEX(primary_jama_2024_12829_disposition,MATCH($A9,primary_jama_2024_12829_key,0)),$D9)&lt;&gt;"",IF($D9="",INDEX(primary_jama_2024_12829_disposition,MATCH($A9,primary_jama_2024_12829_key,0)),$D9)&lt;&gt;"retain"),NOT(OR(IF($E9="",INDEX(primary_jama_2024_12829_domain,MATCH($A9,primary_jama_2024_12829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c r="F10" s="8" t="inlineStr">
        <is>
          <t>no</t>
        </is>
      </c>
      <c r="G10" s="2">
        <f>IF(OR(AND(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H10&lt;&gt;"",H10&lt;&gt;"not_applicable"),AND(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I10&lt;&gt;"",I10&lt;&gt;"not_applicable"),AND(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J10&lt;&gt;"",J10&lt;&gt;"not_applicable"),AND(OR(AND(IF($D10="",INDEX(primary_jama_2024_12829_disposition,MATCH($A10,primary_jama_2024_12829_key,0)),$D10)&lt;&gt;"",IF($D10="",INDEX(primary_jama_2024_12829_disposition,MATCH($A10,primary_jama_2024_12829_key,0)),$D10)&lt;&gt;"retain"),NOT(OR(IF($E10="",INDEX(primary_jama_2024_12829_domain,MATCH($A10,primary_jama_2024_12829_key,0)),$E10)="internal_nonstatistical",IF($E10="",INDEX(primary_jama_2024_12829_domain,MATCH($A10,primary_jama_2024_12829_key,0)),$E10)="plan_material"))),K10&lt;&gt;"",K10&lt;&gt;"not_applicable"),AND(OR(AND(IF($D10="",INDEX(primary_jama_2024_12829_disposition,MATCH($A10,primary_jama_2024_12829_key,0)),$D10)&lt;&gt;"",IF($D10="",INDEX(primary_jama_2024_12829_disposition,MATCH($A10,primary_jama_2024_12829_key,0)),$D10)&lt;&gt;"retain"),NOT(OR(IF($E10="",INDEX(primary_jama_2024_12829_domain,MATCH($A10,primary_jama_2024_12829_key,0)),$E10)="protocol_report"))),L10&lt;&gt;"",L10&lt;&gt;"not_applicable")),"CLEAR INACTIVE VALUES",IF(O10="","PENDING",IF(AND(O10&lt;&gt;"agree",LEN(TRIM(P10))=0),"COMMENT NEEDED",IF(F10="yes","CHECKED - see resolution","DRAFT"))))</f>
        <v/>
      </c>
      <c r="H10" s="8">
        <f>IF(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not_applicable","")</f>
        <v/>
      </c>
      <c r="I10" s="8">
        <f>IF(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not_applicable","")</f>
        <v/>
      </c>
      <c r="J10" s="9">
        <f>IF(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not_applicable","")</f>
        <v/>
      </c>
      <c r="K10" s="8">
        <f>IF(OR(AND(IF($D10="",INDEX(primary_jama_2024_12829_disposition,MATCH($A10,primary_jama_2024_12829_key,0)),$D10)&lt;&gt;"",IF($D10="",INDEX(primary_jama_2024_12829_disposition,MATCH($A10,primary_jama_2024_12829_key,0)),$D10)&lt;&gt;"retain"),NOT(OR(IF($E10="",INDEX(primary_jama_2024_12829_domain,MATCH($A10,primary_jama_2024_12829_key,0)),$E10)="internal_nonstatistical",IF($E10="",INDEX(primary_jama_2024_12829_domain,MATCH($A10,primary_jama_2024_12829_key,0)),$E10)="plan_material"))),"not_applicable","")</f>
        <v/>
      </c>
      <c r="L10" s="9">
        <f>IF(OR(AND(IF($D10="",INDEX(primary_jama_2024_12829_disposition,MATCH($A10,primary_jama_2024_12829_key,0)),$D10)&lt;&gt;"",IF($D10="",INDEX(primary_jama_2024_12829_disposition,MATCH($A10,primary_jama_2024_12829_key,0)),$D10)&lt;&gt;"retain"),NOT(OR(IF($E10="",INDEX(primary_jama_2024_12829_domain,MATCH($A10,primary_jama_2024_12829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c r="F11" s="8" t="inlineStr">
        <is>
          <t>no</t>
        </is>
      </c>
      <c r="G11" s="3">
        <f>IF(OR(AND(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H11&lt;&gt;"",H11&lt;&gt;"not_applicable"),AND(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I11&lt;&gt;"",I11&lt;&gt;"not_applicable"),AND(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J11&lt;&gt;"",J11&lt;&gt;"not_applicable"),AND(OR(AND(IF($D11="",INDEX(primary_jama_2024_12829_disposition,MATCH($A11,primary_jama_2024_12829_key,0)),$D11)&lt;&gt;"",IF($D11="",INDEX(primary_jama_2024_12829_disposition,MATCH($A11,primary_jama_2024_12829_key,0)),$D11)&lt;&gt;"retain"),NOT(OR(IF($E11="",INDEX(primary_jama_2024_12829_domain,MATCH($A11,primary_jama_2024_12829_key,0)),$E11)="internal_nonstatistical",IF($E11="",INDEX(primary_jama_2024_12829_domain,MATCH($A11,primary_jama_2024_12829_key,0)),$E11)="plan_material"))),K11&lt;&gt;"",K11&lt;&gt;"not_applicable"),AND(OR(AND(IF($D11="",INDEX(primary_jama_2024_12829_disposition,MATCH($A11,primary_jama_2024_12829_key,0)),$D11)&lt;&gt;"",IF($D11="",INDEX(primary_jama_2024_12829_disposition,MATCH($A11,primary_jama_2024_12829_key,0)),$D11)&lt;&gt;"retain"),NOT(OR(IF($E11="",INDEX(primary_jama_2024_12829_domain,MATCH($A11,primary_jama_2024_12829_key,0)),$E11)="protocol_report"))),L11&lt;&gt;"",L11&lt;&gt;"not_applicable")),"CLEAR INACTIVE VALUES",IF(O11="","PENDING",IF(AND(O11&lt;&gt;"agree",LEN(TRIM(P11))=0),"COMMENT NEEDED",IF(F11="yes","CHECKED - see resolution","DRAFT"))))</f>
        <v/>
      </c>
      <c r="H11" s="8">
        <f>IF(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not_applicable","")</f>
        <v/>
      </c>
      <c r="I11" s="8">
        <f>IF(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not_applicable","")</f>
        <v/>
      </c>
      <c r="J11" s="9">
        <f>IF(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not_applicable","")</f>
        <v/>
      </c>
      <c r="K11" s="8">
        <f>IF(OR(AND(IF($D11="",INDEX(primary_jama_2024_12829_disposition,MATCH($A11,primary_jama_2024_12829_key,0)),$D11)&lt;&gt;"",IF($D11="",INDEX(primary_jama_2024_12829_disposition,MATCH($A11,primary_jama_2024_12829_key,0)),$D11)&lt;&gt;"retain"),NOT(OR(IF($E11="",INDEX(primary_jama_2024_12829_domain,MATCH($A11,primary_jama_2024_12829_key,0)),$E11)="internal_nonstatistical",IF($E11="",INDEX(primary_jama_2024_12829_domain,MATCH($A11,primary_jama_2024_12829_key,0)),$E11)="plan_material"))),"not_applicable","")</f>
        <v/>
      </c>
      <c r="L11" s="9">
        <f>IF(OR(AND(IF($D11="",INDEX(primary_jama_2024_12829_disposition,MATCH($A11,primary_jama_2024_12829_key,0)),$D11)&lt;&gt;"",IF($D11="",INDEX(primary_jama_2024_12829_disposition,MATCH($A11,primary_jama_2024_12829_key,0)),$D11)&lt;&gt;"retain"),NOT(OR(IF($E11="",INDEX(primary_jama_2024_12829_domain,MATCH($A11,primary_jama_2024_12829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c r="F12" s="8" t="inlineStr">
        <is>
          <t>no</t>
        </is>
      </c>
      <c r="G12" s="2">
        <f>IF(OR(AND(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H12&lt;&gt;"",H12&lt;&gt;"not_applicable"),AND(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I12&lt;&gt;"",I12&lt;&gt;"not_applicable"),AND(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J12&lt;&gt;"",J12&lt;&gt;"not_applicable"),AND(OR(AND(IF($D12="",INDEX(primary_jama_2024_12829_disposition,MATCH($A12,primary_jama_2024_12829_key,0)),$D12)&lt;&gt;"",IF($D12="",INDEX(primary_jama_2024_12829_disposition,MATCH($A12,primary_jama_2024_12829_key,0)),$D12)&lt;&gt;"retain"),NOT(OR(IF($E12="",INDEX(primary_jama_2024_12829_domain,MATCH($A12,primary_jama_2024_12829_key,0)),$E12)="internal_nonstatistical",IF($E12="",INDEX(primary_jama_2024_12829_domain,MATCH($A12,primary_jama_2024_12829_key,0)),$E12)="plan_material"))),K12&lt;&gt;"",K12&lt;&gt;"not_applicable"),AND(OR(AND(IF($D12="",INDEX(primary_jama_2024_12829_disposition,MATCH($A12,primary_jama_2024_12829_key,0)),$D12)&lt;&gt;"",IF($D12="",INDEX(primary_jama_2024_12829_disposition,MATCH($A12,primary_jama_2024_12829_key,0)),$D12)&lt;&gt;"retain"),NOT(OR(IF($E12="",INDEX(primary_jama_2024_12829_domain,MATCH($A12,primary_jama_2024_12829_key,0)),$E12)="protocol_report"))),L12&lt;&gt;"",L12&lt;&gt;"not_applicable")),"CLEAR INACTIVE VALUES",IF(O12="","PENDING",IF(AND(O12&lt;&gt;"agree",LEN(TRIM(P12))=0),"COMMENT NEEDED",IF(F12="yes","CHECKED - see resolution","DRAFT"))))</f>
        <v/>
      </c>
      <c r="H12" s="8">
        <f>IF(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not_applicable","")</f>
        <v/>
      </c>
      <c r="I12" s="8">
        <f>IF(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not_applicable","")</f>
        <v/>
      </c>
      <c r="J12" s="9">
        <f>IF(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not_applicable","")</f>
        <v/>
      </c>
      <c r="K12" s="8">
        <f>IF(OR(AND(IF($D12="",INDEX(primary_jama_2024_12829_disposition,MATCH($A12,primary_jama_2024_12829_key,0)),$D12)&lt;&gt;"",IF($D12="",INDEX(primary_jama_2024_12829_disposition,MATCH($A12,primary_jama_2024_12829_key,0)),$D12)&lt;&gt;"retain"),NOT(OR(IF($E12="",INDEX(primary_jama_2024_12829_domain,MATCH($A12,primary_jama_2024_12829_key,0)),$E12)="internal_nonstatistical",IF($E12="",INDEX(primary_jama_2024_12829_domain,MATCH($A12,primary_jama_2024_12829_key,0)),$E12)="plan_material"))),"not_applicable","")</f>
        <v/>
      </c>
      <c r="L12" s="9">
        <f>IF(OR(AND(IF($D12="",INDEX(primary_jama_2024_12829_disposition,MATCH($A12,primary_jama_2024_12829_key,0)),$D12)&lt;&gt;"",IF($D12="",INDEX(primary_jama_2024_12829_disposition,MATCH($A12,primary_jama_2024_12829_key,0)),$D12)&lt;&gt;"retain"),NOT(OR(IF($E12="",INDEX(primary_jama_2024_12829_domain,MATCH($A12,primary_jama_2024_12829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c r="F13" s="8" t="inlineStr">
        <is>
          <t>no</t>
        </is>
      </c>
      <c r="G13" s="3">
        <f>IF(OR(AND(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H13&lt;&gt;"",H13&lt;&gt;"not_applicable"),AND(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I13&lt;&gt;"",I13&lt;&gt;"not_applicable"),AND(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J13&lt;&gt;"",J13&lt;&gt;"not_applicable"),AND(OR(AND(IF($D13="",INDEX(primary_jama_2024_12829_disposition,MATCH($A13,primary_jama_2024_12829_key,0)),$D13)&lt;&gt;"",IF($D13="",INDEX(primary_jama_2024_12829_disposition,MATCH($A13,primary_jama_2024_12829_key,0)),$D13)&lt;&gt;"retain"),NOT(OR(IF($E13="",INDEX(primary_jama_2024_12829_domain,MATCH($A13,primary_jama_2024_12829_key,0)),$E13)="internal_nonstatistical",IF($E13="",INDEX(primary_jama_2024_12829_domain,MATCH($A13,primary_jama_2024_12829_key,0)),$E13)="plan_material"))),K13&lt;&gt;"",K13&lt;&gt;"not_applicable"),AND(OR(AND(IF($D13="",INDEX(primary_jama_2024_12829_disposition,MATCH($A13,primary_jama_2024_12829_key,0)),$D13)&lt;&gt;"",IF($D13="",INDEX(primary_jama_2024_12829_disposition,MATCH($A13,primary_jama_2024_12829_key,0)),$D13)&lt;&gt;"retain"),NOT(OR(IF($E13="",INDEX(primary_jama_2024_12829_domain,MATCH($A13,primary_jama_2024_12829_key,0)),$E13)="protocol_report"))),L13&lt;&gt;"",L13&lt;&gt;"not_applicable")),"CLEAR INACTIVE VALUES",IF(O13="","PENDING",IF(AND(O13&lt;&gt;"agree",LEN(TRIM(P13))=0),"COMMENT NEEDED",IF(F13="yes","CHECKED - see resolution","DRAFT"))))</f>
        <v/>
      </c>
      <c r="H13" s="8">
        <f>IF(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not_applicable","")</f>
        <v/>
      </c>
      <c r="I13" s="8">
        <f>IF(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not_applicable","")</f>
        <v/>
      </c>
      <c r="J13" s="9">
        <f>IF(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not_applicable","")</f>
        <v/>
      </c>
      <c r="K13" s="8">
        <f>IF(OR(AND(IF($D13="",INDEX(primary_jama_2024_12829_disposition,MATCH($A13,primary_jama_2024_12829_key,0)),$D13)&lt;&gt;"",IF($D13="",INDEX(primary_jama_2024_12829_disposition,MATCH($A13,primary_jama_2024_12829_key,0)),$D13)&lt;&gt;"retain"),NOT(OR(IF($E13="",INDEX(primary_jama_2024_12829_domain,MATCH($A13,primary_jama_2024_12829_key,0)),$E13)="internal_nonstatistical",IF($E13="",INDEX(primary_jama_2024_12829_domain,MATCH($A13,primary_jama_2024_12829_key,0)),$E13)="plan_material"))),"not_applicable","")</f>
        <v/>
      </c>
      <c r="L13" s="9">
        <f>IF(OR(AND(IF($D13="",INDEX(primary_jama_2024_12829_disposition,MATCH($A13,primary_jama_2024_12829_key,0)),$D13)&lt;&gt;"",IF($D13="",INDEX(primary_jama_2024_12829_disposition,MATCH($A13,primary_jama_2024_12829_key,0)),$D13)&lt;&gt;"retain"),NOT(OR(IF($E13="",INDEX(primary_jama_2024_12829_domain,MATCH($A13,primary_jama_2024_12829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c r="F14" s="8" t="inlineStr">
        <is>
          <t>no</t>
        </is>
      </c>
      <c r="G14" s="2">
        <f>IF(OR(AND(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H14&lt;&gt;"",H14&lt;&gt;"not_applicable"),AND(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I14&lt;&gt;"",I14&lt;&gt;"not_applicable"),AND(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J14&lt;&gt;"",J14&lt;&gt;"not_applicable"),AND(OR(AND(IF($D14="",INDEX(primary_jama_2024_12829_disposition,MATCH($A14,primary_jama_2024_12829_key,0)),$D14)&lt;&gt;"",IF($D14="",INDEX(primary_jama_2024_12829_disposition,MATCH($A14,primary_jama_2024_12829_key,0)),$D14)&lt;&gt;"retain"),NOT(OR(IF($E14="",INDEX(primary_jama_2024_12829_domain,MATCH($A14,primary_jama_2024_12829_key,0)),$E14)="internal_nonstatistical",IF($E14="",INDEX(primary_jama_2024_12829_domain,MATCH($A14,primary_jama_2024_12829_key,0)),$E14)="plan_material"))),K14&lt;&gt;"",K14&lt;&gt;"not_applicable"),AND(OR(AND(IF($D14="",INDEX(primary_jama_2024_12829_disposition,MATCH($A14,primary_jama_2024_12829_key,0)),$D14)&lt;&gt;"",IF($D14="",INDEX(primary_jama_2024_12829_disposition,MATCH($A14,primary_jama_2024_12829_key,0)),$D14)&lt;&gt;"retain"),NOT(OR(IF($E14="",INDEX(primary_jama_2024_12829_domain,MATCH($A14,primary_jama_2024_12829_key,0)),$E14)="protocol_report"))),L14&lt;&gt;"",L14&lt;&gt;"not_applicable")),"CLEAR INACTIVE VALUES",IF(O14="","PENDING",IF(AND(O14&lt;&gt;"agree",LEN(TRIM(P14))=0),"COMMENT NEEDED",IF(F14="yes","CHECKED - see resolution","DRAFT"))))</f>
        <v/>
      </c>
      <c r="H14" s="8">
        <f>IF(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not_applicable","")</f>
        <v/>
      </c>
      <c r="I14" s="8">
        <f>IF(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not_applicable","")</f>
        <v/>
      </c>
      <c r="J14" s="9">
        <f>IF(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not_applicable","")</f>
        <v/>
      </c>
      <c r="K14" s="8">
        <f>IF(OR(AND(IF($D14="",INDEX(primary_jama_2024_12829_disposition,MATCH($A14,primary_jama_2024_12829_key,0)),$D14)&lt;&gt;"",IF($D14="",INDEX(primary_jama_2024_12829_disposition,MATCH($A14,primary_jama_2024_12829_key,0)),$D14)&lt;&gt;"retain"),NOT(OR(IF($E14="",INDEX(primary_jama_2024_12829_domain,MATCH($A14,primary_jama_2024_12829_key,0)),$E14)="internal_nonstatistical",IF($E14="",INDEX(primary_jama_2024_12829_domain,MATCH($A14,primary_jama_2024_12829_key,0)),$E14)="plan_material"))),"not_applicable","")</f>
        <v/>
      </c>
      <c r="L14" s="9">
        <f>IF(OR(AND(IF($D14="",INDEX(primary_jama_2024_12829_disposition,MATCH($A14,primary_jama_2024_12829_key,0)),$D14)&lt;&gt;"",IF($D14="",INDEX(primary_jama_2024_12829_disposition,MATCH($A14,primary_jama_2024_12829_key,0)),$D14)&lt;&gt;"retain"),NOT(OR(IF($E14="",INDEX(primary_jama_2024_12829_domain,MATCH($A14,primary_jama_2024_12829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c r="F15" s="8" t="inlineStr">
        <is>
          <t>no</t>
        </is>
      </c>
      <c r="G15" s="3">
        <f>IF(OR(AND(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H15&lt;&gt;"",H15&lt;&gt;"not_applicable"),AND(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I15&lt;&gt;"",I15&lt;&gt;"not_applicable"),AND(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J15&lt;&gt;"",J15&lt;&gt;"not_applicable"),AND(OR(AND(IF($D15="",INDEX(primary_jama_2024_12829_disposition,MATCH($A15,primary_jama_2024_12829_key,0)),$D15)&lt;&gt;"",IF($D15="",INDEX(primary_jama_2024_12829_disposition,MATCH($A15,primary_jama_2024_12829_key,0)),$D15)&lt;&gt;"retain"),NOT(OR(IF($E15="",INDEX(primary_jama_2024_12829_domain,MATCH($A15,primary_jama_2024_12829_key,0)),$E15)="internal_nonstatistical",IF($E15="",INDEX(primary_jama_2024_12829_domain,MATCH($A15,primary_jama_2024_12829_key,0)),$E15)="plan_material"))),K15&lt;&gt;"",K15&lt;&gt;"not_applicable"),AND(OR(AND(IF($D15="",INDEX(primary_jama_2024_12829_disposition,MATCH($A15,primary_jama_2024_12829_key,0)),$D15)&lt;&gt;"",IF($D15="",INDEX(primary_jama_2024_12829_disposition,MATCH($A15,primary_jama_2024_12829_key,0)),$D15)&lt;&gt;"retain"),NOT(OR(IF($E15="",INDEX(primary_jama_2024_12829_domain,MATCH($A15,primary_jama_2024_12829_key,0)),$E15)="protocol_report"))),L15&lt;&gt;"",L15&lt;&gt;"not_applicable")),"CLEAR INACTIVE VALUES",IF(O15="","PENDING",IF(AND(O15&lt;&gt;"agree",LEN(TRIM(P15))=0),"COMMENT NEEDED",IF(F15="yes","CHECKED - see resolution","DRAFT"))))</f>
        <v/>
      </c>
      <c r="H15" s="8">
        <f>IF(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not_applicable","")</f>
        <v/>
      </c>
      <c r="I15" s="8">
        <f>IF(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not_applicable","")</f>
        <v/>
      </c>
      <c r="J15" s="9">
        <f>IF(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not_applicable","")</f>
        <v/>
      </c>
      <c r="K15" s="8">
        <f>IF(OR(AND(IF($D15="",INDEX(primary_jama_2024_12829_disposition,MATCH($A15,primary_jama_2024_12829_key,0)),$D15)&lt;&gt;"",IF($D15="",INDEX(primary_jama_2024_12829_disposition,MATCH($A15,primary_jama_2024_12829_key,0)),$D15)&lt;&gt;"retain"),NOT(OR(IF($E15="",INDEX(primary_jama_2024_12829_domain,MATCH($A15,primary_jama_2024_12829_key,0)),$E15)="internal_nonstatistical",IF($E15="",INDEX(primary_jama_2024_12829_domain,MATCH($A15,primary_jama_2024_12829_key,0)),$E15)="plan_material"))),"not_applicable","")</f>
        <v/>
      </c>
      <c r="L15" s="9">
        <f>IF(OR(AND(IF($D15="",INDEX(primary_jama_2024_12829_disposition,MATCH($A15,primary_jama_2024_12829_key,0)),$D15)&lt;&gt;"",IF($D15="",INDEX(primary_jama_2024_12829_disposition,MATCH($A15,primary_jama_2024_12829_key,0)),$D15)&lt;&gt;"retain"),NOT(OR(IF($E15="",INDEX(primary_jama_2024_12829_domain,MATCH($A15,primary_jama_2024_12829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c r="F16" s="8" t="inlineStr">
        <is>
          <t>no</t>
        </is>
      </c>
      <c r="G16" s="2">
        <f>IF(OR(AND(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H16&lt;&gt;"",H16&lt;&gt;"not_applicable"),AND(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I16&lt;&gt;"",I16&lt;&gt;"not_applicable"),AND(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J16&lt;&gt;"",J16&lt;&gt;"not_applicable"),AND(OR(AND(IF($D16="",INDEX(primary_jama_2024_12829_disposition,MATCH($A16,primary_jama_2024_12829_key,0)),$D16)&lt;&gt;"",IF($D16="",INDEX(primary_jama_2024_12829_disposition,MATCH($A16,primary_jama_2024_12829_key,0)),$D16)&lt;&gt;"retain"),NOT(OR(IF($E16="",INDEX(primary_jama_2024_12829_domain,MATCH($A16,primary_jama_2024_12829_key,0)),$E16)="internal_nonstatistical",IF($E16="",INDEX(primary_jama_2024_12829_domain,MATCH($A16,primary_jama_2024_12829_key,0)),$E16)="plan_material"))),K16&lt;&gt;"",K16&lt;&gt;"not_applicable"),AND(OR(AND(IF($D16="",INDEX(primary_jama_2024_12829_disposition,MATCH($A16,primary_jama_2024_12829_key,0)),$D16)&lt;&gt;"",IF($D16="",INDEX(primary_jama_2024_12829_disposition,MATCH($A16,primary_jama_2024_12829_key,0)),$D16)&lt;&gt;"retain"),NOT(OR(IF($E16="",INDEX(primary_jama_2024_12829_domain,MATCH($A16,primary_jama_2024_12829_key,0)),$E16)="protocol_report"))),L16&lt;&gt;"",L16&lt;&gt;"not_applicable")),"CLEAR INACTIVE VALUES",IF(O16="","PENDING",IF(AND(O16&lt;&gt;"agree",LEN(TRIM(P16))=0),"COMMENT NEEDED",IF(F16="yes","CHECKED - see resolution","DRAFT"))))</f>
        <v/>
      </c>
      <c r="H16" s="8">
        <f>IF(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not_applicable","")</f>
        <v/>
      </c>
      <c r="I16" s="8">
        <f>IF(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not_applicable","")</f>
        <v/>
      </c>
      <c r="J16" s="9">
        <f>IF(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not_applicable","")</f>
        <v/>
      </c>
      <c r="K16" s="8">
        <f>IF(OR(AND(IF($D16="",INDEX(primary_jama_2024_12829_disposition,MATCH($A16,primary_jama_2024_12829_key,0)),$D16)&lt;&gt;"",IF($D16="",INDEX(primary_jama_2024_12829_disposition,MATCH($A16,primary_jama_2024_12829_key,0)),$D16)&lt;&gt;"retain"),NOT(OR(IF($E16="",INDEX(primary_jama_2024_12829_domain,MATCH($A16,primary_jama_2024_12829_key,0)),$E16)="internal_nonstatistical",IF($E16="",INDEX(primary_jama_2024_12829_domain,MATCH($A16,primary_jama_2024_12829_key,0)),$E16)="plan_material"))),"not_applicable","")</f>
        <v/>
      </c>
      <c r="L16" s="9">
        <f>IF(OR(AND(IF($D16="",INDEX(primary_jama_2024_12829_disposition,MATCH($A16,primary_jama_2024_12829_key,0)),$D16)&lt;&gt;"",IF($D16="",INDEX(primary_jama_2024_12829_disposition,MATCH($A16,primary_jama_2024_12829_key,0)),$D16)&lt;&gt;"retain"),NOT(OR(IF($E16="",INDEX(primary_jama_2024_12829_domain,MATCH($A16,primary_jama_2024_12829_key,0)),$E16)="protocol_report"))),"not_applicable","")</f>
        <v/>
      </c>
      <c r="M16" s="10" t="inlineStr"/>
      <c r="N16" s="10" t="inlineStr"/>
      <c r="O16" s="8" t="inlineStr"/>
      <c r="P16" s="11" t="inlineStr"/>
      <c r="Q16" s="8" t="inlineStr">
        <is>
          <t>pending</t>
        </is>
      </c>
      <c r="R16" s="11" t="inlineStr"/>
      <c r="S16" s="2" t="inlineStr">
        <is>
          <t>AWAITING PRIMARY HANDOFF - do not start checking this template.</t>
        </is>
      </c>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c r="F17" s="8" t="inlineStr">
        <is>
          <t>no</t>
        </is>
      </c>
      <c r="G17" s="3">
        <f>IF(OR(AND(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H17&lt;&gt;"",H17&lt;&gt;"not_applicable"),AND(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I17&lt;&gt;"",I17&lt;&gt;"not_applicable"),AND(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J17&lt;&gt;"",J17&lt;&gt;"not_applicable"),AND(OR(AND(IF($D17="",INDEX(primary_jama_2024_12829_disposition,MATCH($A17,primary_jama_2024_12829_key,0)),$D17)&lt;&gt;"",IF($D17="",INDEX(primary_jama_2024_12829_disposition,MATCH($A17,primary_jama_2024_12829_key,0)),$D17)&lt;&gt;"retain"),NOT(OR(IF($E17="",INDEX(primary_jama_2024_12829_domain,MATCH($A17,primary_jama_2024_12829_key,0)),$E17)="internal_nonstatistical",IF($E17="",INDEX(primary_jama_2024_12829_domain,MATCH($A17,primary_jama_2024_12829_key,0)),$E17)="plan_material"))),K17&lt;&gt;"",K17&lt;&gt;"not_applicable"),AND(OR(AND(IF($D17="",INDEX(primary_jama_2024_12829_disposition,MATCH($A17,primary_jama_2024_12829_key,0)),$D17)&lt;&gt;"",IF($D17="",INDEX(primary_jama_2024_12829_disposition,MATCH($A17,primary_jama_2024_12829_key,0)),$D17)&lt;&gt;"retain"),NOT(OR(IF($E17="",INDEX(primary_jama_2024_12829_domain,MATCH($A17,primary_jama_2024_12829_key,0)),$E17)="protocol_report"))),L17&lt;&gt;"",L17&lt;&gt;"not_applicable")),"CLEAR INACTIVE VALUES",IF(O17="","PENDING",IF(AND(O17&lt;&gt;"agree",LEN(TRIM(P17))=0),"COMMENT NEEDED",IF(F17="yes","CHECKED - see resolution","DRAFT"))))</f>
        <v/>
      </c>
      <c r="H17" s="8">
        <f>IF(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not_applicable","")</f>
        <v/>
      </c>
      <c r="I17" s="8">
        <f>IF(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not_applicable","")</f>
        <v/>
      </c>
      <c r="J17" s="9">
        <f>IF(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not_applicable","")</f>
        <v/>
      </c>
      <c r="K17" s="8">
        <f>IF(OR(AND(IF($D17="",INDEX(primary_jama_2024_12829_disposition,MATCH($A17,primary_jama_2024_12829_key,0)),$D17)&lt;&gt;"",IF($D17="",INDEX(primary_jama_2024_12829_disposition,MATCH($A17,primary_jama_2024_12829_key,0)),$D17)&lt;&gt;"retain"),NOT(OR(IF($E17="",INDEX(primary_jama_2024_12829_domain,MATCH($A17,primary_jama_2024_12829_key,0)),$E17)="internal_nonstatistical",IF($E17="",INDEX(primary_jama_2024_12829_domain,MATCH($A17,primary_jama_2024_12829_key,0)),$E17)="plan_material"))),"not_applicable","")</f>
        <v/>
      </c>
      <c r="L17" s="9">
        <f>IF(OR(AND(IF($D17="",INDEX(primary_jama_2024_12829_disposition,MATCH($A17,primary_jama_2024_12829_key,0)),$D17)&lt;&gt;"",IF($D17="",INDEX(primary_jama_2024_12829_disposition,MATCH($A17,primary_jama_2024_12829_key,0)),$D17)&lt;&gt;"retain"),NOT(OR(IF($E17="",INDEX(primary_jama_2024_12829_domain,MATCH($A17,primary_jama_2024_12829_key,0)),$E17)="protocol_report"))),"not_applicable","")</f>
        <v/>
      </c>
      <c r="M17" s="10" t="inlineStr"/>
      <c r="N17" s="10" t="inlineStr"/>
      <c r="O17" s="8" t="inlineStr"/>
      <c r="P17" s="11" t="inlineStr"/>
      <c r="Q17" s="8" t="inlineStr">
        <is>
          <t>pending</t>
        </is>
      </c>
      <c r="R17" s="11" t="inlineStr"/>
      <c r="S17" s="3" t="inlineStr">
        <is>
          <t>AWAITING PRIMARY HANDOFF - do not start checking this template.</t>
        </is>
      </c>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c r="F18" s="8" t="inlineStr">
        <is>
          <t>no</t>
        </is>
      </c>
      <c r="G18" s="2">
        <f>IF(OR(AND(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H18&lt;&gt;"",H18&lt;&gt;"not_applicable"),AND(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I18&lt;&gt;"",I18&lt;&gt;"not_applicable"),AND(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J18&lt;&gt;"",J18&lt;&gt;"not_applicable"),AND(OR(AND(IF($D18="",INDEX(primary_jama_2024_12829_disposition,MATCH($A18,primary_jama_2024_12829_key,0)),$D18)&lt;&gt;"",IF($D18="",INDEX(primary_jama_2024_12829_disposition,MATCH($A18,primary_jama_2024_12829_key,0)),$D18)&lt;&gt;"retain"),NOT(OR(IF($E18="",INDEX(primary_jama_2024_12829_domain,MATCH($A18,primary_jama_2024_12829_key,0)),$E18)="internal_nonstatistical",IF($E18="",INDEX(primary_jama_2024_12829_domain,MATCH($A18,primary_jama_2024_12829_key,0)),$E18)="plan_material"))),K18&lt;&gt;"",K18&lt;&gt;"not_applicable"),AND(OR(AND(IF($D18="",INDEX(primary_jama_2024_12829_disposition,MATCH($A18,primary_jama_2024_12829_key,0)),$D18)&lt;&gt;"",IF($D18="",INDEX(primary_jama_2024_12829_disposition,MATCH($A18,primary_jama_2024_12829_key,0)),$D18)&lt;&gt;"retain"),NOT(OR(IF($E18="",INDEX(primary_jama_2024_12829_domain,MATCH($A18,primary_jama_2024_12829_key,0)),$E18)="protocol_report"))),L18&lt;&gt;"",L18&lt;&gt;"not_applicable")),"CLEAR INACTIVE VALUES",IF(O18="","PENDING",IF(AND(O18&lt;&gt;"agree",LEN(TRIM(P18))=0),"COMMENT NEEDED",IF(F18="yes","CHECKED - see resolution","DRAFT"))))</f>
        <v/>
      </c>
      <c r="H18" s="8">
        <f>IF(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not_applicable","")</f>
        <v/>
      </c>
      <c r="I18" s="8">
        <f>IF(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not_applicable","")</f>
        <v/>
      </c>
      <c r="J18" s="9">
        <f>IF(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not_applicable","")</f>
        <v/>
      </c>
      <c r="K18" s="8">
        <f>IF(OR(AND(IF($D18="",INDEX(primary_jama_2024_12829_disposition,MATCH($A18,primary_jama_2024_12829_key,0)),$D18)&lt;&gt;"",IF($D18="",INDEX(primary_jama_2024_12829_disposition,MATCH($A18,primary_jama_2024_12829_key,0)),$D18)&lt;&gt;"retain"),NOT(OR(IF($E18="",INDEX(primary_jama_2024_12829_domain,MATCH($A18,primary_jama_2024_12829_key,0)),$E18)="internal_nonstatistical",IF($E18="",INDEX(primary_jama_2024_12829_domain,MATCH($A18,primary_jama_2024_12829_key,0)),$E18)="plan_material"))),"not_applicable","")</f>
        <v/>
      </c>
      <c r="L18" s="9">
        <f>IF(OR(AND(IF($D18="",INDEX(primary_jama_2024_12829_disposition,MATCH($A18,primary_jama_2024_12829_key,0)),$D18)&lt;&gt;"",IF($D18="",INDEX(primary_jama_2024_12829_disposition,MATCH($A18,primary_jama_2024_12829_key,0)),$D18)&lt;&gt;"retain"),NOT(OR(IF($E18="",INDEX(primary_jama_2024_12829_domain,MATCH($A18,primary_jama_2024_12829_key,0)),$E18)="protocol_report"))),"not_applicable","")</f>
        <v/>
      </c>
      <c r="M18" s="10" t="inlineStr"/>
      <c r="N18" s="10" t="inlineStr"/>
      <c r="O18" s="8" t="inlineStr"/>
      <c r="P18" s="11" t="inlineStr"/>
      <c r="Q18" s="8" t="inlineStr">
        <is>
          <t>pending</t>
        </is>
      </c>
      <c r="R18" s="11" t="inlineStr"/>
      <c r="S18"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8"/>
  <conditionalFormatting sqref="H2">
    <cfRule type="expression" priority="1" dxfId="0" stopIfTrue="1">
      <formula>AND(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H2&lt;&gt;"",H2&lt;&gt;"not_applicable")</formula>
    </cfRule>
    <cfRule type="expression" priority="2" dxfId="1">
      <formula>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formula>
    </cfRule>
  </conditionalFormatting>
  <conditionalFormatting sqref="H3">
    <cfRule type="expression" priority="3" dxfId="0" stopIfTrue="1">
      <formula>AND(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H3&lt;&gt;"",H3&lt;&gt;"not_applicable")</formula>
    </cfRule>
    <cfRule type="expression" priority="4" dxfId="1">
      <formula>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formula>
    </cfRule>
  </conditionalFormatting>
  <conditionalFormatting sqref="H4">
    <cfRule type="expression" priority="5" dxfId="0" stopIfTrue="1">
      <formula>AND(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H4&lt;&gt;"",H4&lt;&gt;"not_applicable")</formula>
    </cfRule>
    <cfRule type="expression" priority="6" dxfId="1">
      <formula>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formula>
    </cfRule>
  </conditionalFormatting>
  <conditionalFormatting sqref="H5">
    <cfRule type="expression" priority="7" dxfId="0" stopIfTrue="1">
      <formula>AND(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H5&lt;&gt;"",H5&lt;&gt;"not_applicable")</formula>
    </cfRule>
    <cfRule type="expression" priority="8" dxfId="1">
      <formula>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formula>
    </cfRule>
  </conditionalFormatting>
  <conditionalFormatting sqref="H6">
    <cfRule type="expression" priority="9" dxfId="0" stopIfTrue="1">
      <formula>AND(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H6&lt;&gt;"",H6&lt;&gt;"not_applicable")</formula>
    </cfRule>
    <cfRule type="expression" priority="10" dxfId="1">
      <formula>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formula>
    </cfRule>
  </conditionalFormatting>
  <conditionalFormatting sqref="H7">
    <cfRule type="expression" priority="11" dxfId="0" stopIfTrue="1">
      <formula>AND(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H7&lt;&gt;"",H7&lt;&gt;"not_applicable")</formula>
    </cfRule>
    <cfRule type="expression" priority="12" dxfId="1">
      <formula>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formula>
    </cfRule>
  </conditionalFormatting>
  <conditionalFormatting sqref="H8">
    <cfRule type="expression" priority="13" dxfId="0" stopIfTrue="1">
      <formula>AND(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H8&lt;&gt;"",H8&lt;&gt;"not_applicable")</formula>
    </cfRule>
    <cfRule type="expression" priority="14" dxfId="1">
      <formula>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formula>
    </cfRule>
  </conditionalFormatting>
  <conditionalFormatting sqref="H9">
    <cfRule type="expression" priority="15" dxfId="0" stopIfTrue="1">
      <formula>AND(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H9&lt;&gt;"",H9&lt;&gt;"not_applicable")</formula>
    </cfRule>
    <cfRule type="expression" priority="16" dxfId="1">
      <formula>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formula>
    </cfRule>
  </conditionalFormatting>
  <conditionalFormatting sqref="H10">
    <cfRule type="expression" priority="17" dxfId="0" stopIfTrue="1">
      <formula>AND(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H10&lt;&gt;"",H10&lt;&gt;"not_applicable")</formula>
    </cfRule>
    <cfRule type="expression" priority="18" dxfId="1">
      <formula>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formula>
    </cfRule>
  </conditionalFormatting>
  <conditionalFormatting sqref="H11">
    <cfRule type="expression" priority="19" dxfId="0" stopIfTrue="1">
      <formula>AND(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H11&lt;&gt;"",H11&lt;&gt;"not_applicable")</formula>
    </cfRule>
    <cfRule type="expression" priority="20" dxfId="1">
      <formula>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formula>
    </cfRule>
  </conditionalFormatting>
  <conditionalFormatting sqref="H12">
    <cfRule type="expression" priority="21" dxfId="0" stopIfTrue="1">
      <formula>AND(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H12&lt;&gt;"",H12&lt;&gt;"not_applicable")</formula>
    </cfRule>
    <cfRule type="expression" priority="22" dxfId="1">
      <formula>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formula>
    </cfRule>
  </conditionalFormatting>
  <conditionalFormatting sqref="H13">
    <cfRule type="expression" priority="23" dxfId="0" stopIfTrue="1">
      <formula>AND(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H13&lt;&gt;"",H13&lt;&gt;"not_applicable")</formula>
    </cfRule>
    <cfRule type="expression" priority="24" dxfId="1">
      <formula>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formula>
    </cfRule>
  </conditionalFormatting>
  <conditionalFormatting sqref="H14">
    <cfRule type="expression" priority="25" dxfId="0" stopIfTrue="1">
      <formula>AND(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H14&lt;&gt;"",H14&lt;&gt;"not_applicable")</formula>
    </cfRule>
    <cfRule type="expression" priority="26" dxfId="1">
      <formula>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formula>
    </cfRule>
  </conditionalFormatting>
  <conditionalFormatting sqref="H15">
    <cfRule type="expression" priority="27" dxfId="0" stopIfTrue="1">
      <formula>AND(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H15&lt;&gt;"",H15&lt;&gt;"not_applicable")</formula>
    </cfRule>
    <cfRule type="expression" priority="28" dxfId="1">
      <formula>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formula>
    </cfRule>
  </conditionalFormatting>
  <conditionalFormatting sqref="H16">
    <cfRule type="expression" priority="29" dxfId="0" stopIfTrue="1">
      <formula>AND(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H16&lt;&gt;"",H16&lt;&gt;"not_applicable")</formula>
    </cfRule>
    <cfRule type="expression" priority="30" dxfId="1">
      <formula>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formula>
    </cfRule>
  </conditionalFormatting>
  <conditionalFormatting sqref="H17">
    <cfRule type="expression" priority="31" dxfId="0" stopIfTrue="1">
      <formula>AND(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H17&lt;&gt;"",H17&lt;&gt;"not_applicable")</formula>
    </cfRule>
    <cfRule type="expression" priority="32" dxfId="1">
      <formula>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formula>
    </cfRule>
  </conditionalFormatting>
  <conditionalFormatting sqref="H18">
    <cfRule type="expression" priority="33" dxfId="0" stopIfTrue="1">
      <formula>AND(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H18&lt;&gt;"",H18&lt;&gt;"not_applicable")</formula>
    </cfRule>
    <cfRule type="expression" priority="34" dxfId="1">
      <formula>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formula>
    </cfRule>
  </conditionalFormatting>
  <conditionalFormatting sqref="I2">
    <cfRule type="expression" priority="35" dxfId="0" stopIfTrue="1">
      <formula>AND(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I2&lt;&gt;"",I2&lt;&gt;"not_applicable")</formula>
    </cfRule>
    <cfRule type="expression" priority="36" dxfId="1">
      <formula>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formula>
    </cfRule>
  </conditionalFormatting>
  <conditionalFormatting sqref="I3">
    <cfRule type="expression" priority="37" dxfId="0" stopIfTrue="1">
      <formula>AND(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I3&lt;&gt;"",I3&lt;&gt;"not_applicable")</formula>
    </cfRule>
    <cfRule type="expression" priority="38" dxfId="1">
      <formula>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formula>
    </cfRule>
  </conditionalFormatting>
  <conditionalFormatting sqref="I4">
    <cfRule type="expression" priority="39" dxfId="0" stopIfTrue="1">
      <formula>AND(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I4&lt;&gt;"",I4&lt;&gt;"not_applicable")</formula>
    </cfRule>
    <cfRule type="expression" priority="40" dxfId="1">
      <formula>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formula>
    </cfRule>
  </conditionalFormatting>
  <conditionalFormatting sqref="I5">
    <cfRule type="expression" priority="41" dxfId="0" stopIfTrue="1">
      <formula>AND(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I5&lt;&gt;"",I5&lt;&gt;"not_applicable")</formula>
    </cfRule>
    <cfRule type="expression" priority="42" dxfId="1">
      <formula>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formula>
    </cfRule>
  </conditionalFormatting>
  <conditionalFormatting sqref="I6">
    <cfRule type="expression" priority="43" dxfId="0" stopIfTrue="1">
      <formula>AND(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I6&lt;&gt;"",I6&lt;&gt;"not_applicable")</formula>
    </cfRule>
    <cfRule type="expression" priority="44" dxfId="1">
      <formula>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formula>
    </cfRule>
  </conditionalFormatting>
  <conditionalFormatting sqref="I7">
    <cfRule type="expression" priority="45" dxfId="0" stopIfTrue="1">
      <formula>AND(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I7&lt;&gt;"",I7&lt;&gt;"not_applicable")</formula>
    </cfRule>
    <cfRule type="expression" priority="46" dxfId="1">
      <formula>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formula>
    </cfRule>
  </conditionalFormatting>
  <conditionalFormatting sqref="I8">
    <cfRule type="expression" priority="47" dxfId="0" stopIfTrue="1">
      <formula>AND(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I8&lt;&gt;"",I8&lt;&gt;"not_applicable")</formula>
    </cfRule>
    <cfRule type="expression" priority="48" dxfId="1">
      <formula>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formula>
    </cfRule>
  </conditionalFormatting>
  <conditionalFormatting sqref="I9">
    <cfRule type="expression" priority="49" dxfId="0" stopIfTrue="1">
      <formula>AND(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I9&lt;&gt;"",I9&lt;&gt;"not_applicable")</formula>
    </cfRule>
    <cfRule type="expression" priority="50" dxfId="1">
      <formula>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formula>
    </cfRule>
  </conditionalFormatting>
  <conditionalFormatting sqref="I10">
    <cfRule type="expression" priority="51" dxfId="0" stopIfTrue="1">
      <formula>AND(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I10&lt;&gt;"",I10&lt;&gt;"not_applicable")</formula>
    </cfRule>
    <cfRule type="expression" priority="52" dxfId="1">
      <formula>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formula>
    </cfRule>
  </conditionalFormatting>
  <conditionalFormatting sqref="I11">
    <cfRule type="expression" priority="53" dxfId="0" stopIfTrue="1">
      <formula>AND(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I11&lt;&gt;"",I11&lt;&gt;"not_applicable")</formula>
    </cfRule>
    <cfRule type="expression" priority="54" dxfId="1">
      <formula>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formula>
    </cfRule>
  </conditionalFormatting>
  <conditionalFormatting sqref="I12">
    <cfRule type="expression" priority="55" dxfId="0" stopIfTrue="1">
      <formula>AND(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I12&lt;&gt;"",I12&lt;&gt;"not_applicable")</formula>
    </cfRule>
    <cfRule type="expression" priority="56" dxfId="1">
      <formula>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formula>
    </cfRule>
  </conditionalFormatting>
  <conditionalFormatting sqref="I13">
    <cfRule type="expression" priority="57" dxfId="0" stopIfTrue="1">
      <formula>AND(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I13&lt;&gt;"",I13&lt;&gt;"not_applicable")</formula>
    </cfRule>
    <cfRule type="expression" priority="58" dxfId="1">
      <formula>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formula>
    </cfRule>
  </conditionalFormatting>
  <conditionalFormatting sqref="I14">
    <cfRule type="expression" priority="59" dxfId="0" stopIfTrue="1">
      <formula>AND(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I14&lt;&gt;"",I14&lt;&gt;"not_applicable")</formula>
    </cfRule>
    <cfRule type="expression" priority="60" dxfId="1">
      <formula>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formula>
    </cfRule>
  </conditionalFormatting>
  <conditionalFormatting sqref="I15">
    <cfRule type="expression" priority="61" dxfId="0" stopIfTrue="1">
      <formula>AND(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I15&lt;&gt;"",I15&lt;&gt;"not_applicable")</formula>
    </cfRule>
    <cfRule type="expression" priority="62" dxfId="1">
      <formula>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formula>
    </cfRule>
  </conditionalFormatting>
  <conditionalFormatting sqref="I16">
    <cfRule type="expression" priority="63" dxfId="0" stopIfTrue="1">
      <formula>AND(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I16&lt;&gt;"",I16&lt;&gt;"not_applicable")</formula>
    </cfRule>
    <cfRule type="expression" priority="64" dxfId="1">
      <formula>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formula>
    </cfRule>
  </conditionalFormatting>
  <conditionalFormatting sqref="I17">
    <cfRule type="expression" priority="65" dxfId="0" stopIfTrue="1">
      <formula>AND(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I17&lt;&gt;"",I17&lt;&gt;"not_applicable")</formula>
    </cfRule>
    <cfRule type="expression" priority="66" dxfId="1">
      <formula>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formula>
    </cfRule>
  </conditionalFormatting>
  <conditionalFormatting sqref="I18">
    <cfRule type="expression" priority="67" dxfId="0" stopIfTrue="1">
      <formula>AND(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I18&lt;&gt;"",I18&lt;&gt;"not_applicable")</formula>
    </cfRule>
    <cfRule type="expression" priority="68" dxfId="1">
      <formula>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formula>
    </cfRule>
  </conditionalFormatting>
  <conditionalFormatting sqref="J2">
    <cfRule type="expression" priority="69" dxfId="0" stopIfTrue="1">
      <formula>AND(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J2&lt;&gt;"",J2&lt;&gt;"not_applicable")</formula>
    </cfRule>
    <cfRule type="expression" priority="70" dxfId="1">
      <formula>OR(AND(IF($D2="",INDEX(primary_jama_2024_12829_disposition,MATCH($A2,primary_jama_2024_12829_key,0)),$D2)&lt;&gt;"",IF($D2="",INDEX(primary_jama_2024_12829_disposition,MATCH($A2,primary_jama_2024_12829_key,0)),$D2)&lt;&gt;"retain"),NOT(OR(IF($E2="",INDEX(primary_jama_2024_12829_domain,MATCH($A2,primary_jama_2024_12829_key,0)),$E2)="statistical_results")))</formula>
    </cfRule>
  </conditionalFormatting>
  <conditionalFormatting sqref="J3">
    <cfRule type="expression" priority="71" dxfId="0" stopIfTrue="1">
      <formula>AND(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J3&lt;&gt;"",J3&lt;&gt;"not_applicable")</formula>
    </cfRule>
    <cfRule type="expression" priority="72" dxfId="1">
      <formula>OR(AND(IF($D3="",INDEX(primary_jama_2024_12829_disposition,MATCH($A3,primary_jama_2024_12829_key,0)),$D3)&lt;&gt;"",IF($D3="",INDEX(primary_jama_2024_12829_disposition,MATCH($A3,primary_jama_2024_12829_key,0)),$D3)&lt;&gt;"retain"),NOT(OR(IF($E3="",INDEX(primary_jama_2024_12829_domain,MATCH($A3,primary_jama_2024_12829_key,0)),$E3)="statistical_results")))</formula>
    </cfRule>
  </conditionalFormatting>
  <conditionalFormatting sqref="J4">
    <cfRule type="expression" priority="73" dxfId="0" stopIfTrue="1">
      <formula>AND(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J4&lt;&gt;"",J4&lt;&gt;"not_applicable")</formula>
    </cfRule>
    <cfRule type="expression" priority="74" dxfId="1">
      <formula>OR(AND(IF($D4="",INDEX(primary_jama_2024_12829_disposition,MATCH($A4,primary_jama_2024_12829_key,0)),$D4)&lt;&gt;"",IF($D4="",INDEX(primary_jama_2024_12829_disposition,MATCH($A4,primary_jama_2024_12829_key,0)),$D4)&lt;&gt;"retain"),NOT(OR(IF($E4="",INDEX(primary_jama_2024_12829_domain,MATCH($A4,primary_jama_2024_12829_key,0)),$E4)="statistical_results")))</formula>
    </cfRule>
  </conditionalFormatting>
  <conditionalFormatting sqref="J5">
    <cfRule type="expression" priority="75" dxfId="0" stopIfTrue="1">
      <formula>AND(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J5&lt;&gt;"",J5&lt;&gt;"not_applicable")</formula>
    </cfRule>
    <cfRule type="expression" priority="76" dxfId="1">
      <formula>OR(AND(IF($D5="",INDEX(primary_jama_2024_12829_disposition,MATCH($A5,primary_jama_2024_12829_key,0)),$D5)&lt;&gt;"",IF($D5="",INDEX(primary_jama_2024_12829_disposition,MATCH($A5,primary_jama_2024_12829_key,0)),$D5)&lt;&gt;"retain"),NOT(OR(IF($E5="",INDEX(primary_jama_2024_12829_domain,MATCH($A5,primary_jama_2024_12829_key,0)),$E5)="statistical_results")))</formula>
    </cfRule>
  </conditionalFormatting>
  <conditionalFormatting sqref="J6">
    <cfRule type="expression" priority="77" dxfId="0" stopIfTrue="1">
      <formula>AND(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J6&lt;&gt;"",J6&lt;&gt;"not_applicable")</formula>
    </cfRule>
    <cfRule type="expression" priority="78" dxfId="1">
      <formula>OR(AND(IF($D6="",INDEX(primary_jama_2024_12829_disposition,MATCH($A6,primary_jama_2024_12829_key,0)),$D6)&lt;&gt;"",IF($D6="",INDEX(primary_jama_2024_12829_disposition,MATCH($A6,primary_jama_2024_12829_key,0)),$D6)&lt;&gt;"retain"),NOT(OR(IF($E6="",INDEX(primary_jama_2024_12829_domain,MATCH($A6,primary_jama_2024_12829_key,0)),$E6)="statistical_results")))</formula>
    </cfRule>
  </conditionalFormatting>
  <conditionalFormatting sqref="J7">
    <cfRule type="expression" priority="79" dxfId="0" stopIfTrue="1">
      <formula>AND(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J7&lt;&gt;"",J7&lt;&gt;"not_applicable")</formula>
    </cfRule>
    <cfRule type="expression" priority="80" dxfId="1">
      <formula>OR(AND(IF($D7="",INDEX(primary_jama_2024_12829_disposition,MATCH($A7,primary_jama_2024_12829_key,0)),$D7)&lt;&gt;"",IF($D7="",INDEX(primary_jama_2024_12829_disposition,MATCH($A7,primary_jama_2024_12829_key,0)),$D7)&lt;&gt;"retain"),NOT(OR(IF($E7="",INDEX(primary_jama_2024_12829_domain,MATCH($A7,primary_jama_2024_12829_key,0)),$E7)="statistical_results")))</formula>
    </cfRule>
  </conditionalFormatting>
  <conditionalFormatting sqref="J8">
    <cfRule type="expression" priority="81" dxfId="0" stopIfTrue="1">
      <formula>AND(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J8&lt;&gt;"",J8&lt;&gt;"not_applicable")</formula>
    </cfRule>
    <cfRule type="expression" priority="82" dxfId="1">
      <formula>OR(AND(IF($D8="",INDEX(primary_jama_2024_12829_disposition,MATCH($A8,primary_jama_2024_12829_key,0)),$D8)&lt;&gt;"",IF($D8="",INDEX(primary_jama_2024_12829_disposition,MATCH($A8,primary_jama_2024_12829_key,0)),$D8)&lt;&gt;"retain"),NOT(OR(IF($E8="",INDEX(primary_jama_2024_12829_domain,MATCH($A8,primary_jama_2024_12829_key,0)),$E8)="statistical_results")))</formula>
    </cfRule>
  </conditionalFormatting>
  <conditionalFormatting sqref="J9">
    <cfRule type="expression" priority="83" dxfId="0" stopIfTrue="1">
      <formula>AND(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J9&lt;&gt;"",J9&lt;&gt;"not_applicable")</formula>
    </cfRule>
    <cfRule type="expression" priority="84" dxfId="1">
      <formula>OR(AND(IF($D9="",INDEX(primary_jama_2024_12829_disposition,MATCH($A9,primary_jama_2024_12829_key,0)),$D9)&lt;&gt;"",IF($D9="",INDEX(primary_jama_2024_12829_disposition,MATCH($A9,primary_jama_2024_12829_key,0)),$D9)&lt;&gt;"retain"),NOT(OR(IF($E9="",INDEX(primary_jama_2024_12829_domain,MATCH($A9,primary_jama_2024_12829_key,0)),$E9)="statistical_results")))</formula>
    </cfRule>
  </conditionalFormatting>
  <conditionalFormatting sqref="J10">
    <cfRule type="expression" priority="85" dxfId="0" stopIfTrue="1">
      <formula>AND(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J10&lt;&gt;"",J10&lt;&gt;"not_applicable")</formula>
    </cfRule>
    <cfRule type="expression" priority="86" dxfId="1">
      <formula>OR(AND(IF($D10="",INDEX(primary_jama_2024_12829_disposition,MATCH($A10,primary_jama_2024_12829_key,0)),$D10)&lt;&gt;"",IF($D10="",INDEX(primary_jama_2024_12829_disposition,MATCH($A10,primary_jama_2024_12829_key,0)),$D10)&lt;&gt;"retain"),NOT(OR(IF($E10="",INDEX(primary_jama_2024_12829_domain,MATCH($A10,primary_jama_2024_12829_key,0)),$E10)="statistical_results")))</formula>
    </cfRule>
  </conditionalFormatting>
  <conditionalFormatting sqref="J11">
    <cfRule type="expression" priority="87" dxfId="0" stopIfTrue="1">
      <formula>AND(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J11&lt;&gt;"",J11&lt;&gt;"not_applicable")</formula>
    </cfRule>
    <cfRule type="expression" priority="88" dxfId="1">
      <formula>OR(AND(IF($D11="",INDEX(primary_jama_2024_12829_disposition,MATCH($A11,primary_jama_2024_12829_key,0)),$D11)&lt;&gt;"",IF($D11="",INDEX(primary_jama_2024_12829_disposition,MATCH($A11,primary_jama_2024_12829_key,0)),$D11)&lt;&gt;"retain"),NOT(OR(IF($E11="",INDEX(primary_jama_2024_12829_domain,MATCH($A11,primary_jama_2024_12829_key,0)),$E11)="statistical_results")))</formula>
    </cfRule>
  </conditionalFormatting>
  <conditionalFormatting sqref="J12">
    <cfRule type="expression" priority="89" dxfId="0" stopIfTrue="1">
      <formula>AND(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J12&lt;&gt;"",J12&lt;&gt;"not_applicable")</formula>
    </cfRule>
    <cfRule type="expression" priority="90" dxfId="1">
      <formula>OR(AND(IF($D12="",INDEX(primary_jama_2024_12829_disposition,MATCH($A12,primary_jama_2024_12829_key,0)),$D12)&lt;&gt;"",IF($D12="",INDEX(primary_jama_2024_12829_disposition,MATCH($A12,primary_jama_2024_12829_key,0)),$D12)&lt;&gt;"retain"),NOT(OR(IF($E12="",INDEX(primary_jama_2024_12829_domain,MATCH($A12,primary_jama_2024_12829_key,0)),$E12)="statistical_results")))</formula>
    </cfRule>
  </conditionalFormatting>
  <conditionalFormatting sqref="J13">
    <cfRule type="expression" priority="91" dxfId="0" stopIfTrue="1">
      <formula>AND(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J13&lt;&gt;"",J13&lt;&gt;"not_applicable")</formula>
    </cfRule>
    <cfRule type="expression" priority="92" dxfId="1">
      <formula>OR(AND(IF($D13="",INDEX(primary_jama_2024_12829_disposition,MATCH($A13,primary_jama_2024_12829_key,0)),$D13)&lt;&gt;"",IF($D13="",INDEX(primary_jama_2024_12829_disposition,MATCH($A13,primary_jama_2024_12829_key,0)),$D13)&lt;&gt;"retain"),NOT(OR(IF($E13="",INDEX(primary_jama_2024_12829_domain,MATCH($A13,primary_jama_2024_12829_key,0)),$E13)="statistical_results")))</formula>
    </cfRule>
  </conditionalFormatting>
  <conditionalFormatting sqref="J14">
    <cfRule type="expression" priority="93" dxfId="0" stopIfTrue="1">
      <formula>AND(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J14&lt;&gt;"",J14&lt;&gt;"not_applicable")</formula>
    </cfRule>
    <cfRule type="expression" priority="94" dxfId="1">
      <formula>OR(AND(IF($D14="",INDEX(primary_jama_2024_12829_disposition,MATCH($A14,primary_jama_2024_12829_key,0)),$D14)&lt;&gt;"",IF($D14="",INDEX(primary_jama_2024_12829_disposition,MATCH($A14,primary_jama_2024_12829_key,0)),$D14)&lt;&gt;"retain"),NOT(OR(IF($E14="",INDEX(primary_jama_2024_12829_domain,MATCH($A14,primary_jama_2024_12829_key,0)),$E14)="statistical_results")))</formula>
    </cfRule>
  </conditionalFormatting>
  <conditionalFormatting sqref="J15">
    <cfRule type="expression" priority="95" dxfId="0" stopIfTrue="1">
      <formula>AND(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J15&lt;&gt;"",J15&lt;&gt;"not_applicable")</formula>
    </cfRule>
    <cfRule type="expression" priority="96" dxfId="1">
      <formula>OR(AND(IF($D15="",INDEX(primary_jama_2024_12829_disposition,MATCH($A15,primary_jama_2024_12829_key,0)),$D15)&lt;&gt;"",IF($D15="",INDEX(primary_jama_2024_12829_disposition,MATCH($A15,primary_jama_2024_12829_key,0)),$D15)&lt;&gt;"retain"),NOT(OR(IF($E15="",INDEX(primary_jama_2024_12829_domain,MATCH($A15,primary_jama_2024_12829_key,0)),$E15)="statistical_results")))</formula>
    </cfRule>
  </conditionalFormatting>
  <conditionalFormatting sqref="J16">
    <cfRule type="expression" priority="97" dxfId="0" stopIfTrue="1">
      <formula>AND(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J16&lt;&gt;"",J16&lt;&gt;"not_applicable")</formula>
    </cfRule>
    <cfRule type="expression" priority="98" dxfId="1">
      <formula>OR(AND(IF($D16="",INDEX(primary_jama_2024_12829_disposition,MATCH($A16,primary_jama_2024_12829_key,0)),$D16)&lt;&gt;"",IF($D16="",INDEX(primary_jama_2024_12829_disposition,MATCH($A16,primary_jama_2024_12829_key,0)),$D16)&lt;&gt;"retain"),NOT(OR(IF($E16="",INDEX(primary_jama_2024_12829_domain,MATCH($A16,primary_jama_2024_12829_key,0)),$E16)="statistical_results")))</formula>
    </cfRule>
  </conditionalFormatting>
  <conditionalFormatting sqref="J17">
    <cfRule type="expression" priority="99" dxfId="0" stopIfTrue="1">
      <formula>AND(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J17&lt;&gt;"",J17&lt;&gt;"not_applicable")</formula>
    </cfRule>
    <cfRule type="expression" priority="100" dxfId="1">
      <formula>OR(AND(IF($D17="",INDEX(primary_jama_2024_12829_disposition,MATCH($A17,primary_jama_2024_12829_key,0)),$D17)&lt;&gt;"",IF($D17="",INDEX(primary_jama_2024_12829_disposition,MATCH($A17,primary_jama_2024_12829_key,0)),$D17)&lt;&gt;"retain"),NOT(OR(IF($E17="",INDEX(primary_jama_2024_12829_domain,MATCH($A17,primary_jama_2024_12829_key,0)),$E17)="statistical_results")))</formula>
    </cfRule>
  </conditionalFormatting>
  <conditionalFormatting sqref="J18">
    <cfRule type="expression" priority="101" dxfId="0" stopIfTrue="1">
      <formula>AND(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J18&lt;&gt;"",J18&lt;&gt;"not_applicable")</formula>
    </cfRule>
    <cfRule type="expression" priority="102" dxfId="1">
      <formula>OR(AND(IF($D18="",INDEX(primary_jama_2024_12829_disposition,MATCH($A18,primary_jama_2024_12829_key,0)),$D18)&lt;&gt;"",IF($D18="",INDEX(primary_jama_2024_12829_disposition,MATCH($A18,primary_jama_2024_12829_key,0)),$D18)&lt;&gt;"retain"),NOT(OR(IF($E18="",INDEX(primary_jama_2024_12829_domain,MATCH($A18,primary_jama_2024_12829_key,0)),$E18)="statistical_results")))</formula>
    </cfRule>
  </conditionalFormatting>
  <conditionalFormatting sqref="K2">
    <cfRule type="expression" priority="103" dxfId="0" stopIfTrue="1">
      <formula>AND(OR(AND(IF($D2="",INDEX(primary_jama_2024_12829_disposition,MATCH($A2,primary_jama_2024_12829_key,0)),$D2)&lt;&gt;"",IF($D2="",INDEX(primary_jama_2024_12829_disposition,MATCH($A2,primary_jama_2024_12829_key,0)),$D2)&lt;&gt;"retain"),NOT(OR(IF($E2="",INDEX(primary_jama_2024_12829_domain,MATCH($A2,primary_jama_2024_12829_key,0)),$E2)="internal_nonstatistical",IF($E2="",INDEX(primary_jama_2024_12829_domain,MATCH($A2,primary_jama_2024_12829_key,0)),$E2)="plan_material"))),K2&lt;&gt;"",K2&lt;&gt;"not_applicable")</formula>
    </cfRule>
    <cfRule type="expression" priority="104" dxfId="1">
      <formula>OR(AND(IF($D2="",INDEX(primary_jama_2024_12829_disposition,MATCH($A2,primary_jama_2024_12829_key,0)),$D2)&lt;&gt;"",IF($D2="",INDEX(primary_jama_2024_12829_disposition,MATCH($A2,primary_jama_2024_12829_key,0)),$D2)&lt;&gt;"retain"),NOT(OR(IF($E2="",INDEX(primary_jama_2024_12829_domain,MATCH($A2,primary_jama_2024_12829_key,0)),$E2)="internal_nonstatistical",IF($E2="",INDEX(primary_jama_2024_12829_domain,MATCH($A2,primary_jama_2024_12829_key,0)),$E2)="plan_material")))</formula>
    </cfRule>
  </conditionalFormatting>
  <conditionalFormatting sqref="K3">
    <cfRule type="expression" priority="105" dxfId="0" stopIfTrue="1">
      <formula>AND(OR(AND(IF($D3="",INDEX(primary_jama_2024_12829_disposition,MATCH($A3,primary_jama_2024_12829_key,0)),$D3)&lt;&gt;"",IF($D3="",INDEX(primary_jama_2024_12829_disposition,MATCH($A3,primary_jama_2024_12829_key,0)),$D3)&lt;&gt;"retain"),NOT(OR(IF($E3="",INDEX(primary_jama_2024_12829_domain,MATCH($A3,primary_jama_2024_12829_key,0)),$E3)="internal_nonstatistical",IF($E3="",INDEX(primary_jama_2024_12829_domain,MATCH($A3,primary_jama_2024_12829_key,0)),$E3)="plan_material"))),K3&lt;&gt;"",K3&lt;&gt;"not_applicable")</formula>
    </cfRule>
    <cfRule type="expression" priority="106" dxfId="1">
      <formula>OR(AND(IF($D3="",INDEX(primary_jama_2024_12829_disposition,MATCH($A3,primary_jama_2024_12829_key,0)),$D3)&lt;&gt;"",IF($D3="",INDEX(primary_jama_2024_12829_disposition,MATCH($A3,primary_jama_2024_12829_key,0)),$D3)&lt;&gt;"retain"),NOT(OR(IF($E3="",INDEX(primary_jama_2024_12829_domain,MATCH($A3,primary_jama_2024_12829_key,0)),$E3)="internal_nonstatistical",IF($E3="",INDEX(primary_jama_2024_12829_domain,MATCH($A3,primary_jama_2024_12829_key,0)),$E3)="plan_material")))</formula>
    </cfRule>
  </conditionalFormatting>
  <conditionalFormatting sqref="K4">
    <cfRule type="expression" priority="107" dxfId="0" stopIfTrue="1">
      <formula>AND(OR(AND(IF($D4="",INDEX(primary_jama_2024_12829_disposition,MATCH($A4,primary_jama_2024_12829_key,0)),$D4)&lt;&gt;"",IF($D4="",INDEX(primary_jama_2024_12829_disposition,MATCH($A4,primary_jama_2024_12829_key,0)),$D4)&lt;&gt;"retain"),NOT(OR(IF($E4="",INDEX(primary_jama_2024_12829_domain,MATCH($A4,primary_jama_2024_12829_key,0)),$E4)="internal_nonstatistical",IF($E4="",INDEX(primary_jama_2024_12829_domain,MATCH($A4,primary_jama_2024_12829_key,0)),$E4)="plan_material"))),K4&lt;&gt;"",K4&lt;&gt;"not_applicable")</formula>
    </cfRule>
    <cfRule type="expression" priority="108" dxfId="1">
      <formula>OR(AND(IF($D4="",INDEX(primary_jama_2024_12829_disposition,MATCH($A4,primary_jama_2024_12829_key,0)),$D4)&lt;&gt;"",IF($D4="",INDEX(primary_jama_2024_12829_disposition,MATCH($A4,primary_jama_2024_12829_key,0)),$D4)&lt;&gt;"retain"),NOT(OR(IF($E4="",INDEX(primary_jama_2024_12829_domain,MATCH($A4,primary_jama_2024_12829_key,0)),$E4)="internal_nonstatistical",IF($E4="",INDEX(primary_jama_2024_12829_domain,MATCH($A4,primary_jama_2024_12829_key,0)),$E4)="plan_material")))</formula>
    </cfRule>
  </conditionalFormatting>
  <conditionalFormatting sqref="K5">
    <cfRule type="expression" priority="109" dxfId="0" stopIfTrue="1">
      <formula>AND(OR(AND(IF($D5="",INDEX(primary_jama_2024_12829_disposition,MATCH($A5,primary_jama_2024_12829_key,0)),$D5)&lt;&gt;"",IF($D5="",INDEX(primary_jama_2024_12829_disposition,MATCH($A5,primary_jama_2024_12829_key,0)),$D5)&lt;&gt;"retain"),NOT(OR(IF($E5="",INDEX(primary_jama_2024_12829_domain,MATCH($A5,primary_jama_2024_12829_key,0)),$E5)="internal_nonstatistical",IF($E5="",INDEX(primary_jama_2024_12829_domain,MATCH($A5,primary_jama_2024_12829_key,0)),$E5)="plan_material"))),K5&lt;&gt;"",K5&lt;&gt;"not_applicable")</formula>
    </cfRule>
    <cfRule type="expression" priority="110" dxfId="1">
      <formula>OR(AND(IF($D5="",INDEX(primary_jama_2024_12829_disposition,MATCH($A5,primary_jama_2024_12829_key,0)),$D5)&lt;&gt;"",IF($D5="",INDEX(primary_jama_2024_12829_disposition,MATCH($A5,primary_jama_2024_12829_key,0)),$D5)&lt;&gt;"retain"),NOT(OR(IF($E5="",INDEX(primary_jama_2024_12829_domain,MATCH($A5,primary_jama_2024_12829_key,0)),$E5)="internal_nonstatistical",IF($E5="",INDEX(primary_jama_2024_12829_domain,MATCH($A5,primary_jama_2024_12829_key,0)),$E5)="plan_material")))</formula>
    </cfRule>
  </conditionalFormatting>
  <conditionalFormatting sqref="K6">
    <cfRule type="expression" priority="111" dxfId="0" stopIfTrue="1">
      <formula>AND(OR(AND(IF($D6="",INDEX(primary_jama_2024_12829_disposition,MATCH($A6,primary_jama_2024_12829_key,0)),$D6)&lt;&gt;"",IF($D6="",INDEX(primary_jama_2024_12829_disposition,MATCH($A6,primary_jama_2024_12829_key,0)),$D6)&lt;&gt;"retain"),NOT(OR(IF($E6="",INDEX(primary_jama_2024_12829_domain,MATCH($A6,primary_jama_2024_12829_key,0)),$E6)="internal_nonstatistical",IF($E6="",INDEX(primary_jama_2024_12829_domain,MATCH($A6,primary_jama_2024_12829_key,0)),$E6)="plan_material"))),K6&lt;&gt;"",K6&lt;&gt;"not_applicable")</formula>
    </cfRule>
    <cfRule type="expression" priority="112" dxfId="1">
      <formula>OR(AND(IF($D6="",INDEX(primary_jama_2024_12829_disposition,MATCH($A6,primary_jama_2024_12829_key,0)),$D6)&lt;&gt;"",IF($D6="",INDEX(primary_jama_2024_12829_disposition,MATCH($A6,primary_jama_2024_12829_key,0)),$D6)&lt;&gt;"retain"),NOT(OR(IF($E6="",INDEX(primary_jama_2024_12829_domain,MATCH($A6,primary_jama_2024_12829_key,0)),$E6)="internal_nonstatistical",IF($E6="",INDEX(primary_jama_2024_12829_domain,MATCH($A6,primary_jama_2024_12829_key,0)),$E6)="plan_material")))</formula>
    </cfRule>
  </conditionalFormatting>
  <conditionalFormatting sqref="K7">
    <cfRule type="expression" priority="113" dxfId="0" stopIfTrue="1">
      <formula>AND(OR(AND(IF($D7="",INDEX(primary_jama_2024_12829_disposition,MATCH($A7,primary_jama_2024_12829_key,0)),$D7)&lt;&gt;"",IF($D7="",INDEX(primary_jama_2024_12829_disposition,MATCH($A7,primary_jama_2024_12829_key,0)),$D7)&lt;&gt;"retain"),NOT(OR(IF($E7="",INDEX(primary_jama_2024_12829_domain,MATCH($A7,primary_jama_2024_12829_key,0)),$E7)="internal_nonstatistical",IF($E7="",INDEX(primary_jama_2024_12829_domain,MATCH($A7,primary_jama_2024_12829_key,0)),$E7)="plan_material"))),K7&lt;&gt;"",K7&lt;&gt;"not_applicable")</formula>
    </cfRule>
    <cfRule type="expression" priority="114" dxfId="1">
      <formula>OR(AND(IF($D7="",INDEX(primary_jama_2024_12829_disposition,MATCH($A7,primary_jama_2024_12829_key,0)),$D7)&lt;&gt;"",IF($D7="",INDEX(primary_jama_2024_12829_disposition,MATCH($A7,primary_jama_2024_12829_key,0)),$D7)&lt;&gt;"retain"),NOT(OR(IF($E7="",INDEX(primary_jama_2024_12829_domain,MATCH($A7,primary_jama_2024_12829_key,0)),$E7)="internal_nonstatistical",IF($E7="",INDEX(primary_jama_2024_12829_domain,MATCH($A7,primary_jama_2024_12829_key,0)),$E7)="plan_material")))</formula>
    </cfRule>
  </conditionalFormatting>
  <conditionalFormatting sqref="K8">
    <cfRule type="expression" priority="115" dxfId="0" stopIfTrue="1">
      <formula>AND(OR(AND(IF($D8="",INDEX(primary_jama_2024_12829_disposition,MATCH($A8,primary_jama_2024_12829_key,0)),$D8)&lt;&gt;"",IF($D8="",INDEX(primary_jama_2024_12829_disposition,MATCH($A8,primary_jama_2024_12829_key,0)),$D8)&lt;&gt;"retain"),NOT(OR(IF($E8="",INDEX(primary_jama_2024_12829_domain,MATCH($A8,primary_jama_2024_12829_key,0)),$E8)="internal_nonstatistical",IF($E8="",INDEX(primary_jama_2024_12829_domain,MATCH($A8,primary_jama_2024_12829_key,0)),$E8)="plan_material"))),K8&lt;&gt;"",K8&lt;&gt;"not_applicable")</formula>
    </cfRule>
    <cfRule type="expression" priority="116" dxfId="1">
      <formula>OR(AND(IF($D8="",INDEX(primary_jama_2024_12829_disposition,MATCH($A8,primary_jama_2024_12829_key,0)),$D8)&lt;&gt;"",IF($D8="",INDEX(primary_jama_2024_12829_disposition,MATCH($A8,primary_jama_2024_12829_key,0)),$D8)&lt;&gt;"retain"),NOT(OR(IF($E8="",INDEX(primary_jama_2024_12829_domain,MATCH($A8,primary_jama_2024_12829_key,0)),$E8)="internal_nonstatistical",IF($E8="",INDEX(primary_jama_2024_12829_domain,MATCH($A8,primary_jama_2024_12829_key,0)),$E8)="plan_material")))</formula>
    </cfRule>
  </conditionalFormatting>
  <conditionalFormatting sqref="K9">
    <cfRule type="expression" priority="117" dxfId="0" stopIfTrue="1">
      <formula>AND(OR(AND(IF($D9="",INDEX(primary_jama_2024_12829_disposition,MATCH($A9,primary_jama_2024_12829_key,0)),$D9)&lt;&gt;"",IF($D9="",INDEX(primary_jama_2024_12829_disposition,MATCH($A9,primary_jama_2024_12829_key,0)),$D9)&lt;&gt;"retain"),NOT(OR(IF($E9="",INDEX(primary_jama_2024_12829_domain,MATCH($A9,primary_jama_2024_12829_key,0)),$E9)="internal_nonstatistical",IF($E9="",INDEX(primary_jama_2024_12829_domain,MATCH($A9,primary_jama_2024_12829_key,0)),$E9)="plan_material"))),K9&lt;&gt;"",K9&lt;&gt;"not_applicable")</formula>
    </cfRule>
    <cfRule type="expression" priority="118" dxfId="1">
      <formula>OR(AND(IF($D9="",INDEX(primary_jama_2024_12829_disposition,MATCH($A9,primary_jama_2024_12829_key,0)),$D9)&lt;&gt;"",IF($D9="",INDEX(primary_jama_2024_12829_disposition,MATCH($A9,primary_jama_2024_12829_key,0)),$D9)&lt;&gt;"retain"),NOT(OR(IF($E9="",INDEX(primary_jama_2024_12829_domain,MATCH($A9,primary_jama_2024_12829_key,0)),$E9)="internal_nonstatistical",IF($E9="",INDEX(primary_jama_2024_12829_domain,MATCH($A9,primary_jama_2024_12829_key,0)),$E9)="plan_material")))</formula>
    </cfRule>
  </conditionalFormatting>
  <conditionalFormatting sqref="K10">
    <cfRule type="expression" priority="119" dxfId="0" stopIfTrue="1">
      <formula>AND(OR(AND(IF($D10="",INDEX(primary_jama_2024_12829_disposition,MATCH($A10,primary_jama_2024_12829_key,0)),$D10)&lt;&gt;"",IF($D10="",INDEX(primary_jama_2024_12829_disposition,MATCH($A10,primary_jama_2024_12829_key,0)),$D10)&lt;&gt;"retain"),NOT(OR(IF($E10="",INDEX(primary_jama_2024_12829_domain,MATCH($A10,primary_jama_2024_12829_key,0)),$E10)="internal_nonstatistical",IF($E10="",INDEX(primary_jama_2024_12829_domain,MATCH($A10,primary_jama_2024_12829_key,0)),$E10)="plan_material"))),K10&lt;&gt;"",K10&lt;&gt;"not_applicable")</formula>
    </cfRule>
    <cfRule type="expression" priority="120" dxfId="1">
      <formula>OR(AND(IF($D10="",INDEX(primary_jama_2024_12829_disposition,MATCH($A10,primary_jama_2024_12829_key,0)),$D10)&lt;&gt;"",IF($D10="",INDEX(primary_jama_2024_12829_disposition,MATCH($A10,primary_jama_2024_12829_key,0)),$D10)&lt;&gt;"retain"),NOT(OR(IF($E10="",INDEX(primary_jama_2024_12829_domain,MATCH($A10,primary_jama_2024_12829_key,0)),$E10)="internal_nonstatistical",IF($E10="",INDEX(primary_jama_2024_12829_domain,MATCH($A10,primary_jama_2024_12829_key,0)),$E10)="plan_material")))</formula>
    </cfRule>
  </conditionalFormatting>
  <conditionalFormatting sqref="K11">
    <cfRule type="expression" priority="121" dxfId="0" stopIfTrue="1">
      <formula>AND(OR(AND(IF($D11="",INDEX(primary_jama_2024_12829_disposition,MATCH($A11,primary_jama_2024_12829_key,0)),$D11)&lt;&gt;"",IF($D11="",INDEX(primary_jama_2024_12829_disposition,MATCH($A11,primary_jama_2024_12829_key,0)),$D11)&lt;&gt;"retain"),NOT(OR(IF($E11="",INDEX(primary_jama_2024_12829_domain,MATCH($A11,primary_jama_2024_12829_key,0)),$E11)="internal_nonstatistical",IF($E11="",INDEX(primary_jama_2024_12829_domain,MATCH($A11,primary_jama_2024_12829_key,0)),$E11)="plan_material"))),K11&lt;&gt;"",K11&lt;&gt;"not_applicable")</formula>
    </cfRule>
    <cfRule type="expression" priority="122" dxfId="1">
      <formula>OR(AND(IF($D11="",INDEX(primary_jama_2024_12829_disposition,MATCH($A11,primary_jama_2024_12829_key,0)),$D11)&lt;&gt;"",IF($D11="",INDEX(primary_jama_2024_12829_disposition,MATCH($A11,primary_jama_2024_12829_key,0)),$D11)&lt;&gt;"retain"),NOT(OR(IF($E11="",INDEX(primary_jama_2024_12829_domain,MATCH($A11,primary_jama_2024_12829_key,0)),$E11)="internal_nonstatistical",IF($E11="",INDEX(primary_jama_2024_12829_domain,MATCH($A11,primary_jama_2024_12829_key,0)),$E11)="plan_material")))</formula>
    </cfRule>
  </conditionalFormatting>
  <conditionalFormatting sqref="K12">
    <cfRule type="expression" priority="123" dxfId="0" stopIfTrue="1">
      <formula>AND(OR(AND(IF($D12="",INDEX(primary_jama_2024_12829_disposition,MATCH($A12,primary_jama_2024_12829_key,0)),$D12)&lt;&gt;"",IF($D12="",INDEX(primary_jama_2024_12829_disposition,MATCH($A12,primary_jama_2024_12829_key,0)),$D12)&lt;&gt;"retain"),NOT(OR(IF($E12="",INDEX(primary_jama_2024_12829_domain,MATCH($A12,primary_jama_2024_12829_key,0)),$E12)="internal_nonstatistical",IF($E12="",INDEX(primary_jama_2024_12829_domain,MATCH($A12,primary_jama_2024_12829_key,0)),$E12)="plan_material"))),K12&lt;&gt;"",K12&lt;&gt;"not_applicable")</formula>
    </cfRule>
    <cfRule type="expression" priority="124" dxfId="1">
      <formula>OR(AND(IF($D12="",INDEX(primary_jama_2024_12829_disposition,MATCH($A12,primary_jama_2024_12829_key,0)),$D12)&lt;&gt;"",IF($D12="",INDEX(primary_jama_2024_12829_disposition,MATCH($A12,primary_jama_2024_12829_key,0)),$D12)&lt;&gt;"retain"),NOT(OR(IF($E12="",INDEX(primary_jama_2024_12829_domain,MATCH($A12,primary_jama_2024_12829_key,0)),$E12)="internal_nonstatistical",IF($E12="",INDEX(primary_jama_2024_12829_domain,MATCH($A12,primary_jama_2024_12829_key,0)),$E12)="plan_material")))</formula>
    </cfRule>
  </conditionalFormatting>
  <conditionalFormatting sqref="K13">
    <cfRule type="expression" priority="125" dxfId="0" stopIfTrue="1">
      <formula>AND(OR(AND(IF($D13="",INDEX(primary_jama_2024_12829_disposition,MATCH($A13,primary_jama_2024_12829_key,0)),$D13)&lt;&gt;"",IF($D13="",INDEX(primary_jama_2024_12829_disposition,MATCH($A13,primary_jama_2024_12829_key,0)),$D13)&lt;&gt;"retain"),NOT(OR(IF($E13="",INDEX(primary_jama_2024_12829_domain,MATCH($A13,primary_jama_2024_12829_key,0)),$E13)="internal_nonstatistical",IF($E13="",INDEX(primary_jama_2024_12829_domain,MATCH($A13,primary_jama_2024_12829_key,0)),$E13)="plan_material"))),K13&lt;&gt;"",K13&lt;&gt;"not_applicable")</formula>
    </cfRule>
    <cfRule type="expression" priority="126" dxfId="1">
      <formula>OR(AND(IF($D13="",INDEX(primary_jama_2024_12829_disposition,MATCH($A13,primary_jama_2024_12829_key,0)),$D13)&lt;&gt;"",IF($D13="",INDEX(primary_jama_2024_12829_disposition,MATCH($A13,primary_jama_2024_12829_key,0)),$D13)&lt;&gt;"retain"),NOT(OR(IF($E13="",INDEX(primary_jama_2024_12829_domain,MATCH($A13,primary_jama_2024_12829_key,0)),$E13)="internal_nonstatistical",IF($E13="",INDEX(primary_jama_2024_12829_domain,MATCH($A13,primary_jama_2024_12829_key,0)),$E13)="plan_material")))</formula>
    </cfRule>
  </conditionalFormatting>
  <conditionalFormatting sqref="K14">
    <cfRule type="expression" priority="127" dxfId="0" stopIfTrue="1">
      <formula>AND(OR(AND(IF($D14="",INDEX(primary_jama_2024_12829_disposition,MATCH($A14,primary_jama_2024_12829_key,0)),$D14)&lt;&gt;"",IF($D14="",INDEX(primary_jama_2024_12829_disposition,MATCH($A14,primary_jama_2024_12829_key,0)),$D14)&lt;&gt;"retain"),NOT(OR(IF($E14="",INDEX(primary_jama_2024_12829_domain,MATCH($A14,primary_jama_2024_12829_key,0)),$E14)="internal_nonstatistical",IF($E14="",INDEX(primary_jama_2024_12829_domain,MATCH($A14,primary_jama_2024_12829_key,0)),$E14)="plan_material"))),K14&lt;&gt;"",K14&lt;&gt;"not_applicable")</formula>
    </cfRule>
    <cfRule type="expression" priority="128" dxfId="1">
      <formula>OR(AND(IF($D14="",INDEX(primary_jama_2024_12829_disposition,MATCH($A14,primary_jama_2024_12829_key,0)),$D14)&lt;&gt;"",IF($D14="",INDEX(primary_jama_2024_12829_disposition,MATCH($A14,primary_jama_2024_12829_key,0)),$D14)&lt;&gt;"retain"),NOT(OR(IF($E14="",INDEX(primary_jama_2024_12829_domain,MATCH($A14,primary_jama_2024_12829_key,0)),$E14)="internal_nonstatistical",IF($E14="",INDEX(primary_jama_2024_12829_domain,MATCH($A14,primary_jama_2024_12829_key,0)),$E14)="plan_material")))</formula>
    </cfRule>
  </conditionalFormatting>
  <conditionalFormatting sqref="K15">
    <cfRule type="expression" priority="129" dxfId="0" stopIfTrue="1">
      <formula>AND(OR(AND(IF($D15="",INDEX(primary_jama_2024_12829_disposition,MATCH($A15,primary_jama_2024_12829_key,0)),$D15)&lt;&gt;"",IF($D15="",INDEX(primary_jama_2024_12829_disposition,MATCH($A15,primary_jama_2024_12829_key,0)),$D15)&lt;&gt;"retain"),NOT(OR(IF($E15="",INDEX(primary_jama_2024_12829_domain,MATCH($A15,primary_jama_2024_12829_key,0)),$E15)="internal_nonstatistical",IF($E15="",INDEX(primary_jama_2024_12829_domain,MATCH($A15,primary_jama_2024_12829_key,0)),$E15)="plan_material"))),K15&lt;&gt;"",K15&lt;&gt;"not_applicable")</formula>
    </cfRule>
    <cfRule type="expression" priority="130" dxfId="1">
      <formula>OR(AND(IF($D15="",INDEX(primary_jama_2024_12829_disposition,MATCH($A15,primary_jama_2024_12829_key,0)),$D15)&lt;&gt;"",IF($D15="",INDEX(primary_jama_2024_12829_disposition,MATCH($A15,primary_jama_2024_12829_key,0)),$D15)&lt;&gt;"retain"),NOT(OR(IF($E15="",INDEX(primary_jama_2024_12829_domain,MATCH($A15,primary_jama_2024_12829_key,0)),$E15)="internal_nonstatistical",IF($E15="",INDEX(primary_jama_2024_12829_domain,MATCH($A15,primary_jama_2024_12829_key,0)),$E15)="plan_material")))</formula>
    </cfRule>
  </conditionalFormatting>
  <conditionalFormatting sqref="K16">
    <cfRule type="expression" priority="131" dxfId="0" stopIfTrue="1">
      <formula>AND(OR(AND(IF($D16="",INDEX(primary_jama_2024_12829_disposition,MATCH($A16,primary_jama_2024_12829_key,0)),$D16)&lt;&gt;"",IF($D16="",INDEX(primary_jama_2024_12829_disposition,MATCH($A16,primary_jama_2024_12829_key,0)),$D16)&lt;&gt;"retain"),NOT(OR(IF($E16="",INDEX(primary_jama_2024_12829_domain,MATCH($A16,primary_jama_2024_12829_key,0)),$E16)="internal_nonstatistical",IF($E16="",INDEX(primary_jama_2024_12829_domain,MATCH($A16,primary_jama_2024_12829_key,0)),$E16)="plan_material"))),K16&lt;&gt;"",K16&lt;&gt;"not_applicable")</formula>
    </cfRule>
    <cfRule type="expression" priority="132" dxfId="1">
      <formula>OR(AND(IF($D16="",INDEX(primary_jama_2024_12829_disposition,MATCH($A16,primary_jama_2024_12829_key,0)),$D16)&lt;&gt;"",IF($D16="",INDEX(primary_jama_2024_12829_disposition,MATCH($A16,primary_jama_2024_12829_key,0)),$D16)&lt;&gt;"retain"),NOT(OR(IF($E16="",INDEX(primary_jama_2024_12829_domain,MATCH($A16,primary_jama_2024_12829_key,0)),$E16)="internal_nonstatistical",IF($E16="",INDEX(primary_jama_2024_12829_domain,MATCH($A16,primary_jama_2024_12829_key,0)),$E16)="plan_material")))</formula>
    </cfRule>
  </conditionalFormatting>
  <conditionalFormatting sqref="K17">
    <cfRule type="expression" priority="133" dxfId="0" stopIfTrue="1">
      <formula>AND(OR(AND(IF($D17="",INDEX(primary_jama_2024_12829_disposition,MATCH($A17,primary_jama_2024_12829_key,0)),$D17)&lt;&gt;"",IF($D17="",INDEX(primary_jama_2024_12829_disposition,MATCH($A17,primary_jama_2024_12829_key,0)),$D17)&lt;&gt;"retain"),NOT(OR(IF($E17="",INDEX(primary_jama_2024_12829_domain,MATCH($A17,primary_jama_2024_12829_key,0)),$E17)="internal_nonstatistical",IF($E17="",INDEX(primary_jama_2024_12829_domain,MATCH($A17,primary_jama_2024_12829_key,0)),$E17)="plan_material"))),K17&lt;&gt;"",K17&lt;&gt;"not_applicable")</formula>
    </cfRule>
    <cfRule type="expression" priority="134" dxfId="1">
      <formula>OR(AND(IF($D17="",INDEX(primary_jama_2024_12829_disposition,MATCH($A17,primary_jama_2024_12829_key,0)),$D17)&lt;&gt;"",IF($D17="",INDEX(primary_jama_2024_12829_disposition,MATCH($A17,primary_jama_2024_12829_key,0)),$D17)&lt;&gt;"retain"),NOT(OR(IF($E17="",INDEX(primary_jama_2024_12829_domain,MATCH($A17,primary_jama_2024_12829_key,0)),$E17)="internal_nonstatistical",IF($E17="",INDEX(primary_jama_2024_12829_domain,MATCH($A17,primary_jama_2024_12829_key,0)),$E17)="plan_material")))</formula>
    </cfRule>
  </conditionalFormatting>
  <conditionalFormatting sqref="K18">
    <cfRule type="expression" priority="135" dxfId="0" stopIfTrue="1">
      <formula>AND(OR(AND(IF($D18="",INDEX(primary_jama_2024_12829_disposition,MATCH($A18,primary_jama_2024_12829_key,0)),$D18)&lt;&gt;"",IF($D18="",INDEX(primary_jama_2024_12829_disposition,MATCH($A18,primary_jama_2024_12829_key,0)),$D18)&lt;&gt;"retain"),NOT(OR(IF($E18="",INDEX(primary_jama_2024_12829_domain,MATCH($A18,primary_jama_2024_12829_key,0)),$E18)="internal_nonstatistical",IF($E18="",INDEX(primary_jama_2024_12829_domain,MATCH($A18,primary_jama_2024_12829_key,0)),$E18)="plan_material"))),K18&lt;&gt;"",K18&lt;&gt;"not_applicable")</formula>
    </cfRule>
    <cfRule type="expression" priority="136" dxfId="1">
      <formula>OR(AND(IF($D18="",INDEX(primary_jama_2024_12829_disposition,MATCH($A18,primary_jama_2024_12829_key,0)),$D18)&lt;&gt;"",IF($D18="",INDEX(primary_jama_2024_12829_disposition,MATCH($A18,primary_jama_2024_12829_key,0)),$D18)&lt;&gt;"retain"),NOT(OR(IF($E18="",INDEX(primary_jama_2024_12829_domain,MATCH($A18,primary_jama_2024_12829_key,0)),$E18)="internal_nonstatistical",IF($E18="",INDEX(primary_jama_2024_12829_domain,MATCH($A18,primary_jama_2024_12829_key,0)),$E18)="plan_material")))</formula>
    </cfRule>
  </conditionalFormatting>
  <conditionalFormatting sqref="L2">
    <cfRule type="expression" priority="137" dxfId="0" stopIfTrue="1">
      <formula>AND(OR(AND(IF($D2="",INDEX(primary_jama_2024_12829_disposition,MATCH($A2,primary_jama_2024_12829_key,0)),$D2)&lt;&gt;"",IF($D2="",INDEX(primary_jama_2024_12829_disposition,MATCH($A2,primary_jama_2024_12829_key,0)),$D2)&lt;&gt;"retain"),NOT(OR(IF($E2="",INDEX(primary_jama_2024_12829_domain,MATCH($A2,primary_jama_2024_12829_key,0)),$E2)="protocol_report"))),L2&lt;&gt;"",L2&lt;&gt;"not_applicable")</formula>
    </cfRule>
    <cfRule type="expression" priority="138" dxfId="1">
      <formula>OR(AND(IF($D2="",INDEX(primary_jama_2024_12829_disposition,MATCH($A2,primary_jama_2024_12829_key,0)),$D2)&lt;&gt;"",IF($D2="",INDEX(primary_jama_2024_12829_disposition,MATCH($A2,primary_jama_2024_12829_key,0)),$D2)&lt;&gt;"retain"),NOT(OR(IF($E2="",INDEX(primary_jama_2024_12829_domain,MATCH($A2,primary_jama_2024_12829_key,0)),$E2)="protocol_report")))</formula>
    </cfRule>
  </conditionalFormatting>
  <conditionalFormatting sqref="L3">
    <cfRule type="expression" priority="139" dxfId="0" stopIfTrue="1">
      <formula>AND(OR(AND(IF($D3="",INDEX(primary_jama_2024_12829_disposition,MATCH($A3,primary_jama_2024_12829_key,0)),$D3)&lt;&gt;"",IF($D3="",INDEX(primary_jama_2024_12829_disposition,MATCH($A3,primary_jama_2024_12829_key,0)),$D3)&lt;&gt;"retain"),NOT(OR(IF($E3="",INDEX(primary_jama_2024_12829_domain,MATCH($A3,primary_jama_2024_12829_key,0)),$E3)="protocol_report"))),L3&lt;&gt;"",L3&lt;&gt;"not_applicable")</formula>
    </cfRule>
    <cfRule type="expression" priority="140" dxfId="1">
      <formula>OR(AND(IF($D3="",INDEX(primary_jama_2024_12829_disposition,MATCH($A3,primary_jama_2024_12829_key,0)),$D3)&lt;&gt;"",IF($D3="",INDEX(primary_jama_2024_12829_disposition,MATCH($A3,primary_jama_2024_12829_key,0)),$D3)&lt;&gt;"retain"),NOT(OR(IF($E3="",INDEX(primary_jama_2024_12829_domain,MATCH($A3,primary_jama_2024_12829_key,0)),$E3)="protocol_report")))</formula>
    </cfRule>
  </conditionalFormatting>
  <conditionalFormatting sqref="L4">
    <cfRule type="expression" priority="141" dxfId="0" stopIfTrue="1">
      <formula>AND(OR(AND(IF($D4="",INDEX(primary_jama_2024_12829_disposition,MATCH($A4,primary_jama_2024_12829_key,0)),$D4)&lt;&gt;"",IF($D4="",INDEX(primary_jama_2024_12829_disposition,MATCH($A4,primary_jama_2024_12829_key,0)),$D4)&lt;&gt;"retain"),NOT(OR(IF($E4="",INDEX(primary_jama_2024_12829_domain,MATCH($A4,primary_jama_2024_12829_key,0)),$E4)="protocol_report"))),L4&lt;&gt;"",L4&lt;&gt;"not_applicable")</formula>
    </cfRule>
    <cfRule type="expression" priority="142" dxfId="1">
      <formula>OR(AND(IF($D4="",INDEX(primary_jama_2024_12829_disposition,MATCH($A4,primary_jama_2024_12829_key,0)),$D4)&lt;&gt;"",IF($D4="",INDEX(primary_jama_2024_12829_disposition,MATCH($A4,primary_jama_2024_12829_key,0)),$D4)&lt;&gt;"retain"),NOT(OR(IF($E4="",INDEX(primary_jama_2024_12829_domain,MATCH($A4,primary_jama_2024_12829_key,0)),$E4)="protocol_report")))</formula>
    </cfRule>
  </conditionalFormatting>
  <conditionalFormatting sqref="L5">
    <cfRule type="expression" priority="143" dxfId="0" stopIfTrue="1">
      <formula>AND(OR(AND(IF($D5="",INDEX(primary_jama_2024_12829_disposition,MATCH($A5,primary_jama_2024_12829_key,0)),$D5)&lt;&gt;"",IF($D5="",INDEX(primary_jama_2024_12829_disposition,MATCH($A5,primary_jama_2024_12829_key,0)),$D5)&lt;&gt;"retain"),NOT(OR(IF($E5="",INDEX(primary_jama_2024_12829_domain,MATCH($A5,primary_jama_2024_12829_key,0)),$E5)="protocol_report"))),L5&lt;&gt;"",L5&lt;&gt;"not_applicable")</formula>
    </cfRule>
    <cfRule type="expression" priority="144" dxfId="1">
      <formula>OR(AND(IF($D5="",INDEX(primary_jama_2024_12829_disposition,MATCH($A5,primary_jama_2024_12829_key,0)),$D5)&lt;&gt;"",IF($D5="",INDEX(primary_jama_2024_12829_disposition,MATCH($A5,primary_jama_2024_12829_key,0)),$D5)&lt;&gt;"retain"),NOT(OR(IF($E5="",INDEX(primary_jama_2024_12829_domain,MATCH($A5,primary_jama_2024_12829_key,0)),$E5)="protocol_report")))</formula>
    </cfRule>
  </conditionalFormatting>
  <conditionalFormatting sqref="L6">
    <cfRule type="expression" priority="145" dxfId="0" stopIfTrue="1">
      <formula>AND(OR(AND(IF($D6="",INDEX(primary_jama_2024_12829_disposition,MATCH($A6,primary_jama_2024_12829_key,0)),$D6)&lt;&gt;"",IF($D6="",INDEX(primary_jama_2024_12829_disposition,MATCH($A6,primary_jama_2024_12829_key,0)),$D6)&lt;&gt;"retain"),NOT(OR(IF($E6="",INDEX(primary_jama_2024_12829_domain,MATCH($A6,primary_jama_2024_12829_key,0)),$E6)="protocol_report"))),L6&lt;&gt;"",L6&lt;&gt;"not_applicable")</formula>
    </cfRule>
    <cfRule type="expression" priority="146" dxfId="1">
      <formula>OR(AND(IF($D6="",INDEX(primary_jama_2024_12829_disposition,MATCH($A6,primary_jama_2024_12829_key,0)),$D6)&lt;&gt;"",IF($D6="",INDEX(primary_jama_2024_12829_disposition,MATCH($A6,primary_jama_2024_12829_key,0)),$D6)&lt;&gt;"retain"),NOT(OR(IF($E6="",INDEX(primary_jama_2024_12829_domain,MATCH($A6,primary_jama_2024_12829_key,0)),$E6)="protocol_report")))</formula>
    </cfRule>
  </conditionalFormatting>
  <conditionalFormatting sqref="L7">
    <cfRule type="expression" priority="147" dxfId="0" stopIfTrue="1">
      <formula>AND(OR(AND(IF($D7="",INDEX(primary_jama_2024_12829_disposition,MATCH($A7,primary_jama_2024_12829_key,0)),$D7)&lt;&gt;"",IF($D7="",INDEX(primary_jama_2024_12829_disposition,MATCH($A7,primary_jama_2024_12829_key,0)),$D7)&lt;&gt;"retain"),NOT(OR(IF($E7="",INDEX(primary_jama_2024_12829_domain,MATCH($A7,primary_jama_2024_12829_key,0)),$E7)="protocol_report"))),L7&lt;&gt;"",L7&lt;&gt;"not_applicable")</formula>
    </cfRule>
    <cfRule type="expression" priority="148" dxfId="1">
      <formula>OR(AND(IF($D7="",INDEX(primary_jama_2024_12829_disposition,MATCH($A7,primary_jama_2024_12829_key,0)),$D7)&lt;&gt;"",IF($D7="",INDEX(primary_jama_2024_12829_disposition,MATCH($A7,primary_jama_2024_12829_key,0)),$D7)&lt;&gt;"retain"),NOT(OR(IF($E7="",INDEX(primary_jama_2024_12829_domain,MATCH($A7,primary_jama_2024_12829_key,0)),$E7)="protocol_report")))</formula>
    </cfRule>
  </conditionalFormatting>
  <conditionalFormatting sqref="L8">
    <cfRule type="expression" priority="149" dxfId="0" stopIfTrue="1">
      <formula>AND(OR(AND(IF($D8="",INDEX(primary_jama_2024_12829_disposition,MATCH($A8,primary_jama_2024_12829_key,0)),$D8)&lt;&gt;"",IF($D8="",INDEX(primary_jama_2024_12829_disposition,MATCH($A8,primary_jama_2024_12829_key,0)),$D8)&lt;&gt;"retain"),NOT(OR(IF($E8="",INDEX(primary_jama_2024_12829_domain,MATCH($A8,primary_jama_2024_12829_key,0)),$E8)="protocol_report"))),L8&lt;&gt;"",L8&lt;&gt;"not_applicable")</formula>
    </cfRule>
    <cfRule type="expression" priority="150" dxfId="1">
      <formula>OR(AND(IF($D8="",INDEX(primary_jama_2024_12829_disposition,MATCH($A8,primary_jama_2024_12829_key,0)),$D8)&lt;&gt;"",IF($D8="",INDEX(primary_jama_2024_12829_disposition,MATCH($A8,primary_jama_2024_12829_key,0)),$D8)&lt;&gt;"retain"),NOT(OR(IF($E8="",INDEX(primary_jama_2024_12829_domain,MATCH($A8,primary_jama_2024_12829_key,0)),$E8)="protocol_report")))</formula>
    </cfRule>
  </conditionalFormatting>
  <conditionalFormatting sqref="L9">
    <cfRule type="expression" priority="151" dxfId="0" stopIfTrue="1">
      <formula>AND(OR(AND(IF($D9="",INDEX(primary_jama_2024_12829_disposition,MATCH($A9,primary_jama_2024_12829_key,0)),$D9)&lt;&gt;"",IF($D9="",INDEX(primary_jama_2024_12829_disposition,MATCH($A9,primary_jama_2024_12829_key,0)),$D9)&lt;&gt;"retain"),NOT(OR(IF($E9="",INDEX(primary_jama_2024_12829_domain,MATCH($A9,primary_jama_2024_12829_key,0)),$E9)="protocol_report"))),L9&lt;&gt;"",L9&lt;&gt;"not_applicable")</formula>
    </cfRule>
    <cfRule type="expression" priority="152" dxfId="1">
      <formula>OR(AND(IF($D9="",INDEX(primary_jama_2024_12829_disposition,MATCH($A9,primary_jama_2024_12829_key,0)),$D9)&lt;&gt;"",IF($D9="",INDEX(primary_jama_2024_12829_disposition,MATCH($A9,primary_jama_2024_12829_key,0)),$D9)&lt;&gt;"retain"),NOT(OR(IF($E9="",INDEX(primary_jama_2024_12829_domain,MATCH($A9,primary_jama_2024_12829_key,0)),$E9)="protocol_report")))</formula>
    </cfRule>
  </conditionalFormatting>
  <conditionalFormatting sqref="L10">
    <cfRule type="expression" priority="153" dxfId="0" stopIfTrue="1">
      <formula>AND(OR(AND(IF($D10="",INDEX(primary_jama_2024_12829_disposition,MATCH($A10,primary_jama_2024_12829_key,0)),$D10)&lt;&gt;"",IF($D10="",INDEX(primary_jama_2024_12829_disposition,MATCH($A10,primary_jama_2024_12829_key,0)),$D10)&lt;&gt;"retain"),NOT(OR(IF($E10="",INDEX(primary_jama_2024_12829_domain,MATCH($A10,primary_jama_2024_12829_key,0)),$E10)="protocol_report"))),L10&lt;&gt;"",L10&lt;&gt;"not_applicable")</formula>
    </cfRule>
    <cfRule type="expression" priority="154" dxfId="1">
      <formula>OR(AND(IF($D10="",INDEX(primary_jama_2024_12829_disposition,MATCH($A10,primary_jama_2024_12829_key,0)),$D10)&lt;&gt;"",IF($D10="",INDEX(primary_jama_2024_12829_disposition,MATCH($A10,primary_jama_2024_12829_key,0)),$D10)&lt;&gt;"retain"),NOT(OR(IF($E10="",INDEX(primary_jama_2024_12829_domain,MATCH($A10,primary_jama_2024_12829_key,0)),$E10)="protocol_report")))</formula>
    </cfRule>
  </conditionalFormatting>
  <conditionalFormatting sqref="L11">
    <cfRule type="expression" priority="155" dxfId="0" stopIfTrue="1">
      <formula>AND(OR(AND(IF($D11="",INDEX(primary_jama_2024_12829_disposition,MATCH($A11,primary_jama_2024_12829_key,0)),$D11)&lt;&gt;"",IF($D11="",INDEX(primary_jama_2024_12829_disposition,MATCH($A11,primary_jama_2024_12829_key,0)),$D11)&lt;&gt;"retain"),NOT(OR(IF($E11="",INDEX(primary_jama_2024_12829_domain,MATCH($A11,primary_jama_2024_12829_key,0)),$E11)="protocol_report"))),L11&lt;&gt;"",L11&lt;&gt;"not_applicable")</formula>
    </cfRule>
    <cfRule type="expression" priority="156" dxfId="1">
      <formula>OR(AND(IF($D11="",INDEX(primary_jama_2024_12829_disposition,MATCH($A11,primary_jama_2024_12829_key,0)),$D11)&lt;&gt;"",IF($D11="",INDEX(primary_jama_2024_12829_disposition,MATCH($A11,primary_jama_2024_12829_key,0)),$D11)&lt;&gt;"retain"),NOT(OR(IF($E11="",INDEX(primary_jama_2024_12829_domain,MATCH($A11,primary_jama_2024_12829_key,0)),$E11)="protocol_report")))</formula>
    </cfRule>
  </conditionalFormatting>
  <conditionalFormatting sqref="L12">
    <cfRule type="expression" priority="157" dxfId="0" stopIfTrue="1">
      <formula>AND(OR(AND(IF($D12="",INDEX(primary_jama_2024_12829_disposition,MATCH($A12,primary_jama_2024_12829_key,0)),$D12)&lt;&gt;"",IF($D12="",INDEX(primary_jama_2024_12829_disposition,MATCH($A12,primary_jama_2024_12829_key,0)),$D12)&lt;&gt;"retain"),NOT(OR(IF($E12="",INDEX(primary_jama_2024_12829_domain,MATCH($A12,primary_jama_2024_12829_key,0)),$E12)="protocol_report"))),L12&lt;&gt;"",L12&lt;&gt;"not_applicable")</formula>
    </cfRule>
    <cfRule type="expression" priority="158" dxfId="1">
      <formula>OR(AND(IF($D12="",INDEX(primary_jama_2024_12829_disposition,MATCH($A12,primary_jama_2024_12829_key,0)),$D12)&lt;&gt;"",IF($D12="",INDEX(primary_jama_2024_12829_disposition,MATCH($A12,primary_jama_2024_12829_key,0)),$D12)&lt;&gt;"retain"),NOT(OR(IF($E12="",INDEX(primary_jama_2024_12829_domain,MATCH($A12,primary_jama_2024_12829_key,0)),$E12)="protocol_report")))</formula>
    </cfRule>
  </conditionalFormatting>
  <conditionalFormatting sqref="L13">
    <cfRule type="expression" priority="159" dxfId="0" stopIfTrue="1">
      <formula>AND(OR(AND(IF($D13="",INDEX(primary_jama_2024_12829_disposition,MATCH($A13,primary_jama_2024_12829_key,0)),$D13)&lt;&gt;"",IF($D13="",INDEX(primary_jama_2024_12829_disposition,MATCH($A13,primary_jama_2024_12829_key,0)),$D13)&lt;&gt;"retain"),NOT(OR(IF($E13="",INDEX(primary_jama_2024_12829_domain,MATCH($A13,primary_jama_2024_12829_key,0)),$E13)="protocol_report"))),L13&lt;&gt;"",L13&lt;&gt;"not_applicable")</formula>
    </cfRule>
    <cfRule type="expression" priority="160" dxfId="1">
      <formula>OR(AND(IF($D13="",INDEX(primary_jama_2024_12829_disposition,MATCH($A13,primary_jama_2024_12829_key,0)),$D13)&lt;&gt;"",IF($D13="",INDEX(primary_jama_2024_12829_disposition,MATCH($A13,primary_jama_2024_12829_key,0)),$D13)&lt;&gt;"retain"),NOT(OR(IF($E13="",INDEX(primary_jama_2024_12829_domain,MATCH($A13,primary_jama_2024_12829_key,0)),$E13)="protocol_report")))</formula>
    </cfRule>
  </conditionalFormatting>
  <conditionalFormatting sqref="L14">
    <cfRule type="expression" priority="161" dxfId="0" stopIfTrue="1">
      <formula>AND(OR(AND(IF($D14="",INDEX(primary_jama_2024_12829_disposition,MATCH($A14,primary_jama_2024_12829_key,0)),$D14)&lt;&gt;"",IF($D14="",INDEX(primary_jama_2024_12829_disposition,MATCH($A14,primary_jama_2024_12829_key,0)),$D14)&lt;&gt;"retain"),NOT(OR(IF($E14="",INDEX(primary_jama_2024_12829_domain,MATCH($A14,primary_jama_2024_12829_key,0)),$E14)="protocol_report"))),L14&lt;&gt;"",L14&lt;&gt;"not_applicable")</formula>
    </cfRule>
    <cfRule type="expression" priority="162" dxfId="1">
      <formula>OR(AND(IF($D14="",INDEX(primary_jama_2024_12829_disposition,MATCH($A14,primary_jama_2024_12829_key,0)),$D14)&lt;&gt;"",IF($D14="",INDEX(primary_jama_2024_12829_disposition,MATCH($A14,primary_jama_2024_12829_key,0)),$D14)&lt;&gt;"retain"),NOT(OR(IF($E14="",INDEX(primary_jama_2024_12829_domain,MATCH($A14,primary_jama_2024_12829_key,0)),$E14)="protocol_report")))</formula>
    </cfRule>
  </conditionalFormatting>
  <conditionalFormatting sqref="L15">
    <cfRule type="expression" priority="163" dxfId="0" stopIfTrue="1">
      <formula>AND(OR(AND(IF($D15="",INDEX(primary_jama_2024_12829_disposition,MATCH($A15,primary_jama_2024_12829_key,0)),$D15)&lt;&gt;"",IF($D15="",INDEX(primary_jama_2024_12829_disposition,MATCH($A15,primary_jama_2024_12829_key,0)),$D15)&lt;&gt;"retain"),NOT(OR(IF($E15="",INDEX(primary_jama_2024_12829_domain,MATCH($A15,primary_jama_2024_12829_key,0)),$E15)="protocol_report"))),L15&lt;&gt;"",L15&lt;&gt;"not_applicable")</formula>
    </cfRule>
    <cfRule type="expression" priority="164" dxfId="1">
      <formula>OR(AND(IF($D15="",INDEX(primary_jama_2024_12829_disposition,MATCH($A15,primary_jama_2024_12829_key,0)),$D15)&lt;&gt;"",IF($D15="",INDEX(primary_jama_2024_12829_disposition,MATCH($A15,primary_jama_2024_12829_key,0)),$D15)&lt;&gt;"retain"),NOT(OR(IF($E15="",INDEX(primary_jama_2024_12829_domain,MATCH($A15,primary_jama_2024_12829_key,0)),$E15)="protocol_report")))</formula>
    </cfRule>
  </conditionalFormatting>
  <conditionalFormatting sqref="L16">
    <cfRule type="expression" priority="165" dxfId="0" stopIfTrue="1">
      <formula>AND(OR(AND(IF($D16="",INDEX(primary_jama_2024_12829_disposition,MATCH($A16,primary_jama_2024_12829_key,0)),$D16)&lt;&gt;"",IF($D16="",INDEX(primary_jama_2024_12829_disposition,MATCH($A16,primary_jama_2024_12829_key,0)),$D16)&lt;&gt;"retain"),NOT(OR(IF($E16="",INDEX(primary_jama_2024_12829_domain,MATCH($A16,primary_jama_2024_12829_key,0)),$E16)="protocol_report"))),L16&lt;&gt;"",L16&lt;&gt;"not_applicable")</formula>
    </cfRule>
    <cfRule type="expression" priority="166" dxfId="1">
      <formula>OR(AND(IF($D16="",INDEX(primary_jama_2024_12829_disposition,MATCH($A16,primary_jama_2024_12829_key,0)),$D16)&lt;&gt;"",IF($D16="",INDEX(primary_jama_2024_12829_disposition,MATCH($A16,primary_jama_2024_12829_key,0)),$D16)&lt;&gt;"retain"),NOT(OR(IF($E16="",INDEX(primary_jama_2024_12829_domain,MATCH($A16,primary_jama_2024_12829_key,0)),$E16)="protocol_report")))</formula>
    </cfRule>
  </conditionalFormatting>
  <conditionalFormatting sqref="L17">
    <cfRule type="expression" priority="167" dxfId="0" stopIfTrue="1">
      <formula>AND(OR(AND(IF($D17="",INDEX(primary_jama_2024_12829_disposition,MATCH($A17,primary_jama_2024_12829_key,0)),$D17)&lt;&gt;"",IF($D17="",INDEX(primary_jama_2024_12829_disposition,MATCH($A17,primary_jama_2024_12829_key,0)),$D17)&lt;&gt;"retain"),NOT(OR(IF($E17="",INDEX(primary_jama_2024_12829_domain,MATCH($A17,primary_jama_2024_12829_key,0)),$E17)="protocol_report"))),L17&lt;&gt;"",L17&lt;&gt;"not_applicable")</formula>
    </cfRule>
    <cfRule type="expression" priority="168" dxfId="1">
      <formula>OR(AND(IF($D17="",INDEX(primary_jama_2024_12829_disposition,MATCH($A17,primary_jama_2024_12829_key,0)),$D17)&lt;&gt;"",IF($D17="",INDEX(primary_jama_2024_12829_disposition,MATCH($A17,primary_jama_2024_12829_key,0)),$D17)&lt;&gt;"retain"),NOT(OR(IF($E17="",INDEX(primary_jama_2024_12829_domain,MATCH($A17,primary_jama_2024_12829_key,0)),$E17)="protocol_report")))</formula>
    </cfRule>
  </conditionalFormatting>
  <conditionalFormatting sqref="L18">
    <cfRule type="expression" priority="169" dxfId="0" stopIfTrue="1">
      <formula>AND(OR(AND(IF($D18="",INDEX(primary_jama_2024_12829_disposition,MATCH($A18,primary_jama_2024_12829_key,0)),$D18)&lt;&gt;"",IF($D18="",INDEX(primary_jama_2024_12829_disposition,MATCH($A18,primary_jama_2024_12829_key,0)),$D18)&lt;&gt;"retain"),NOT(OR(IF($E18="",INDEX(primary_jama_2024_12829_domain,MATCH($A18,primary_jama_2024_12829_key,0)),$E18)="protocol_report"))),L18&lt;&gt;"",L18&lt;&gt;"not_applicable")</formula>
    </cfRule>
    <cfRule type="expression" priority="170" dxfId="1">
      <formula>OR(AND(IF($D18="",INDEX(primary_jama_2024_12829_disposition,MATCH($A18,primary_jama_2024_12829_key,0)),$D18)&lt;&gt;"",IF($D18="",INDEX(primary_jama_2024_12829_disposition,MATCH($A18,primary_jama_2024_12829_key,0)),$D18)&lt;&gt;"retain"),NOT(OR(IF($E18="",INDEX(primary_jama_2024_12829_domain,MATCH($A18,primary_jama_2024_12829_key,0)),$E18)="protocol_report")))</formula>
    </cfRule>
  </conditionalFormatting>
  <dataValidations count="10">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8" showDropDown="0" showInputMessage="1" showErrorMessage="1" allowBlank="1" errorTitle="Invalid option" error="Choose a listed value." promptTitle="Checker result" prompt="See Codebook for meanings." type="list" errorStyle="stop">
      <formula1>opt_checkStatus</formula1>
    </dataValidation>
    <dataValidation sqref="Q2:Q1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c r="F2" s="8" t="inlineStr">
        <is>
          <t>no</t>
        </is>
      </c>
      <c r="G2" s="2">
        <f>IF(OR(AND(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H2&lt;&gt;"",H2&lt;&gt;"not_applicable"),AND(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I2&lt;&gt;"",I2&lt;&gt;"not_applicable"),AND(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J2&lt;&gt;"",J2&lt;&gt;"not_applicable"),AND(OR(AND(IF($D2="",INDEX(primary_jama_2024_19585_disposition,MATCH($A2,primary_jama_2024_19585_key,0)),$D2)&lt;&gt;"",IF($D2="",INDEX(primary_jama_2024_19585_disposition,MATCH($A2,primary_jama_2024_19585_key,0)),$D2)&lt;&gt;"retain"),NOT(OR(IF($E2="",INDEX(primary_jama_2024_19585_domain,MATCH($A2,primary_jama_2024_19585_key,0)),$E2)="internal_nonstatistical",IF($E2="",INDEX(primary_jama_2024_19585_domain,MATCH($A2,primary_jama_2024_19585_key,0)),$E2)="plan_material"))),K2&lt;&gt;"",K2&lt;&gt;"not_applicable"),AND(OR(AND(IF($D2="",INDEX(primary_jama_2024_19585_disposition,MATCH($A2,primary_jama_2024_19585_key,0)),$D2)&lt;&gt;"",IF($D2="",INDEX(primary_jama_2024_19585_disposition,MATCH($A2,primary_jama_2024_19585_key,0)),$D2)&lt;&gt;"retain"),NOT(OR(IF($E2="",INDEX(primary_jama_2024_19585_domain,MATCH($A2,primary_jama_2024_19585_key,0)),$E2)="protocol_report"))),L2&lt;&gt;"",L2&lt;&gt;"not_applicable")),"CLEAR INACTIVE VALUES",IF(O2="","PENDING",IF(AND(O2&lt;&gt;"agree",LEN(TRIM(P2))=0),"COMMENT NEEDED",IF(F2="yes","CHECKED - see resolution","DRAFT"))))</f>
        <v/>
      </c>
      <c r="H2" s="8">
        <f>IF(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not_applicable","")</f>
        <v/>
      </c>
      <c r="I2" s="8">
        <f>IF(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not_applicable","")</f>
        <v/>
      </c>
      <c r="J2" s="9">
        <f>IF(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not_applicable","")</f>
        <v/>
      </c>
      <c r="K2" s="8">
        <f>IF(OR(AND(IF($D2="",INDEX(primary_jama_2024_19585_disposition,MATCH($A2,primary_jama_2024_19585_key,0)),$D2)&lt;&gt;"",IF($D2="",INDEX(primary_jama_2024_19585_disposition,MATCH($A2,primary_jama_2024_19585_key,0)),$D2)&lt;&gt;"retain"),NOT(OR(IF($E2="",INDEX(primary_jama_2024_19585_domain,MATCH($A2,primary_jama_2024_19585_key,0)),$E2)="internal_nonstatistical",IF($E2="",INDEX(primary_jama_2024_19585_domain,MATCH($A2,primary_jama_2024_19585_key,0)),$E2)="plan_material"))),"not_applicable","")</f>
        <v/>
      </c>
      <c r="L2" s="9">
        <f>IF(OR(AND(IF($D2="",INDEX(primary_jama_2024_19585_disposition,MATCH($A2,primary_jama_2024_19585_key,0)),$D2)&lt;&gt;"",IF($D2="",INDEX(primary_jama_2024_19585_disposition,MATCH($A2,primary_jama_2024_19585_key,0)),$D2)&lt;&gt;"retain"),NOT(OR(IF($E2="",INDEX(primary_jama_2024_19585_domain,MATCH($A2,primary_jama_2024_19585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c r="F3" s="8" t="inlineStr">
        <is>
          <t>no</t>
        </is>
      </c>
      <c r="G3" s="3">
        <f>IF(OR(AND(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H3&lt;&gt;"",H3&lt;&gt;"not_applicable"),AND(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I3&lt;&gt;"",I3&lt;&gt;"not_applicable"),AND(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J3&lt;&gt;"",J3&lt;&gt;"not_applicable"),AND(OR(AND(IF($D3="",INDEX(primary_jama_2024_19585_disposition,MATCH($A3,primary_jama_2024_19585_key,0)),$D3)&lt;&gt;"",IF($D3="",INDEX(primary_jama_2024_19585_disposition,MATCH($A3,primary_jama_2024_19585_key,0)),$D3)&lt;&gt;"retain"),NOT(OR(IF($E3="",INDEX(primary_jama_2024_19585_domain,MATCH($A3,primary_jama_2024_19585_key,0)),$E3)="internal_nonstatistical",IF($E3="",INDEX(primary_jama_2024_19585_domain,MATCH($A3,primary_jama_2024_19585_key,0)),$E3)="plan_material"))),K3&lt;&gt;"",K3&lt;&gt;"not_applicable"),AND(OR(AND(IF($D3="",INDEX(primary_jama_2024_19585_disposition,MATCH($A3,primary_jama_2024_19585_key,0)),$D3)&lt;&gt;"",IF($D3="",INDEX(primary_jama_2024_19585_disposition,MATCH($A3,primary_jama_2024_19585_key,0)),$D3)&lt;&gt;"retain"),NOT(OR(IF($E3="",INDEX(primary_jama_2024_19585_domain,MATCH($A3,primary_jama_2024_19585_key,0)),$E3)="protocol_report"))),L3&lt;&gt;"",L3&lt;&gt;"not_applicable")),"CLEAR INACTIVE VALUES",IF(O3="","PENDING",IF(AND(O3&lt;&gt;"agree",LEN(TRIM(P3))=0),"COMMENT NEEDED",IF(F3="yes","CHECKED - see resolution","DRAFT"))))</f>
        <v/>
      </c>
      <c r="H3" s="8">
        <f>IF(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not_applicable","")</f>
        <v/>
      </c>
      <c r="I3" s="8">
        <f>IF(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not_applicable","")</f>
        <v/>
      </c>
      <c r="J3" s="9">
        <f>IF(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not_applicable","")</f>
        <v/>
      </c>
      <c r="K3" s="8">
        <f>IF(OR(AND(IF($D3="",INDEX(primary_jama_2024_19585_disposition,MATCH($A3,primary_jama_2024_19585_key,0)),$D3)&lt;&gt;"",IF($D3="",INDEX(primary_jama_2024_19585_disposition,MATCH($A3,primary_jama_2024_19585_key,0)),$D3)&lt;&gt;"retain"),NOT(OR(IF($E3="",INDEX(primary_jama_2024_19585_domain,MATCH($A3,primary_jama_2024_19585_key,0)),$E3)="internal_nonstatistical",IF($E3="",INDEX(primary_jama_2024_19585_domain,MATCH($A3,primary_jama_2024_19585_key,0)),$E3)="plan_material"))),"not_applicable","")</f>
        <v/>
      </c>
      <c r="L3" s="9">
        <f>IF(OR(AND(IF($D3="",INDEX(primary_jama_2024_19585_disposition,MATCH($A3,primary_jama_2024_19585_key,0)),$D3)&lt;&gt;"",IF($D3="",INDEX(primary_jama_2024_19585_disposition,MATCH($A3,primary_jama_2024_19585_key,0)),$D3)&lt;&gt;"retain"),NOT(OR(IF($E3="",INDEX(primary_jama_2024_19585_domain,MATCH($A3,primary_jama_2024_19585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c r="F4" s="8" t="inlineStr">
        <is>
          <t>no</t>
        </is>
      </c>
      <c r="G4" s="2">
        <f>IF(OR(AND(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H4&lt;&gt;"",H4&lt;&gt;"not_applicable"),AND(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I4&lt;&gt;"",I4&lt;&gt;"not_applicable"),AND(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J4&lt;&gt;"",J4&lt;&gt;"not_applicable"),AND(OR(AND(IF($D4="",INDEX(primary_jama_2024_19585_disposition,MATCH($A4,primary_jama_2024_19585_key,0)),$D4)&lt;&gt;"",IF($D4="",INDEX(primary_jama_2024_19585_disposition,MATCH($A4,primary_jama_2024_19585_key,0)),$D4)&lt;&gt;"retain"),NOT(OR(IF($E4="",INDEX(primary_jama_2024_19585_domain,MATCH($A4,primary_jama_2024_19585_key,0)),$E4)="internal_nonstatistical",IF($E4="",INDEX(primary_jama_2024_19585_domain,MATCH($A4,primary_jama_2024_19585_key,0)),$E4)="plan_material"))),K4&lt;&gt;"",K4&lt;&gt;"not_applicable"),AND(OR(AND(IF($D4="",INDEX(primary_jama_2024_19585_disposition,MATCH($A4,primary_jama_2024_19585_key,0)),$D4)&lt;&gt;"",IF($D4="",INDEX(primary_jama_2024_19585_disposition,MATCH($A4,primary_jama_2024_19585_key,0)),$D4)&lt;&gt;"retain"),NOT(OR(IF($E4="",INDEX(primary_jama_2024_19585_domain,MATCH($A4,primary_jama_2024_19585_key,0)),$E4)="protocol_report"))),L4&lt;&gt;"",L4&lt;&gt;"not_applicable")),"CLEAR INACTIVE VALUES",IF(O4="","PENDING",IF(AND(O4&lt;&gt;"agree",LEN(TRIM(P4))=0),"COMMENT NEEDED",IF(F4="yes","CHECKED - see resolution","DRAFT"))))</f>
        <v/>
      </c>
      <c r="H4" s="8">
        <f>IF(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not_applicable","")</f>
        <v/>
      </c>
      <c r="I4" s="8">
        <f>IF(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not_applicable","")</f>
        <v/>
      </c>
      <c r="J4" s="9">
        <f>IF(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not_applicable","")</f>
        <v/>
      </c>
      <c r="K4" s="8">
        <f>IF(OR(AND(IF($D4="",INDEX(primary_jama_2024_19585_disposition,MATCH($A4,primary_jama_2024_19585_key,0)),$D4)&lt;&gt;"",IF($D4="",INDEX(primary_jama_2024_19585_disposition,MATCH($A4,primary_jama_2024_19585_key,0)),$D4)&lt;&gt;"retain"),NOT(OR(IF($E4="",INDEX(primary_jama_2024_19585_domain,MATCH($A4,primary_jama_2024_19585_key,0)),$E4)="internal_nonstatistical",IF($E4="",INDEX(primary_jama_2024_19585_domain,MATCH($A4,primary_jama_2024_19585_key,0)),$E4)="plan_material"))),"not_applicable","")</f>
        <v/>
      </c>
      <c r="L4" s="9">
        <f>IF(OR(AND(IF($D4="",INDEX(primary_jama_2024_19585_disposition,MATCH($A4,primary_jama_2024_19585_key,0)),$D4)&lt;&gt;"",IF($D4="",INDEX(primary_jama_2024_19585_disposition,MATCH($A4,primary_jama_2024_19585_key,0)),$D4)&lt;&gt;"retain"),NOT(OR(IF($E4="",INDEX(primary_jama_2024_19585_domain,MATCH($A4,primary_jama_2024_19585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H2&lt;&gt;"",H2&lt;&gt;"not_applicable")</formula>
    </cfRule>
    <cfRule type="expression" priority="2" dxfId="1">
      <formula>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formula>
    </cfRule>
  </conditionalFormatting>
  <conditionalFormatting sqref="H3">
    <cfRule type="expression" priority="3" dxfId="0" stopIfTrue="1">
      <formula>AND(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H3&lt;&gt;"",H3&lt;&gt;"not_applicable")</formula>
    </cfRule>
    <cfRule type="expression" priority="4" dxfId="1">
      <formula>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formula>
    </cfRule>
  </conditionalFormatting>
  <conditionalFormatting sqref="H4">
    <cfRule type="expression" priority="5" dxfId="0" stopIfTrue="1">
      <formula>AND(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H4&lt;&gt;"",H4&lt;&gt;"not_applicable")</formula>
    </cfRule>
    <cfRule type="expression" priority="6" dxfId="1">
      <formula>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formula>
    </cfRule>
  </conditionalFormatting>
  <conditionalFormatting sqref="I2">
    <cfRule type="expression" priority="7" dxfId="0" stopIfTrue="1">
      <formula>AND(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I2&lt;&gt;"",I2&lt;&gt;"not_applicable")</formula>
    </cfRule>
    <cfRule type="expression" priority="8" dxfId="1">
      <formula>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formula>
    </cfRule>
  </conditionalFormatting>
  <conditionalFormatting sqref="I3">
    <cfRule type="expression" priority="9" dxfId="0" stopIfTrue="1">
      <formula>AND(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I3&lt;&gt;"",I3&lt;&gt;"not_applicable")</formula>
    </cfRule>
    <cfRule type="expression" priority="10" dxfId="1">
      <formula>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formula>
    </cfRule>
  </conditionalFormatting>
  <conditionalFormatting sqref="I4">
    <cfRule type="expression" priority="11" dxfId="0" stopIfTrue="1">
      <formula>AND(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I4&lt;&gt;"",I4&lt;&gt;"not_applicable")</formula>
    </cfRule>
    <cfRule type="expression" priority="12" dxfId="1">
      <formula>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formula>
    </cfRule>
  </conditionalFormatting>
  <conditionalFormatting sqref="J2">
    <cfRule type="expression" priority="13" dxfId="0" stopIfTrue="1">
      <formula>AND(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J2&lt;&gt;"",J2&lt;&gt;"not_applicable")</formula>
    </cfRule>
    <cfRule type="expression" priority="14" dxfId="1">
      <formula>OR(AND(IF($D2="",INDEX(primary_jama_2024_19585_disposition,MATCH($A2,primary_jama_2024_19585_key,0)),$D2)&lt;&gt;"",IF($D2="",INDEX(primary_jama_2024_19585_disposition,MATCH($A2,primary_jama_2024_19585_key,0)),$D2)&lt;&gt;"retain"),NOT(OR(IF($E2="",INDEX(primary_jama_2024_19585_domain,MATCH($A2,primary_jama_2024_19585_key,0)),$E2)="statistical_results")))</formula>
    </cfRule>
  </conditionalFormatting>
  <conditionalFormatting sqref="J3">
    <cfRule type="expression" priority="15" dxfId="0" stopIfTrue="1">
      <formula>AND(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J3&lt;&gt;"",J3&lt;&gt;"not_applicable")</formula>
    </cfRule>
    <cfRule type="expression" priority="16" dxfId="1">
      <formula>OR(AND(IF($D3="",INDEX(primary_jama_2024_19585_disposition,MATCH($A3,primary_jama_2024_19585_key,0)),$D3)&lt;&gt;"",IF($D3="",INDEX(primary_jama_2024_19585_disposition,MATCH($A3,primary_jama_2024_19585_key,0)),$D3)&lt;&gt;"retain"),NOT(OR(IF($E3="",INDEX(primary_jama_2024_19585_domain,MATCH($A3,primary_jama_2024_19585_key,0)),$E3)="statistical_results")))</formula>
    </cfRule>
  </conditionalFormatting>
  <conditionalFormatting sqref="J4">
    <cfRule type="expression" priority="17" dxfId="0" stopIfTrue="1">
      <formula>AND(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J4&lt;&gt;"",J4&lt;&gt;"not_applicable")</formula>
    </cfRule>
    <cfRule type="expression" priority="18" dxfId="1">
      <formula>OR(AND(IF($D4="",INDEX(primary_jama_2024_19585_disposition,MATCH($A4,primary_jama_2024_19585_key,0)),$D4)&lt;&gt;"",IF($D4="",INDEX(primary_jama_2024_19585_disposition,MATCH($A4,primary_jama_2024_19585_key,0)),$D4)&lt;&gt;"retain"),NOT(OR(IF($E4="",INDEX(primary_jama_2024_19585_domain,MATCH($A4,primary_jama_2024_19585_key,0)),$E4)="statistical_results")))</formula>
    </cfRule>
  </conditionalFormatting>
  <conditionalFormatting sqref="K2">
    <cfRule type="expression" priority="19" dxfId="0" stopIfTrue="1">
      <formula>AND(OR(AND(IF($D2="",INDEX(primary_jama_2024_19585_disposition,MATCH($A2,primary_jama_2024_19585_key,0)),$D2)&lt;&gt;"",IF($D2="",INDEX(primary_jama_2024_19585_disposition,MATCH($A2,primary_jama_2024_19585_key,0)),$D2)&lt;&gt;"retain"),NOT(OR(IF($E2="",INDEX(primary_jama_2024_19585_domain,MATCH($A2,primary_jama_2024_19585_key,0)),$E2)="internal_nonstatistical",IF($E2="",INDEX(primary_jama_2024_19585_domain,MATCH($A2,primary_jama_2024_19585_key,0)),$E2)="plan_material"))),K2&lt;&gt;"",K2&lt;&gt;"not_applicable")</formula>
    </cfRule>
    <cfRule type="expression" priority="20" dxfId="1">
      <formula>OR(AND(IF($D2="",INDEX(primary_jama_2024_19585_disposition,MATCH($A2,primary_jama_2024_19585_key,0)),$D2)&lt;&gt;"",IF($D2="",INDEX(primary_jama_2024_19585_disposition,MATCH($A2,primary_jama_2024_19585_key,0)),$D2)&lt;&gt;"retain"),NOT(OR(IF($E2="",INDEX(primary_jama_2024_19585_domain,MATCH($A2,primary_jama_2024_19585_key,0)),$E2)="internal_nonstatistical",IF($E2="",INDEX(primary_jama_2024_19585_domain,MATCH($A2,primary_jama_2024_19585_key,0)),$E2)="plan_material")))</formula>
    </cfRule>
  </conditionalFormatting>
  <conditionalFormatting sqref="K3">
    <cfRule type="expression" priority="21" dxfId="0" stopIfTrue="1">
      <formula>AND(OR(AND(IF($D3="",INDEX(primary_jama_2024_19585_disposition,MATCH($A3,primary_jama_2024_19585_key,0)),$D3)&lt;&gt;"",IF($D3="",INDEX(primary_jama_2024_19585_disposition,MATCH($A3,primary_jama_2024_19585_key,0)),$D3)&lt;&gt;"retain"),NOT(OR(IF($E3="",INDEX(primary_jama_2024_19585_domain,MATCH($A3,primary_jama_2024_19585_key,0)),$E3)="internal_nonstatistical",IF($E3="",INDEX(primary_jama_2024_19585_domain,MATCH($A3,primary_jama_2024_19585_key,0)),$E3)="plan_material"))),K3&lt;&gt;"",K3&lt;&gt;"not_applicable")</formula>
    </cfRule>
    <cfRule type="expression" priority="22" dxfId="1">
      <formula>OR(AND(IF($D3="",INDEX(primary_jama_2024_19585_disposition,MATCH($A3,primary_jama_2024_19585_key,0)),$D3)&lt;&gt;"",IF($D3="",INDEX(primary_jama_2024_19585_disposition,MATCH($A3,primary_jama_2024_19585_key,0)),$D3)&lt;&gt;"retain"),NOT(OR(IF($E3="",INDEX(primary_jama_2024_19585_domain,MATCH($A3,primary_jama_2024_19585_key,0)),$E3)="internal_nonstatistical",IF($E3="",INDEX(primary_jama_2024_19585_domain,MATCH($A3,primary_jama_2024_19585_key,0)),$E3)="plan_material")))</formula>
    </cfRule>
  </conditionalFormatting>
  <conditionalFormatting sqref="K4">
    <cfRule type="expression" priority="23" dxfId="0" stopIfTrue="1">
      <formula>AND(OR(AND(IF($D4="",INDEX(primary_jama_2024_19585_disposition,MATCH($A4,primary_jama_2024_19585_key,0)),$D4)&lt;&gt;"",IF($D4="",INDEX(primary_jama_2024_19585_disposition,MATCH($A4,primary_jama_2024_19585_key,0)),$D4)&lt;&gt;"retain"),NOT(OR(IF($E4="",INDEX(primary_jama_2024_19585_domain,MATCH($A4,primary_jama_2024_19585_key,0)),$E4)="internal_nonstatistical",IF($E4="",INDEX(primary_jama_2024_19585_domain,MATCH($A4,primary_jama_2024_19585_key,0)),$E4)="plan_material"))),K4&lt;&gt;"",K4&lt;&gt;"not_applicable")</formula>
    </cfRule>
    <cfRule type="expression" priority="24" dxfId="1">
      <formula>OR(AND(IF($D4="",INDEX(primary_jama_2024_19585_disposition,MATCH($A4,primary_jama_2024_19585_key,0)),$D4)&lt;&gt;"",IF($D4="",INDEX(primary_jama_2024_19585_disposition,MATCH($A4,primary_jama_2024_19585_key,0)),$D4)&lt;&gt;"retain"),NOT(OR(IF($E4="",INDEX(primary_jama_2024_19585_domain,MATCH($A4,primary_jama_2024_19585_key,0)),$E4)="internal_nonstatistical",IF($E4="",INDEX(primary_jama_2024_19585_domain,MATCH($A4,primary_jama_2024_19585_key,0)),$E4)="plan_material")))</formula>
    </cfRule>
  </conditionalFormatting>
  <conditionalFormatting sqref="L2">
    <cfRule type="expression" priority="25" dxfId="0" stopIfTrue="1">
      <formula>AND(OR(AND(IF($D2="",INDEX(primary_jama_2024_19585_disposition,MATCH($A2,primary_jama_2024_19585_key,0)),$D2)&lt;&gt;"",IF($D2="",INDEX(primary_jama_2024_19585_disposition,MATCH($A2,primary_jama_2024_19585_key,0)),$D2)&lt;&gt;"retain"),NOT(OR(IF($E2="",INDEX(primary_jama_2024_19585_domain,MATCH($A2,primary_jama_2024_19585_key,0)),$E2)="protocol_report"))),L2&lt;&gt;"",L2&lt;&gt;"not_applicable")</formula>
    </cfRule>
    <cfRule type="expression" priority="26" dxfId="1">
      <formula>OR(AND(IF($D2="",INDEX(primary_jama_2024_19585_disposition,MATCH($A2,primary_jama_2024_19585_key,0)),$D2)&lt;&gt;"",IF($D2="",INDEX(primary_jama_2024_19585_disposition,MATCH($A2,primary_jama_2024_19585_key,0)),$D2)&lt;&gt;"retain"),NOT(OR(IF($E2="",INDEX(primary_jama_2024_19585_domain,MATCH($A2,primary_jama_2024_19585_key,0)),$E2)="protocol_report")))</formula>
    </cfRule>
  </conditionalFormatting>
  <conditionalFormatting sqref="L3">
    <cfRule type="expression" priority="27" dxfId="0" stopIfTrue="1">
      <formula>AND(OR(AND(IF($D3="",INDEX(primary_jama_2024_19585_disposition,MATCH($A3,primary_jama_2024_19585_key,0)),$D3)&lt;&gt;"",IF($D3="",INDEX(primary_jama_2024_19585_disposition,MATCH($A3,primary_jama_2024_19585_key,0)),$D3)&lt;&gt;"retain"),NOT(OR(IF($E3="",INDEX(primary_jama_2024_19585_domain,MATCH($A3,primary_jama_2024_19585_key,0)),$E3)="protocol_report"))),L3&lt;&gt;"",L3&lt;&gt;"not_applicable")</formula>
    </cfRule>
    <cfRule type="expression" priority="28" dxfId="1">
      <formula>OR(AND(IF($D3="",INDEX(primary_jama_2024_19585_disposition,MATCH($A3,primary_jama_2024_19585_key,0)),$D3)&lt;&gt;"",IF($D3="",INDEX(primary_jama_2024_19585_disposition,MATCH($A3,primary_jama_2024_19585_key,0)),$D3)&lt;&gt;"retain"),NOT(OR(IF($E3="",INDEX(primary_jama_2024_19585_domain,MATCH($A3,primary_jama_2024_19585_key,0)),$E3)="protocol_report")))</formula>
    </cfRule>
  </conditionalFormatting>
  <conditionalFormatting sqref="L4">
    <cfRule type="expression" priority="29" dxfId="0" stopIfTrue="1">
      <formula>AND(OR(AND(IF($D4="",INDEX(primary_jama_2024_19585_disposition,MATCH($A4,primary_jama_2024_19585_key,0)),$D4)&lt;&gt;"",IF($D4="",INDEX(primary_jama_2024_19585_disposition,MATCH($A4,primary_jama_2024_19585_key,0)),$D4)&lt;&gt;"retain"),NOT(OR(IF($E4="",INDEX(primary_jama_2024_19585_domain,MATCH($A4,primary_jama_2024_19585_key,0)),$E4)="protocol_report"))),L4&lt;&gt;"",L4&lt;&gt;"not_applicable")</formula>
    </cfRule>
    <cfRule type="expression" priority="30" dxfId="1">
      <formula>OR(AND(IF($D4="",INDEX(primary_jama_2024_19585_disposition,MATCH($A4,primary_jama_2024_19585_key,0)),$D4)&lt;&gt;"",IF($D4="",INDEX(primary_jama_2024_19585_disposition,MATCH($A4,primary_jama_2024_19585_key,0)),$D4)&lt;&gt;"retain"),NOT(OR(IF($E4="",INDEX(primary_jama_2024_19585_domain,MATCH($A4,primary_jama_2024_19585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c r="F2" s="8" t="inlineStr">
        <is>
          <t>no</t>
        </is>
      </c>
      <c r="G2" s="2">
        <f>IF(OR(AND(OR(AND(IF($D2="",INDEX(primary_jama_2024_2302_disposition,MATCH($A2,primary_jama_2024_2302_key,0)),$D2)&lt;&gt;"",IF($D2="",INDEX(primary_jama_2024_2302_disposition,MATCH($A2,primary_jama_2024_2302_key,0)),$D2)&lt;&gt;"retain"),NOT(OR(IF($E2="",INDEX(primary_jama_2024_2302_domain,MATCH($A2,primary_jama_2024_2302_key,0)),$E2)="statistical_results"))),H2&lt;&gt;"",H2&lt;&gt;"not_applicable"),AND(OR(AND(IF($D2="",INDEX(primary_jama_2024_2302_disposition,MATCH($A2,primary_jama_2024_2302_key,0)),$D2)&lt;&gt;"",IF($D2="",INDEX(primary_jama_2024_2302_disposition,MATCH($A2,primary_jama_2024_2302_key,0)),$D2)&lt;&gt;"retain"),NOT(OR(IF($E2="",INDEX(primary_jama_2024_2302_domain,MATCH($A2,primary_jama_2024_2302_key,0)),$E2)="statistical_results"))),I2&lt;&gt;"",I2&lt;&gt;"not_applicable"),AND(OR(AND(IF($D2="",INDEX(primary_jama_2024_2302_disposition,MATCH($A2,primary_jama_2024_2302_key,0)),$D2)&lt;&gt;"",IF($D2="",INDEX(primary_jama_2024_2302_disposition,MATCH($A2,primary_jama_2024_2302_key,0)),$D2)&lt;&gt;"retain"),NOT(OR(IF($E2="",INDEX(primary_jama_2024_2302_domain,MATCH($A2,primary_jama_2024_2302_key,0)),$E2)="statistical_results"))),J2&lt;&gt;"",J2&lt;&gt;"not_applicable"),AND(OR(AND(IF($D2="",INDEX(primary_jama_2024_2302_disposition,MATCH($A2,primary_jama_2024_2302_key,0)),$D2)&lt;&gt;"",IF($D2="",INDEX(primary_jama_2024_2302_disposition,MATCH($A2,primary_jama_2024_2302_key,0)),$D2)&lt;&gt;"retain"),NOT(OR(IF($E2="",INDEX(primary_jama_2024_2302_domain,MATCH($A2,primary_jama_2024_2302_key,0)),$E2)="internal_nonstatistical",IF($E2="",INDEX(primary_jama_2024_2302_domain,MATCH($A2,primary_jama_2024_2302_key,0)),$E2)="plan_material"))),K2&lt;&gt;"",K2&lt;&gt;"not_applicable"),AND(OR(AND(IF($D2="",INDEX(primary_jama_2024_2302_disposition,MATCH($A2,primary_jama_2024_2302_key,0)),$D2)&lt;&gt;"",IF($D2="",INDEX(primary_jama_2024_2302_disposition,MATCH($A2,primary_jama_2024_2302_key,0)),$D2)&lt;&gt;"retain"),NOT(OR(IF($E2="",INDEX(primary_jama_2024_2302_domain,MATCH($A2,primary_jama_2024_2302_key,0)),$E2)="protocol_report"))),L2&lt;&gt;"",L2&lt;&gt;"not_applicable")),"CLEAR INACTIVE VALUES",IF(O2="","PENDING",IF(AND(O2&lt;&gt;"agree",LEN(TRIM(P2))=0),"COMMENT NEEDED",IF(F2="yes","CHECKED - see resolution","DRAFT"))))</f>
        <v/>
      </c>
      <c r="H2" s="8">
        <f>IF(OR(AND(IF($D2="",INDEX(primary_jama_2024_2302_disposition,MATCH($A2,primary_jama_2024_2302_key,0)),$D2)&lt;&gt;"",IF($D2="",INDEX(primary_jama_2024_2302_disposition,MATCH($A2,primary_jama_2024_2302_key,0)),$D2)&lt;&gt;"retain"),NOT(OR(IF($E2="",INDEX(primary_jama_2024_2302_domain,MATCH($A2,primary_jama_2024_2302_key,0)),$E2)="statistical_results"))),"not_applicable","")</f>
        <v/>
      </c>
      <c r="I2" s="8">
        <f>IF(OR(AND(IF($D2="",INDEX(primary_jama_2024_2302_disposition,MATCH($A2,primary_jama_2024_2302_key,0)),$D2)&lt;&gt;"",IF($D2="",INDEX(primary_jama_2024_2302_disposition,MATCH($A2,primary_jama_2024_2302_key,0)),$D2)&lt;&gt;"retain"),NOT(OR(IF($E2="",INDEX(primary_jama_2024_2302_domain,MATCH($A2,primary_jama_2024_2302_key,0)),$E2)="statistical_results"))),"not_applicable","")</f>
        <v/>
      </c>
      <c r="J2" s="9">
        <f>IF(OR(AND(IF($D2="",INDEX(primary_jama_2024_2302_disposition,MATCH($A2,primary_jama_2024_2302_key,0)),$D2)&lt;&gt;"",IF($D2="",INDEX(primary_jama_2024_2302_disposition,MATCH($A2,primary_jama_2024_2302_key,0)),$D2)&lt;&gt;"retain"),NOT(OR(IF($E2="",INDEX(primary_jama_2024_2302_domain,MATCH($A2,primary_jama_2024_2302_key,0)),$E2)="statistical_results"))),"not_applicable","")</f>
        <v/>
      </c>
      <c r="K2" s="8">
        <f>IF(OR(AND(IF($D2="",INDEX(primary_jama_2024_2302_disposition,MATCH($A2,primary_jama_2024_2302_key,0)),$D2)&lt;&gt;"",IF($D2="",INDEX(primary_jama_2024_2302_disposition,MATCH($A2,primary_jama_2024_2302_key,0)),$D2)&lt;&gt;"retain"),NOT(OR(IF($E2="",INDEX(primary_jama_2024_2302_domain,MATCH($A2,primary_jama_2024_2302_key,0)),$E2)="internal_nonstatistical",IF($E2="",INDEX(primary_jama_2024_2302_domain,MATCH($A2,primary_jama_2024_2302_key,0)),$E2)="plan_material"))),"not_applicable","")</f>
        <v/>
      </c>
      <c r="L2" s="9">
        <f>IF(OR(AND(IF($D2="",INDEX(primary_jama_2024_2302_disposition,MATCH($A2,primary_jama_2024_2302_key,0)),$D2)&lt;&gt;"",IF($D2="",INDEX(primary_jama_2024_2302_disposition,MATCH($A2,primary_jama_2024_2302_key,0)),$D2)&lt;&gt;"retain"),NOT(OR(IF($E2="",INDEX(primary_jama_2024_2302_domain,MATCH($A2,primary_jama_2024_2302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2024::jama.2024.2302::C002</t>
        </is>
      </c>
      <c r="B3" s="3" t="inlineStr">
        <is>
          <t>Planned hospital-day medians</t>
        </is>
      </c>
      <c r="C3" s="3" t="inlineStr">
        <is>
          <t>protocol — PDF p. 3; protocol — PDF p. 12; SAP — PDF p. 3.</t>
        </is>
      </c>
      <c r="D3" s="8" t="inlineStr"/>
      <c r="E3" s="8" t="inlineStr"/>
      <c r="F3" s="8" t="inlineStr">
        <is>
          <t>no</t>
        </is>
      </c>
      <c r="G3" s="3">
        <f>IF(OR(AND(OR(AND(IF($D3="",INDEX(primary_jama_2024_2302_disposition,MATCH($A3,primary_jama_2024_2302_key,0)),$D3)&lt;&gt;"",IF($D3="",INDEX(primary_jama_2024_2302_disposition,MATCH($A3,primary_jama_2024_2302_key,0)),$D3)&lt;&gt;"retain"),NOT(OR(IF($E3="",INDEX(primary_jama_2024_2302_domain,MATCH($A3,primary_jama_2024_2302_key,0)),$E3)="statistical_results"))),H3&lt;&gt;"",H3&lt;&gt;"not_applicable"),AND(OR(AND(IF($D3="",INDEX(primary_jama_2024_2302_disposition,MATCH($A3,primary_jama_2024_2302_key,0)),$D3)&lt;&gt;"",IF($D3="",INDEX(primary_jama_2024_2302_disposition,MATCH($A3,primary_jama_2024_2302_key,0)),$D3)&lt;&gt;"retain"),NOT(OR(IF($E3="",INDEX(primary_jama_2024_2302_domain,MATCH($A3,primary_jama_2024_2302_key,0)),$E3)="statistical_results"))),I3&lt;&gt;"",I3&lt;&gt;"not_applicable"),AND(OR(AND(IF($D3="",INDEX(primary_jama_2024_2302_disposition,MATCH($A3,primary_jama_2024_2302_key,0)),$D3)&lt;&gt;"",IF($D3="",INDEX(primary_jama_2024_2302_disposition,MATCH($A3,primary_jama_2024_2302_key,0)),$D3)&lt;&gt;"retain"),NOT(OR(IF($E3="",INDEX(primary_jama_2024_2302_domain,MATCH($A3,primary_jama_2024_2302_key,0)),$E3)="statistical_results"))),J3&lt;&gt;"",J3&lt;&gt;"not_applicable"),AND(OR(AND(IF($D3="",INDEX(primary_jama_2024_2302_disposition,MATCH($A3,primary_jama_2024_2302_key,0)),$D3)&lt;&gt;"",IF($D3="",INDEX(primary_jama_2024_2302_disposition,MATCH($A3,primary_jama_2024_2302_key,0)),$D3)&lt;&gt;"retain"),NOT(OR(IF($E3="",INDEX(primary_jama_2024_2302_domain,MATCH($A3,primary_jama_2024_2302_key,0)),$E3)="internal_nonstatistical",IF($E3="",INDEX(primary_jama_2024_2302_domain,MATCH($A3,primary_jama_2024_2302_key,0)),$E3)="plan_material"))),K3&lt;&gt;"",K3&lt;&gt;"not_applicable"),AND(OR(AND(IF($D3="",INDEX(primary_jama_2024_2302_disposition,MATCH($A3,primary_jama_2024_2302_key,0)),$D3)&lt;&gt;"",IF($D3="",INDEX(primary_jama_2024_2302_disposition,MATCH($A3,primary_jama_2024_2302_key,0)),$D3)&lt;&gt;"retain"),NOT(OR(IF($E3="",INDEX(primary_jama_2024_2302_domain,MATCH($A3,primary_jama_2024_2302_key,0)),$E3)="protocol_report"))),L3&lt;&gt;"",L3&lt;&gt;"not_applicable")),"CLEAR INACTIVE VALUES",IF(O3="","PENDING",IF(AND(O3&lt;&gt;"agree",LEN(TRIM(P3))=0),"COMMENT NEEDED",IF(F3="yes","CHECKED - see resolution","DRAFT"))))</f>
        <v/>
      </c>
      <c r="H3" s="8">
        <f>IF(OR(AND(IF($D3="",INDEX(primary_jama_2024_2302_disposition,MATCH($A3,primary_jama_2024_2302_key,0)),$D3)&lt;&gt;"",IF($D3="",INDEX(primary_jama_2024_2302_disposition,MATCH($A3,primary_jama_2024_2302_key,0)),$D3)&lt;&gt;"retain"),NOT(OR(IF($E3="",INDEX(primary_jama_2024_2302_domain,MATCH($A3,primary_jama_2024_2302_key,0)),$E3)="statistical_results"))),"not_applicable","")</f>
        <v/>
      </c>
      <c r="I3" s="8">
        <f>IF(OR(AND(IF($D3="",INDEX(primary_jama_2024_2302_disposition,MATCH($A3,primary_jama_2024_2302_key,0)),$D3)&lt;&gt;"",IF($D3="",INDEX(primary_jama_2024_2302_disposition,MATCH($A3,primary_jama_2024_2302_key,0)),$D3)&lt;&gt;"retain"),NOT(OR(IF($E3="",INDEX(primary_jama_2024_2302_domain,MATCH($A3,primary_jama_2024_2302_key,0)),$E3)="statistical_results"))),"not_applicable","")</f>
        <v/>
      </c>
      <c r="J3" s="9">
        <f>IF(OR(AND(IF($D3="",INDEX(primary_jama_2024_2302_disposition,MATCH($A3,primary_jama_2024_2302_key,0)),$D3)&lt;&gt;"",IF($D3="",INDEX(primary_jama_2024_2302_disposition,MATCH($A3,primary_jama_2024_2302_key,0)),$D3)&lt;&gt;"retain"),NOT(OR(IF($E3="",INDEX(primary_jama_2024_2302_domain,MATCH($A3,primary_jama_2024_2302_key,0)),$E3)="statistical_results"))),"not_applicable","")</f>
        <v/>
      </c>
      <c r="K3" s="8">
        <f>IF(OR(AND(IF($D3="",INDEX(primary_jama_2024_2302_disposition,MATCH($A3,primary_jama_2024_2302_key,0)),$D3)&lt;&gt;"",IF($D3="",INDEX(primary_jama_2024_2302_disposition,MATCH($A3,primary_jama_2024_2302_key,0)),$D3)&lt;&gt;"retain"),NOT(OR(IF($E3="",INDEX(primary_jama_2024_2302_domain,MATCH($A3,primary_jama_2024_2302_key,0)),$E3)="internal_nonstatistical",IF($E3="",INDEX(primary_jama_2024_2302_domain,MATCH($A3,primary_jama_2024_2302_key,0)),$E3)="plan_material"))),"not_applicable","")</f>
        <v/>
      </c>
      <c r="L3" s="9">
        <f>IF(OR(AND(IF($D3="",INDEX(primary_jama_2024_2302_disposition,MATCH($A3,primary_jama_2024_2302_key,0)),$D3)&lt;&gt;"",IF($D3="",INDEX(primary_jama_2024_2302_disposition,MATCH($A3,primary_jama_2024_2302_key,0)),$D3)&lt;&gt;"retain"),NOT(OR(IF($E3="",INDEX(primary_jama_2024_2302_domain,MATCH($A3,primary_jama_2024_2302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2024::jama.2024.2302::C003</t>
        </is>
      </c>
      <c r="B4" s="2" t="inlineStr">
        <is>
          <t>Bayesian intervention priors</t>
        </is>
      </c>
      <c r="C4" s="2" t="inlineStr">
        <is>
          <t>main article — PDF p. 4; SAP — PDF p. 8.</t>
        </is>
      </c>
      <c r="D4" s="8" t="inlineStr"/>
      <c r="E4" s="8" t="inlineStr"/>
      <c r="F4" s="8" t="inlineStr">
        <is>
          <t>no</t>
        </is>
      </c>
      <c r="G4" s="2">
        <f>IF(OR(AND(OR(AND(IF($D4="",INDEX(primary_jama_2024_2302_disposition,MATCH($A4,primary_jama_2024_2302_key,0)),$D4)&lt;&gt;"",IF($D4="",INDEX(primary_jama_2024_2302_disposition,MATCH($A4,primary_jama_2024_2302_key,0)),$D4)&lt;&gt;"retain"),NOT(OR(IF($E4="",INDEX(primary_jama_2024_2302_domain,MATCH($A4,primary_jama_2024_2302_key,0)),$E4)="statistical_results"))),H4&lt;&gt;"",H4&lt;&gt;"not_applicable"),AND(OR(AND(IF($D4="",INDEX(primary_jama_2024_2302_disposition,MATCH($A4,primary_jama_2024_2302_key,0)),$D4)&lt;&gt;"",IF($D4="",INDEX(primary_jama_2024_2302_disposition,MATCH($A4,primary_jama_2024_2302_key,0)),$D4)&lt;&gt;"retain"),NOT(OR(IF($E4="",INDEX(primary_jama_2024_2302_domain,MATCH($A4,primary_jama_2024_2302_key,0)),$E4)="statistical_results"))),I4&lt;&gt;"",I4&lt;&gt;"not_applicable"),AND(OR(AND(IF($D4="",INDEX(primary_jama_2024_2302_disposition,MATCH($A4,primary_jama_2024_2302_key,0)),$D4)&lt;&gt;"",IF($D4="",INDEX(primary_jama_2024_2302_disposition,MATCH($A4,primary_jama_2024_2302_key,0)),$D4)&lt;&gt;"retain"),NOT(OR(IF($E4="",INDEX(primary_jama_2024_2302_domain,MATCH($A4,primary_jama_2024_2302_key,0)),$E4)="statistical_results"))),J4&lt;&gt;"",J4&lt;&gt;"not_applicable"),AND(OR(AND(IF($D4="",INDEX(primary_jama_2024_2302_disposition,MATCH($A4,primary_jama_2024_2302_key,0)),$D4)&lt;&gt;"",IF($D4="",INDEX(primary_jama_2024_2302_disposition,MATCH($A4,primary_jama_2024_2302_key,0)),$D4)&lt;&gt;"retain"),NOT(OR(IF($E4="",INDEX(primary_jama_2024_2302_domain,MATCH($A4,primary_jama_2024_2302_key,0)),$E4)="internal_nonstatistical",IF($E4="",INDEX(primary_jama_2024_2302_domain,MATCH($A4,primary_jama_2024_2302_key,0)),$E4)="plan_material"))),K4&lt;&gt;"",K4&lt;&gt;"not_applicable"),AND(OR(AND(IF($D4="",INDEX(primary_jama_2024_2302_disposition,MATCH($A4,primary_jama_2024_2302_key,0)),$D4)&lt;&gt;"",IF($D4="",INDEX(primary_jama_2024_2302_disposition,MATCH($A4,primary_jama_2024_2302_key,0)),$D4)&lt;&gt;"retain"),NOT(OR(IF($E4="",INDEX(primary_jama_2024_2302_domain,MATCH($A4,primary_jama_2024_2302_key,0)),$E4)="protocol_report"))),L4&lt;&gt;"",L4&lt;&gt;"not_applicable")),"CLEAR INACTIVE VALUES",IF(O4="","PENDING",IF(AND(O4&lt;&gt;"agree",LEN(TRIM(P4))=0),"COMMENT NEEDED",IF(F4="yes","CHECKED - see resolution","DRAFT"))))</f>
        <v/>
      </c>
      <c r="H4" s="8">
        <f>IF(OR(AND(IF($D4="",INDEX(primary_jama_2024_2302_disposition,MATCH($A4,primary_jama_2024_2302_key,0)),$D4)&lt;&gt;"",IF($D4="",INDEX(primary_jama_2024_2302_disposition,MATCH($A4,primary_jama_2024_2302_key,0)),$D4)&lt;&gt;"retain"),NOT(OR(IF($E4="",INDEX(primary_jama_2024_2302_domain,MATCH($A4,primary_jama_2024_2302_key,0)),$E4)="statistical_results"))),"not_applicable","")</f>
        <v/>
      </c>
      <c r="I4" s="8">
        <f>IF(OR(AND(IF($D4="",INDEX(primary_jama_2024_2302_disposition,MATCH($A4,primary_jama_2024_2302_key,0)),$D4)&lt;&gt;"",IF($D4="",INDEX(primary_jama_2024_2302_disposition,MATCH($A4,primary_jama_2024_2302_key,0)),$D4)&lt;&gt;"retain"),NOT(OR(IF($E4="",INDEX(primary_jama_2024_2302_domain,MATCH($A4,primary_jama_2024_2302_key,0)),$E4)="statistical_results"))),"not_applicable","")</f>
        <v/>
      </c>
      <c r="J4" s="9">
        <f>IF(OR(AND(IF($D4="",INDEX(primary_jama_2024_2302_disposition,MATCH($A4,primary_jama_2024_2302_key,0)),$D4)&lt;&gt;"",IF($D4="",INDEX(primary_jama_2024_2302_disposition,MATCH($A4,primary_jama_2024_2302_key,0)),$D4)&lt;&gt;"retain"),NOT(OR(IF($E4="",INDEX(primary_jama_2024_2302_domain,MATCH($A4,primary_jama_2024_2302_key,0)),$E4)="statistical_results"))),"not_applicable","")</f>
        <v/>
      </c>
      <c r="K4" s="8">
        <f>IF(OR(AND(IF($D4="",INDEX(primary_jama_2024_2302_disposition,MATCH($A4,primary_jama_2024_2302_key,0)),$D4)&lt;&gt;"",IF($D4="",INDEX(primary_jama_2024_2302_disposition,MATCH($A4,primary_jama_2024_2302_key,0)),$D4)&lt;&gt;"retain"),NOT(OR(IF($E4="",INDEX(primary_jama_2024_2302_domain,MATCH($A4,primary_jama_2024_2302_key,0)),$E4)="internal_nonstatistical",IF($E4="",INDEX(primary_jama_2024_2302_domain,MATCH($A4,primary_jama_2024_2302_key,0)),$E4)="plan_material"))),"not_applicable","")</f>
        <v/>
      </c>
      <c r="L4" s="9">
        <f>IF(OR(AND(IF($D4="",INDEX(primary_jama_2024_2302_disposition,MATCH($A4,primary_jama_2024_2302_key,0)),$D4)&lt;&gt;"",IF($D4="",INDEX(primary_jama_2024_2302_disposition,MATCH($A4,primary_jama_2024_2302_key,0)),$D4)&lt;&gt;"retain"),NOT(OR(IF($E4="",INDEX(primary_jama_2024_2302_domain,MATCH($A4,primary_jama_2024_2302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2024::jama.2024.2302::C004</t>
        </is>
      </c>
      <c r="B5" s="3" t="inlineStr">
        <is>
          <t>Gestational-age boundary</t>
        </is>
      </c>
      <c r="C5" s="3" t="inlineStr">
        <is>
          <t>main article — PDF p. 8, Figure 3; SAP — PDF p. 3; SAP — PDF p. 8; SAP — PDF p. 9.</t>
        </is>
      </c>
      <c r="D5" s="8" t="inlineStr"/>
      <c r="E5" s="8" t="inlineStr"/>
      <c r="F5" s="8" t="inlineStr">
        <is>
          <t>no</t>
        </is>
      </c>
      <c r="G5" s="3">
        <f>IF(OR(AND(OR(AND(IF($D5="",INDEX(primary_jama_2024_2302_disposition,MATCH($A5,primary_jama_2024_2302_key,0)),$D5)&lt;&gt;"",IF($D5="",INDEX(primary_jama_2024_2302_disposition,MATCH($A5,primary_jama_2024_2302_key,0)),$D5)&lt;&gt;"retain"),NOT(OR(IF($E5="",INDEX(primary_jama_2024_2302_domain,MATCH($A5,primary_jama_2024_2302_key,0)),$E5)="statistical_results"))),H5&lt;&gt;"",H5&lt;&gt;"not_applicable"),AND(OR(AND(IF($D5="",INDEX(primary_jama_2024_2302_disposition,MATCH($A5,primary_jama_2024_2302_key,0)),$D5)&lt;&gt;"",IF($D5="",INDEX(primary_jama_2024_2302_disposition,MATCH($A5,primary_jama_2024_2302_key,0)),$D5)&lt;&gt;"retain"),NOT(OR(IF($E5="",INDEX(primary_jama_2024_2302_domain,MATCH($A5,primary_jama_2024_2302_key,0)),$E5)="statistical_results"))),I5&lt;&gt;"",I5&lt;&gt;"not_applicable"),AND(OR(AND(IF($D5="",INDEX(primary_jama_2024_2302_disposition,MATCH($A5,primary_jama_2024_2302_key,0)),$D5)&lt;&gt;"",IF($D5="",INDEX(primary_jama_2024_2302_disposition,MATCH($A5,primary_jama_2024_2302_key,0)),$D5)&lt;&gt;"retain"),NOT(OR(IF($E5="",INDEX(primary_jama_2024_2302_domain,MATCH($A5,primary_jama_2024_2302_key,0)),$E5)="statistical_results"))),J5&lt;&gt;"",J5&lt;&gt;"not_applicable"),AND(OR(AND(IF($D5="",INDEX(primary_jama_2024_2302_disposition,MATCH($A5,primary_jama_2024_2302_key,0)),$D5)&lt;&gt;"",IF($D5="",INDEX(primary_jama_2024_2302_disposition,MATCH($A5,primary_jama_2024_2302_key,0)),$D5)&lt;&gt;"retain"),NOT(OR(IF($E5="",INDEX(primary_jama_2024_2302_domain,MATCH($A5,primary_jama_2024_2302_key,0)),$E5)="internal_nonstatistical",IF($E5="",INDEX(primary_jama_2024_2302_domain,MATCH($A5,primary_jama_2024_2302_key,0)),$E5)="plan_material"))),K5&lt;&gt;"",K5&lt;&gt;"not_applicable"),AND(OR(AND(IF($D5="",INDEX(primary_jama_2024_2302_disposition,MATCH($A5,primary_jama_2024_2302_key,0)),$D5)&lt;&gt;"",IF($D5="",INDEX(primary_jama_2024_2302_disposition,MATCH($A5,primary_jama_2024_2302_key,0)),$D5)&lt;&gt;"retain"),NOT(OR(IF($E5="",INDEX(primary_jama_2024_2302_domain,MATCH($A5,primary_jama_2024_2302_key,0)),$E5)="protocol_report"))),L5&lt;&gt;"",L5&lt;&gt;"not_applicable")),"CLEAR INACTIVE VALUES",IF(O5="","PENDING",IF(AND(O5&lt;&gt;"agree",LEN(TRIM(P5))=0),"COMMENT NEEDED",IF(F5="yes","CHECKED - see resolution","DRAFT"))))</f>
        <v/>
      </c>
      <c r="H5" s="8">
        <f>IF(OR(AND(IF($D5="",INDEX(primary_jama_2024_2302_disposition,MATCH($A5,primary_jama_2024_2302_key,0)),$D5)&lt;&gt;"",IF($D5="",INDEX(primary_jama_2024_2302_disposition,MATCH($A5,primary_jama_2024_2302_key,0)),$D5)&lt;&gt;"retain"),NOT(OR(IF($E5="",INDEX(primary_jama_2024_2302_domain,MATCH($A5,primary_jama_2024_2302_key,0)),$E5)="statistical_results"))),"not_applicable","")</f>
        <v/>
      </c>
      <c r="I5" s="8">
        <f>IF(OR(AND(IF($D5="",INDEX(primary_jama_2024_2302_disposition,MATCH($A5,primary_jama_2024_2302_key,0)),$D5)&lt;&gt;"",IF($D5="",INDEX(primary_jama_2024_2302_disposition,MATCH($A5,primary_jama_2024_2302_key,0)),$D5)&lt;&gt;"retain"),NOT(OR(IF($E5="",INDEX(primary_jama_2024_2302_domain,MATCH($A5,primary_jama_2024_2302_key,0)),$E5)="statistical_results"))),"not_applicable","")</f>
        <v/>
      </c>
      <c r="J5" s="9">
        <f>IF(OR(AND(IF($D5="",INDEX(primary_jama_2024_2302_disposition,MATCH($A5,primary_jama_2024_2302_key,0)),$D5)&lt;&gt;"",IF($D5="",INDEX(primary_jama_2024_2302_disposition,MATCH($A5,primary_jama_2024_2302_key,0)),$D5)&lt;&gt;"retain"),NOT(OR(IF($E5="",INDEX(primary_jama_2024_2302_domain,MATCH($A5,primary_jama_2024_2302_key,0)),$E5)="statistical_results"))),"not_applicable","")</f>
        <v/>
      </c>
      <c r="K5" s="8">
        <f>IF(OR(AND(IF($D5="",INDEX(primary_jama_2024_2302_disposition,MATCH($A5,primary_jama_2024_2302_key,0)),$D5)&lt;&gt;"",IF($D5="",INDEX(primary_jama_2024_2302_disposition,MATCH($A5,primary_jama_2024_2302_key,0)),$D5)&lt;&gt;"retain"),NOT(OR(IF($E5="",INDEX(primary_jama_2024_2302_domain,MATCH($A5,primary_jama_2024_2302_key,0)),$E5)="internal_nonstatistical",IF($E5="",INDEX(primary_jama_2024_2302_domain,MATCH($A5,primary_jama_2024_2302_key,0)),$E5)="plan_material"))),"not_applicable","")</f>
        <v/>
      </c>
      <c r="L5" s="9">
        <f>IF(OR(AND(IF($D5="",INDEX(primary_jama_2024_2302_disposition,MATCH($A5,primary_jama_2024_2302_key,0)),$D5)&lt;&gt;"",IF($D5="",INDEX(primary_jama_2024_2302_disposition,MATCH($A5,primary_jama_2024_2302_key,0)),$D5)&lt;&gt;"retain"),NOT(OR(IF($E5="",INDEX(primary_jama_2024_2302_domain,MATCH($A5,primary_jama_2024_2302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c r="F6" s="8" t="inlineStr">
        <is>
          <t>no</t>
        </is>
      </c>
      <c r="G6" s="2">
        <f>IF(OR(AND(OR(AND(IF($D6="",INDEX(primary_jama_2024_2302_disposition,MATCH($A6,primary_jama_2024_2302_key,0)),$D6)&lt;&gt;"",IF($D6="",INDEX(primary_jama_2024_2302_disposition,MATCH($A6,primary_jama_2024_2302_key,0)),$D6)&lt;&gt;"retain"),NOT(OR(IF($E6="",INDEX(primary_jama_2024_2302_domain,MATCH($A6,primary_jama_2024_2302_key,0)),$E6)="statistical_results"))),H6&lt;&gt;"",H6&lt;&gt;"not_applicable"),AND(OR(AND(IF($D6="",INDEX(primary_jama_2024_2302_disposition,MATCH($A6,primary_jama_2024_2302_key,0)),$D6)&lt;&gt;"",IF($D6="",INDEX(primary_jama_2024_2302_disposition,MATCH($A6,primary_jama_2024_2302_key,0)),$D6)&lt;&gt;"retain"),NOT(OR(IF($E6="",INDEX(primary_jama_2024_2302_domain,MATCH($A6,primary_jama_2024_2302_key,0)),$E6)="statistical_results"))),I6&lt;&gt;"",I6&lt;&gt;"not_applicable"),AND(OR(AND(IF($D6="",INDEX(primary_jama_2024_2302_disposition,MATCH($A6,primary_jama_2024_2302_key,0)),$D6)&lt;&gt;"",IF($D6="",INDEX(primary_jama_2024_2302_disposition,MATCH($A6,primary_jama_2024_2302_key,0)),$D6)&lt;&gt;"retain"),NOT(OR(IF($E6="",INDEX(primary_jama_2024_2302_domain,MATCH($A6,primary_jama_2024_2302_key,0)),$E6)="statistical_results"))),J6&lt;&gt;"",J6&lt;&gt;"not_applicable"),AND(OR(AND(IF($D6="",INDEX(primary_jama_2024_2302_disposition,MATCH($A6,primary_jama_2024_2302_key,0)),$D6)&lt;&gt;"",IF($D6="",INDEX(primary_jama_2024_2302_disposition,MATCH($A6,primary_jama_2024_2302_key,0)),$D6)&lt;&gt;"retain"),NOT(OR(IF($E6="",INDEX(primary_jama_2024_2302_domain,MATCH($A6,primary_jama_2024_2302_key,0)),$E6)="internal_nonstatistical",IF($E6="",INDEX(primary_jama_2024_2302_domain,MATCH($A6,primary_jama_2024_2302_key,0)),$E6)="plan_material"))),K6&lt;&gt;"",K6&lt;&gt;"not_applicable"),AND(OR(AND(IF($D6="",INDEX(primary_jama_2024_2302_disposition,MATCH($A6,primary_jama_2024_2302_key,0)),$D6)&lt;&gt;"",IF($D6="",INDEX(primary_jama_2024_2302_disposition,MATCH($A6,primary_jama_2024_2302_key,0)),$D6)&lt;&gt;"retain"),NOT(OR(IF($E6="",INDEX(primary_jama_2024_2302_domain,MATCH($A6,primary_jama_2024_2302_key,0)),$E6)="protocol_report"))),L6&lt;&gt;"",L6&lt;&gt;"not_applicable")),"CLEAR INACTIVE VALUES",IF(O6="","PENDING",IF(AND(O6&lt;&gt;"agree",LEN(TRIM(P6))=0),"COMMENT NEEDED",IF(F6="yes","CHECKED - see resolution","DRAFT"))))</f>
        <v/>
      </c>
      <c r="H6" s="8">
        <f>IF(OR(AND(IF($D6="",INDEX(primary_jama_2024_2302_disposition,MATCH($A6,primary_jama_2024_2302_key,0)),$D6)&lt;&gt;"",IF($D6="",INDEX(primary_jama_2024_2302_disposition,MATCH($A6,primary_jama_2024_2302_key,0)),$D6)&lt;&gt;"retain"),NOT(OR(IF($E6="",INDEX(primary_jama_2024_2302_domain,MATCH($A6,primary_jama_2024_2302_key,0)),$E6)="statistical_results"))),"not_applicable","")</f>
        <v/>
      </c>
      <c r="I6" s="8">
        <f>IF(OR(AND(IF($D6="",INDEX(primary_jama_2024_2302_disposition,MATCH($A6,primary_jama_2024_2302_key,0)),$D6)&lt;&gt;"",IF($D6="",INDEX(primary_jama_2024_2302_disposition,MATCH($A6,primary_jama_2024_2302_key,0)),$D6)&lt;&gt;"retain"),NOT(OR(IF($E6="",INDEX(primary_jama_2024_2302_domain,MATCH($A6,primary_jama_2024_2302_key,0)),$E6)="statistical_results"))),"not_applicable","")</f>
        <v/>
      </c>
      <c r="J6" s="9">
        <f>IF(OR(AND(IF($D6="",INDEX(primary_jama_2024_2302_disposition,MATCH($A6,primary_jama_2024_2302_key,0)),$D6)&lt;&gt;"",IF($D6="",INDEX(primary_jama_2024_2302_disposition,MATCH($A6,primary_jama_2024_2302_key,0)),$D6)&lt;&gt;"retain"),NOT(OR(IF($E6="",INDEX(primary_jama_2024_2302_domain,MATCH($A6,primary_jama_2024_2302_key,0)),$E6)="statistical_results"))),"not_applicable","")</f>
        <v/>
      </c>
      <c r="K6" s="8">
        <f>IF(OR(AND(IF($D6="",INDEX(primary_jama_2024_2302_disposition,MATCH($A6,primary_jama_2024_2302_key,0)),$D6)&lt;&gt;"",IF($D6="",INDEX(primary_jama_2024_2302_disposition,MATCH($A6,primary_jama_2024_2302_key,0)),$D6)&lt;&gt;"retain"),NOT(OR(IF($E6="",INDEX(primary_jama_2024_2302_domain,MATCH($A6,primary_jama_2024_2302_key,0)),$E6)="internal_nonstatistical",IF($E6="",INDEX(primary_jama_2024_2302_domain,MATCH($A6,primary_jama_2024_2302_key,0)),$E6)="plan_material"))),"not_applicable","")</f>
        <v/>
      </c>
      <c r="L6" s="9">
        <f>IF(OR(AND(IF($D6="",INDEX(primary_jama_2024_2302_disposition,MATCH($A6,primary_jama_2024_2302_key,0)),$D6)&lt;&gt;"",IF($D6="",INDEX(primary_jama_2024_2302_disposition,MATCH($A6,primary_jama_2024_2302_key,0)),$D6)&lt;&gt;"retain"),NOT(OR(IF($E6="",INDEX(primary_jama_2024_2302_domain,MATCH($A6,primary_jama_2024_2302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
    <cfRule type="expression" priority="1" dxfId="0" stopIfTrue="1">
      <formula>AND(OR(AND(IF($D2="",INDEX(primary_jama_2024_2302_disposition,MATCH($A2,primary_jama_2024_2302_key,0)),$D2)&lt;&gt;"",IF($D2="",INDEX(primary_jama_2024_2302_disposition,MATCH($A2,primary_jama_2024_2302_key,0)),$D2)&lt;&gt;"retain"),NOT(OR(IF($E2="",INDEX(primary_jama_2024_2302_domain,MATCH($A2,primary_jama_2024_2302_key,0)),$E2)="statistical_results"))),H2&lt;&gt;"",H2&lt;&gt;"not_applicable")</formula>
    </cfRule>
    <cfRule type="expression" priority="2" dxfId="1">
      <formula>OR(AND(IF($D2="",INDEX(primary_jama_2024_2302_disposition,MATCH($A2,primary_jama_2024_2302_key,0)),$D2)&lt;&gt;"",IF($D2="",INDEX(primary_jama_2024_2302_disposition,MATCH($A2,primary_jama_2024_2302_key,0)),$D2)&lt;&gt;"retain"),NOT(OR(IF($E2="",INDEX(primary_jama_2024_2302_domain,MATCH($A2,primary_jama_2024_2302_key,0)),$E2)="statistical_results")))</formula>
    </cfRule>
  </conditionalFormatting>
  <conditionalFormatting sqref="H3">
    <cfRule type="expression" priority="3" dxfId="0" stopIfTrue="1">
      <formula>AND(OR(AND(IF($D3="",INDEX(primary_jama_2024_2302_disposition,MATCH($A3,primary_jama_2024_2302_key,0)),$D3)&lt;&gt;"",IF($D3="",INDEX(primary_jama_2024_2302_disposition,MATCH($A3,primary_jama_2024_2302_key,0)),$D3)&lt;&gt;"retain"),NOT(OR(IF($E3="",INDEX(primary_jama_2024_2302_domain,MATCH($A3,primary_jama_2024_2302_key,0)),$E3)="statistical_results"))),H3&lt;&gt;"",H3&lt;&gt;"not_applicable")</formula>
    </cfRule>
    <cfRule type="expression" priority="4" dxfId="1">
      <formula>OR(AND(IF($D3="",INDEX(primary_jama_2024_2302_disposition,MATCH($A3,primary_jama_2024_2302_key,0)),$D3)&lt;&gt;"",IF($D3="",INDEX(primary_jama_2024_2302_disposition,MATCH($A3,primary_jama_2024_2302_key,0)),$D3)&lt;&gt;"retain"),NOT(OR(IF($E3="",INDEX(primary_jama_2024_2302_domain,MATCH($A3,primary_jama_2024_2302_key,0)),$E3)="statistical_results")))</formula>
    </cfRule>
  </conditionalFormatting>
  <conditionalFormatting sqref="H4">
    <cfRule type="expression" priority="5" dxfId="0" stopIfTrue="1">
      <formula>AND(OR(AND(IF($D4="",INDEX(primary_jama_2024_2302_disposition,MATCH($A4,primary_jama_2024_2302_key,0)),$D4)&lt;&gt;"",IF($D4="",INDEX(primary_jama_2024_2302_disposition,MATCH($A4,primary_jama_2024_2302_key,0)),$D4)&lt;&gt;"retain"),NOT(OR(IF($E4="",INDEX(primary_jama_2024_2302_domain,MATCH($A4,primary_jama_2024_2302_key,0)),$E4)="statistical_results"))),H4&lt;&gt;"",H4&lt;&gt;"not_applicable")</formula>
    </cfRule>
    <cfRule type="expression" priority="6" dxfId="1">
      <formula>OR(AND(IF($D4="",INDEX(primary_jama_2024_2302_disposition,MATCH($A4,primary_jama_2024_2302_key,0)),$D4)&lt;&gt;"",IF($D4="",INDEX(primary_jama_2024_2302_disposition,MATCH($A4,primary_jama_2024_2302_key,0)),$D4)&lt;&gt;"retain"),NOT(OR(IF($E4="",INDEX(primary_jama_2024_2302_domain,MATCH($A4,primary_jama_2024_2302_key,0)),$E4)="statistical_results")))</formula>
    </cfRule>
  </conditionalFormatting>
  <conditionalFormatting sqref="H5">
    <cfRule type="expression" priority="7" dxfId="0" stopIfTrue="1">
      <formula>AND(OR(AND(IF($D5="",INDEX(primary_jama_2024_2302_disposition,MATCH($A5,primary_jama_2024_2302_key,0)),$D5)&lt;&gt;"",IF($D5="",INDEX(primary_jama_2024_2302_disposition,MATCH($A5,primary_jama_2024_2302_key,0)),$D5)&lt;&gt;"retain"),NOT(OR(IF($E5="",INDEX(primary_jama_2024_2302_domain,MATCH($A5,primary_jama_2024_2302_key,0)),$E5)="statistical_results"))),H5&lt;&gt;"",H5&lt;&gt;"not_applicable")</formula>
    </cfRule>
    <cfRule type="expression" priority="8" dxfId="1">
      <formula>OR(AND(IF($D5="",INDEX(primary_jama_2024_2302_disposition,MATCH($A5,primary_jama_2024_2302_key,0)),$D5)&lt;&gt;"",IF($D5="",INDEX(primary_jama_2024_2302_disposition,MATCH($A5,primary_jama_2024_2302_key,0)),$D5)&lt;&gt;"retain"),NOT(OR(IF($E5="",INDEX(primary_jama_2024_2302_domain,MATCH($A5,primary_jama_2024_2302_key,0)),$E5)="statistical_results")))</formula>
    </cfRule>
  </conditionalFormatting>
  <conditionalFormatting sqref="H6">
    <cfRule type="expression" priority="9" dxfId="0" stopIfTrue="1">
      <formula>AND(OR(AND(IF($D6="",INDEX(primary_jama_2024_2302_disposition,MATCH($A6,primary_jama_2024_2302_key,0)),$D6)&lt;&gt;"",IF($D6="",INDEX(primary_jama_2024_2302_disposition,MATCH($A6,primary_jama_2024_2302_key,0)),$D6)&lt;&gt;"retain"),NOT(OR(IF($E6="",INDEX(primary_jama_2024_2302_domain,MATCH($A6,primary_jama_2024_2302_key,0)),$E6)="statistical_results"))),H6&lt;&gt;"",H6&lt;&gt;"not_applicable")</formula>
    </cfRule>
    <cfRule type="expression" priority="10" dxfId="1">
      <formula>OR(AND(IF($D6="",INDEX(primary_jama_2024_2302_disposition,MATCH($A6,primary_jama_2024_2302_key,0)),$D6)&lt;&gt;"",IF($D6="",INDEX(primary_jama_2024_2302_disposition,MATCH($A6,primary_jama_2024_2302_key,0)),$D6)&lt;&gt;"retain"),NOT(OR(IF($E6="",INDEX(primary_jama_2024_2302_domain,MATCH($A6,primary_jama_2024_2302_key,0)),$E6)="statistical_results")))</formula>
    </cfRule>
  </conditionalFormatting>
  <conditionalFormatting sqref="I2">
    <cfRule type="expression" priority="11" dxfId="0" stopIfTrue="1">
      <formula>AND(OR(AND(IF($D2="",INDEX(primary_jama_2024_2302_disposition,MATCH($A2,primary_jama_2024_2302_key,0)),$D2)&lt;&gt;"",IF($D2="",INDEX(primary_jama_2024_2302_disposition,MATCH($A2,primary_jama_2024_2302_key,0)),$D2)&lt;&gt;"retain"),NOT(OR(IF($E2="",INDEX(primary_jama_2024_2302_domain,MATCH($A2,primary_jama_2024_2302_key,0)),$E2)="statistical_results"))),I2&lt;&gt;"",I2&lt;&gt;"not_applicable")</formula>
    </cfRule>
    <cfRule type="expression" priority="12" dxfId="1">
      <formula>OR(AND(IF($D2="",INDEX(primary_jama_2024_2302_disposition,MATCH($A2,primary_jama_2024_2302_key,0)),$D2)&lt;&gt;"",IF($D2="",INDEX(primary_jama_2024_2302_disposition,MATCH($A2,primary_jama_2024_2302_key,0)),$D2)&lt;&gt;"retain"),NOT(OR(IF($E2="",INDEX(primary_jama_2024_2302_domain,MATCH($A2,primary_jama_2024_2302_key,0)),$E2)="statistical_results")))</formula>
    </cfRule>
  </conditionalFormatting>
  <conditionalFormatting sqref="I3">
    <cfRule type="expression" priority="13" dxfId="0" stopIfTrue="1">
      <formula>AND(OR(AND(IF($D3="",INDEX(primary_jama_2024_2302_disposition,MATCH($A3,primary_jama_2024_2302_key,0)),$D3)&lt;&gt;"",IF($D3="",INDEX(primary_jama_2024_2302_disposition,MATCH($A3,primary_jama_2024_2302_key,0)),$D3)&lt;&gt;"retain"),NOT(OR(IF($E3="",INDEX(primary_jama_2024_2302_domain,MATCH($A3,primary_jama_2024_2302_key,0)),$E3)="statistical_results"))),I3&lt;&gt;"",I3&lt;&gt;"not_applicable")</formula>
    </cfRule>
    <cfRule type="expression" priority="14" dxfId="1">
      <formula>OR(AND(IF($D3="",INDEX(primary_jama_2024_2302_disposition,MATCH($A3,primary_jama_2024_2302_key,0)),$D3)&lt;&gt;"",IF($D3="",INDEX(primary_jama_2024_2302_disposition,MATCH($A3,primary_jama_2024_2302_key,0)),$D3)&lt;&gt;"retain"),NOT(OR(IF($E3="",INDEX(primary_jama_2024_2302_domain,MATCH($A3,primary_jama_2024_2302_key,0)),$E3)="statistical_results")))</formula>
    </cfRule>
  </conditionalFormatting>
  <conditionalFormatting sqref="I4">
    <cfRule type="expression" priority="15" dxfId="0" stopIfTrue="1">
      <formula>AND(OR(AND(IF($D4="",INDEX(primary_jama_2024_2302_disposition,MATCH($A4,primary_jama_2024_2302_key,0)),$D4)&lt;&gt;"",IF($D4="",INDEX(primary_jama_2024_2302_disposition,MATCH($A4,primary_jama_2024_2302_key,0)),$D4)&lt;&gt;"retain"),NOT(OR(IF($E4="",INDEX(primary_jama_2024_2302_domain,MATCH($A4,primary_jama_2024_2302_key,0)),$E4)="statistical_results"))),I4&lt;&gt;"",I4&lt;&gt;"not_applicable")</formula>
    </cfRule>
    <cfRule type="expression" priority="16" dxfId="1">
      <formula>OR(AND(IF($D4="",INDEX(primary_jama_2024_2302_disposition,MATCH($A4,primary_jama_2024_2302_key,0)),$D4)&lt;&gt;"",IF($D4="",INDEX(primary_jama_2024_2302_disposition,MATCH($A4,primary_jama_2024_2302_key,0)),$D4)&lt;&gt;"retain"),NOT(OR(IF($E4="",INDEX(primary_jama_2024_2302_domain,MATCH($A4,primary_jama_2024_2302_key,0)),$E4)="statistical_results")))</formula>
    </cfRule>
  </conditionalFormatting>
  <conditionalFormatting sqref="I5">
    <cfRule type="expression" priority="17" dxfId="0" stopIfTrue="1">
      <formula>AND(OR(AND(IF($D5="",INDEX(primary_jama_2024_2302_disposition,MATCH($A5,primary_jama_2024_2302_key,0)),$D5)&lt;&gt;"",IF($D5="",INDEX(primary_jama_2024_2302_disposition,MATCH($A5,primary_jama_2024_2302_key,0)),$D5)&lt;&gt;"retain"),NOT(OR(IF($E5="",INDEX(primary_jama_2024_2302_domain,MATCH($A5,primary_jama_2024_2302_key,0)),$E5)="statistical_results"))),I5&lt;&gt;"",I5&lt;&gt;"not_applicable")</formula>
    </cfRule>
    <cfRule type="expression" priority="18" dxfId="1">
      <formula>OR(AND(IF($D5="",INDEX(primary_jama_2024_2302_disposition,MATCH($A5,primary_jama_2024_2302_key,0)),$D5)&lt;&gt;"",IF($D5="",INDEX(primary_jama_2024_2302_disposition,MATCH($A5,primary_jama_2024_2302_key,0)),$D5)&lt;&gt;"retain"),NOT(OR(IF($E5="",INDEX(primary_jama_2024_2302_domain,MATCH($A5,primary_jama_2024_2302_key,0)),$E5)="statistical_results")))</formula>
    </cfRule>
  </conditionalFormatting>
  <conditionalFormatting sqref="I6">
    <cfRule type="expression" priority="19" dxfId="0" stopIfTrue="1">
      <formula>AND(OR(AND(IF($D6="",INDEX(primary_jama_2024_2302_disposition,MATCH($A6,primary_jama_2024_2302_key,0)),$D6)&lt;&gt;"",IF($D6="",INDEX(primary_jama_2024_2302_disposition,MATCH($A6,primary_jama_2024_2302_key,0)),$D6)&lt;&gt;"retain"),NOT(OR(IF($E6="",INDEX(primary_jama_2024_2302_domain,MATCH($A6,primary_jama_2024_2302_key,0)),$E6)="statistical_results"))),I6&lt;&gt;"",I6&lt;&gt;"not_applicable")</formula>
    </cfRule>
    <cfRule type="expression" priority="20" dxfId="1">
      <formula>OR(AND(IF($D6="",INDEX(primary_jama_2024_2302_disposition,MATCH($A6,primary_jama_2024_2302_key,0)),$D6)&lt;&gt;"",IF($D6="",INDEX(primary_jama_2024_2302_disposition,MATCH($A6,primary_jama_2024_2302_key,0)),$D6)&lt;&gt;"retain"),NOT(OR(IF($E6="",INDEX(primary_jama_2024_2302_domain,MATCH($A6,primary_jama_2024_2302_key,0)),$E6)="statistical_results")))</formula>
    </cfRule>
  </conditionalFormatting>
  <conditionalFormatting sqref="J2">
    <cfRule type="expression" priority="21" dxfId="0" stopIfTrue="1">
      <formula>AND(OR(AND(IF($D2="",INDEX(primary_jama_2024_2302_disposition,MATCH($A2,primary_jama_2024_2302_key,0)),$D2)&lt;&gt;"",IF($D2="",INDEX(primary_jama_2024_2302_disposition,MATCH($A2,primary_jama_2024_2302_key,0)),$D2)&lt;&gt;"retain"),NOT(OR(IF($E2="",INDEX(primary_jama_2024_2302_domain,MATCH($A2,primary_jama_2024_2302_key,0)),$E2)="statistical_results"))),J2&lt;&gt;"",J2&lt;&gt;"not_applicable")</formula>
    </cfRule>
    <cfRule type="expression" priority="22" dxfId="1">
      <formula>OR(AND(IF($D2="",INDEX(primary_jama_2024_2302_disposition,MATCH($A2,primary_jama_2024_2302_key,0)),$D2)&lt;&gt;"",IF($D2="",INDEX(primary_jama_2024_2302_disposition,MATCH($A2,primary_jama_2024_2302_key,0)),$D2)&lt;&gt;"retain"),NOT(OR(IF($E2="",INDEX(primary_jama_2024_2302_domain,MATCH($A2,primary_jama_2024_2302_key,0)),$E2)="statistical_results")))</formula>
    </cfRule>
  </conditionalFormatting>
  <conditionalFormatting sqref="J3">
    <cfRule type="expression" priority="23" dxfId="0" stopIfTrue="1">
      <formula>AND(OR(AND(IF($D3="",INDEX(primary_jama_2024_2302_disposition,MATCH($A3,primary_jama_2024_2302_key,0)),$D3)&lt;&gt;"",IF($D3="",INDEX(primary_jama_2024_2302_disposition,MATCH($A3,primary_jama_2024_2302_key,0)),$D3)&lt;&gt;"retain"),NOT(OR(IF($E3="",INDEX(primary_jama_2024_2302_domain,MATCH($A3,primary_jama_2024_2302_key,0)),$E3)="statistical_results"))),J3&lt;&gt;"",J3&lt;&gt;"not_applicable")</formula>
    </cfRule>
    <cfRule type="expression" priority="24" dxfId="1">
      <formula>OR(AND(IF($D3="",INDEX(primary_jama_2024_2302_disposition,MATCH($A3,primary_jama_2024_2302_key,0)),$D3)&lt;&gt;"",IF($D3="",INDEX(primary_jama_2024_2302_disposition,MATCH($A3,primary_jama_2024_2302_key,0)),$D3)&lt;&gt;"retain"),NOT(OR(IF($E3="",INDEX(primary_jama_2024_2302_domain,MATCH($A3,primary_jama_2024_2302_key,0)),$E3)="statistical_results")))</formula>
    </cfRule>
  </conditionalFormatting>
  <conditionalFormatting sqref="J4">
    <cfRule type="expression" priority="25" dxfId="0" stopIfTrue="1">
      <formula>AND(OR(AND(IF($D4="",INDEX(primary_jama_2024_2302_disposition,MATCH($A4,primary_jama_2024_2302_key,0)),$D4)&lt;&gt;"",IF($D4="",INDEX(primary_jama_2024_2302_disposition,MATCH($A4,primary_jama_2024_2302_key,0)),$D4)&lt;&gt;"retain"),NOT(OR(IF($E4="",INDEX(primary_jama_2024_2302_domain,MATCH($A4,primary_jama_2024_2302_key,0)),$E4)="statistical_results"))),J4&lt;&gt;"",J4&lt;&gt;"not_applicable")</formula>
    </cfRule>
    <cfRule type="expression" priority="26" dxfId="1">
      <formula>OR(AND(IF($D4="",INDEX(primary_jama_2024_2302_disposition,MATCH($A4,primary_jama_2024_2302_key,0)),$D4)&lt;&gt;"",IF($D4="",INDEX(primary_jama_2024_2302_disposition,MATCH($A4,primary_jama_2024_2302_key,0)),$D4)&lt;&gt;"retain"),NOT(OR(IF($E4="",INDEX(primary_jama_2024_2302_domain,MATCH($A4,primary_jama_2024_2302_key,0)),$E4)="statistical_results")))</formula>
    </cfRule>
  </conditionalFormatting>
  <conditionalFormatting sqref="J5">
    <cfRule type="expression" priority="27" dxfId="0" stopIfTrue="1">
      <formula>AND(OR(AND(IF($D5="",INDEX(primary_jama_2024_2302_disposition,MATCH($A5,primary_jama_2024_2302_key,0)),$D5)&lt;&gt;"",IF($D5="",INDEX(primary_jama_2024_2302_disposition,MATCH($A5,primary_jama_2024_2302_key,0)),$D5)&lt;&gt;"retain"),NOT(OR(IF($E5="",INDEX(primary_jama_2024_2302_domain,MATCH($A5,primary_jama_2024_2302_key,0)),$E5)="statistical_results"))),J5&lt;&gt;"",J5&lt;&gt;"not_applicable")</formula>
    </cfRule>
    <cfRule type="expression" priority="28" dxfId="1">
      <formula>OR(AND(IF($D5="",INDEX(primary_jama_2024_2302_disposition,MATCH($A5,primary_jama_2024_2302_key,0)),$D5)&lt;&gt;"",IF($D5="",INDEX(primary_jama_2024_2302_disposition,MATCH($A5,primary_jama_2024_2302_key,0)),$D5)&lt;&gt;"retain"),NOT(OR(IF($E5="",INDEX(primary_jama_2024_2302_domain,MATCH($A5,primary_jama_2024_2302_key,0)),$E5)="statistical_results")))</formula>
    </cfRule>
  </conditionalFormatting>
  <conditionalFormatting sqref="J6">
    <cfRule type="expression" priority="29" dxfId="0" stopIfTrue="1">
      <formula>AND(OR(AND(IF($D6="",INDEX(primary_jama_2024_2302_disposition,MATCH($A6,primary_jama_2024_2302_key,0)),$D6)&lt;&gt;"",IF($D6="",INDEX(primary_jama_2024_2302_disposition,MATCH($A6,primary_jama_2024_2302_key,0)),$D6)&lt;&gt;"retain"),NOT(OR(IF($E6="",INDEX(primary_jama_2024_2302_domain,MATCH($A6,primary_jama_2024_2302_key,0)),$E6)="statistical_results"))),J6&lt;&gt;"",J6&lt;&gt;"not_applicable")</formula>
    </cfRule>
    <cfRule type="expression" priority="30" dxfId="1">
      <formula>OR(AND(IF($D6="",INDEX(primary_jama_2024_2302_disposition,MATCH($A6,primary_jama_2024_2302_key,0)),$D6)&lt;&gt;"",IF($D6="",INDEX(primary_jama_2024_2302_disposition,MATCH($A6,primary_jama_2024_2302_key,0)),$D6)&lt;&gt;"retain"),NOT(OR(IF($E6="",INDEX(primary_jama_2024_2302_domain,MATCH($A6,primary_jama_2024_2302_key,0)),$E6)="statistical_results")))</formula>
    </cfRule>
  </conditionalFormatting>
  <conditionalFormatting sqref="K2">
    <cfRule type="expression" priority="31" dxfId="0" stopIfTrue="1">
      <formula>AND(OR(AND(IF($D2="",INDEX(primary_jama_2024_2302_disposition,MATCH($A2,primary_jama_2024_2302_key,0)),$D2)&lt;&gt;"",IF($D2="",INDEX(primary_jama_2024_2302_disposition,MATCH($A2,primary_jama_2024_2302_key,0)),$D2)&lt;&gt;"retain"),NOT(OR(IF($E2="",INDEX(primary_jama_2024_2302_domain,MATCH($A2,primary_jama_2024_2302_key,0)),$E2)="internal_nonstatistical",IF($E2="",INDEX(primary_jama_2024_2302_domain,MATCH($A2,primary_jama_2024_2302_key,0)),$E2)="plan_material"))),K2&lt;&gt;"",K2&lt;&gt;"not_applicable")</formula>
    </cfRule>
    <cfRule type="expression" priority="32" dxfId="1">
      <formula>OR(AND(IF($D2="",INDEX(primary_jama_2024_2302_disposition,MATCH($A2,primary_jama_2024_2302_key,0)),$D2)&lt;&gt;"",IF($D2="",INDEX(primary_jama_2024_2302_disposition,MATCH($A2,primary_jama_2024_2302_key,0)),$D2)&lt;&gt;"retain"),NOT(OR(IF($E2="",INDEX(primary_jama_2024_2302_domain,MATCH($A2,primary_jama_2024_2302_key,0)),$E2)="internal_nonstatistical",IF($E2="",INDEX(primary_jama_2024_2302_domain,MATCH($A2,primary_jama_2024_2302_key,0)),$E2)="plan_material")))</formula>
    </cfRule>
  </conditionalFormatting>
  <conditionalFormatting sqref="K3">
    <cfRule type="expression" priority="33" dxfId="0" stopIfTrue="1">
      <formula>AND(OR(AND(IF($D3="",INDEX(primary_jama_2024_2302_disposition,MATCH($A3,primary_jama_2024_2302_key,0)),$D3)&lt;&gt;"",IF($D3="",INDEX(primary_jama_2024_2302_disposition,MATCH($A3,primary_jama_2024_2302_key,0)),$D3)&lt;&gt;"retain"),NOT(OR(IF($E3="",INDEX(primary_jama_2024_2302_domain,MATCH($A3,primary_jama_2024_2302_key,0)),$E3)="internal_nonstatistical",IF($E3="",INDEX(primary_jama_2024_2302_domain,MATCH($A3,primary_jama_2024_2302_key,0)),$E3)="plan_material"))),K3&lt;&gt;"",K3&lt;&gt;"not_applicable")</formula>
    </cfRule>
    <cfRule type="expression" priority="34" dxfId="1">
      <formula>OR(AND(IF($D3="",INDEX(primary_jama_2024_2302_disposition,MATCH($A3,primary_jama_2024_2302_key,0)),$D3)&lt;&gt;"",IF($D3="",INDEX(primary_jama_2024_2302_disposition,MATCH($A3,primary_jama_2024_2302_key,0)),$D3)&lt;&gt;"retain"),NOT(OR(IF($E3="",INDEX(primary_jama_2024_2302_domain,MATCH($A3,primary_jama_2024_2302_key,0)),$E3)="internal_nonstatistical",IF($E3="",INDEX(primary_jama_2024_2302_domain,MATCH($A3,primary_jama_2024_2302_key,0)),$E3)="plan_material")))</formula>
    </cfRule>
  </conditionalFormatting>
  <conditionalFormatting sqref="K4">
    <cfRule type="expression" priority="35" dxfId="0" stopIfTrue="1">
      <formula>AND(OR(AND(IF($D4="",INDEX(primary_jama_2024_2302_disposition,MATCH($A4,primary_jama_2024_2302_key,0)),$D4)&lt;&gt;"",IF($D4="",INDEX(primary_jama_2024_2302_disposition,MATCH($A4,primary_jama_2024_2302_key,0)),$D4)&lt;&gt;"retain"),NOT(OR(IF($E4="",INDEX(primary_jama_2024_2302_domain,MATCH($A4,primary_jama_2024_2302_key,0)),$E4)="internal_nonstatistical",IF($E4="",INDEX(primary_jama_2024_2302_domain,MATCH($A4,primary_jama_2024_2302_key,0)),$E4)="plan_material"))),K4&lt;&gt;"",K4&lt;&gt;"not_applicable")</formula>
    </cfRule>
    <cfRule type="expression" priority="36" dxfId="1">
      <formula>OR(AND(IF($D4="",INDEX(primary_jama_2024_2302_disposition,MATCH($A4,primary_jama_2024_2302_key,0)),$D4)&lt;&gt;"",IF($D4="",INDEX(primary_jama_2024_2302_disposition,MATCH($A4,primary_jama_2024_2302_key,0)),$D4)&lt;&gt;"retain"),NOT(OR(IF($E4="",INDEX(primary_jama_2024_2302_domain,MATCH($A4,primary_jama_2024_2302_key,0)),$E4)="internal_nonstatistical",IF($E4="",INDEX(primary_jama_2024_2302_domain,MATCH($A4,primary_jama_2024_2302_key,0)),$E4)="plan_material")))</formula>
    </cfRule>
  </conditionalFormatting>
  <conditionalFormatting sqref="K5">
    <cfRule type="expression" priority="37" dxfId="0" stopIfTrue="1">
      <formula>AND(OR(AND(IF($D5="",INDEX(primary_jama_2024_2302_disposition,MATCH($A5,primary_jama_2024_2302_key,0)),$D5)&lt;&gt;"",IF($D5="",INDEX(primary_jama_2024_2302_disposition,MATCH($A5,primary_jama_2024_2302_key,0)),$D5)&lt;&gt;"retain"),NOT(OR(IF($E5="",INDEX(primary_jama_2024_2302_domain,MATCH($A5,primary_jama_2024_2302_key,0)),$E5)="internal_nonstatistical",IF($E5="",INDEX(primary_jama_2024_2302_domain,MATCH($A5,primary_jama_2024_2302_key,0)),$E5)="plan_material"))),K5&lt;&gt;"",K5&lt;&gt;"not_applicable")</formula>
    </cfRule>
    <cfRule type="expression" priority="38" dxfId="1">
      <formula>OR(AND(IF($D5="",INDEX(primary_jama_2024_2302_disposition,MATCH($A5,primary_jama_2024_2302_key,0)),$D5)&lt;&gt;"",IF($D5="",INDEX(primary_jama_2024_2302_disposition,MATCH($A5,primary_jama_2024_2302_key,0)),$D5)&lt;&gt;"retain"),NOT(OR(IF($E5="",INDEX(primary_jama_2024_2302_domain,MATCH($A5,primary_jama_2024_2302_key,0)),$E5)="internal_nonstatistical",IF($E5="",INDEX(primary_jama_2024_2302_domain,MATCH($A5,primary_jama_2024_2302_key,0)),$E5)="plan_material")))</formula>
    </cfRule>
  </conditionalFormatting>
  <conditionalFormatting sqref="K6">
    <cfRule type="expression" priority="39" dxfId="0" stopIfTrue="1">
      <formula>AND(OR(AND(IF($D6="",INDEX(primary_jama_2024_2302_disposition,MATCH($A6,primary_jama_2024_2302_key,0)),$D6)&lt;&gt;"",IF($D6="",INDEX(primary_jama_2024_2302_disposition,MATCH($A6,primary_jama_2024_2302_key,0)),$D6)&lt;&gt;"retain"),NOT(OR(IF($E6="",INDEX(primary_jama_2024_2302_domain,MATCH($A6,primary_jama_2024_2302_key,0)),$E6)="internal_nonstatistical",IF($E6="",INDEX(primary_jama_2024_2302_domain,MATCH($A6,primary_jama_2024_2302_key,0)),$E6)="plan_material"))),K6&lt;&gt;"",K6&lt;&gt;"not_applicable")</formula>
    </cfRule>
    <cfRule type="expression" priority="40" dxfId="1">
      <formula>OR(AND(IF($D6="",INDEX(primary_jama_2024_2302_disposition,MATCH($A6,primary_jama_2024_2302_key,0)),$D6)&lt;&gt;"",IF($D6="",INDEX(primary_jama_2024_2302_disposition,MATCH($A6,primary_jama_2024_2302_key,0)),$D6)&lt;&gt;"retain"),NOT(OR(IF($E6="",INDEX(primary_jama_2024_2302_domain,MATCH($A6,primary_jama_2024_2302_key,0)),$E6)="internal_nonstatistical",IF($E6="",INDEX(primary_jama_2024_2302_domain,MATCH($A6,primary_jama_2024_2302_key,0)),$E6)="plan_material")))</formula>
    </cfRule>
  </conditionalFormatting>
  <conditionalFormatting sqref="L2">
    <cfRule type="expression" priority="41" dxfId="0" stopIfTrue="1">
      <formula>AND(OR(AND(IF($D2="",INDEX(primary_jama_2024_2302_disposition,MATCH($A2,primary_jama_2024_2302_key,0)),$D2)&lt;&gt;"",IF($D2="",INDEX(primary_jama_2024_2302_disposition,MATCH($A2,primary_jama_2024_2302_key,0)),$D2)&lt;&gt;"retain"),NOT(OR(IF($E2="",INDEX(primary_jama_2024_2302_domain,MATCH($A2,primary_jama_2024_2302_key,0)),$E2)="protocol_report"))),L2&lt;&gt;"",L2&lt;&gt;"not_applicable")</formula>
    </cfRule>
    <cfRule type="expression" priority="42" dxfId="1">
      <formula>OR(AND(IF($D2="",INDEX(primary_jama_2024_2302_disposition,MATCH($A2,primary_jama_2024_2302_key,0)),$D2)&lt;&gt;"",IF($D2="",INDEX(primary_jama_2024_2302_disposition,MATCH($A2,primary_jama_2024_2302_key,0)),$D2)&lt;&gt;"retain"),NOT(OR(IF($E2="",INDEX(primary_jama_2024_2302_domain,MATCH($A2,primary_jama_2024_2302_key,0)),$E2)="protocol_report")))</formula>
    </cfRule>
  </conditionalFormatting>
  <conditionalFormatting sqref="L3">
    <cfRule type="expression" priority="43" dxfId="0" stopIfTrue="1">
      <formula>AND(OR(AND(IF($D3="",INDEX(primary_jama_2024_2302_disposition,MATCH($A3,primary_jama_2024_2302_key,0)),$D3)&lt;&gt;"",IF($D3="",INDEX(primary_jama_2024_2302_disposition,MATCH($A3,primary_jama_2024_2302_key,0)),$D3)&lt;&gt;"retain"),NOT(OR(IF($E3="",INDEX(primary_jama_2024_2302_domain,MATCH($A3,primary_jama_2024_2302_key,0)),$E3)="protocol_report"))),L3&lt;&gt;"",L3&lt;&gt;"not_applicable")</formula>
    </cfRule>
    <cfRule type="expression" priority="44" dxfId="1">
      <formula>OR(AND(IF($D3="",INDEX(primary_jama_2024_2302_disposition,MATCH($A3,primary_jama_2024_2302_key,0)),$D3)&lt;&gt;"",IF($D3="",INDEX(primary_jama_2024_2302_disposition,MATCH($A3,primary_jama_2024_2302_key,0)),$D3)&lt;&gt;"retain"),NOT(OR(IF($E3="",INDEX(primary_jama_2024_2302_domain,MATCH($A3,primary_jama_2024_2302_key,0)),$E3)="protocol_report")))</formula>
    </cfRule>
  </conditionalFormatting>
  <conditionalFormatting sqref="L4">
    <cfRule type="expression" priority="45" dxfId="0" stopIfTrue="1">
      <formula>AND(OR(AND(IF($D4="",INDEX(primary_jama_2024_2302_disposition,MATCH($A4,primary_jama_2024_2302_key,0)),$D4)&lt;&gt;"",IF($D4="",INDEX(primary_jama_2024_2302_disposition,MATCH($A4,primary_jama_2024_2302_key,0)),$D4)&lt;&gt;"retain"),NOT(OR(IF($E4="",INDEX(primary_jama_2024_2302_domain,MATCH($A4,primary_jama_2024_2302_key,0)),$E4)="protocol_report"))),L4&lt;&gt;"",L4&lt;&gt;"not_applicable")</formula>
    </cfRule>
    <cfRule type="expression" priority="46" dxfId="1">
      <formula>OR(AND(IF($D4="",INDEX(primary_jama_2024_2302_disposition,MATCH($A4,primary_jama_2024_2302_key,0)),$D4)&lt;&gt;"",IF($D4="",INDEX(primary_jama_2024_2302_disposition,MATCH($A4,primary_jama_2024_2302_key,0)),$D4)&lt;&gt;"retain"),NOT(OR(IF($E4="",INDEX(primary_jama_2024_2302_domain,MATCH($A4,primary_jama_2024_2302_key,0)),$E4)="protocol_report")))</formula>
    </cfRule>
  </conditionalFormatting>
  <conditionalFormatting sqref="L5">
    <cfRule type="expression" priority="47" dxfId="0" stopIfTrue="1">
      <formula>AND(OR(AND(IF($D5="",INDEX(primary_jama_2024_2302_disposition,MATCH($A5,primary_jama_2024_2302_key,0)),$D5)&lt;&gt;"",IF($D5="",INDEX(primary_jama_2024_2302_disposition,MATCH($A5,primary_jama_2024_2302_key,0)),$D5)&lt;&gt;"retain"),NOT(OR(IF($E5="",INDEX(primary_jama_2024_2302_domain,MATCH($A5,primary_jama_2024_2302_key,0)),$E5)="protocol_report"))),L5&lt;&gt;"",L5&lt;&gt;"not_applicable")</formula>
    </cfRule>
    <cfRule type="expression" priority="48" dxfId="1">
      <formula>OR(AND(IF($D5="",INDEX(primary_jama_2024_2302_disposition,MATCH($A5,primary_jama_2024_2302_key,0)),$D5)&lt;&gt;"",IF($D5="",INDEX(primary_jama_2024_2302_disposition,MATCH($A5,primary_jama_2024_2302_key,0)),$D5)&lt;&gt;"retain"),NOT(OR(IF($E5="",INDEX(primary_jama_2024_2302_domain,MATCH($A5,primary_jama_2024_2302_key,0)),$E5)="protocol_report")))</formula>
    </cfRule>
  </conditionalFormatting>
  <conditionalFormatting sqref="L6">
    <cfRule type="expression" priority="49" dxfId="0" stopIfTrue="1">
      <formula>AND(OR(AND(IF($D6="",INDEX(primary_jama_2024_2302_disposition,MATCH($A6,primary_jama_2024_2302_key,0)),$D6)&lt;&gt;"",IF($D6="",INDEX(primary_jama_2024_2302_disposition,MATCH($A6,primary_jama_2024_2302_key,0)),$D6)&lt;&gt;"retain"),NOT(OR(IF($E6="",INDEX(primary_jama_2024_2302_domain,MATCH($A6,primary_jama_2024_2302_key,0)),$E6)="protocol_report"))),L6&lt;&gt;"",L6&lt;&gt;"not_applicable")</formula>
    </cfRule>
    <cfRule type="expression" priority="50" dxfId="1">
      <formula>OR(AND(IF($D6="",INDEX(primary_jama_2024_2302_disposition,MATCH($A6,primary_jama_2024_2302_key,0)),$D6)&lt;&gt;"",IF($D6="",INDEX(primary_jama_2024_2302_disposition,MATCH($A6,primary_jama_2024_2302_key,0)),$D6)&lt;&gt;"retain"),NOT(OR(IF($E6="",INDEX(primary_jama_2024_2302_domain,MATCH($A6,primary_jama_2024_2302_key,0)),$E6)="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6" showDropDown="0" showInputMessage="1" showErrorMessage="1" allowBlank="1" errorTitle="Invalid option" error="Choose a listed value." promptTitle="Checker result" prompt="See Codebook for meanings." type="list" errorStyle="stop">
      <formula1>opt_checkStatus</formula1>
    </dataValidation>
    <dataValidation sqref="Q2:Q6"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c r="F2" s="8" t="inlineStr">
        <is>
          <t>no</t>
        </is>
      </c>
      <c r="G2" s="2">
        <f>IF(OR(AND(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H2&lt;&gt;"",H2&lt;&gt;"not_applicable"),AND(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I2&lt;&gt;"",I2&lt;&gt;"not_applicable"),AND(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J2&lt;&gt;"",J2&lt;&gt;"not_applicable"),AND(OR(AND(IF($D2="",INDEX(primary_jama_2024_23898_disposition,MATCH($A2,primary_jama_2024_23898_key,0)),$D2)&lt;&gt;"",IF($D2="",INDEX(primary_jama_2024_23898_disposition,MATCH($A2,primary_jama_2024_23898_key,0)),$D2)&lt;&gt;"retain"),NOT(OR(IF($E2="",INDEX(primary_jama_2024_23898_domain,MATCH($A2,primary_jama_2024_23898_key,0)),$E2)="internal_nonstatistical",IF($E2="",INDEX(primary_jama_2024_23898_domain,MATCH($A2,primary_jama_2024_23898_key,0)),$E2)="plan_material"))),K2&lt;&gt;"",K2&lt;&gt;"not_applicable"),AND(OR(AND(IF($D2="",INDEX(primary_jama_2024_23898_disposition,MATCH($A2,primary_jama_2024_23898_key,0)),$D2)&lt;&gt;"",IF($D2="",INDEX(primary_jama_2024_23898_disposition,MATCH($A2,primary_jama_2024_23898_key,0)),$D2)&lt;&gt;"retain"),NOT(OR(IF($E2="",INDEX(primary_jama_2024_23898_domain,MATCH($A2,primary_jama_2024_23898_key,0)),$E2)="protocol_report"))),L2&lt;&gt;"",L2&lt;&gt;"not_applicable")),"CLEAR INACTIVE VALUES",IF(O2="","PENDING",IF(AND(O2&lt;&gt;"agree",LEN(TRIM(P2))=0),"COMMENT NEEDED",IF(F2="yes","CHECKED - see resolution","DRAFT"))))</f>
        <v/>
      </c>
      <c r="H2" s="8">
        <f>IF(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not_applicable","")</f>
        <v/>
      </c>
      <c r="I2" s="8">
        <f>IF(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not_applicable","")</f>
        <v/>
      </c>
      <c r="J2" s="9">
        <f>IF(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not_applicable","")</f>
        <v/>
      </c>
      <c r="K2" s="8">
        <f>IF(OR(AND(IF($D2="",INDEX(primary_jama_2024_23898_disposition,MATCH($A2,primary_jama_2024_23898_key,0)),$D2)&lt;&gt;"",IF($D2="",INDEX(primary_jama_2024_23898_disposition,MATCH($A2,primary_jama_2024_23898_key,0)),$D2)&lt;&gt;"retain"),NOT(OR(IF($E2="",INDEX(primary_jama_2024_23898_domain,MATCH($A2,primary_jama_2024_23898_key,0)),$E2)="internal_nonstatistical",IF($E2="",INDEX(primary_jama_2024_23898_domain,MATCH($A2,primary_jama_2024_23898_key,0)),$E2)="plan_material"))),"not_applicable","")</f>
        <v/>
      </c>
      <c r="L2" s="9">
        <f>IF(OR(AND(IF($D2="",INDEX(primary_jama_2024_23898_disposition,MATCH($A2,primary_jama_2024_23898_key,0)),$D2)&lt;&gt;"",IF($D2="",INDEX(primary_jama_2024_23898_disposition,MATCH($A2,primary_jama_2024_23898_key,0)),$D2)&lt;&gt;"retain"),NOT(OR(IF($E2="",INDEX(primary_jama_2024_23898_domain,MATCH($A2,primary_jama_2024_23898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c r="F3" s="8" t="inlineStr">
        <is>
          <t>no</t>
        </is>
      </c>
      <c r="G3" s="3">
        <f>IF(OR(AND(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H3&lt;&gt;"",H3&lt;&gt;"not_applicable"),AND(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I3&lt;&gt;"",I3&lt;&gt;"not_applicable"),AND(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J3&lt;&gt;"",J3&lt;&gt;"not_applicable"),AND(OR(AND(IF($D3="",INDEX(primary_jama_2024_23898_disposition,MATCH($A3,primary_jama_2024_23898_key,0)),$D3)&lt;&gt;"",IF($D3="",INDEX(primary_jama_2024_23898_disposition,MATCH($A3,primary_jama_2024_23898_key,0)),$D3)&lt;&gt;"retain"),NOT(OR(IF($E3="",INDEX(primary_jama_2024_23898_domain,MATCH($A3,primary_jama_2024_23898_key,0)),$E3)="internal_nonstatistical",IF($E3="",INDEX(primary_jama_2024_23898_domain,MATCH($A3,primary_jama_2024_23898_key,0)),$E3)="plan_material"))),K3&lt;&gt;"",K3&lt;&gt;"not_applicable"),AND(OR(AND(IF($D3="",INDEX(primary_jama_2024_23898_disposition,MATCH($A3,primary_jama_2024_23898_key,0)),$D3)&lt;&gt;"",IF($D3="",INDEX(primary_jama_2024_23898_disposition,MATCH($A3,primary_jama_2024_23898_key,0)),$D3)&lt;&gt;"retain"),NOT(OR(IF($E3="",INDEX(primary_jama_2024_23898_domain,MATCH($A3,primary_jama_2024_23898_key,0)),$E3)="protocol_report"))),L3&lt;&gt;"",L3&lt;&gt;"not_applicable")),"CLEAR INACTIVE VALUES",IF(O3="","PENDING",IF(AND(O3&lt;&gt;"agree",LEN(TRIM(P3))=0),"COMMENT NEEDED",IF(F3="yes","CHECKED - see resolution","DRAFT"))))</f>
        <v/>
      </c>
      <c r="H3" s="8">
        <f>IF(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not_applicable","")</f>
        <v/>
      </c>
      <c r="I3" s="8">
        <f>IF(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not_applicable","")</f>
        <v/>
      </c>
      <c r="J3" s="9">
        <f>IF(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not_applicable","")</f>
        <v/>
      </c>
      <c r="K3" s="8">
        <f>IF(OR(AND(IF($D3="",INDEX(primary_jama_2024_23898_disposition,MATCH($A3,primary_jama_2024_23898_key,0)),$D3)&lt;&gt;"",IF($D3="",INDEX(primary_jama_2024_23898_disposition,MATCH($A3,primary_jama_2024_23898_key,0)),$D3)&lt;&gt;"retain"),NOT(OR(IF($E3="",INDEX(primary_jama_2024_23898_domain,MATCH($A3,primary_jama_2024_23898_key,0)),$E3)="internal_nonstatistical",IF($E3="",INDEX(primary_jama_2024_23898_domain,MATCH($A3,primary_jama_2024_23898_key,0)),$E3)="plan_material"))),"not_applicable","")</f>
        <v/>
      </c>
      <c r="L3" s="9">
        <f>IF(OR(AND(IF($D3="",INDEX(primary_jama_2024_23898_disposition,MATCH($A3,primary_jama_2024_23898_key,0)),$D3)&lt;&gt;"",IF($D3="",INDEX(primary_jama_2024_23898_disposition,MATCH($A3,primary_jama_2024_23898_key,0)),$D3)&lt;&gt;"retain"),NOT(OR(IF($E3="",INDEX(primary_jama_2024_23898_domain,MATCH($A3,primary_jama_2024_23898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c r="F4" s="8" t="inlineStr">
        <is>
          <t>no</t>
        </is>
      </c>
      <c r="G4" s="2">
        <f>IF(OR(AND(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H4&lt;&gt;"",H4&lt;&gt;"not_applicable"),AND(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I4&lt;&gt;"",I4&lt;&gt;"not_applicable"),AND(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J4&lt;&gt;"",J4&lt;&gt;"not_applicable"),AND(OR(AND(IF($D4="",INDEX(primary_jama_2024_23898_disposition,MATCH($A4,primary_jama_2024_23898_key,0)),$D4)&lt;&gt;"",IF($D4="",INDEX(primary_jama_2024_23898_disposition,MATCH($A4,primary_jama_2024_23898_key,0)),$D4)&lt;&gt;"retain"),NOT(OR(IF($E4="",INDEX(primary_jama_2024_23898_domain,MATCH($A4,primary_jama_2024_23898_key,0)),$E4)="internal_nonstatistical",IF($E4="",INDEX(primary_jama_2024_23898_domain,MATCH($A4,primary_jama_2024_23898_key,0)),$E4)="plan_material"))),K4&lt;&gt;"",K4&lt;&gt;"not_applicable"),AND(OR(AND(IF($D4="",INDEX(primary_jama_2024_23898_disposition,MATCH($A4,primary_jama_2024_23898_key,0)),$D4)&lt;&gt;"",IF($D4="",INDEX(primary_jama_2024_23898_disposition,MATCH($A4,primary_jama_2024_23898_key,0)),$D4)&lt;&gt;"retain"),NOT(OR(IF($E4="",INDEX(primary_jama_2024_23898_domain,MATCH($A4,primary_jama_2024_23898_key,0)),$E4)="protocol_report"))),L4&lt;&gt;"",L4&lt;&gt;"not_applicable")),"CLEAR INACTIVE VALUES",IF(O4="","PENDING",IF(AND(O4&lt;&gt;"agree",LEN(TRIM(P4))=0),"COMMENT NEEDED",IF(F4="yes","CHECKED - see resolution","DRAFT"))))</f>
        <v/>
      </c>
      <c r="H4" s="8">
        <f>IF(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not_applicable","")</f>
        <v/>
      </c>
      <c r="I4" s="8">
        <f>IF(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not_applicable","")</f>
        <v/>
      </c>
      <c r="J4" s="9">
        <f>IF(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not_applicable","")</f>
        <v/>
      </c>
      <c r="K4" s="8">
        <f>IF(OR(AND(IF($D4="",INDEX(primary_jama_2024_23898_disposition,MATCH($A4,primary_jama_2024_23898_key,0)),$D4)&lt;&gt;"",IF($D4="",INDEX(primary_jama_2024_23898_disposition,MATCH($A4,primary_jama_2024_23898_key,0)),$D4)&lt;&gt;"retain"),NOT(OR(IF($E4="",INDEX(primary_jama_2024_23898_domain,MATCH($A4,primary_jama_2024_23898_key,0)),$E4)="internal_nonstatistical",IF($E4="",INDEX(primary_jama_2024_23898_domain,MATCH($A4,primary_jama_2024_23898_key,0)),$E4)="plan_material"))),"not_applicable","")</f>
        <v/>
      </c>
      <c r="L4" s="9">
        <f>IF(OR(AND(IF($D4="",INDEX(primary_jama_2024_23898_disposition,MATCH($A4,primary_jama_2024_23898_key,0)),$D4)&lt;&gt;"",IF($D4="",INDEX(primary_jama_2024_23898_disposition,MATCH($A4,primary_jama_2024_23898_key,0)),$D4)&lt;&gt;"retain"),NOT(OR(IF($E4="",INDEX(primary_jama_2024_23898_domain,MATCH($A4,primary_jama_2024_23898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c r="F5" s="8" t="inlineStr">
        <is>
          <t>no</t>
        </is>
      </c>
      <c r="G5" s="3">
        <f>IF(OR(AND(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H5&lt;&gt;"",H5&lt;&gt;"not_applicable"),AND(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I5&lt;&gt;"",I5&lt;&gt;"not_applicable"),AND(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J5&lt;&gt;"",J5&lt;&gt;"not_applicable"),AND(OR(AND(IF($D5="",INDEX(primary_jama_2024_23898_disposition,MATCH($A5,primary_jama_2024_23898_key,0)),$D5)&lt;&gt;"",IF($D5="",INDEX(primary_jama_2024_23898_disposition,MATCH($A5,primary_jama_2024_23898_key,0)),$D5)&lt;&gt;"retain"),NOT(OR(IF($E5="",INDEX(primary_jama_2024_23898_domain,MATCH($A5,primary_jama_2024_23898_key,0)),$E5)="internal_nonstatistical",IF($E5="",INDEX(primary_jama_2024_23898_domain,MATCH($A5,primary_jama_2024_23898_key,0)),$E5)="plan_material"))),K5&lt;&gt;"",K5&lt;&gt;"not_applicable"),AND(OR(AND(IF($D5="",INDEX(primary_jama_2024_23898_disposition,MATCH($A5,primary_jama_2024_23898_key,0)),$D5)&lt;&gt;"",IF($D5="",INDEX(primary_jama_2024_23898_disposition,MATCH($A5,primary_jama_2024_23898_key,0)),$D5)&lt;&gt;"retain"),NOT(OR(IF($E5="",INDEX(primary_jama_2024_23898_domain,MATCH($A5,primary_jama_2024_23898_key,0)),$E5)="protocol_report"))),L5&lt;&gt;"",L5&lt;&gt;"not_applicable")),"CLEAR INACTIVE VALUES",IF(O5="","PENDING",IF(AND(O5&lt;&gt;"agree",LEN(TRIM(P5))=0),"COMMENT NEEDED",IF(F5="yes","CHECKED - see resolution","DRAFT"))))</f>
        <v/>
      </c>
      <c r="H5" s="8">
        <f>IF(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not_applicable","")</f>
        <v/>
      </c>
      <c r="I5" s="8">
        <f>IF(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not_applicable","")</f>
        <v/>
      </c>
      <c r="J5" s="9">
        <f>IF(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not_applicable","")</f>
        <v/>
      </c>
      <c r="K5" s="8">
        <f>IF(OR(AND(IF($D5="",INDEX(primary_jama_2024_23898_disposition,MATCH($A5,primary_jama_2024_23898_key,0)),$D5)&lt;&gt;"",IF($D5="",INDEX(primary_jama_2024_23898_disposition,MATCH($A5,primary_jama_2024_23898_key,0)),$D5)&lt;&gt;"retain"),NOT(OR(IF($E5="",INDEX(primary_jama_2024_23898_domain,MATCH($A5,primary_jama_2024_23898_key,0)),$E5)="internal_nonstatistical",IF($E5="",INDEX(primary_jama_2024_23898_domain,MATCH($A5,primary_jama_2024_23898_key,0)),$E5)="plan_material"))),"not_applicable","")</f>
        <v/>
      </c>
      <c r="L5" s="9">
        <f>IF(OR(AND(IF($D5="",INDEX(primary_jama_2024_23898_disposition,MATCH($A5,primary_jama_2024_23898_key,0)),$D5)&lt;&gt;"",IF($D5="",INDEX(primary_jama_2024_23898_disposition,MATCH($A5,primary_jama_2024_23898_key,0)),$D5)&lt;&gt;"retain"),NOT(OR(IF($E5="",INDEX(primary_jama_2024_23898_domain,MATCH($A5,primary_jama_2024_23898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c r="F6" s="8" t="inlineStr">
        <is>
          <t>no</t>
        </is>
      </c>
      <c r="G6" s="2">
        <f>IF(OR(AND(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H6&lt;&gt;"",H6&lt;&gt;"not_applicable"),AND(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I6&lt;&gt;"",I6&lt;&gt;"not_applicable"),AND(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J6&lt;&gt;"",J6&lt;&gt;"not_applicable"),AND(OR(AND(IF($D6="",INDEX(primary_jama_2024_23898_disposition,MATCH($A6,primary_jama_2024_23898_key,0)),$D6)&lt;&gt;"",IF($D6="",INDEX(primary_jama_2024_23898_disposition,MATCH($A6,primary_jama_2024_23898_key,0)),$D6)&lt;&gt;"retain"),NOT(OR(IF($E6="",INDEX(primary_jama_2024_23898_domain,MATCH($A6,primary_jama_2024_23898_key,0)),$E6)="internal_nonstatistical",IF($E6="",INDEX(primary_jama_2024_23898_domain,MATCH($A6,primary_jama_2024_23898_key,0)),$E6)="plan_material"))),K6&lt;&gt;"",K6&lt;&gt;"not_applicable"),AND(OR(AND(IF($D6="",INDEX(primary_jama_2024_23898_disposition,MATCH($A6,primary_jama_2024_23898_key,0)),$D6)&lt;&gt;"",IF($D6="",INDEX(primary_jama_2024_23898_disposition,MATCH($A6,primary_jama_2024_23898_key,0)),$D6)&lt;&gt;"retain"),NOT(OR(IF($E6="",INDEX(primary_jama_2024_23898_domain,MATCH($A6,primary_jama_2024_23898_key,0)),$E6)="protocol_report"))),L6&lt;&gt;"",L6&lt;&gt;"not_applicable")),"CLEAR INACTIVE VALUES",IF(O6="","PENDING",IF(AND(O6&lt;&gt;"agree",LEN(TRIM(P6))=0),"COMMENT NEEDED",IF(F6="yes","CHECKED - see resolution","DRAFT"))))</f>
        <v/>
      </c>
      <c r="H6" s="8">
        <f>IF(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not_applicable","")</f>
        <v/>
      </c>
      <c r="I6" s="8">
        <f>IF(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not_applicable","")</f>
        <v/>
      </c>
      <c r="J6" s="9">
        <f>IF(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not_applicable","")</f>
        <v/>
      </c>
      <c r="K6" s="8">
        <f>IF(OR(AND(IF($D6="",INDEX(primary_jama_2024_23898_disposition,MATCH($A6,primary_jama_2024_23898_key,0)),$D6)&lt;&gt;"",IF($D6="",INDEX(primary_jama_2024_23898_disposition,MATCH($A6,primary_jama_2024_23898_key,0)),$D6)&lt;&gt;"retain"),NOT(OR(IF($E6="",INDEX(primary_jama_2024_23898_domain,MATCH($A6,primary_jama_2024_23898_key,0)),$E6)="internal_nonstatistical",IF($E6="",INDEX(primary_jama_2024_23898_domain,MATCH($A6,primary_jama_2024_23898_key,0)),$E6)="plan_material"))),"not_applicable","")</f>
        <v/>
      </c>
      <c r="L6" s="9">
        <f>IF(OR(AND(IF($D6="",INDEX(primary_jama_2024_23898_disposition,MATCH($A6,primary_jama_2024_23898_key,0)),$D6)&lt;&gt;"",IF($D6="",INDEX(primary_jama_2024_23898_disposition,MATCH($A6,primary_jama_2024_23898_key,0)),$D6)&lt;&gt;"retain"),NOT(OR(IF($E6="",INDEX(primary_jama_2024_23898_domain,MATCH($A6,primary_jama_2024_23898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c r="F7" s="8" t="inlineStr">
        <is>
          <t>no</t>
        </is>
      </c>
      <c r="G7" s="3">
        <f>IF(OR(AND(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H7&lt;&gt;"",H7&lt;&gt;"not_applicable"),AND(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I7&lt;&gt;"",I7&lt;&gt;"not_applicable"),AND(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J7&lt;&gt;"",J7&lt;&gt;"not_applicable"),AND(OR(AND(IF($D7="",INDEX(primary_jama_2024_23898_disposition,MATCH($A7,primary_jama_2024_23898_key,0)),$D7)&lt;&gt;"",IF($D7="",INDEX(primary_jama_2024_23898_disposition,MATCH($A7,primary_jama_2024_23898_key,0)),$D7)&lt;&gt;"retain"),NOT(OR(IF($E7="",INDEX(primary_jama_2024_23898_domain,MATCH($A7,primary_jama_2024_23898_key,0)),$E7)="internal_nonstatistical",IF($E7="",INDEX(primary_jama_2024_23898_domain,MATCH($A7,primary_jama_2024_23898_key,0)),$E7)="plan_material"))),K7&lt;&gt;"",K7&lt;&gt;"not_applicable"),AND(OR(AND(IF($D7="",INDEX(primary_jama_2024_23898_disposition,MATCH($A7,primary_jama_2024_23898_key,0)),$D7)&lt;&gt;"",IF($D7="",INDEX(primary_jama_2024_23898_disposition,MATCH($A7,primary_jama_2024_23898_key,0)),$D7)&lt;&gt;"retain"),NOT(OR(IF($E7="",INDEX(primary_jama_2024_23898_domain,MATCH($A7,primary_jama_2024_23898_key,0)),$E7)="protocol_report"))),L7&lt;&gt;"",L7&lt;&gt;"not_applicable")),"CLEAR INACTIVE VALUES",IF(O7="","PENDING",IF(AND(O7&lt;&gt;"agree",LEN(TRIM(P7))=0),"COMMENT NEEDED",IF(F7="yes","CHECKED - see resolution","DRAFT"))))</f>
        <v/>
      </c>
      <c r="H7" s="8">
        <f>IF(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not_applicable","")</f>
        <v/>
      </c>
      <c r="I7" s="8">
        <f>IF(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not_applicable","")</f>
        <v/>
      </c>
      <c r="J7" s="9">
        <f>IF(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not_applicable","")</f>
        <v/>
      </c>
      <c r="K7" s="8">
        <f>IF(OR(AND(IF($D7="",INDEX(primary_jama_2024_23898_disposition,MATCH($A7,primary_jama_2024_23898_key,0)),$D7)&lt;&gt;"",IF($D7="",INDEX(primary_jama_2024_23898_disposition,MATCH($A7,primary_jama_2024_23898_key,0)),$D7)&lt;&gt;"retain"),NOT(OR(IF($E7="",INDEX(primary_jama_2024_23898_domain,MATCH($A7,primary_jama_2024_23898_key,0)),$E7)="internal_nonstatistical",IF($E7="",INDEX(primary_jama_2024_23898_domain,MATCH($A7,primary_jama_2024_23898_key,0)),$E7)="plan_material"))),"not_applicable","")</f>
        <v/>
      </c>
      <c r="L7" s="9">
        <f>IF(OR(AND(IF($D7="",INDEX(primary_jama_2024_23898_disposition,MATCH($A7,primary_jama_2024_23898_key,0)),$D7)&lt;&gt;"",IF($D7="",INDEX(primary_jama_2024_23898_disposition,MATCH($A7,primary_jama_2024_23898_key,0)),$D7)&lt;&gt;"retain"),NOT(OR(IF($E7="",INDEX(primary_jama_2024_23898_domain,MATCH($A7,primary_jama_2024_23898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c r="F8" s="8" t="inlineStr">
        <is>
          <t>no</t>
        </is>
      </c>
      <c r="G8" s="2">
        <f>IF(OR(AND(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H8&lt;&gt;"",H8&lt;&gt;"not_applicable"),AND(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I8&lt;&gt;"",I8&lt;&gt;"not_applicable"),AND(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J8&lt;&gt;"",J8&lt;&gt;"not_applicable"),AND(OR(AND(IF($D8="",INDEX(primary_jama_2024_23898_disposition,MATCH($A8,primary_jama_2024_23898_key,0)),$D8)&lt;&gt;"",IF($D8="",INDEX(primary_jama_2024_23898_disposition,MATCH($A8,primary_jama_2024_23898_key,0)),$D8)&lt;&gt;"retain"),NOT(OR(IF($E8="",INDEX(primary_jama_2024_23898_domain,MATCH($A8,primary_jama_2024_23898_key,0)),$E8)="internal_nonstatistical",IF($E8="",INDEX(primary_jama_2024_23898_domain,MATCH($A8,primary_jama_2024_23898_key,0)),$E8)="plan_material"))),K8&lt;&gt;"",K8&lt;&gt;"not_applicable"),AND(OR(AND(IF($D8="",INDEX(primary_jama_2024_23898_disposition,MATCH($A8,primary_jama_2024_23898_key,0)),$D8)&lt;&gt;"",IF($D8="",INDEX(primary_jama_2024_23898_disposition,MATCH($A8,primary_jama_2024_23898_key,0)),$D8)&lt;&gt;"retain"),NOT(OR(IF($E8="",INDEX(primary_jama_2024_23898_domain,MATCH($A8,primary_jama_2024_23898_key,0)),$E8)="protocol_report"))),L8&lt;&gt;"",L8&lt;&gt;"not_applicable")),"CLEAR INACTIVE VALUES",IF(O8="","PENDING",IF(AND(O8&lt;&gt;"agree",LEN(TRIM(P8))=0),"COMMENT NEEDED",IF(F8="yes","CHECKED - see resolution","DRAFT"))))</f>
        <v/>
      </c>
      <c r="H8" s="8">
        <f>IF(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not_applicable","")</f>
        <v/>
      </c>
      <c r="I8" s="8">
        <f>IF(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not_applicable","")</f>
        <v/>
      </c>
      <c r="J8" s="9">
        <f>IF(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not_applicable","")</f>
        <v/>
      </c>
      <c r="K8" s="8">
        <f>IF(OR(AND(IF($D8="",INDEX(primary_jama_2024_23898_disposition,MATCH($A8,primary_jama_2024_23898_key,0)),$D8)&lt;&gt;"",IF($D8="",INDEX(primary_jama_2024_23898_disposition,MATCH($A8,primary_jama_2024_23898_key,0)),$D8)&lt;&gt;"retain"),NOT(OR(IF($E8="",INDEX(primary_jama_2024_23898_domain,MATCH($A8,primary_jama_2024_23898_key,0)),$E8)="internal_nonstatistical",IF($E8="",INDEX(primary_jama_2024_23898_domain,MATCH($A8,primary_jama_2024_23898_key,0)),$E8)="plan_material"))),"not_applicable","")</f>
        <v/>
      </c>
      <c r="L8" s="9">
        <f>IF(OR(AND(IF($D8="",INDEX(primary_jama_2024_23898_disposition,MATCH($A8,primary_jama_2024_23898_key,0)),$D8)&lt;&gt;"",IF($D8="",INDEX(primary_jama_2024_23898_disposition,MATCH($A8,primary_jama_2024_23898_key,0)),$D8)&lt;&gt;"retain"),NOT(OR(IF($E8="",INDEX(primary_jama_2024_23898_domain,MATCH($A8,primary_jama_2024_23898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
    <cfRule type="expression" priority="1" dxfId="0" stopIfTrue="1">
      <formula>AND(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H2&lt;&gt;"",H2&lt;&gt;"not_applicable")</formula>
    </cfRule>
    <cfRule type="expression" priority="2" dxfId="1">
      <formula>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formula>
    </cfRule>
  </conditionalFormatting>
  <conditionalFormatting sqref="H3">
    <cfRule type="expression" priority="3" dxfId="0" stopIfTrue="1">
      <formula>AND(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H3&lt;&gt;"",H3&lt;&gt;"not_applicable")</formula>
    </cfRule>
    <cfRule type="expression" priority="4" dxfId="1">
      <formula>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formula>
    </cfRule>
  </conditionalFormatting>
  <conditionalFormatting sqref="H4">
    <cfRule type="expression" priority="5" dxfId="0" stopIfTrue="1">
      <formula>AND(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H4&lt;&gt;"",H4&lt;&gt;"not_applicable")</formula>
    </cfRule>
    <cfRule type="expression" priority="6" dxfId="1">
      <formula>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formula>
    </cfRule>
  </conditionalFormatting>
  <conditionalFormatting sqref="H5">
    <cfRule type="expression" priority="7" dxfId="0" stopIfTrue="1">
      <formula>AND(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H5&lt;&gt;"",H5&lt;&gt;"not_applicable")</formula>
    </cfRule>
    <cfRule type="expression" priority="8" dxfId="1">
      <formula>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formula>
    </cfRule>
  </conditionalFormatting>
  <conditionalFormatting sqref="H6">
    <cfRule type="expression" priority="9" dxfId="0" stopIfTrue="1">
      <formula>AND(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H6&lt;&gt;"",H6&lt;&gt;"not_applicable")</formula>
    </cfRule>
    <cfRule type="expression" priority="10" dxfId="1">
      <formula>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formula>
    </cfRule>
  </conditionalFormatting>
  <conditionalFormatting sqref="H7">
    <cfRule type="expression" priority="11" dxfId="0" stopIfTrue="1">
      <formula>AND(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H7&lt;&gt;"",H7&lt;&gt;"not_applicable")</formula>
    </cfRule>
    <cfRule type="expression" priority="12" dxfId="1">
      <formula>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formula>
    </cfRule>
  </conditionalFormatting>
  <conditionalFormatting sqref="H8">
    <cfRule type="expression" priority="13" dxfId="0" stopIfTrue="1">
      <formula>AND(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H8&lt;&gt;"",H8&lt;&gt;"not_applicable")</formula>
    </cfRule>
    <cfRule type="expression" priority="14" dxfId="1">
      <formula>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formula>
    </cfRule>
  </conditionalFormatting>
  <conditionalFormatting sqref="I2">
    <cfRule type="expression" priority="15" dxfId="0" stopIfTrue="1">
      <formula>AND(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I2&lt;&gt;"",I2&lt;&gt;"not_applicable")</formula>
    </cfRule>
    <cfRule type="expression" priority="16" dxfId="1">
      <formula>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formula>
    </cfRule>
  </conditionalFormatting>
  <conditionalFormatting sqref="I3">
    <cfRule type="expression" priority="17" dxfId="0" stopIfTrue="1">
      <formula>AND(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I3&lt;&gt;"",I3&lt;&gt;"not_applicable")</formula>
    </cfRule>
    <cfRule type="expression" priority="18" dxfId="1">
      <formula>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formula>
    </cfRule>
  </conditionalFormatting>
  <conditionalFormatting sqref="I4">
    <cfRule type="expression" priority="19" dxfId="0" stopIfTrue="1">
      <formula>AND(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I4&lt;&gt;"",I4&lt;&gt;"not_applicable")</formula>
    </cfRule>
    <cfRule type="expression" priority="20" dxfId="1">
      <formula>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formula>
    </cfRule>
  </conditionalFormatting>
  <conditionalFormatting sqref="I5">
    <cfRule type="expression" priority="21" dxfId="0" stopIfTrue="1">
      <formula>AND(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I5&lt;&gt;"",I5&lt;&gt;"not_applicable")</formula>
    </cfRule>
    <cfRule type="expression" priority="22" dxfId="1">
      <formula>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formula>
    </cfRule>
  </conditionalFormatting>
  <conditionalFormatting sqref="I6">
    <cfRule type="expression" priority="23" dxfId="0" stopIfTrue="1">
      <formula>AND(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I6&lt;&gt;"",I6&lt;&gt;"not_applicable")</formula>
    </cfRule>
    <cfRule type="expression" priority="24" dxfId="1">
      <formula>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formula>
    </cfRule>
  </conditionalFormatting>
  <conditionalFormatting sqref="I7">
    <cfRule type="expression" priority="25" dxfId="0" stopIfTrue="1">
      <formula>AND(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I7&lt;&gt;"",I7&lt;&gt;"not_applicable")</formula>
    </cfRule>
    <cfRule type="expression" priority="26" dxfId="1">
      <formula>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formula>
    </cfRule>
  </conditionalFormatting>
  <conditionalFormatting sqref="I8">
    <cfRule type="expression" priority="27" dxfId="0" stopIfTrue="1">
      <formula>AND(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I8&lt;&gt;"",I8&lt;&gt;"not_applicable")</formula>
    </cfRule>
    <cfRule type="expression" priority="28" dxfId="1">
      <formula>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formula>
    </cfRule>
  </conditionalFormatting>
  <conditionalFormatting sqref="J2">
    <cfRule type="expression" priority="29" dxfId="0" stopIfTrue="1">
      <formula>AND(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J2&lt;&gt;"",J2&lt;&gt;"not_applicable")</formula>
    </cfRule>
    <cfRule type="expression" priority="30" dxfId="1">
      <formula>OR(AND(IF($D2="",INDEX(primary_jama_2024_23898_disposition,MATCH($A2,primary_jama_2024_23898_key,0)),$D2)&lt;&gt;"",IF($D2="",INDEX(primary_jama_2024_23898_disposition,MATCH($A2,primary_jama_2024_23898_key,0)),$D2)&lt;&gt;"retain"),NOT(OR(IF($E2="",INDEX(primary_jama_2024_23898_domain,MATCH($A2,primary_jama_2024_23898_key,0)),$E2)="statistical_results")))</formula>
    </cfRule>
  </conditionalFormatting>
  <conditionalFormatting sqref="J3">
    <cfRule type="expression" priority="31" dxfId="0" stopIfTrue="1">
      <formula>AND(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J3&lt;&gt;"",J3&lt;&gt;"not_applicable")</formula>
    </cfRule>
    <cfRule type="expression" priority="32" dxfId="1">
      <formula>OR(AND(IF($D3="",INDEX(primary_jama_2024_23898_disposition,MATCH($A3,primary_jama_2024_23898_key,0)),$D3)&lt;&gt;"",IF($D3="",INDEX(primary_jama_2024_23898_disposition,MATCH($A3,primary_jama_2024_23898_key,0)),$D3)&lt;&gt;"retain"),NOT(OR(IF($E3="",INDEX(primary_jama_2024_23898_domain,MATCH($A3,primary_jama_2024_23898_key,0)),$E3)="statistical_results")))</formula>
    </cfRule>
  </conditionalFormatting>
  <conditionalFormatting sqref="J4">
    <cfRule type="expression" priority="33" dxfId="0" stopIfTrue="1">
      <formula>AND(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J4&lt;&gt;"",J4&lt;&gt;"not_applicable")</formula>
    </cfRule>
    <cfRule type="expression" priority="34" dxfId="1">
      <formula>OR(AND(IF($D4="",INDEX(primary_jama_2024_23898_disposition,MATCH($A4,primary_jama_2024_23898_key,0)),$D4)&lt;&gt;"",IF($D4="",INDEX(primary_jama_2024_23898_disposition,MATCH($A4,primary_jama_2024_23898_key,0)),$D4)&lt;&gt;"retain"),NOT(OR(IF($E4="",INDEX(primary_jama_2024_23898_domain,MATCH($A4,primary_jama_2024_23898_key,0)),$E4)="statistical_results")))</formula>
    </cfRule>
  </conditionalFormatting>
  <conditionalFormatting sqref="J5">
    <cfRule type="expression" priority="35" dxfId="0" stopIfTrue="1">
      <formula>AND(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J5&lt;&gt;"",J5&lt;&gt;"not_applicable")</formula>
    </cfRule>
    <cfRule type="expression" priority="36" dxfId="1">
      <formula>OR(AND(IF($D5="",INDEX(primary_jama_2024_23898_disposition,MATCH($A5,primary_jama_2024_23898_key,0)),$D5)&lt;&gt;"",IF($D5="",INDEX(primary_jama_2024_23898_disposition,MATCH($A5,primary_jama_2024_23898_key,0)),$D5)&lt;&gt;"retain"),NOT(OR(IF($E5="",INDEX(primary_jama_2024_23898_domain,MATCH($A5,primary_jama_2024_23898_key,0)),$E5)="statistical_results")))</formula>
    </cfRule>
  </conditionalFormatting>
  <conditionalFormatting sqref="J6">
    <cfRule type="expression" priority="37" dxfId="0" stopIfTrue="1">
      <formula>AND(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J6&lt;&gt;"",J6&lt;&gt;"not_applicable")</formula>
    </cfRule>
    <cfRule type="expression" priority="38" dxfId="1">
      <formula>OR(AND(IF($D6="",INDEX(primary_jama_2024_23898_disposition,MATCH($A6,primary_jama_2024_23898_key,0)),$D6)&lt;&gt;"",IF($D6="",INDEX(primary_jama_2024_23898_disposition,MATCH($A6,primary_jama_2024_23898_key,0)),$D6)&lt;&gt;"retain"),NOT(OR(IF($E6="",INDEX(primary_jama_2024_23898_domain,MATCH($A6,primary_jama_2024_23898_key,0)),$E6)="statistical_results")))</formula>
    </cfRule>
  </conditionalFormatting>
  <conditionalFormatting sqref="J7">
    <cfRule type="expression" priority="39" dxfId="0" stopIfTrue="1">
      <formula>AND(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J7&lt;&gt;"",J7&lt;&gt;"not_applicable")</formula>
    </cfRule>
    <cfRule type="expression" priority="40" dxfId="1">
      <formula>OR(AND(IF($D7="",INDEX(primary_jama_2024_23898_disposition,MATCH($A7,primary_jama_2024_23898_key,0)),$D7)&lt;&gt;"",IF($D7="",INDEX(primary_jama_2024_23898_disposition,MATCH($A7,primary_jama_2024_23898_key,0)),$D7)&lt;&gt;"retain"),NOT(OR(IF($E7="",INDEX(primary_jama_2024_23898_domain,MATCH($A7,primary_jama_2024_23898_key,0)),$E7)="statistical_results")))</formula>
    </cfRule>
  </conditionalFormatting>
  <conditionalFormatting sqref="J8">
    <cfRule type="expression" priority="41" dxfId="0" stopIfTrue="1">
      <formula>AND(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J8&lt;&gt;"",J8&lt;&gt;"not_applicable")</formula>
    </cfRule>
    <cfRule type="expression" priority="42" dxfId="1">
      <formula>OR(AND(IF($D8="",INDEX(primary_jama_2024_23898_disposition,MATCH($A8,primary_jama_2024_23898_key,0)),$D8)&lt;&gt;"",IF($D8="",INDEX(primary_jama_2024_23898_disposition,MATCH($A8,primary_jama_2024_23898_key,0)),$D8)&lt;&gt;"retain"),NOT(OR(IF($E8="",INDEX(primary_jama_2024_23898_domain,MATCH($A8,primary_jama_2024_23898_key,0)),$E8)="statistical_results")))</formula>
    </cfRule>
  </conditionalFormatting>
  <conditionalFormatting sqref="K2">
    <cfRule type="expression" priority="43" dxfId="0" stopIfTrue="1">
      <formula>AND(OR(AND(IF($D2="",INDEX(primary_jama_2024_23898_disposition,MATCH($A2,primary_jama_2024_23898_key,0)),$D2)&lt;&gt;"",IF($D2="",INDEX(primary_jama_2024_23898_disposition,MATCH($A2,primary_jama_2024_23898_key,0)),$D2)&lt;&gt;"retain"),NOT(OR(IF($E2="",INDEX(primary_jama_2024_23898_domain,MATCH($A2,primary_jama_2024_23898_key,0)),$E2)="internal_nonstatistical",IF($E2="",INDEX(primary_jama_2024_23898_domain,MATCH($A2,primary_jama_2024_23898_key,0)),$E2)="plan_material"))),K2&lt;&gt;"",K2&lt;&gt;"not_applicable")</formula>
    </cfRule>
    <cfRule type="expression" priority="44" dxfId="1">
      <formula>OR(AND(IF($D2="",INDEX(primary_jama_2024_23898_disposition,MATCH($A2,primary_jama_2024_23898_key,0)),$D2)&lt;&gt;"",IF($D2="",INDEX(primary_jama_2024_23898_disposition,MATCH($A2,primary_jama_2024_23898_key,0)),$D2)&lt;&gt;"retain"),NOT(OR(IF($E2="",INDEX(primary_jama_2024_23898_domain,MATCH($A2,primary_jama_2024_23898_key,0)),$E2)="internal_nonstatistical",IF($E2="",INDEX(primary_jama_2024_23898_domain,MATCH($A2,primary_jama_2024_23898_key,0)),$E2)="plan_material")))</formula>
    </cfRule>
  </conditionalFormatting>
  <conditionalFormatting sqref="K3">
    <cfRule type="expression" priority="45" dxfId="0" stopIfTrue="1">
      <formula>AND(OR(AND(IF($D3="",INDEX(primary_jama_2024_23898_disposition,MATCH($A3,primary_jama_2024_23898_key,0)),$D3)&lt;&gt;"",IF($D3="",INDEX(primary_jama_2024_23898_disposition,MATCH($A3,primary_jama_2024_23898_key,0)),$D3)&lt;&gt;"retain"),NOT(OR(IF($E3="",INDEX(primary_jama_2024_23898_domain,MATCH($A3,primary_jama_2024_23898_key,0)),$E3)="internal_nonstatistical",IF($E3="",INDEX(primary_jama_2024_23898_domain,MATCH($A3,primary_jama_2024_23898_key,0)),$E3)="plan_material"))),K3&lt;&gt;"",K3&lt;&gt;"not_applicable")</formula>
    </cfRule>
    <cfRule type="expression" priority="46" dxfId="1">
      <formula>OR(AND(IF($D3="",INDEX(primary_jama_2024_23898_disposition,MATCH($A3,primary_jama_2024_23898_key,0)),$D3)&lt;&gt;"",IF($D3="",INDEX(primary_jama_2024_23898_disposition,MATCH($A3,primary_jama_2024_23898_key,0)),$D3)&lt;&gt;"retain"),NOT(OR(IF($E3="",INDEX(primary_jama_2024_23898_domain,MATCH($A3,primary_jama_2024_23898_key,0)),$E3)="internal_nonstatistical",IF($E3="",INDEX(primary_jama_2024_23898_domain,MATCH($A3,primary_jama_2024_23898_key,0)),$E3)="plan_material")))</formula>
    </cfRule>
  </conditionalFormatting>
  <conditionalFormatting sqref="K4">
    <cfRule type="expression" priority="47" dxfId="0" stopIfTrue="1">
      <formula>AND(OR(AND(IF($D4="",INDEX(primary_jama_2024_23898_disposition,MATCH($A4,primary_jama_2024_23898_key,0)),$D4)&lt;&gt;"",IF($D4="",INDEX(primary_jama_2024_23898_disposition,MATCH($A4,primary_jama_2024_23898_key,0)),$D4)&lt;&gt;"retain"),NOT(OR(IF($E4="",INDEX(primary_jama_2024_23898_domain,MATCH($A4,primary_jama_2024_23898_key,0)),$E4)="internal_nonstatistical",IF($E4="",INDEX(primary_jama_2024_23898_domain,MATCH($A4,primary_jama_2024_23898_key,0)),$E4)="plan_material"))),K4&lt;&gt;"",K4&lt;&gt;"not_applicable")</formula>
    </cfRule>
    <cfRule type="expression" priority="48" dxfId="1">
      <formula>OR(AND(IF($D4="",INDEX(primary_jama_2024_23898_disposition,MATCH($A4,primary_jama_2024_23898_key,0)),$D4)&lt;&gt;"",IF($D4="",INDEX(primary_jama_2024_23898_disposition,MATCH($A4,primary_jama_2024_23898_key,0)),$D4)&lt;&gt;"retain"),NOT(OR(IF($E4="",INDEX(primary_jama_2024_23898_domain,MATCH($A4,primary_jama_2024_23898_key,0)),$E4)="internal_nonstatistical",IF($E4="",INDEX(primary_jama_2024_23898_domain,MATCH($A4,primary_jama_2024_23898_key,0)),$E4)="plan_material")))</formula>
    </cfRule>
  </conditionalFormatting>
  <conditionalFormatting sqref="K5">
    <cfRule type="expression" priority="49" dxfId="0" stopIfTrue="1">
      <formula>AND(OR(AND(IF($D5="",INDEX(primary_jama_2024_23898_disposition,MATCH($A5,primary_jama_2024_23898_key,0)),$D5)&lt;&gt;"",IF($D5="",INDEX(primary_jama_2024_23898_disposition,MATCH($A5,primary_jama_2024_23898_key,0)),$D5)&lt;&gt;"retain"),NOT(OR(IF($E5="",INDEX(primary_jama_2024_23898_domain,MATCH($A5,primary_jama_2024_23898_key,0)),$E5)="internal_nonstatistical",IF($E5="",INDEX(primary_jama_2024_23898_domain,MATCH($A5,primary_jama_2024_23898_key,0)),$E5)="plan_material"))),K5&lt;&gt;"",K5&lt;&gt;"not_applicable")</formula>
    </cfRule>
    <cfRule type="expression" priority="50" dxfId="1">
      <formula>OR(AND(IF($D5="",INDEX(primary_jama_2024_23898_disposition,MATCH($A5,primary_jama_2024_23898_key,0)),$D5)&lt;&gt;"",IF($D5="",INDEX(primary_jama_2024_23898_disposition,MATCH($A5,primary_jama_2024_23898_key,0)),$D5)&lt;&gt;"retain"),NOT(OR(IF($E5="",INDEX(primary_jama_2024_23898_domain,MATCH($A5,primary_jama_2024_23898_key,0)),$E5)="internal_nonstatistical",IF($E5="",INDEX(primary_jama_2024_23898_domain,MATCH($A5,primary_jama_2024_23898_key,0)),$E5)="plan_material")))</formula>
    </cfRule>
  </conditionalFormatting>
  <conditionalFormatting sqref="K6">
    <cfRule type="expression" priority="51" dxfId="0" stopIfTrue="1">
      <formula>AND(OR(AND(IF($D6="",INDEX(primary_jama_2024_23898_disposition,MATCH($A6,primary_jama_2024_23898_key,0)),$D6)&lt;&gt;"",IF($D6="",INDEX(primary_jama_2024_23898_disposition,MATCH($A6,primary_jama_2024_23898_key,0)),$D6)&lt;&gt;"retain"),NOT(OR(IF($E6="",INDEX(primary_jama_2024_23898_domain,MATCH($A6,primary_jama_2024_23898_key,0)),$E6)="internal_nonstatistical",IF($E6="",INDEX(primary_jama_2024_23898_domain,MATCH($A6,primary_jama_2024_23898_key,0)),$E6)="plan_material"))),K6&lt;&gt;"",K6&lt;&gt;"not_applicable")</formula>
    </cfRule>
    <cfRule type="expression" priority="52" dxfId="1">
      <formula>OR(AND(IF($D6="",INDEX(primary_jama_2024_23898_disposition,MATCH($A6,primary_jama_2024_23898_key,0)),$D6)&lt;&gt;"",IF($D6="",INDEX(primary_jama_2024_23898_disposition,MATCH($A6,primary_jama_2024_23898_key,0)),$D6)&lt;&gt;"retain"),NOT(OR(IF($E6="",INDEX(primary_jama_2024_23898_domain,MATCH($A6,primary_jama_2024_23898_key,0)),$E6)="internal_nonstatistical",IF($E6="",INDEX(primary_jama_2024_23898_domain,MATCH($A6,primary_jama_2024_23898_key,0)),$E6)="plan_material")))</formula>
    </cfRule>
  </conditionalFormatting>
  <conditionalFormatting sqref="K7">
    <cfRule type="expression" priority="53" dxfId="0" stopIfTrue="1">
      <formula>AND(OR(AND(IF($D7="",INDEX(primary_jama_2024_23898_disposition,MATCH($A7,primary_jama_2024_23898_key,0)),$D7)&lt;&gt;"",IF($D7="",INDEX(primary_jama_2024_23898_disposition,MATCH($A7,primary_jama_2024_23898_key,0)),$D7)&lt;&gt;"retain"),NOT(OR(IF($E7="",INDEX(primary_jama_2024_23898_domain,MATCH($A7,primary_jama_2024_23898_key,0)),$E7)="internal_nonstatistical",IF($E7="",INDEX(primary_jama_2024_23898_domain,MATCH($A7,primary_jama_2024_23898_key,0)),$E7)="plan_material"))),K7&lt;&gt;"",K7&lt;&gt;"not_applicable")</formula>
    </cfRule>
    <cfRule type="expression" priority="54" dxfId="1">
      <formula>OR(AND(IF($D7="",INDEX(primary_jama_2024_23898_disposition,MATCH($A7,primary_jama_2024_23898_key,0)),$D7)&lt;&gt;"",IF($D7="",INDEX(primary_jama_2024_23898_disposition,MATCH($A7,primary_jama_2024_23898_key,0)),$D7)&lt;&gt;"retain"),NOT(OR(IF($E7="",INDEX(primary_jama_2024_23898_domain,MATCH($A7,primary_jama_2024_23898_key,0)),$E7)="internal_nonstatistical",IF($E7="",INDEX(primary_jama_2024_23898_domain,MATCH($A7,primary_jama_2024_23898_key,0)),$E7)="plan_material")))</formula>
    </cfRule>
  </conditionalFormatting>
  <conditionalFormatting sqref="K8">
    <cfRule type="expression" priority="55" dxfId="0" stopIfTrue="1">
      <formula>AND(OR(AND(IF($D8="",INDEX(primary_jama_2024_23898_disposition,MATCH($A8,primary_jama_2024_23898_key,0)),$D8)&lt;&gt;"",IF($D8="",INDEX(primary_jama_2024_23898_disposition,MATCH($A8,primary_jama_2024_23898_key,0)),$D8)&lt;&gt;"retain"),NOT(OR(IF($E8="",INDEX(primary_jama_2024_23898_domain,MATCH($A8,primary_jama_2024_23898_key,0)),$E8)="internal_nonstatistical",IF($E8="",INDEX(primary_jama_2024_23898_domain,MATCH($A8,primary_jama_2024_23898_key,0)),$E8)="plan_material"))),K8&lt;&gt;"",K8&lt;&gt;"not_applicable")</formula>
    </cfRule>
    <cfRule type="expression" priority="56" dxfId="1">
      <formula>OR(AND(IF($D8="",INDEX(primary_jama_2024_23898_disposition,MATCH($A8,primary_jama_2024_23898_key,0)),$D8)&lt;&gt;"",IF($D8="",INDEX(primary_jama_2024_23898_disposition,MATCH($A8,primary_jama_2024_23898_key,0)),$D8)&lt;&gt;"retain"),NOT(OR(IF($E8="",INDEX(primary_jama_2024_23898_domain,MATCH($A8,primary_jama_2024_23898_key,0)),$E8)="internal_nonstatistical",IF($E8="",INDEX(primary_jama_2024_23898_domain,MATCH($A8,primary_jama_2024_23898_key,0)),$E8)="plan_material")))</formula>
    </cfRule>
  </conditionalFormatting>
  <conditionalFormatting sqref="L2">
    <cfRule type="expression" priority="57" dxfId="0" stopIfTrue="1">
      <formula>AND(OR(AND(IF($D2="",INDEX(primary_jama_2024_23898_disposition,MATCH($A2,primary_jama_2024_23898_key,0)),$D2)&lt;&gt;"",IF($D2="",INDEX(primary_jama_2024_23898_disposition,MATCH($A2,primary_jama_2024_23898_key,0)),$D2)&lt;&gt;"retain"),NOT(OR(IF($E2="",INDEX(primary_jama_2024_23898_domain,MATCH($A2,primary_jama_2024_23898_key,0)),$E2)="protocol_report"))),L2&lt;&gt;"",L2&lt;&gt;"not_applicable")</formula>
    </cfRule>
    <cfRule type="expression" priority="58" dxfId="1">
      <formula>OR(AND(IF($D2="",INDEX(primary_jama_2024_23898_disposition,MATCH($A2,primary_jama_2024_23898_key,0)),$D2)&lt;&gt;"",IF($D2="",INDEX(primary_jama_2024_23898_disposition,MATCH($A2,primary_jama_2024_23898_key,0)),$D2)&lt;&gt;"retain"),NOT(OR(IF($E2="",INDEX(primary_jama_2024_23898_domain,MATCH($A2,primary_jama_2024_23898_key,0)),$E2)="protocol_report")))</formula>
    </cfRule>
  </conditionalFormatting>
  <conditionalFormatting sqref="L3">
    <cfRule type="expression" priority="59" dxfId="0" stopIfTrue="1">
      <formula>AND(OR(AND(IF($D3="",INDEX(primary_jama_2024_23898_disposition,MATCH($A3,primary_jama_2024_23898_key,0)),$D3)&lt;&gt;"",IF($D3="",INDEX(primary_jama_2024_23898_disposition,MATCH($A3,primary_jama_2024_23898_key,0)),$D3)&lt;&gt;"retain"),NOT(OR(IF($E3="",INDEX(primary_jama_2024_23898_domain,MATCH($A3,primary_jama_2024_23898_key,0)),$E3)="protocol_report"))),L3&lt;&gt;"",L3&lt;&gt;"not_applicable")</formula>
    </cfRule>
    <cfRule type="expression" priority="60" dxfId="1">
      <formula>OR(AND(IF($D3="",INDEX(primary_jama_2024_23898_disposition,MATCH($A3,primary_jama_2024_23898_key,0)),$D3)&lt;&gt;"",IF($D3="",INDEX(primary_jama_2024_23898_disposition,MATCH($A3,primary_jama_2024_23898_key,0)),$D3)&lt;&gt;"retain"),NOT(OR(IF($E3="",INDEX(primary_jama_2024_23898_domain,MATCH($A3,primary_jama_2024_23898_key,0)),$E3)="protocol_report")))</formula>
    </cfRule>
  </conditionalFormatting>
  <conditionalFormatting sqref="L4">
    <cfRule type="expression" priority="61" dxfId="0" stopIfTrue="1">
      <formula>AND(OR(AND(IF($D4="",INDEX(primary_jama_2024_23898_disposition,MATCH($A4,primary_jama_2024_23898_key,0)),$D4)&lt;&gt;"",IF($D4="",INDEX(primary_jama_2024_23898_disposition,MATCH($A4,primary_jama_2024_23898_key,0)),$D4)&lt;&gt;"retain"),NOT(OR(IF($E4="",INDEX(primary_jama_2024_23898_domain,MATCH($A4,primary_jama_2024_23898_key,0)),$E4)="protocol_report"))),L4&lt;&gt;"",L4&lt;&gt;"not_applicable")</formula>
    </cfRule>
    <cfRule type="expression" priority="62" dxfId="1">
      <formula>OR(AND(IF($D4="",INDEX(primary_jama_2024_23898_disposition,MATCH($A4,primary_jama_2024_23898_key,0)),$D4)&lt;&gt;"",IF($D4="",INDEX(primary_jama_2024_23898_disposition,MATCH($A4,primary_jama_2024_23898_key,0)),$D4)&lt;&gt;"retain"),NOT(OR(IF($E4="",INDEX(primary_jama_2024_23898_domain,MATCH($A4,primary_jama_2024_23898_key,0)),$E4)="protocol_report")))</formula>
    </cfRule>
  </conditionalFormatting>
  <conditionalFormatting sqref="L5">
    <cfRule type="expression" priority="63" dxfId="0" stopIfTrue="1">
      <formula>AND(OR(AND(IF($D5="",INDEX(primary_jama_2024_23898_disposition,MATCH($A5,primary_jama_2024_23898_key,0)),$D5)&lt;&gt;"",IF($D5="",INDEX(primary_jama_2024_23898_disposition,MATCH($A5,primary_jama_2024_23898_key,0)),$D5)&lt;&gt;"retain"),NOT(OR(IF($E5="",INDEX(primary_jama_2024_23898_domain,MATCH($A5,primary_jama_2024_23898_key,0)),$E5)="protocol_report"))),L5&lt;&gt;"",L5&lt;&gt;"not_applicable")</formula>
    </cfRule>
    <cfRule type="expression" priority="64" dxfId="1">
      <formula>OR(AND(IF($D5="",INDEX(primary_jama_2024_23898_disposition,MATCH($A5,primary_jama_2024_23898_key,0)),$D5)&lt;&gt;"",IF($D5="",INDEX(primary_jama_2024_23898_disposition,MATCH($A5,primary_jama_2024_23898_key,0)),$D5)&lt;&gt;"retain"),NOT(OR(IF($E5="",INDEX(primary_jama_2024_23898_domain,MATCH($A5,primary_jama_2024_23898_key,0)),$E5)="protocol_report")))</formula>
    </cfRule>
  </conditionalFormatting>
  <conditionalFormatting sqref="L6">
    <cfRule type="expression" priority="65" dxfId="0" stopIfTrue="1">
      <formula>AND(OR(AND(IF($D6="",INDEX(primary_jama_2024_23898_disposition,MATCH($A6,primary_jama_2024_23898_key,0)),$D6)&lt;&gt;"",IF($D6="",INDEX(primary_jama_2024_23898_disposition,MATCH($A6,primary_jama_2024_23898_key,0)),$D6)&lt;&gt;"retain"),NOT(OR(IF($E6="",INDEX(primary_jama_2024_23898_domain,MATCH($A6,primary_jama_2024_23898_key,0)),$E6)="protocol_report"))),L6&lt;&gt;"",L6&lt;&gt;"not_applicable")</formula>
    </cfRule>
    <cfRule type="expression" priority="66" dxfId="1">
      <formula>OR(AND(IF($D6="",INDEX(primary_jama_2024_23898_disposition,MATCH($A6,primary_jama_2024_23898_key,0)),$D6)&lt;&gt;"",IF($D6="",INDEX(primary_jama_2024_23898_disposition,MATCH($A6,primary_jama_2024_23898_key,0)),$D6)&lt;&gt;"retain"),NOT(OR(IF($E6="",INDEX(primary_jama_2024_23898_domain,MATCH($A6,primary_jama_2024_23898_key,0)),$E6)="protocol_report")))</formula>
    </cfRule>
  </conditionalFormatting>
  <conditionalFormatting sqref="L7">
    <cfRule type="expression" priority="67" dxfId="0" stopIfTrue="1">
      <formula>AND(OR(AND(IF($D7="",INDEX(primary_jama_2024_23898_disposition,MATCH($A7,primary_jama_2024_23898_key,0)),$D7)&lt;&gt;"",IF($D7="",INDEX(primary_jama_2024_23898_disposition,MATCH($A7,primary_jama_2024_23898_key,0)),$D7)&lt;&gt;"retain"),NOT(OR(IF($E7="",INDEX(primary_jama_2024_23898_domain,MATCH($A7,primary_jama_2024_23898_key,0)),$E7)="protocol_report"))),L7&lt;&gt;"",L7&lt;&gt;"not_applicable")</formula>
    </cfRule>
    <cfRule type="expression" priority="68" dxfId="1">
      <formula>OR(AND(IF($D7="",INDEX(primary_jama_2024_23898_disposition,MATCH($A7,primary_jama_2024_23898_key,0)),$D7)&lt;&gt;"",IF($D7="",INDEX(primary_jama_2024_23898_disposition,MATCH($A7,primary_jama_2024_23898_key,0)),$D7)&lt;&gt;"retain"),NOT(OR(IF($E7="",INDEX(primary_jama_2024_23898_domain,MATCH($A7,primary_jama_2024_23898_key,0)),$E7)="protocol_report")))</formula>
    </cfRule>
  </conditionalFormatting>
  <conditionalFormatting sqref="L8">
    <cfRule type="expression" priority="69" dxfId="0" stopIfTrue="1">
      <formula>AND(OR(AND(IF($D8="",INDEX(primary_jama_2024_23898_disposition,MATCH($A8,primary_jama_2024_23898_key,0)),$D8)&lt;&gt;"",IF($D8="",INDEX(primary_jama_2024_23898_disposition,MATCH($A8,primary_jama_2024_23898_key,0)),$D8)&lt;&gt;"retain"),NOT(OR(IF($E8="",INDEX(primary_jama_2024_23898_domain,MATCH($A8,primary_jama_2024_23898_key,0)),$E8)="protocol_report"))),L8&lt;&gt;"",L8&lt;&gt;"not_applicable")</formula>
    </cfRule>
    <cfRule type="expression" priority="70" dxfId="1">
      <formula>OR(AND(IF($D8="",INDEX(primary_jama_2024_23898_disposition,MATCH($A8,primary_jama_2024_23898_key,0)),$D8)&lt;&gt;"",IF($D8="",INDEX(primary_jama_2024_23898_disposition,MATCH($A8,primary_jama_2024_23898_key,0)),$D8)&lt;&gt;"retain"),NOT(OR(IF($E8="",INDEX(primary_jama_2024_23898_domain,MATCH($A8,primary_jama_2024_23898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8" showDropDown="0" showInputMessage="1" showErrorMessage="1" allowBlank="1" errorTitle="Invalid option" error="Choose a listed value." promptTitle="Checker result" prompt="See Codebook for meanings." type="list" errorStyle="stop">
      <formula1>opt_checkStatus</formula1>
    </dataValidation>
    <dataValidation sqref="Q2:Q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c r="F2" s="8" t="inlineStr">
        <is>
          <t>no</t>
        </is>
      </c>
      <c r="G2" s="2">
        <f>IF(OR(AND(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H2&lt;&gt;"",H2&lt;&gt;"not_applicable"),AND(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I2&lt;&gt;"",I2&lt;&gt;"not_applicable"),AND(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J2&lt;&gt;"",J2&lt;&gt;"not_applicable"),AND(OR(AND(IF($D2="",INDEX(primary_jama_2024_25786_disposition,MATCH($A2,primary_jama_2024_25786_key,0)),$D2)&lt;&gt;"",IF($D2="",INDEX(primary_jama_2024_25786_disposition,MATCH($A2,primary_jama_2024_25786_key,0)),$D2)&lt;&gt;"retain"),NOT(OR(IF($E2="",INDEX(primary_jama_2024_25786_domain,MATCH($A2,primary_jama_2024_25786_key,0)),$E2)="internal_nonstatistical",IF($E2="",INDEX(primary_jama_2024_25786_domain,MATCH($A2,primary_jama_2024_25786_key,0)),$E2)="plan_material"))),K2&lt;&gt;"",K2&lt;&gt;"not_applicable"),AND(OR(AND(IF($D2="",INDEX(primary_jama_2024_25786_disposition,MATCH($A2,primary_jama_2024_25786_key,0)),$D2)&lt;&gt;"",IF($D2="",INDEX(primary_jama_2024_25786_disposition,MATCH($A2,primary_jama_2024_25786_key,0)),$D2)&lt;&gt;"retain"),NOT(OR(IF($E2="",INDEX(primary_jama_2024_25786_domain,MATCH($A2,primary_jama_2024_25786_key,0)),$E2)="protocol_report"))),L2&lt;&gt;"",L2&lt;&gt;"not_applicable")),"CLEAR INACTIVE VALUES",IF(O2="","PENDING",IF(AND(O2&lt;&gt;"agree",LEN(TRIM(P2))=0),"COMMENT NEEDED",IF(F2="yes","CHECKED - see resolution","DRAFT"))))</f>
        <v/>
      </c>
      <c r="H2" s="8">
        <f>IF(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not_applicable","")</f>
        <v/>
      </c>
      <c r="I2" s="8">
        <f>IF(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not_applicable","")</f>
        <v/>
      </c>
      <c r="J2" s="9">
        <f>IF(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not_applicable","")</f>
        <v/>
      </c>
      <c r="K2" s="8">
        <f>IF(OR(AND(IF($D2="",INDEX(primary_jama_2024_25786_disposition,MATCH($A2,primary_jama_2024_25786_key,0)),$D2)&lt;&gt;"",IF($D2="",INDEX(primary_jama_2024_25786_disposition,MATCH($A2,primary_jama_2024_25786_key,0)),$D2)&lt;&gt;"retain"),NOT(OR(IF($E2="",INDEX(primary_jama_2024_25786_domain,MATCH($A2,primary_jama_2024_25786_key,0)),$E2)="internal_nonstatistical",IF($E2="",INDEX(primary_jama_2024_25786_domain,MATCH($A2,primary_jama_2024_25786_key,0)),$E2)="plan_material"))),"not_applicable","")</f>
        <v/>
      </c>
      <c r="L2" s="9">
        <f>IF(OR(AND(IF($D2="",INDEX(primary_jama_2024_25786_disposition,MATCH($A2,primary_jama_2024_25786_key,0)),$D2)&lt;&gt;"",IF($D2="",INDEX(primary_jama_2024_25786_disposition,MATCH($A2,primary_jama_2024_25786_key,0)),$D2)&lt;&gt;"retain"),NOT(OR(IF($E2="",INDEX(primary_jama_2024_25786_domain,MATCH($A2,primary_jama_2024_25786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c r="F3" s="8" t="inlineStr">
        <is>
          <t>no</t>
        </is>
      </c>
      <c r="G3" s="3">
        <f>IF(OR(AND(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H3&lt;&gt;"",H3&lt;&gt;"not_applicable"),AND(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I3&lt;&gt;"",I3&lt;&gt;"not_applicable"),AND(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J3&lt;&gt;"",J3&lt;&gt;"not_applicable"),AND(OR(AND(IF($D3="",INDEX(primary_jama_2024_25786_disposition,MATCH($A3,primary_jama_2024_25786_key,0)),$D3)&lt;&gt;"",IF($D3="",INDEX(primary_jama_2024_25786_disposition,MATCH($A3,primary_jama_2024_25786_key,0)),$D3)&lt;&gt;"retain"),NOT(OR(IF($E3="",INDEX(primary_jama_2024_25786_domain,MATCH($A3,primary_jama_2024_25786_key,0)),$E3)="internal_nonstatistical",IF($E3="",INDEX(primary_jama_2024_25786_domain,MATCH($A3,primary_jama_2024_25786_key,0)),$E3)="plan_material"))),K3&lt;&gt;"",K3&lt;&gt;"not_applicable"),AND(OR(AND(IF($D3="",INDEX(primary_jama_2024_25786_disposition,MATCH($A3,primary_jama_2024_25786_key,0)),$D3)&lt;&gt;"",IF($D3="",INDEX(primary_jama_2024_25786_disposition,MATCH($A3,primary_jama_2024_25786_key,0)),$D3)&lt;&gt;"retain"),NOT(OR(IF($E3="",INDEX(primary_jama_2024_25786_domain,MATCH($A3,primary_jama_2024_25786_key,0)),$E3)="protocol_report"))),L3&lt;&gt;"",L3&lt;&gt;"not_applicable")),"CLEAR INACTIVE VALUES",IF(O3="","PENDING",IF(AND(O3&lt;&gt;"agree",LEN(TRIM(P3))=0),"COMMENT NEEDED",IF(F3="yes","CHECKED - see resolution","DRAFT"))))</f>
        <v/>
      </c>
      <c r="H3" s="8">
        <f>IF(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not_applicable","")</f>
        <v/>
      </c>
      <c r="I3" s="8">
        <f>IF(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not_applicable","")</f>
        <v/>
      </c>
      <c r="J3" s="9">
        <f>IF(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not_applicable","")</f>
        <v/>
      </c>
      <c r="K3" s="8">
        <f>IF(OR(AND(IF($D3="",INDEX(primary_jama_2024_25786_disposition,MATCH($A3,primary_jama_2024_25786_key,0)),$D3)&lt;&gt;"",IF($D3="",INDEX(primary_jama_2024_25786_disposition,MATCH($A3,primary_jama_2024_25786_key,0)),$D3)&lt;&gt;"retain"),NOT(OR(IF($E3="",INDEX(primary_jama_2024_25786_domain,MATCH($A3,primary_jama_2024_25786_key,0)),$E3)="internal_nonstatistical",IF($E3="",INDEX(primary_jama_2024_25786_domain,MATCH($A3,primary_jama_2024_25786_key,0)),$E3)="plan_material"))),"not_applicable","")</f>
        <v/>
      </c>
      <c r="L3" s="9">
        <f>IF(OR(AND(IF($D3="",INDEX(primary_jama_2024_25786_disposition,MATCH($A3,primary_jama_2024_25786_key,0)),$D3)&lt;&gt;"",IF($D3="",INDEX(primary_jama_2024_25786_disposition,MATCH($A3,primary_jama_2024_25786_key,0)),$D3)&lt;&gt;"retain"),NOT(OR(IF($E3="",INDEX(primary_jama_2024_25786_domain,MATCH($A3,primary_jama_2024_25786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c r="F4" s="8" t="inlineStr">
        <is>
          <t>no</t>
        </is>
      </c>
      <c r="G4" s="2">
        <f>IF(OR(AND(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H4&lt;&gt;"",H4&lt;&gt;"not_applicable"),AND(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I4&lt;&gt;"",I4&lt;&gt;"not_applicable"),AND(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J4&lt;&gt;"",J4&lt;&gt;"not_applicable"),AND(OR(AND(IF($D4="",INDEX(primary_jama_2024_25786_disposition,MATCH($A4,primary_jama_2024_25786_key,0)),$D4)&lt;&gt;"",IF($D4="",INDEX(primary_jama_2024_25786_disposition,MATCH($A4,primary_jama_2024_25786_key,0)),$D4)&lt;&gt;"retain"),NOT(OR(IF($E4="",INDEX(primary_jama_2024_25786_domain,MATCH($A4,primary_jama_2024_25786_key,0)),$E4)="internal_nonstatistical",IF($E4="",INDEX(primary_jama_2024_25786_domain,MATCH($A4,primary_jama_2024_25786_key,0)),$E4)="plan_material"))),K4&lt;&gt;"",K4&lt;&gt;"not_applicable"),AND(OR(AND(IF($D4="",INDEX(primary_jama_2024_25786_disposition,MATCH($A4,primary_jama_2024_25786_key,0)),$D4)&lt;&gt;"",IF($D4="",INDEX(primary_jama_2024_25786_disposition,MATCH($A4,primary_jama_2024_25786_key,0)),$D4)&lt;&gt;"retain"),NOT(OR(IF($E4="",INDEX(primary_jama_2024_25786_domain,MATCH($A4,primary_jama_2024_25786_key,0)),$E4)="protocol_report"))),L4&lt;&gt;"",L4&lt;&gt;"not_applicable")),"CLEAR INACTIVE VALUES",IF(O4="","PENDING",IF(AND(O4&lt;&gt;"agree",LEN(TRIM(P4))=0),"COMMENT NEEDED",IF(F4="yes","CHECKED - see resolution","DRAFT"))))</f>
        <v/>
      </c>
      <c r="H4" s="8">
        <f>IF(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not_applicable","")</f>
        <v/>
      </c>
      <c r="I4" s="8">
        <f>IF(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not_applicable","")</f>
        <v/>
      </c>
      <c r="J4" s="9">
        <f>IF(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not_applicable","")</f>
        <v/>
      </c>
      <c r="K4" s="8">
        <f>IF(OR(AND(IF($D4="",INDEX(primary_jama_2024_25786_disposition,MATCH($A4,primary_jama_2024_25786_key,0)),$D4)&lt;&gt;"",IF($D4="",INDEX(primary_jama_2024_25786_disposition,MATCH($A4,primary_jama_2024_25786_key,0)),$D4)&lt;&gt;"retain"),NOT(OR(IF($E4="",INDEX(primary_jama_2024_25786_domain,MATCH($A4,primary_jama_2024_25786_key,0)),$E4)="internal_nonstatistical",IF($E4="",INDEX(primary_jama_2024_25786_domain,MATCH($A4,primary_jama_2024_25786_key,0)),$E4)="plan_material"))),"not_applicable","")</f>
        <v/>
      </c>
      <c r="L4" s="9">
        <f>IF(OR(AND(IF($D4="",INDEX(primary_jama_2024_25786_disposition,MATCH($A4,primary_jama_2024_25786_key,0)),$D4)&lt;&gt;"",IF($D4="",INDEX(primary_jama_2024_25786_disposition,MATCH($A4,primary_jama_2024_25786_key,0)),$D4)&lt;&gt;"retain"),NOT(OR(IF($E4="",INDEX(primary_jama_2024_25786_domain,MATCH($A4,primary_jama_2024_25786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c r="F5" s="8" t="inlineStr">
        <is>
          <t>no</t>
        </is>
      </c>
      <c r="G5" s="3">
        <f>IF(OR(AND(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H5&lt;&gt;"",H5&lt;&gt;"not_applicable"),AND(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I5&lt;&gt;"",I5&lt;&gt;"not_applicable"),AND(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J5&lt;&gt;"",J5&lt;&gt;"not_applicable"),AND(OR(AND(IF($D5="",INDEX(primary_jama_2024_25786_disposition,MATCH($A5,primary_jama_2024_25786_key,0)),$D5)&lt;&gt;"",IF($D5="",INDEX(primary_jama_2024_25786_disposition,MATCH($A5,primary_jama_2024_25786_key,0)),$D5)&lt;&gt;"retain"),NOT(OR(IF($E5="",INDEX(primary_jama_2024_25786_domain,MATCH($A5,primary_jama_2024_25786_key,0)),$E5)="internal_nonstatistical",IF($E5="",INDEX(primary_jama_2024_25786_domain,MATCH($A5,primary_jama_2024_25786_key,0)),$E5)="plan_material"))),K5&lt;&gt;"",K5&lt;&gt;"not_applicable"),AND(OR(AND(IF($D5="",INDEX(primary_jama_2024_25786_disposition,MATCH($A5,primary_jama_2024_25786_key,0)),$D5)&lt;&gt;"",IF($D5="",INDEX(primary_jama_2024_25786_disposition,MATCH($A5,primary_jama_2024_25786_key,0)),$D5)&lt;&gt;"retain"),NOT(OR(IF($E5="",INDEX(primary_jama_2024_25786_domain,MATCH($A5,primary_jama_2024_25786_key,0)),$E5)="protocol_report"))),L5&lt;&gt;"",L5&lt;&gt;"not_applicable")),"CLEAR INACTIVE VALUES",IF(O5="","PENDING",IF(AND(O5&lt;&gt;"agree",LEN(TRIM(P5))=0),"COMMENT NEEDED",IF(F5="yes","CHECKED - see resolution","DRAFT"))))</f>
        <v/>
      </c>
      <c r="H5" s="8">
        <f>IF(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not_applicable","")</f>
        <v/>
      </c>
      <c r="I5" s="8">
        <f>IF(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not_applicable","")</f>
        <v/>
      </c>
      <c r="J5" s="9">
        <f>IF(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not_applicable","")</f>
        <v/>
      </c>
      <c r="K5" s="8">
        <f>IF(OR(AND(IF($D5="",INDEX(primary_jama_2024_25786_disposition,MATCH($A5,primary_jama_2024_25786_key,0)),$D5)&lt;&gt;"",IF($D5="",INDEX(primary_jama_2024_25786_disposition,MATCH($A5,primary_jama_2024_25786_key,0)),$D5)&lt;&gt;"retain"),NOT(OR(IF($E5="",INDEX(primary_jama_2024_25786_domain,MATCH($A5,primary_jama_2024_25786_key,0)),$E5)="internal_nonstatistical",IF($E5="",INDEX(primary_jama_2024_25786_domain,MATCH($A5,primary_jama_2024_25786_key,0)),$E5)="plan_material"))),"not_applicable","")</f>
        <v/>
      </c>
      <c r="L5" s="9">
        <f>IF(OR(AND(IF($D5="",INDEX(primary_jama_2024_25786_disposition,MATCH($A5,primary_jama_2024_25786_key,0)),$D5)&lt;&gt;"",IF($D5="",INDEX(primary_jama_2024_25786_disposition,MATCH($A5,primary_jama_2024_25786_key,0)),$D5)&lt;&gt;"retain"),NOT(OR(IF($E5="",INDEX(primary_jama_2024_25786_domain,MATCH($A5,primary_jama_2024_25786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c r="F6" s="8" t="inlineStr">
        <is>
          <t>no</t>
        </is>
      </c>
      <c r="G6" s="2">
        <f>IF(OR(AND(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H6&lt;&gt;"",H6&lt;&gt;"not_applicable"),AND(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I6&lt;&gt;"",I6&lt;&gt;"not_applicable"),AND(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J6&lt;&gt;"",J6&lt;&gt;"not_applicable"),AND(OR(AND(IF($D6="",INDEX(primary_jama_2024_25786_disposition,MATCH($A6,primary_jama_2024_25786_key,0)),$D6)&lt;&gt;"",IF($D6="",INDEX(primary_jama_2024_25786_disposition,MATCH($A6,primary_jama_2024_25786_key,0)),$D6)&lt;&gt;"retain"),NOT(OR(IF($E6="",INDEX(primary_jama_2024_25786_domain,MATCH($A6,primary_jama_2024_25786_key,0)),$E6)="internal_nonstatistical",IF($E6="",INDEX(primary_jama_2024_25786_domain,MATCH($A6,primary_jama_2024_25786_key,0)),$E6)="plan_material"))),K6&lt;&gt;"",K6&lt;&gt;"not_applicable"),AND(OR(AND(IF($D6="",INDEX(primary_jama_2024_25786_disposition,MATCH($A6,primary_jama_2024_25786_key,0)),$D6)&lt;&gt;"",IF($D6="",INDEX(primary_jama_2024_25786_disposition,MATCH($A6,primary_jama_2024_25786_key,0)),$D6)&lt;&gt;"retain"),NOT(OR(IF($E6="",INDEX(primary_jama_2024_25786_domain,MATCH($A6,primary_jama_2024_25786_key,0)),$E6)="protocol_report"))),L6&lt;&gt;"",L6&lt;&gt;"not_applicable")),"CLEAR INACTIVE VALUES",IF(O6="","PENDING",IF(AND(O6&lt;&gt;"agree",LEN(TRIM(P6))=0),"COMMENT NEEDED",IF(F6="yes","CHECKED - see resolution","DRAFT"))))</f>
        <v/>
      </c>
      <c r="H6" s="8">
        <f>IF(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not_applicable","")</f>
        <v/>
      </c>
      <c r="I6" s="8">
        <f>IF(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not_applicable","")</f>
        <v/>
      </c>
      <c r="J6" s="9">
        <f>IF(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not_applicable","")</f>
        <v/>
      </c>
      <c r="K6" s="8">
        <f>IF(OR(AND(IF($D6="",INDEX(primary_jama_2024_25786_disposition,MATCH($A6,primary_jama_2024_25786_key,0)),$D6)&lt;&gt;"",IF($D6="",INDEX(primary_jama_2024_25786_disposition,MATCH($A6,primary_jama_2024_25786_key,0)),$D6)&lt;&gt;"retain"),NOT(OR(IF($E6="",INDEX(primary_jama_2024_25786_domain,MATCH($A6,primary_jama_2024_25786_key,0)),$E6)="internal_nonstatistical",IF($E6="",INDEX(primary_jama_2024_25786_domain,MATCH($A6,primary_jama_2024_25786_key,0)),$E6)="plan_material"))),"not_applicable","")</f>
        <v/>
      </c>
      <c r="L6" s="9">
        <f>IF(OR(AND(IF($D6="",INDEX(primary_jama_2024_25786_disposition,MATCH($A6,primary_jama_2024_25786_key,0)),$D6)&lt;&gt;"",IF($D6="",INDEX(primary_jama_2024_25786_disposition,MATCH($A6,primary_jama_2024_25786_key,0)),$D6)&lt;&gt;"retain"),NOT(OR(IF($E6="",INDEX(primary_jama_2024_25786_domain,MATCH($A6,primary_jama_2024_25786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c r="F7" s="8" t="inlineStr">
        <is>
          <t>no</t>
        </is>
      </c>
      <c r="G7" s="3">
        <f>IF(OR(AND(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H7&lt;&gt;"",H7&lt;&gt;"not_applicable"),AND(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I7&lt;&gt;"",I7&lt;&gt;"not_applicable"),AND(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J7&lt;&gt;"",J7&lt;&gt;"not_applicable"),AND(OR(AND(IF($D7="",INDEX(primary_jama_2024_25786_disposition,MATCH($A7,primary_jama_2024_25786_key,0)),$D7)&lt;&gt;"",IF($D7="",INDEX(primary_jama_2024_25786_disposition,MATCH($A7,primary_jama_2024_25786_key,0)),$D7)&lt;&gt;"retain"),NOT(OR(IF($E7="",INDEX(primary_jama_2024_25786_domain,MATCH($A7,primary_jama_2024_25786_key,0)),$E7)="internal_nonstatistical",IF($E7="",INDEX(primary_jama_2024_25786_domain,MATCH($A7,primary_jama_2024_25786_key,0)),$E7)="plan_material"))),K7&lt;&gt;"",K7&lt;&gt;"not_applicable"),AND(OR(AND(IF($D7="",INDEX(primary_jama_2024_25786_disposition,MATCH($A7,primary_jama_2024_25786_key,0)),$D7)&lt;&gt;"",IF($D7="",INDEX(primary_jama_2024_25786_disposition,MATCH($A7,primary_jama_2024_25786_key,0)),$D7)&lt;&gt;"retain"),NOT(OR(IF($E7="",INDEX(primary_jama_2024_25786_domain,MATCH($A7,primary_jama_2024_25786_key,0)),$E7)="protocol_report"))),L7&lt;&gt;"",L7&lt;&gt;"not_applicable")),"CLEAR INACTIVE VALUES",IF(O7="","PENDING",IF(AND(O7&lt;&gt;"agree",LEN(TRIM(P7))=0),"COMMENT NEEDED",IF(F7="yes","CHECKED - see resolution","DRAFT"))))</f>
        <v/>
      </c>
      <c r="H7" s="8">
        <f>IF(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not_applicable","")</f>
        <v/>
      </c>
      <c r="I7" s="8">
        <f>IF(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not_applicable","")</f>
        <v/>
      </c>
      <c r="J7" s="9">
        <f>IF(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not_applicable","")</f>
        <v/>
      </c>
      <c r="K7" s="8">
        <f>IF(OR(AND(IF($D7="",INDEX(primary_jama_2024_25786_disposition,MATCH($A7,primary_jama_2024_25786_key,0)),$D7)&lt;&gt;"",IF($D7="",INDEX(primary_jama_2024_25786_disposition,MATCH($A7,primary_jama_2024_25786_key,0)),$D7)&lt;&gt;"retain"),NOT(OR(IF($E7="",INDEX(primary_jama_2024_25786_domain,MATCH($A7,primary_jama_2024_25786_key,0)),$E7)="internal_nonstatistical",IF($E7="",INDEX(primary_jama_2024_25786_domain,MATCH($A7,primary_jama_2024_25786_key,0)),$E7)="plan_material"))),"not_applicable","")</f>
        <v/>
      </c>
      <c r="L7" s="9">
        <f>IF(OR(AND(IF($D7="",INDEX(primary_jama_2024_25786_disposition,MATCH($A7,primary_jama_2024_25786_key,0)),$D7)&lt;&gt;"",IF($D7="",INDEX(primary_jama_2024_25786_disposition,MATCH($A7,primary_jama_2024_25786_key,0)),$D7)&lt;&gt;"retain"),NOT(OR(IF($E7="",INDEX(primary_jama_2024_25786_domain,MATCH($A7,primary_jama_2024_25786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c r="F8" s="8" t="inlineStr">
        <is>
          <t>no</t>
        </is>
      </c>
      <c r="G8" s="2">
        <f>IF(OR(AND(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H8&lt;&gt;"",H8&lt;&gt;"not_applicable"),AND(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I8&lt;&gt;"",I8&lt;&gt;"not_applicable"),AND(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J8&lt;&gt;"",J8&lt;&gt;"not_applicable"),AND(OR(AND(IF($D8="",INDEX(primary_jama_2024_25786_disposition,MATCH($A8,primary_jama_2024_25786_key,0)),$D8)&lt;&gt;"",IF($D8="",INDEX(primary_jama_2024_25786_disposition,MATCH($A8,primary_jama_2024_25786_key,0)),$D8)&lt;&gt;"retain"),NOT(OR(IF($E8="",INDEX(primary_jama_2024_25786_domain,MATCH($A8,primary_jama_2024_25786_key,0)),$E8)="internal_nonstatistical",IF($E8="",INDEX(primary_jama_2024_25786_domain,MATCH($A8,primary_jama_2024_25786_key,0)),$E8)="plan_material"))),K8&lt;&gt;"",K8&lt;&gt;"not_applicable"),AND(OR(AND(IF($D8="",INDEX(primary_jama_2024_25786_disposition,MATCH($A8,primary_jama_2024_25786_key,0)),$D8)&lt;&gt;"",IF($D8="",INDEX(primary_jama_2024_25786_disposition,MATCH($A8,primary_jama_2024_25786_key,0)),$D8)&lt;&gt;"retain"),NOT(OR(IF($E8="",INDEX(primary_jama_2024_25786_domain,MATCH($A8,primary_jama_2024_25786_key,0)),$E8)="protocol_report"))),L8&lt;&gt;"",L8&lt;&gt;"not_applicable")),"CLEAR INACTIVE VALUES",IF(O8="","PENDING",IF(AND(O8&lt;&gt;"agree",LEN(TRIM(P8))=0),"COMMENT NEEDED",IF(F8="yes","CHECKED - see resolution","DRAFT"))))</f>
        <v/>
      </c>
      <c r="H8" s="8">
        <f>IF(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not_applicable","")</f>
        <v/>
      </c>
      <c r="I8" s="8">
        <f>IF(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not_applicable","")</f>
        <v/>
      </c>
      <c r="J8" s="9">
        <f>IF(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not_applicable","")</f>
        <v/>
      </c>
      <c r="K8" s="8">
        <f>IF(OR(AND(IF($D8="",INDEX(primary_jama_2024_25786_disposition,MATCH($A8,primary_jama_2024_25786_key,0)),$D8)&lt;&gt;"",IF($D8="",INDEX(primary_jama_2024_25786_disposition,MATCH($A8,primary_jama_2024_25786_key,0)),$D8)&lt;&gt;"retain"),NOT(OR(IF($E8="",INDEX(primary_jama_2024_25786_domain,MATCH($A8,primary_jama_2024_25786_key,0)),$E8)="internal_nonstatistical",IF($E8="",INDEX(primary_jama_2024_25786_domain,MATCH($A8,primary_jama_2024_25786_key,0)),$E8)="plan_material"))),"not_applicable","")</f>
        <v/>
      </c>
      <c r="L8" s="9">
        <f>IF(OR(AND(IF($D8="",INDEX(primary_jama_2024_25786_disposition,MATCH($A8,primary_jama_2024_25786_key,0)),$D8)&lt;&gt;"",IF($D8="",INDEX(primary_jama_2024_25786_disposition,MATCH($A8,primary_jama_2024_25786_key,0)),$D8)&lt;&gt;"retain"),NOT(OR(IF($E8="",INDEX(primary_jama_2024_25786_domain,MATCH($A8,primary_jama_2024_25786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c r="F9" s="8" t="inlineStr">
        <is>
          <t>no</t>
        </is>
      </c>
      <c r="G9" s="3">
        <f>IF(OR(AND(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H9&lt;&gt;"",H9&lt;&gt;"not_applicable"),AND(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I9&lt;&gt;"",I9&lt;&gt;"not_applicable"),AND(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J9&lt;&gt;"",J9&lt;&gt;"not_applicable"),AND(OR(AND(IF($D9="",INDEX(primary_jama_2024_25786_disposition,MATCH($A9,primary_jama_2024_25786_key,0)),$D9)&lt;&gt;"",IF($D9="",INDEX(primary_jama_2024_25786_disposition,MATCH($A9,primary_jama_2024_25786_key,0)),$D9)&lt;&gt;"retain"),NOT(OR(IF($E9="",INDEX(primary_jama_2024_25786_domain,MATCH($A9,primary_jama_2024_25786_key,0)),$E9)="internal_nonstatistical",IF($E9="",INDEX(primary_jama_2024_25786_domain,MATCH($A9,primary_jama_2024_25786_key,0)),$E9)="plan_material"))),K9&lt;&gt;"",K9&lt;&gt;"not_applicable"),AND(OR(AND(IF($D9="",INDEX(primary_jama_2024_25786_disposition,MATCH($A9,primary_jama_2024_25786_key,0)),$D9)&lt;&gt;"",IF($D9="",INDEX(primary_jama_2024_25786_disposition,MATCH($A9,primary_jama_2024_25786_key,0)),$D9)&lt;&gt;"retain"),NOT(OR(IF($E9="",INDEX(primary_jama_2024_25786_domain,MATCH($A9,primary_jama_2024_25786_key,0)),$E9)="protocol_report"))),L9&lt;&gt;"",L9&lt;&gt;"not_applicable")),"CLEAR INACTIVE VALUES",IF(O9="","PENDING",IF(AND(O9&lt;&gt;"agree",LEN(TRIM(P9))=0),"COMMENT NEEDED",IF(F9="yes","CHECKED - see resolution","DRAFT"))))</f>
        <v/>
      </c>
      <c r="H9" s="8">
        <f>IF(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not_applicable","")</f>
        <v/>
      </c>
      <c r="I9" s="8">
        <f>IF(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not_applicable","")</f>
        <v/>
      </c>
      <c r="J9" s="9">
        <f>IF(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not_applicable","")</f>
        <v/>
      </c>
      <c r="K9" s="8">
        <f>IF(OR(AND(IF($D9="",INDEX(primary_jama_2024_25786_disposition,MATCH($A9,primary_jama_2024_25786_key,0)),$D9)&lt;&gt;"",IF($D9="",INDEX(primary_jama_2024_25786_disposition,MATCH($A9,primary_jama_2024_25786_key,0)),$D9)&lt;&gt;"retain"),NOT(OR(IF($E9="",INDEX(primary_jama_2024_25786_domain,MATCH($A9,primary_jama_2024_25786_key,0)),$E9)="internal_nonstatistical",IF($E9="",INDEX(primary_jama_2024_25786_domain,MATCH($A9,primary_jama_2024_25786_key,0)),$E9)="plan_material"))),"not_applicable","")</f>
        <v/>
      </c>
      <c r="L9" s="9">
        <f>IF(OR(AND(IF($D9="",INDEX(primary_jama_2024_25786_disposition,MATCH($A9,primary_jama_2024_25786_key,0)),$D9)&lt;&gt;"",IF($D9="",INDEX(primary_jama_2024_25786_disposition,MATCH($A9,primary_jama_2024_25786_key,0)),$D9)&lt;&gt;"retain"),NOT(OR(IF($E9="",INDEX(primary_jama_2024_25786_domain,MATCH($A9,primary_jama_2024_25786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H2&lt;&gt;"",H2&lt;&gt;"not_applicable")</formula>
    </cfRule>
    <cfRule type="expression" priority="2" dxfId="1">
      <formula>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formula>
    </cfRule>
  </conditionalFormatting>
  <conditionalFormatting sqref="H3">
    <cfRule type="expression" priority="3" dxfId="0" stopIfTrue="1">
      <formula>AND(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H3&lt;&gt;"",H3&lt;&gt;"not_applicable")</formula>
    </cfRule>
    <cfRule type="expression" priority="4" dxfId="1">
      <formula>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formula>
    </cfRule>
  </conditionalFormatting>
  <conditionalFormatting sqref="H4">
    <cfRule type="expression" priority="5" dxfId="0" stopIfTrue="1">
      <formula>AND(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H4&lt;&gt;"",H4&lt;&gt;"not_applicable")</formula>
    </cfRule>
    <cfRule type="expression" priority="6" dxfId="1">
      <formula>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formula>
    </cfRule>
  </conditionalFormatting>
  <conditionalFormatting sqref="H5">
    <cfRule type="expression" priority="7" dxfId="0" stopIfTrue="1">
      <formula>AND(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H5&lt;&gt;"",H5&lt;&gt;"not_applicable")</formula>
    </cfRule>
    <cfRule type="expression" priority="8" dxfId="1">
      <formula>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formula>
    </cfRule>
  </conditionalFormatting>
  <conditionalFormatting sqref="H6">
    <cfRule type="expression" priority="9" dxfId="0" stopIfTrue="1">
      <formula>AND(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H6&lt;&gt;"",H6&lt;&gt;"not_applicable")</formula>
    </cfRule>
    <cfRule type="expression" priority="10" dxfId="1">
      <formula>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formula>
    </cfRule>
  </conditionalFormatting>
  <conditionalFormatting sqref="H7">
    <cfRule type="expression" priority="11" dxfId="0" stopIfTrue="1">
      <formula>AND(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H7&lt;&gt;"",H7&lt;&gt;"not_applicable")</formula>
    </cfRule>
    <cfRule type="expression" priority="12" dxfId="1">
      <formula>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formula>
    </cfRule>
  </conditionalFormatting>
  <conditionalFormatting sqref="H8">
    <cfRule type="expression" priority="13" dxfId="0" stopIfTrue="1">
      <formula>AND(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H8&lt;&gt;"",H8&lt;&gt;"not_applicable")</formula>
    </cfRule>
    <cfRule type="expression" priority="14" dxfId="1">
      <formula>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formula>
    </cfRule>
  </conditionalFormatting>
  <conditionalFormatting sqref="H9">
    <cfRule type="expression" priority="15" dxfId="0" stopIfTrue="1">
      <formula>AND(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H9&lt;&gt;"",H9&lt;&gt;"not_applicable")</formula>
    </cfRule>
    <cfRule type="expression" priority="16" dxfId="1">
      <formula>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formula>
    </cfRule>
  </conditionalFormatting>
  <conditionalFormatting sqref="I2">
    <cfRule type="expression" priority="17" dxfId="0" stopIfTrue="1">
      <formula>AND(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I2&lt;&gt;"",I2&lt;&gt;"not_applicable")</formula>
    </cfRule>
    <cfRule type="expression" priority="18" dxfId="1">
      <formula>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formula>
    </cfRule>
  </conditionalFormatting>
  <conditionalFormatting sqref="I3">
    <cfRule type="expression" priority="19" dxfId="0" stopIfTrue="1">
      <formula>AND(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I3&lt;&gt;"",I3&lt;&gt;"not_applicable")</formula>
    </cfRule>
    <cfRule type="expression" priority="20" dxfId="1">
      <formula>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formula>
    </cfRule>
  </conditionalFormatting>
  <conditionalFormatting sqref="I4">
    <cfRule type="expression" priority="21" dxfId="0" stopIfTrue="1">
      <formula>AND(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I4&lt;&gt;"",I4&lt;&gt;"not_applicable")</formula>
    </cfRule>
    <cfRule type="expression" priority="22" dxfId="1">
      <formula>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formula>
    </cfRule>
  </conditionalFormatting>
  <conditionalFormatting sqref="I5">
    <cfRule type="expression" priority="23" dxfId="0" stopIfTrue="1">
      <formula>AND(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I5&lt;&gt;"",I5&lt;&gt;"not_applicable")</formula>
    </cfRule>
    <cfRule type="expression" priority="24" dxfId="1">
      <formula>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formula>
    </cfRule>
  </conditionalFormatting>
  <conditionalFormatting sqref="I6">
    <cfRule type="expression" priority="25" dxfId="0" stopIfTrue="1">
      <formula>AND(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I6&lt;&gt;"",I6&lt;&gt;"not_applicable")</formula>
    </cfRule>
    <cfRule type="expression" priority="26" dxfId="1">
      <formula>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formula>
    </cfRule>
  </conditionalFormatting>
  <conditionalFormatting sqref="I7">
    <cfRule type="expression" priority="27" dxfId="0" stopIfTrue="1">
      <formula>AND(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I7&lt;&gt;"",I7&lt;&gt;"not_applicable")</formula>
    </cfRule>
    <cfRule type="expression" priority="28" dxfId="1">
      <formula>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formula>
    </cfRule>
  </conditionalFormatting>
  <conditionalFormatting sqref="I8">
    <cfRule type="expression" priority="29" dxfId="0" stopIfTrue="1">
      <formula>AND(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I8&lt;&gt;"",I8&lt;&gt;"not_applicable")</formula>
    </cfRule>
    <cfRule type="expression" priority="30" dxfId="1">
      <formula>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formula>
    </cfRule>
  </conditionalFormatting>
  <conditionalFormatting sqref="I9">
    <cfRule type="expression" priority="31" dxfId="0" stopIfTrue="1">
      <formula>AND(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I9&lt;&gt;"",I9&lt;&gt;"not_applicable")</formula>
    </cfRule>
    <cfRule type="expression" priority="32" dxfId="1">
      <formula>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formula>
    </cfRule>
  </conditionalFormatting>
  <conditionalFormatting sqref="J2">
    <cfRule type="expression" priority="33" dxfId="0" stopIfTrue="1">
      <formula>AND(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J2&lt;&gt;"",J2&lt;&gt;"not_applicable")</formula>
    </cfRule>
    <cfRule type="expression" priority="34" dxfId="1">
      <formula>OR(AND(IF($D2="",INDEX(primary_jama_2024_25786_disposition,MATCH($A2,primary_jama_2024_25786_key,0)),$D2)&lt;&gt;"",IF($D2="",INDEX(primary_jama_2024_25786_disposition,MATCH($A2,primary_jama_2024_25786_key,0)),$D2)&lt;&gt;"retain"),NOT(OR(IF($E2="",INDEX(primary_jama_2024_25786_domain,MATCH($A2,primary_jama_2024_25786_key,0)),$E2)="statistical_results")))</formula>
    </cfRule>
  </conditionalFormatting>
  <conditionalFormatting sqref="J3">
    <cfRule type="expression" priority="35" dxfId="0" stopIfTrue="1">
      <formula>AND(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J3&lt;&gt;"",J3&lt;&gt;"not_applicable")</formula>
    </cfRule>
    <cfRule type="expression" priority="36" dxfId="1">
      <formula>OR(AND(IF($D3="",INDEX(primary_jama_2024_25786_disposition,MATCH($A3,primary_jama_2024_25786_key,0)),$D3)&lt;&gt;"",IF($D3="",INDEX(primary_jama_2024_25786_disposition,MATCH($A3,primary_jama_2024_25786_key,0)),$D3)&lt;&gt;"retain"),NOT(OR(IF($E3="",INDEX(primary_jama_2024_25786_domain,MATCH($A3,primary_jama_2024_25786_key,0)),$E3)="statistical_results")))</formula>
    </cfRule>
  </conditionalFormatting>
  <conditionalFormatting sqref="J4">
    <cfRule type="expression" priority="37" dxfId="0" stopIfTrue="1">
      <formula>AND(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J4&lt;&gt;"",J4&lt;&gt;"not_applicable")</formula>
    </cfRule>
    <cfRule type="expression" priority="38" dxfId="1">
      <formula>OR(AND(IF($D4="",INDEX(primary_jama_2024_25786_disposition,MATCH($A4,primary_jama_2024_25786_key,0)),$D4)&lt;&gt;"",IF($D4="",INDEX(primary_jama_2024_25786_disposition,MATCH($A4,primary_jama_2024_25786_key,0)),$D4)&lt;&gt;"retain"),NOT(OR(IF($E4="",INDEX(primary_jama_2024_25786_domain,MATCH($A4,primary_jama_2024_25786_key,0)),$E4)="statistical_results")))</formula>
    </cfRule>
  </conditionalFormatting>
  <conditionalFormatting sqref="J5">
    <cfRule type="expression" priority="39" dxfId="0" stopIfTrue="1">
      <formula>AND(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J5&lt;&gt;"",J5&lt;&gt;"not_applicable")</formula>
    </cfRule>
    <cfRule type="expression" priority="40" dxfId="1">
      <formula>OR(AND(IF($D5="",INDEX(primary_jama_2024_25786_disposition,MATCH($A5,primary_jama_2024_25786_key,0)),$D5)&lt;&gt;"",IF($D5="",INDEX(primary_jama_2024_25786_disposition,MATCH($A5,primary_jama_2024_25786_key,0)),$D5)&lt;&gt;"retain"),NOT(OR(IF($E5="",INDEX(primary_jama_2024_25786_domain,MATCH($A5,primary_jama_2024_25786_key,0)),$E5)="statistical_results")))</formula>
    </cfRule>
  </conditionalFormatting>
  <conditionalFormatting sqref="J6">
    <cfRule type="expression" priority="41" dxfId="0" stopIfTrue="1">
      <formula>AND(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J6&lt;&gt;"",J6&lt;&gt;"not_applicable")</formula>
    </cfRule>
    <cfRule type="expression" priority="42" dxfId="1">
      <formula>OR(AND(IF($D6="",INDEX(primary_jama_2024_25786_disposition,MATCH($A6,primary_jama_2024_25786_key,0)),$D6)&lt;&gt;"",IF($D6="",INDEX(primary_jama_2024_25786_disposition,MATCH($A6,primary_jama_2024_25786_key,0)),$D6)&lt;&gt;"retain"),NOT(OR(IF($E6="",INDEX(primary_jama_2024_25786_domain,MATCH($A6,primary_jama_2024_25786_key,0)),$E6)="statistical_results")))</formula>
    </cfRule>
  </conditionalFormatting>
  <conditionalFormatting sqref="J7">
    <cfRule type="expression" priority="43" dxfId="0" stopIfTrue="1">
      <formula>AND(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J7&lt;&gt;"",J7&lt;&gt;"not_applicable")</formula>
    </cfRule>
    <cfRule type="expression" priority="44" dxfId="1">
      <formula>OR(AND(IF($D7="",INDEX(primary_jama_2024_25786_disposition,MATCH($A7,primary_jama_2024_25786_key,0)),$D7)&lt;&gt;"",IF($D7="",INDEX(primary_jama_2024_25786_disposition,MATCH($A7,primary_jama_2024_25786_key,0)),$D7)&lt;&gt;"retain"),NOT(OR(IF($E7="",INDEX(primary_jama_2024_25786_domain,MATCH($A7,primary_jama_2024_25786_key,0)),$E7)="statistical_results")))</formula>
    </cfRule>
  </conditionalFormatting>
  <conditionalFormatting sqref="J8">
    <cfRule type="expression" priority="45" dxfId="0" stopIfTrue="1">
      <formula>AND(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J8&lt;&gt;"",J8&lt;&gt;"not_applicable")</formula>
    </cfRule>
    <cfRule type="expression" priority="46" dxfId="1">
      <formula>OR(AND(IF($D8="",INDEX(primary_jama_2024_25786_disposition,MATCH($A8,primary_jama_2024_25786_key,0)),$D8)&lt;&gt;"",IF($D8="",INDEX(primary_jama_2024_25786_disposition,MATCH($A8,primary_jama_2024_25786_key,0)),$D8)&lt;&gt;"retain"),NOT(OR(IF($E8="",INDEX(primary_jama_2024_25786_domain,MATCH($A8,primary_jama_2024_25786_key,0)),$E8)="statistical_results")))</formula>
    </cfRule>
  </conditionalFormatting>
  <conditionalFormatting sqref="J9">
    <cfRule type="expression" priority="47" dxfId="0" stopIfTrue="1">
      <formula>AND(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J9&lt;&gt;"",J9&lt;&gt;"not_applicable")</formula>
    </cfRule>
    <cfRule type="expression" priority="48" dxfId="1">
      <formula>OR(AND(IF($D9="",INDEX(primary_jama_2024_25786_disposition,MATCH($A9,primary_jama_2024_25786_key,0)),$D9)&lt;&gt;"",IF($D9="",INDEX(primary_jama_2024_25786_disposition,MATCH($A9,primary_jama_2024_25786_key,0)),$D9)&lt;&gt;"retain"),NOT(OR(IF($E9="",INDEX(primary_jama_2024_25786_domain,MATCH($A9,primary_jama_2024_25786_key,0)),$E9)="statistical_results")))</formula>
    </cfRule>
  </conditionalFormatting>
  <conditionalFormatting sqref="K2">
    <cfRule type="expression" priority="49" dxfId="0" stopIfTrue="1">
      <formula>AND(OR(AND(IF($D2="",INDEX(primary_jama_2024_25786_disposition,MATCH($A2,primary_jama_2024_25786_key,0)),$D2)&lt;&gt;"",IF($D2="",INDEX(primary_jama_2024_25786_disposition,MATCH($A2,primary_jama_2024_25786_key,0)),$D2)&lt;&gt;"retain"),NOT(OR(IF($E2="",INDEX(primary_jama_2024_25786_domain,MATCH($A2,primary_jama_2024_25786_key,0)),$E2)="internal_nonstatistical",IF($E2="",INDEX(primary_jama_2024_25786_domain,MATCH($A2,primary_jama_2024_25786_key,0)),$E2)="plan_material"))),K2&lt;&gt;"",K2&lt;&gt;"not_applicable")</formula>
    </cfRule>
    <cfRule type="expression" priority="50" dxfId="1">
      <formula>OR(AND(IF($D2="",INDEX(primary_jama_2024_25786_disposition,MATCH($A2,primary_jama_2024_25786_key,0)),$D2)&lt;&gt;"",IF($D2="",INDEX(primary_jama_2024_25786_disposition,MATCH($A2,primary_jama_2024_25786_key,0)),$D2)&lt;&gt;"retain"),NOT(OR(IF($E2="",INDEX(primary_jama_2024_25786_domain,MATCH($A2,primary_jama_2024_25786_key,0)),$E2)="internal_nonstatistical",IF($E2="",INDEX(primary_jama_2024_25786_domain,MATCH($A2,primary_jama_2024_25786_key,0)),$E2)="plan_material")))</formula>
    </cfRule>
  </conditionalFormatting>
  <conditionalFormatting sqref="K3">
    <cfRule type="expression" priority="51" dxfId="0" stopIfTrue="1">
      <formula>AND(OR(AND(IF($D3="",INDEX(primary_jama_2024_25786_disposition,MATCH($A3,primary_jama_2024_25786_key,0)),$D3)&lt;&gt;"",IF($D3="",INDEX(primary_jama_2024_25786_disposition,MATCH($A3,primary_jama_2024_25786_key,0)),$D3)&lt;&gt;"retain"),NOT(OR(IF($E3="",INDEX(primary_jama_2024_25786_domain,MATCH($A3,primary_jama_2024_25786_key,0)),$E3)="internal_nonstatistical",IF($E3="",INDEX(primary_jama_2024_25786_domain,MATCH($A3,primary_jama_2024_25786_key,0)),$E3)="plan_material"))),K3&lt;&gt;"",K3&lt;&gt;"not_applicable")</formula>
    </cfRule>
    <cfRule type="expression" priority="52" dxfId="1">
      <formula>OR(AND(IF($D3="",INDEX(primary_jama_2024_25786_disposition,MATCH($A3,primary_jama_2024_25786_key,0)),$D3)&lt;&gt;"",IF($D3="",INDEX(primary_jama_2024_25786_disposition,MATCH($A3,primary_jama_2024_25786_key,0)),$D3)&lt;&gt;"retain"),NOT(OR(IF($E3="",INDEX(primary_jama_2024_25786_domain,MATCH($A3,primary_jama_2024_25786_key,0)),$E3)="internal_nonstatistical",IF($E3="",INDEX(primary_jama_2024_25786_domain,MATCH($A3,primary_jama_2024_25786_key,0)),$E3)="plan_material")))</formula>
    </cfRule>
  </conditionalFormatting>
  <conditionalFormatting sqref="K4">
    <cfRule type="expression" priority="53" dxfId="0" stopIfTrue="1">
      <formula>AND(OR(AND(IF($D4="",INDEX(primary_jama_2024_25786_disposition,MATCH($A4,primary_jama_2024_25786_key,0)),$D4)&lt;&gt;"",IF($D4="",INDEX(primary_jama_2024_25786_disposition,MATCH($A4,primary_jama_2024_25786_key,0)),$D4)&lt;&gt;"retain"),NOT(OR(IF($E4="",INDEX(primary_jama_2024_25786_domain,MATCH($A4,primary_jama_2024_25786_key,0)),$E4)="internal_nonstatistical",IF($E4="",INDEX(primary_jama_2024_25786_domain,MATCH($A4,primary_jama_2024_25786_key,0)),$E4)="plan_material"))),K4&lt;&gt;"",K4&lt;&gt;"not_applicable")</formula>
    </cfRule>
    <cfRule type="expression" priority="54" dxfId="1">
      <formula>OR(AND(IF($D4="",INDEX(primary_jama_2024_25786_disposition,MATCH($A4,primary_jama_2024_25786_key,0)),$D4)&lt;&gt;"",IF($D4="",INDEX(primary_jama_2024_25786_disposition,MATCH($A4,primary_jama_2024_25786_key,0)),$D4)&lt;&gt;"retain"),NOT(OR(IF($E4="",INDEX(primary_jama_2024_25786_domain,MATCH($A4,primary_jama_2024_25786_key,0)),$E4)="internal_nonstatistical",IF($E4="",INDEX(primary_jama_2024_25786_domain,MATCH($A4,primary_jama_2024_25786_key,0)),$E4)="plan_material")))</formula>
    </cfRule>
  </conditionalFormatting>
  <conditionalFormatting sqref="K5">
    <cfRule type="expression" priority="55" dxfId="0" stopIfTrue="1">
      <formula>AND(OR(AND(IF($D5="",INDEX(primary_jama_2024_25786_disposition,MATCH($A5,primary_jama_2024_25786_key,0)),$D5)&lt;&gt;"",IF($D5="",INDEX(primary_jama_2024_25786_disposition,MATCH($A5,primary_jama_2024_25786_key,0)),$D5)&lt;&gt;"retain"),NOT(OR(IF($E5="",INDEX(primary_jama_2024_25786_domain,MATCH($A5,primary_jama_2024_25786_key,0)),$E5)="internal_nonstatistical",IF($E5="",INDEX(primary_jama_2024_25786_domain,MATCH($A5,primary_jama_2024_25786_key,0)),$E5)="plan_material"))),K5&lt;&gt;"",K5&lt;&gt;"not_applicable")</formula>
    </cfRule>
    <cfRule type="expression" priority="56" dxfId="1">
      <formula>OR(AND(IF($D5="",INDEX(primary_jama_2024_25786_disposition,MATCH($A5,primary_jama_2024_25786_key,0)),$D5)&lt;&gt;"",IF($D5="",INDEX(primary_jama_2024_25786_disposition,MATCH($A5,primary_jama_2024_25786_key,0)),$D5)&lt;&gt;"retain"),NOT(OR(IF($E5="",INDEX(primary_jama_2024_25786_domain,MATCH($A5,primary_jama_2024_25786_key,0)),$E5)="internal_nonstatistical",IF($E5="",INDEX(primary_jama_2024_25786_domain,MATCH($A5,primary_jama_2024_25786_key,0)),$E5)="plan_material")))</formula>
    </cfRule>
  </conditionalFormatting>
  <conditionalFormatting sqref="K6">
    <cfRule type="expression" priority="57" dxfId="0" stopIfTrue="1">
      <formula>AND(OR(AND(IF($D6="",INDEX(primary_jama_2024_25786_disposition,MATCH($A6,primary_jama_2024_25786_key,0)),$D6)&lt;&gt;"",IF($D6="",INDEX(primary_jama_2024_25786_disposition,MATCH($A6,primary_jama_2024_25786_key,0)),$D6)&lt;&gt;"retain"),NOT(OR(IF($E6="",INDEX(primary_jama_2024_25786_domain,MATCH($A6,primary_jama_2024_25786_key,0)),$E6)="internal_nonstatistical",IF($E6="",INDEX(primary_jama_2024_25786_domain,MATCH($A6,primary_jama_2024_25786_key,0)),$E6)="plan_material"))),K6&lt;&gt;"",K6&lt;&gt;"not_applicable")</formula>
    </cfRule>
    <cfRule type="expression" priority="58" dxfId="1">
      <formula>OR(AND(IF($D6="",INDEX(primary_jama_2024_25786_disposition,MATCH($A6,primary_jama_2024_25786_key,0)),$D6)&lt;&gt;"",IF($D6="",INDEX(primary_jama_2024_25786_disposition,MATCH($A6,primary_jama_2024_25786_key,0)),$D6)&lt;&gt;"retain"),NOT(OR(IF($E6="",INDEX(primary_jama_2024_25786_domain,MATCH($A6,primary_jama_2024_25786_key,0)),$E6)="internal_nonstatistical",IF($E6="",INDEX(primary_jama_2024_25786_domain,MATCH($A6,primary_jama_2024_25786_key,0)),$E6)="plan_material")))</formula>
    </cfRule>
  </conditionalFormatting>
  <conditionalFormatting sqref="K7">
    <cfRule type="expression" priority="59" dxfId="0" stopIfTrue="1">
      <formula>AND(OR(AND(IF($D7="",INDEX(primary_jama_2024_25786_disposition,MATCH($A7,primary_jama_2024_25786_key,0)),$D7)&lt;&gt;"",IF($D7="",INDEX(primary_jama_2024_25786_disposition,MATCH($A7,primary_jama_2024_25786_key,0)),$D7)&lt;&gt;"retain"),NOT(OR(IF($E7="",INDEX(primary_jama_2024_25786_domain,MATCH($A7,primary_jama_2024_25786_key,0)),$E7)="internal_nonstatistical",IF($E7="",INDEX(primary_jama_2024_25786_domain,MATCH($A7,primary_jama_2024_25786_key,0)),$E7)="plan_material"))),K7&lt;&gt;"",K7&lt;&gt;"not_applicable")</formula>
    </cfRule>
    <cfRule type="expression" priority="60" dxfId="1">
      <formula>OR(AND(IF($D7="",INDEX(primary_jama_2024_25786_disposition,MATCH($A7,primary_jama_2024_25786_key,0)),$D7)&lt;&gt;"",IF($D7="",INDEX(primary_jama_2024_25786_disposition,MATCH($A7,primary_jama_2024_25786_key,0)),$D7)&lt;&gt;"retain"),NOT(OR(IF($E7="",INDEX(primary_jama_2024_25786_domain,MATCH($A7,primary_jama_2024_25786_key,0)),$E7)="internal_nonstatistical",IF($E7="",INDEX(primary_jama_2024_25786_domain,MATCH($A7,primary_jama_2024_25786_key,0)),$E7)="plan_material")))</formula>
    </cfRule>
  </conditionalFormatting>
  <conditionalFormatting sqref="K8">
    <cfRule type="expression" priority="61" dxfId="0" stopIfTrue="1">
      <formula>AND(OR(AND(IF($D8="",INDEX(primary_jama_2024_25786_disposition,MATCH($A8,primary_jama_2024_25786_key,0)),$D8)&lt;&gt;"",IF($D8="",INDEX(primary_jama_2024_25786_disposition,MATCH($A8,primary_jama_2024_25786_key,0)),$D8)&lt;&gt;"retain"),NOT(OR(IF($E8="",INDEX(primary_jama_2024_25786_domain,MATCH($A8,primary_jama_2024_25786_key,0)),$E8)="internal_nonstatistical",IF($E8="",INDEX(primary_jama_2024_25786_domain,MATCH($A8,primary_jama_2024_25786_key,0)),$E8)="plan_material"))),K8&lt;&gt;"",K8&lt;&gt;"not_applicable")</formula>
    </cfRule>
    <cfRule type="expression" priority="62" dxfId="1">
      <formula>OR(AND(IF($D8="",INDEX(primary_jama_2024_25786_disposition,MATCH($A8,primary_jama_2024_25786_key,0)),$D8)&lt;&gt;"",IF($D8="",INDEX(primary_jama_2024_25786_disposition,MATCH($A8,primary_jama_2024_25786_key,0)),$D8)&lt;&gt;"retain"),NOT(OR(IF($E8="",INDEX(primary_jama_2024_25786_domain,MATCH($A8,primary_jama_2024_25786_key,0)),$E8)="internal_nonstatistical",IF($E8="",INDEX(primary_jama_2024_25786_domain,MATCH($A8,primary_jama_2024_25786_key,0)),$E8)="plan_material")))</formula>
    </cfRule>
  </conditionalFormatting>
  <conditionalFormatting sqref="K9">
    <cfRule type="expression" priority="63" dxfId="0" stopIfTrue="1">
      <formula>AND(OR(AND(IF($D9="",INDEX(primary_jama_2024_25786_disposition,MATCH($A9,primary_jama_2024_25786_key,0)),$D9)&lt;&gt;"",IF($D9="",INDEX(primary_jama_2024_25786_disposition,MATCH($A9,primary_jama_2024_25786_key,0)),$D9)&lt;&gt;"retain"),NOT(OR(IF($E9="",INDEX(primary_jama_2024_25786_domain,MATCH($A9,primary_jama_2024_25786_key,0)),$E9)="internal_nonstatistical",IF($E9="",INDEX(primary_jama_2024_25786_domain,MATCH($A9,primary_jama_2024_25786_key,0)),$E9)="plan_material"))),K9&lt;&gt;"",K9&lt;&gt;"not_applicable")</formula>
    </cfRule>
    <cfRule type="expression" priority="64" dxfId="1">
      <formula>OR(AND(IF($D9="",INDEX(primary_jama_2024_25786_disposition,MATCH($A9,primary_jama_2024_25786_key,0)),$D9)&lt;&gt;"",IF($D9="",INDEX(primary_jama_2024_25786_disposition,MATCH($A9,primary_jama_2024_25786_key,0)),$D9)&lt;&gt;"retain"),NOT(OR(IF($E9="",INDEX(primary_jama_2024_25786_domain,MATCH($A9,primary_jama_2024_25786_key,0)),$E9)="internal_nonstatistical",IF($E9="",INDEX(primary_jama_2024_25786_domain,MATCH($A9,primary_jama_2024_25786_key,0)),$E9)="plan_material")))</formula>
    </cfRule>
  </conditionalFormatting>
  <conditionalFormatting sqref="L2">
    <cfRule type="expression" priority="65" dxfId="0" stopIfTrue="1">
      <formula>AND(OR(AND(IF($D2="",INDEX(primary_jama_2024_25786_disposition,MATCH($A2,primary_jama_2024_25786_key,0)),$D2)&lt;&gt;"",IF($D2="",INDEX(primary_jama_2024_25786_disposition,MATCH($A2,primary_jama_2024_25786_key,0)),$D2)&lt;&gt;"retain"),NOT(OR(IF($E2="",INDEX(primary_jama_2024_25786_domain,MATCH($A2,primary_jama_2024_25786_key,0)),$E2)="protocol_report"))),L2&lt;&gt;"",L2&lt;&gt;"not_applicable")</formula>
    </cfRule>
    <cfRule type="expression" priority="66" dxfId="1">
      <formula>OR(AND(IF($D2="",INDEX(primary_jama_2024_25786_disposition,MATCH($A2,primary_jama_2024_25786_key,0)),$D2)&lt;&gt;"",IF($D2="",INDEX(primary_jama_2024_25786_disposition,MATCH($A2,primary_jama_2024_25786_key,0)),$D2)&lt;&gt;"retain"),NOT(OR(IF($E2="",INDEX(primary_jama_2024_25786_domain,MATCH($A2,primary_jama_2024_25786_key,0)),$E2)="protocol_report")))</formula>
    </cfRule>
  </conditionalFormatting>
  <conditionalFormatting sqref="L3">
    <cfRule type="expression" priority="67" dxfId="0" stopIfTrue="1">
      <formula>AND(OR(AND(IF($D3="",INDEX(primary_jama_2024_25786_disposition,MATCH($A3,primary_jama_2024_25786_key,0)),$D3)&lt;&gt;"",IF($D3="",INDEX(primary_jama_2024_25786_disposition,MATCH($A3,primary_jama_2024_25786_key,0)),$D3)&lt;&gt;"retain"),NOT(OR(IF($E3="",INDEX(primary_jama_2024_25786_domain,MATCH($A3,primary_jama_2024_25786_key,0)),$E3)="protocol_report"))),L3&lt;&gt;"",L3&lt;&gt;"not_applicable")</formula>
    </cfRule>
    <cfRule type="expression" priority="68" dxfId="1">
      <formula>OR(AND(IF($D3="",INDEX(primary_jama_2024_25786_disposition,MATCH($A3,primary_jama_2024_25786_key,0)),$D3)&lt;&gt;"",IF($D3="",INDEX(primary_jama_2024_25786_disposition,MATCH($A3,primary_jama_2024_25786_key,0)),$D3)&lt;&gt;"retain"),NOT(OR(IF($E3="",INDEX(primary_jama_2024_25786_domain,MATCH($A3,primary_jama_2024_25786_key,0)),$E3)="protocol_report")))</formula>
    </cfRule>
  </conditionalFormatting>
  <conditionalFormatting sqref="L4">
    <cfRule type="expression" priority="69" dxfId="0" stopIfTrue="1">
      <formula>AND(OR(AND(IF($D4="",INDEX(primary_jama_2024_25786_disposition,MATCH($A4,primary_jama_2024_25786_key,0)),$D4)&lt;&gt;"",IF($D4="",INDEX(primary_jama_2024_25786_disposition,MATCH($A4,primary_jama_2024_25786_key,0)),$D4)&lt;&gt;"retain"),NOT(OR(IF($E4="",INDEX(primary_jama_2024_25786_domain,MATCH($A4,primary_jama_2024_25786_key,0)),$E4)="protocol_report"))),L4&lt;&gt;"",L4&lt;&gt;"not_applicable")</formula>
    </cfRule>
    <cfRule type="expression" priority="70" dxfId="1">
      <formula>OR(AND(IF($D4="",INDEX(primary_jama_2024_25786_disposition,MATCH($A4,primary_jama_2024_25786_key,0)),$D4)&lt;&gt;"",IF($D4="",INDEX(primary_jama_2024_25786_disposition,MATCH($A4,primary_jama_2024_25786_key,0)),$D4)&lt;&gt;"retain"),NOT(OR(IF($E4="",INDEX(primary_jama_2024_25786_domain,MATCH($A4,primary_jama_2024_25786_key,0)),$E4)="protocol_report")))</formula>
    </cfRule>
  </conditionalFormatting>
  <conditionalFormatting sqref="L5">
    <cfRule type="expression" priority="71" dxfId="0" stopIfTrue="1">
      <formula>AND(OR(AND(IF($D5="",INDEX(primary_jama_2024_25786_disposition,MATCH($A5,primary_jama_2024_25786_key,0)),$D5)&lt;&gt;"",IF($D5="",INDEX(primary_jama_2024_25786_disposition,MATCH($A5,primary_jama_2024_25786_key,0)),$D5)&lt;&gt;"retain"),NOT(OR(IF($E5="",INDEX(primary_jama_2024_25786_domain,MATCH($A5,primary_jama_2024_25786_key,0)),$E5)="protocol_report"))),L5&lt;&gt;"",L5&lt;&gt;"not_applicable")</formula>
    </cfRule>
    <cfRule type="expression" priority="72" dxfId="1">
      <formula>OR(AND(IF($D5="",INDEX(primary_jama_2024_25786_disposition,MATCH($A5,primary_jama_2024_25786_key,0)),$D5)&lt;&gt;"",IF($D5="",INDEX(primary_jama_2024_25786_disposition,MATCH($A5,primary_jama_2024_25786_key,0)),$D5)&lt;&gt;"retain"),NOT(OR(IF($E5="",INDEX(primary_jama_2024_25786_domain,MATCH($A5,primary_jama_2024_25786_key,0)),$E5)="protocol_report")))</formula>
    </cfRule>
  </conditionalFormatting>
  <conditionalFormatting sqref="L6">
    <cfRule type="expression" priority="73" dxfId="0" stopIfTrue="1">
      <formula>AND(OR(AND(IF($D6="",INDEX(primary_jama_2024_25786_disposition,MATCH($A6,primary_jama_2024_25786_key,0)),$D6)&lt;&gt;"",IF($D6="",INDEX(primary_jama_2024_25786_disposition,MATCH($A6,primary_jama_2024_25786_key,0)),$D6)&lt;&gt;"retain"),NOT(OR(IF($E6="",INDEX(primary_jama_2024_25786_domain,MATCH($A6,primary_jama_2024_25786_key,0)),$E6)="protocol_report"))),L6&lt;&gt;"",L6&lt;&gt;"not_applicable")</formula>
    </cfRule>
    <cfRule type="expression" priority="74" dxfId="1">
      <formula>OR(AND(IF($D6="",INDEX(primary_jama_2024_25786_disposition,MATCH($A6,primary_jama_2024_25786_key,0)),$D6)&lt;&gt;"",IF($D6="",INDEX(primary_jama_2024_25786_disposition,MATCH($A6,primary_jama_2024_25786_key,0)),$D6)&lt;&gt;"retain"),NOT(OR(IF($E6="",INDEX(primary_jama_2024_25786_domain,MATCH($A6,primary_jama_2024_25786_key,0)),$E6)="protocol_report")))</formula>
    </cfRule>
  </conditionalFormatting>
  <conditionalFormatting sqref="L7">
    <cfRule type="expression" priority="75" dxfId="0" stopIfTrue="1">
      <formula>AND(OR(AND(IF($D7="",INDEX(primary_jama_2024_25786_disposition,MATCH($A7,primary_jama_2024_25786_key,0)),$D7)&lt;&gt;"",IF($D7="",INDEX(primary_jama_2024_25786_disposition,MATCH($A7,primary_jama_2024_25786_key,0)),$D7)&lt;&gt;"retain"),NOT(OR(IF($E7="",INDEX(primary_jama_2024_25786_domain,MATCH($A7,primary_jama_2024_25786_key,0)),$E7)="protocol_report"))),L7&lt;&gt;"",L7&lt;&gt;"not_applicable")</formula>
    </cfRule>
    <cfRule type="expression" priority="76" dxfId="1">
      <formula>OR(AND(IF($D7="",INDEX(primary_jama_2024_25786_disposition,MATCH($A7,primary_jama_2024_25786_key,0)),$D7)&lt;&gt;"",IF($D7="",INDEX(primary_jama_2024_25786_disposition,MATCH($A7,primary_jama_2024_25786_key,0)),$D7)&lt;&gt;"retain"),NOT(OR(IF($E7="",INDEX(primary_jama_2024_25786_domain,MATCH($A7,primary_jama_2024_25786_key,0)),$E7)="protocol_report")))</formula>
    </cfRule>
  </conditionalFormatting>
  <conditionalFormatting sqref="L8">
    <cfRule type="expression" priority="77" dxfId="0" stopIfTrue="1">
      <formula>AND(OR(AND(IF($D8="",INDEX(primary_jama_2024_25786_disposition,MATCH($A8,primary_jama_2024_25786_key,0)),$D8)&lt;&gt;"",IF($D8="",INDEX(primary_jama_2024_25786_disposition,MATCH($A8,primary_jama_2024_25786_key,0)),$D8)&lt;&gt;"retain"),NOT(OR(IF($E8="",INDEX(primary_jama_2024_25786_domain,MATCH($A8,primary_jama_2024_25786_key,0)),$E8)="protocol_report"))),L8&lt;&gt;"",L8&lt;&gt;"not_applicable")</formula>
    </cfRule>
    <cfRule type="expression" priority="78" dxfId="1">
      <formula>OR(AND(IF($D8="",INDEX(primary_jama_2024_25786_disposition,MATCH($A8,primary_jama_2024_25786_key,0)),$D8)&lt;&gt;"",IF($D8="",INDEX(primary_jama_2024_25786_disposition,MATCH($A8,primary_jama_2024_25786_key,0)),$D8)&lt;&gt;"retain"),NOT(OR(IF($E8="",INDEX(primary_jama_2024_25786_domain,MATCH($A8,primary_jama_2024_25786_key,0)),$E8)="protocol_report")))</formula>
    </cfRule>
  </conditionalFormatting>
  <conditionalFormatting sqref="L9">
    <cfRule type="expression" priority="79" dxfId="0" stopIfTrue="1">
      <formula>AND(OR(AND(IF($D9="",INDEX(primary_jama_2024_25786_disposition,MATCH($A9,primary_jama_2024_25786_key,0)),$D9)&lt;&gt;"",IF($D9="",INDEX(primary_jama_2024_25786_disposition,MATCH($A9,primary_jama_2024_25786_key,0)),$D9)&lt;&gt;"retain"),NOT(OR(IF($E9="",INDEX(primary_jama_2024_25786_domain,MATCH($A9,primary_jama_2024_25786_key,0)),$E9)="protocol_report"))),L9&lt;&gt;"",L9&lt;&gt;"not_applicable")</formula>
    </cfRule>
    <cfRule type="expression" priority="80" dxfId="1">
      <formula>OR(AND(IF($D9="",INDEX(primary_jama_2024_25786_disposition,MATCH($A9,primary_jama_2024_25786_key,0)),$D9)&lt;&gt;"",IF($D9="",INDEX(primary_jama_2024_25786_disposition,MATCH($A9,primary_jama_2024_25786_key,0)),$D9)&lt;&gt;"retain"),NOT(OR(IF($E9="",INDEX(primary_jama_2024_25786_domain,MATCH($A9,primary_jama_2024_25786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c r="F2" s="8" t="inlineStr">
        <is>
          <t>no</t>
        </is>
      </c>
      <c r="G2" s="2">
        <f>IF(OR(AND(OR(AND(IF($D2="",INDEX(primary_jama_2024_4183_disposition,MATCH($A2,primary_jama_2024_4183_key,0)),$D2)&lt;&gt;"",IF($D2="",INDEX(primary_jama_2024_4183_disposition,MATCH($A2,primary_jama_2024_4183_key,0)),$D2)&lt;&gt;"retain"),NOT(OR(IF($E2="",INDEX(primary_jama_2024_4183_domain,MATCH($A2,primary_jama_2024_4183_key,0)),$E2)="statistical_results"))),H2&lt;&gt;"",H2&lt;&gt;"not_applicable"),AND(OR(AND(IF($D2="",INDEX(primary_jama_2024_4183_disposition,MATCH($A2,primary_jama_2024_4183_key,0)),$D2)&lt;&gt;"",IF($D2="",INDEX(primary_jama_2024_4183_disposition,MATCH($A2,primary_jama_2024_4183_key,0)),$D2)&lt;&gt;"retain"),NOT(OR(IF($E2="",INDEX(primary_jama_2024_4183_domain,MATCH($A2,primary_jama_2024_4183_key,0)),$E2)="statistical_results"))),I2&lt;&gt;"",I2&lt;&gt;"not_applicable"),AND(OR(AND(IF($D2="",INDEX(primary_jama_2024_4183_disposition,MATCH($A2,primary_jama_2024_4183_key,0)),$D2)&lt;&gt;"",IF($D2="",INDEX(primary_jama_2024_4183_disposition,MATCH($A2,primary_jama_2024_4183_key,0)),$D2)&lt;&gt;"retain"),NOT(OR(IF($E2="",INDEX(primary_jama_2024_4183_domain,MATCH($A2,primary_jama_2024_4183_key,0)),$E2)="statistical_results"))),J2&lt;&gt;"",J2&lt;&gt;"not_applicable"),AND(OR(AND(IF($D2="",INDEX(primary_jama_2024_4183_disposition,MATCH($A2,primary_jama_2024_4183_key,0)),$D2)&lt;&gt;"",IF($D2="",INDEX(primary_jama_2024_4183_disposition,MATCH($A2,primary_jama_2024_4183_key,0)),$D2)&lt;&gt;"retain"),NOT(OR(IF($E2="",INDEX(primary_jama_2024_4183_domain,MATCH($A2,primary_jama_2024_4183_key,0)),$E2)="internal_nonstatistical",IF($E2="",INDEX(primary_jama_2024_4183_domain,MATCH($A2,primary_jama_2024_4183_key,0)),$E2)="plan_material"))),K2&lt;&gt;"",K2&lt;&gt;"not_applicable"),AND(OR(AND(IF($D2="",INDEX(primary_jama_2024_4183_disposition,MATCH($A2,primary_jama_2024_4183_key,0)),$D2)&lt;&gt;"",IF($D2="",INDEX(primary_jama_2024_4183_disposition,MATCH($A2,primary_jama_2024_4183_key,0)),$D2)&lt;&gt;"retain"),NOT(OR(IF($E2="",INDEX(primary_jama_2024_4183_domain,MATCH($A2,primary_jama_2024_4183_key,0)),$E2)="protocol_report"))),L2&lt;&gt;"",L2&lt;&gt;"not_applicable")),"CLEAR INACTIVE VALUES",IF(O2="","PENDING",IF(AND(O2&lt;&gt;"agree",LEN(TRIM(P2))=0),"COMMENT NEEDED",IF(F2="yes","CHECKED - see resolution","DRAFT"))))</f>
        <v/>
      </c>
      <c r="H2" s="8">
        <f>IF(OR(AND(IF($D2="",INDEX(primary_jama_2024_4183_disposition,MATCH($A2,primary_jama_2024_4183_key,0)),$D2)&lt;&gt;"",IF($D2="",INDEX(primary_jama_2024_4183_disposition,MATCH($A2,primary_jama_2024_4183_key,0)),$D2)&lt;&gt;"retain"),NOT(OR(IF($E2="",INDEX(primary_jama_2024_4183_domain,MATCH($A2,primary_jama_2024_4183_key,0)),$E2)="statistical_results"))),"not_applicable","")</f>
        <v/>
      </c>
      <c r="I2" s="8">
        <f>IF(OR(AND(IF($D2="",INDEX(primary_jama_2024_4183_disposition,MATCH($A2,primary_jama_2024_4183_key,0)),$D2)&lt;&gt;"",IF($D2="",INDEX(primary_jama_2024_4183_disposition,MATCH($A2,primary_jama_2024_4183_key,0)),$D2)&lt;&gt;"retain"),NOT(OR(IF($E2="",INDEX(primary_jama_2024_4183_domain,MATCH($A2,primary_jama_2024_4183_key,0)),$E2)="statistical_results"))),"not_applicable","")</f>
        <v/>
      </c>
      <c r="J2" s="9">
        <f>IF(OR(AND(IF($D2="",INDEX(primary_jama_2024_4183_disposition,MATCH($A2,primary_jama_2024_4183_key,0)),$D2)&lt;&gt;"",IF($D2="",INDEX(primary_jama_2024_4183_disposition,MATCH($A2,primary_jama_2024_4183_key,0)),$D2)&lt;&gt;"retain"),NOT(OR(IF($E2="",INDEX(primary_jama_2024_4183_domain,MATCH($A2,primary_jama_2024_4183_key,0)),$E2)="statistical_results"))),"not_applicable","")</f>
        <v/>
      </c>
      <c r="K2" s="8">
        <f>IF(OR(AND(IF($D2="",INDEX(primary_jama_2024_4183_disposition,MATCH($A2,primary_jama_2024_4183_key,0)),$D2)&lt;&gt;"",IF($D2="",INDEX(primary_jama_2024_4183_disposition,MATCH($A2,primary_jama_2024_4183_key,0)),$D2)&lt;&gt;"retain"),NOT(OR(IF($E2="",INDEX(primary_jama_2024_4183_domain,MATCH($A2,primary_jama_2024_4183_key,0)),$E2)="internal_nonstatistical",IF($E2="",INDEX(primary_jama_2024_4183_domain,MATCH($A2,primary_jama_2024_4183_key,0)),$E2)="plan_material"))),"not_applicable","")</f>
        <v/>
      </c>
      <c r="L2" s="9">
        <f>IF(OR(AND(IF($D2="",INDEX(primary_jama_2024_4183_disposition,MATCH($A2,primary_jama_2024_4183_key,0)),$D2)&lt;&gt;"",IF($D2="",INDEX(primary_jama_2024_4183_disposition,MATCH($A2,primary_jama_2024_4183_key,0)),$D2)&lt;&gt;"retain"),NOT(OR(IF($E2="",INDEX(primary_jama_2024_4183_domain,MATCH($A2,primary_jama_2024_4183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2024::jama.2024.4183::C002</t>
        </is>
      </c>
      <c r="B3" s="3" t="inlineStr">
        <is>
          <t>Main baseline sex counts exceed both printed arm denominators</t>
        </is>
      </c>
      <c r="C3" s="3" t="inlineStr">
        <is>
          <t>Main article p. 5, baseline Table.</t>
        </is>
      </c>
      <c r="D3" s="8" t="inlineStr"/>
      <c r="E3" s="8" t="inlineStr"/>
      <c r="F3" s="8" t="inlineStr">
        <is>
          <t>no</t>
        </is>
      </c>
      <c r="G3" s="3">
        <f>IF(OR(AND(OR(AND(IF($D3="",INDEX(primary_jama_2024_4183_disposition,MATCH($A3,primary_jama_2024_4183_key,0)),$D3)&lt;&gt;"",IF($D3="",INDEX(primary_jama_2024_4183_disposition,MATCH($A3,primary_jama_2024_4183_key,0)),$D3)&lt;&gt;"retain"),NOT(OR(IF($E3="",INDEX(primary_jama_2024_4183_domain,MATCH($A3,primary_jama_2024_4183_key,0)),$E3)="statistical_results"))),H3&lt;&gt;"",H3&lt;&gt;"not_applicable"),AND(OR(AND(IF($D3="",INDEX(primary_jama_2024_4183_disposition,MATCH($A3,primary_jama_2024_4183_key,0)),$D3)&lt;&gt;"",IF($D3="",INDEX(primary_jama_2024_4183_disposition,MATCH($A3,primary_jama_2024_4183_key,0)),$D3)&lt;&gt;"retain"),NOT(OR(IF($E3="",INDEX(primary_jama_2024_4183_domain,MATCH($A3,primary_jama_2024_4183_key,0)),$E3)="statistical_results"))),I3&lt;&gt;"",I3&lt;&gt;"not_applicable"),AND(OR(AND(IF($D3="",INDEX(primary_jama_2024_4183_disposition,MATCH($A3,primary_jama_2024_4183_key,0)),$D3)&lt;&gt;"",IF($D3="",INDEX(primary_jama_2024_4183_disposition,MATCH($A3,primary_jama_2024_4183_key,0)),$D3)&lt;&gt;"retain"),NOT(OR(IF($E3="",INDEX(primary_jama_2024_4183_domain,MATCH($A3,primary_jama_2024_4183_key,0)),$E3)="statistical_results"))),J3&lt;&gt;"",J3&lt;&gt;"not_applicable"),AND(OR(AND(IF($D3="",INDEX(primary_jama_2024_4183_disposition,MATCH($A3,primary_jama_2024_4183_key,0)),$D3)&lt;&gt;"",IF($D3="",INDEX(primary_jama_2024_4183_disposition,MATCH($A3,primary_jama_2024_4183_key,0)),$D3)&lt;&gt;"retain"),NOT(OR(IF($E3="",INDEX(primary_jama_2024_4183_domain,MATCH($A3,primary_jama_2024_4183_key,0)),$E3)="internal_nonstatistical",IF($E3="",INDEX(primary_jama_2024_4183_domain,MATCH($A3,primary_jama_2024_4183_key,0)),$E3)="plan_material"))),K3&lt;&gt;"",K3&lt;&gt;"not_applicable"),AND(OR(AND(IF($D3="",INDEX(primary_jama_2024_4183_disposition,MATCH($A3,primary_jama_2024_4183_key,0)),$D3)&lt;&gt;"",IF($D3="",INDEX(primary_jama_2024_4183_disposition,MATCH($A3,primary_jama_2024_4183_key,0)),$D3)&lt;&gt;"retain"),NOT(OR(IF($E3="",INDEX(primary_jama_2024_4183_domain,MATCH($A3,primary_jama_2024_4183_key,0)),$E3)="protocol_report"))),L3&lt;&gt;"",L3&lt;&gt;"not_applicable")),"CLEAR INACTIVE VALUES",IF(O3="","PENDING",IF(AND(O3&lt;&gt;"agree",LEN(TRIM(P3))=0),"COMMENT NEEDED",IF(F3="yes","CHECKED - see resolution","DRAFT"))))</f>
        <v/>
      </c>
      <c r="H3" s="8">
        <f>IF(OR(AND(IF($D3="",INDEX(primary_jama_2024_4183_disposition,MATCH($A3,primary_jama_2024_4183_key,0)),$D3)&lt;&gt;"",IF($D3="",INDEX(primary_jama_2024_4183_disposition,MATCH($A3,primary_jama_2024_4183_key,0)),$D3)&lt;&gt;"retain"),NOT(OR(IF($E3="",INDEX(primary_jama_2024_4183_domain,MATCH($A3,primary_jama_2024_4183_key,0)),$E3)="statistical_results"))),"not_applicable","")</f>
        <v/>
      </c>
      <c r="I3" s="8">
        <f>IF(OR(AND(IF($D3="",INDEX(primary_jama_2024_4183_disposition,MATCH($A3,primary_jama_2024_4183_key,0)),$D3)&lt;&gt;"",IF($D3="",INDEX(primary_jama_2024_4183_disposition,MATCH($A3,primary_jama_2024_4183_key,0)),$D3)&lt;&gt;"retain"),NOT(OR(IF($E3="",INDEX(primary_jama_2024_4183_domain,MATCH($A3,primary_jama_2024_4183_key,0)),$E3)="statistical_results"))),"not_applicable","")</f>
        <v/>
      </c>
      <c r="J3" s="9">
        <f>IF(OR(AND(IF($D3="",INDEX(primary_jama_2024_4183_disposition,MATCH($A3,primary_jama_2024_4183_key,0)),$D3)&lt;&gt;"",IF($D3="",INDEX(primary_jama_2024_4183_disposition,MATCH($A3,primary_jama_2024_4183_key,0)),$D3)&lt;&gt;"retain"),NOT(OR(IF($E3="",INDEX(primary_jama_2024_4183_domain,MATCH($A3,primary_jama_2024_4183_key,0)),$E3)="statistical_results"))),"not_applicable","")</f>
        <v/>
      </c>
      <c r="K3" s="8">
        <f>IF(OR(AND(IF($D3="",INDEX(primary_jama_2024_4183_disposition,MATCH($A3,primary_jama_2024_4183_key,0)),$D3)&lt;&gt;"",IF($D3="",INDEX(primary_jama_2024_4183_disposition,MATCH($A3,primary_jama_2024_4183_key,0)),$D3)&lt;&gt;"retain"),NOT(OR(IF($E3="",INDEX(primary_jama_2024_4183_domain,MATCH($A3,primary_jama_2024_4183_key,0)),$E3)="internal_nonstatistical",IF($E3="",INDEX(primary_jama_2024_4183_domain,MATCH($A3,primary_jama_2024_4183_key,0)),$E3)="plan_material"))),"not_applicable","")</f>
        <v/>
      </c>
      <c r="L3" s="9">
        <f>IF(OR(AND(IF($D3="",INDEX(primary_jama_2024_4183_disposition,MATCH($A3,primary_jama_2024_4183_key,0)),$D3)&lt;&gt;"",IF($D3="",INDEX(primary_jama_2024_4183_disposition,MATCH($A3,primary_jama_2024_4183_key,0)),$D3)&lt;&gt;"retain"),NOT(OR(IF($E3="",INDEX(primary_jama_2024_4183_domain,MATCH($A3,primary_jama_2024_4183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c r="F4" s="8" t="inlineStr">
        <is>
          <t>no</t>
        </is>
      </c>
      <c r="G4" s="2">
        <f>IF(OR(AND(OR(AND(IF($D4="",INDEX(primary_jama_2024_4183_disposition,MATCH($A4,primary_jama_2024_4183_key,0)),$D4)&lt;&gt;"",IF($D4="",INDEX(primary_jama_2024_4183_disposition,MATCH($A4,primary_jama_2024_4183_key,0)),$D4)&lt;&gt;"retain"),NOT(OR(IF($E4="",INDEX(primary_jama_2024_4183_domain,MATCH($A4,primary_jama_2024_4183_key,0)),$E4)="statistical_results"))),H4&lt;&gt;"",H4&lt;&gt;"not_applicable"),AND(OR(AND(IF($D4="",INDEX(primary_jama_2024_4183_disposition,MATCH($A4,primary_jama_2024_4183_key,0)),$D4)&lt;&gt;"",IF($D4="",INDEX(primary_jama_2024_4183_disposition,MATCH($A4,primary_jama_2024_4183_key,0)),$D4)&lt;&gt;"retain"),NOT(OR(IF($E4="",INDEX(primary_jama_2024_4183_domain,MATCH($A4,primary_jama_2024_4183_key,0)),$E4)="statistical_results"))),I4&lt;&gt;"",I4&lt;&gt;"not_applicable"),AND(OR(AND(IF($D4="",INDEX(primary_jama_2024_4183_disposition,MATCH($A4,primary_jama_2024_4183_key,0)),$D4)&lt;&gt;"",IF($D4="",INDEX(primary_jama_2024_4183_disposition,MATCH($A4,primary_jama_2024_4183_key,0)),$D4)&lt;&gt;"retain"),NOT(OR(IF($E4="",INDEX(primary_jama_2024_4183_domain,MATCH($A4,primary_jama_2024_4183_key,0)),$E4)="statistical_results"))),J4&lt;&gt;"",J4&lt;&gt;"not_applicable"),AND(OR(AND(IF($D4="",INDEX(primary_jama_2024_4183_disposition,MATCH($A4,primary_jama_2024_4183_key,0)),$D4)&lt;&gt;"",IF($D4="",INDEX(primary_jama_2024_4183_disposition,MATCH($A4,primary_jama_2024_4183_key,0)),$D4)&lt;&gt;"retain"),NOT(OR(IF($E4="",INDEX(primary_jama_2024_4183_domain,MATCH($A4,primary_jama_2024_4183_key,0)),$E4)="internal_nonstatistical",IF($E4="",INDEX(primary_jama_2024_4183_domain,MATCH($A4,primary_jama_2024_4183_key,0)),$E4)="plan_material"))),K4&lt;&gt;"",K4&lt;&gt;"not_applicable"),AND(OR(AND(IF($D4="",INDEX(primary_jama_2024_4183_disposition,MATCH($A4,primary_jama_2024_4183_key,0)),$D4)&lt;&gt;"",IF($D4="",INDEX(primary_jama_2024_4183_disposition,MATCH($A4,primary_jama_2024_4183_key,0)),$D4)&lt;&gt;"retain"),NOT(OR(IF($E4="",INDEX(primary_jama_2024_4183_domain,MATCH($A4,primary_jama_2024_4183_key,0)),$E4)="protocol_report"))),L4&lt;&gt;"",L4&lt;&gt;"not_applicable")),"CLEAR INACTIVE VALUES",IF(O4="","PENDING",IF(AND(O4&lt;&gt;"agree",LEN(TRIM(P4))=0),"COMMENT NEEDED",IF(F4="yes","CHECKED - see resolution","DRAFT"))))</f>
        <v/>
      </c>
      <c r="H4" s="8">
        <f>IF(OR(AND(IF($D4="",INDEX(primary_jama_2024_4183_disposition,MATCH($A4,primary_jama_2024_4183_key,0)),$D4)&lt;&gt;"",IF($D4="",INDEX(primary_jama_2024_4183_disposition,MATCH($A4,primary_jama_2024_4183_key,0)),$D4)&lt;&gt;"retain"),NOT(OR(IF($E4="",INDEX(primary_jama_2024_4183_domain,MATCH($A4,primary_jama_2024_4183_key,0)),$E4)="statistical_results"))),"not_applicable","")</f>
        <v/>
      </c>
      <c r="I4" s="8">
        <f>IF(OR(AND(IF($D4="",INDEX(primary_jama_2024_4183_disposition,MATCH($A4,primary_jama_2024_4183_key,0)),$D4)&lt;&gt;"",IF($D4="",INDEX(primary_jama_2024_4183_disposition,MATCH($A4,primary_jama_2024_4183_key,0)),$D4)&lt;&gt;"retain"),NOT(OR(IF($E4="",INDEX(primary_jama_2024_4183_domain,MATCH($A4,primary_jama_2024_4183_key,0)),$E4)="statistical_results"))),"not_applicable","")</f>
        <v/>
      </c>
      <c r="J4" s="9">
        <f>IF(OR(AND(IF($D4="",INDEX(primary_jama_2024_4183_disposition,MATCH($A4,primary_jama_2024_4183_key,0)),$D4)&lt;&gt;"",IF($D4="",INDEX(primary_jama_2024_4183_disposition,MATCH($A4,primary_jama_2024_4183_key,0)),$D4)&lt;&gt;"retain"),NOT(OR(IF($E4="",INDEX(primary_jama_2024_4183_domain,MATCH($A4,primary_jama_2024_4183_key,0)),$E4)="statistical_results"))),"not_applicable","")</f>
        <v/>
      </c>
      <c r="K4" s="8">
        <f>IF(OR(AND(IF($D4="",INDEX(primary_jama_2024_4183_disposition,MATCH($A4,primary_jama_2024_4183_key,0)),$D4)&lt;&gt;"",IF($D4="",INDEX(primary_jama_2024_4183_disposition,MATCH($A4,primary_jama_2024_4183_key,0)),$D4)&lt;&gt;"retain"),NOT(OR(IF($E4="",INDEX(primary_jama_2024_4183_domain,MATCH($A4,primary_jama_2024_4183_key,0)),$E4)="internal_nonstatistical",IF($E4="",INDEX(primary_jama_2024_4183_domain,MATCH($A4,primary_jama_2024_4183_key,0)),$E4)="plan_material"))),"not_applicable","")</f>
        <v/>
      </c>
      <c r="L4" s="9">
        <f>IF(OR(AND(IF($D4="",INDEX(primary_jama_2024_4183_disposition,MATCH($A4,primary_jama_2024_4183_key,0)),$D4)&lt;&gt;"",IF($D4="",INDEX(primary_jama_2024_4183_disposition,MATCH($A4,primary_jama_2024_4183_key,0)),$D4)&lt;&gt;"retain"),NOT(OR(IF($E4="",INDEX(primary_jama_2024_4183_domain,MATCH($A4,primary_jama_2024_4183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c r="F5" s="8" t="inlineStr">
        <is>
          <t>no</t>
        </is>
      </c>
      <c r="G5" s="3">
        <f>IF(OR(AND(OR(AND(IF($D5="",INDEX(primary_jama_2024_4183_disposition,MATCH($A5,primary_jama_2024_4183_key,0)),$D5)&lt;&gt;"",IF($D5="",INDEX(primary_jama_2024_4183_disposition,MATCH($A5,primary_jama_2024_4183_key,0)),$D5)&lt;&gt;"retain"),NOT(OR(IF($E5="",INDEX(primary_jama_2024_4183_domain,MATCH($A5,primary_jama_2024_4183_key,0)),$E5)="statistical_results"))),H5&lt;&gt;"",H5&lt;&gt;"not_applicable"),AND(OR(AND(IF($D5="",INDEX(primary_jama_2024_4183_disposition,MATCH($A5,primary_jama_2024_4183_key,0)),$D5)&lt;&gt;"",IF($D5="",INDEX(primary_jama_2024_4183_disposition,MATCH($A5,primary_jama_2024_4183_key,0)),$D5)&lt;&gt;"retain"),NOT(OR(IF($E5="",INDEX(primary_jama_2024_4183_domain,MATCH($A5,primary_jama_2024_4183_key,0)),$E5)="statistical_results"))),I5&lt;&gt;"",I5&lt;&gt;"not_applicable"),AND(OR(AND(IF($D5="",INDEX(primary_jama_2024_4183_disposition,MATCH($A5,primary_jama_2024_4183_key,0)),$D5)&lt;&gt;"",IF($D5="",INDEX(primary_jama_2024_4183_disposition,MATCH($A5,primary_jama_2024_4183_key,0)),$D5)&lt;&gt;"retain"),NOT(OR(IF($E5="",INDEX(primary_jama_2024_4183_domain,MATCH($A5,primary_jama_2024_4183_key,0)),$E5)="statistical_results"))),J5&lt;&gt;"",J5&lt;&gt;"not_applicable"),AND(OR(AND(IF($D5="",INDEX(primary_jama_2024_4183_disposition,MATCH($A5,primary_jama_2024_4183_key,0)),$D5)&lt;&gt;"",IF($D5="",INDEX(primary_jama_2024_4183_disposition,MATCH($A5,primary_jama_2024_4183_key,0)),$D5)&lt;&gt;"retain"),NOT(OR(IF($E5="",INDEX(primary_jama_2024_4183_domain,MATCH($A5,primary_jama_2024_4183_key,0)),$E5)="internal_nonstatistical",IF($E5="",INDEX(primary_jama_2024_4183_domain,MATCH($A5,primary_jama_2024_4183_key,0)),$E5)="plan_material"))),K5&lt;&gt;"",K5&lt;&gt;"not_applicable"),AND(OR(AND(IF($D5="",INDEX(primary_jama_2024_4183_disposition,MATCH($A5,primary_jama_2024_4183_key,0)),$D5)&lt;&gt;"",IF($D5="",INDEX(primary_jama_2024_4183_disposition,MATCH($A5,primary_jama_2024_4183_key,0)),$D5)&lt;&gt;"retain"),NOT(OR(IF($E5="",INDEX(primary_jama_2024_4183_domain,MATCH($A5,primary_jama_2024_4183_key,0)),$E5)="protocol_report"))),L5&lt;&gt;"",L5&lt;&gt;"not_applicable")),"CLEAR INACTIVE VALUES",IF(O5="","PENDING",IF(AND(O5&lt;&gt;"agree",LEN(TRIM(P5))=0),"COMMENT NEEDED",IF(F5="yes","CHECKED - see resolution","DRAFT"))))</f>
        <v/>
      </c>
      <c r="H5" s="8">
        <f>IF(OR(AND(IF($D5="",INDEX(primary_jama_2024_4183_disposition,MATCH($A5,primary_jama_2024_4183_key,0)),$D5)&lt;&gt;"",IF($D5="",INDEX(primary_jama_2024_4183_disposition,MATCH($A5,primary_jama_2024_4183_key,0)),$D5)&lt;&gt;"retain"),NOT(OR(IF($E5="",INDEX(primary_jama_2024_4183_domain,MATCH($A5,primary_jama_2024_4183_key,0)),$E5)="statistical_results"))),"not_applicable","")</f>
        <v/>
      </c>
      <c r="I5" s="8">
        <f>IF(OR(AND(IF($D5="",INDEX(primary_jama_2024_4183_disposition,MATCH($A5,primary_jama_2024_4183_key,0)),$D5)&lt;&gt;"",IF($D5="",INDEX(primary_jama_2024_4183_disposition,MATCH($A5,primary_jama_2024_4183_key,0)),$D5)&lt;&gt;"retain"),NOT(OR(IF($E5="",INDEX(primary_jama_2024_4183_domain,MATCH($A5,primary_jama_2024_4183_key,0)),$E5)="statistical_results"))),"not_applicable","")</f>
        <v/>
      </c>
      <c r="J5" s="9">
        <f>IF(OR(AND(IF($D5="",INDEX(primary_jama_2024_4183_disposition,MATCH($A5,primary_jama_2024_4183_key,0)),$D5)&lt;&gt;"",IF($D5="",INDEX(primary_jama_2024_4183_disposition,MATCH($A5,primary_jama_2024_4183_key,0)),$D5)&lt;&gt;"retain"),NOT(OR(IF($E5="",INDEX(primary_jama_2024_4183_domain,MATCH($A5,primary_jama_2024_4183_key,0)),$E5)="statistical_results"))),"not_applicable","")</f>
        <v/>
      </c>
      <c r="K5" s="8">
        <f>IF(OR(AND(IF($D5="",INDEX(primary_jama_2024_4183_disposition,MATCH($A5,primary_jama_2024_4183_key,0)),$D5)&lt;&gt;"",IF($D5="",INDEX(primary_jama_2024_4183_disposition,MATCH($A5,primary_jama_2024_4183_key,0)),$D5)&lt;&gt;"retain"),NOT(OR(IF($E5="",INDEX(primary_jama_2024_4183_domain,MATCH($A5,primary_jama_2024_4183_key,0)),$E5)="internal_nonstatistical",IF($E5="",INDEX(primary_jama_2024_4183_domain,MATCH($A5,primary_jama_2024_4183_key,0)),$E5)="plan_material"))),"not_applicable","")</f>
        <v/>
      </c>
      <c r="L5" s="9">
        <f>IF(OR(AND(IF($D5="",INDEX(primary_jama_2024_4183_disposition,MATCH($A5,primary_jama_2024_4183_key,0)),$D5)&lt;&gt;"",IF($D5="",INDEX(primary_jama_2024_4183_disposition,MATCH($A5,primary_jama_2024_4183_key,0)),$D5)&lt;&gt;"retain"),NOT(OR(IF($E5="",INDEX(primary_jama_2024_4183_domain,MATCH($A5,primary_jama_2024_4183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c r="F6" s="8" t="inlineStr">
        <is>
          <t>no</t>
        </is>
      </c>
      <c r="G6" s="2">
        <f>IF(OR(AND(OR(AND(IF($D6="",INDEX(primary_jama_2024_4183_disposition,MATCH($A6,primary_jama_2024_4183_key,0)),$D6)&lt;&gt;"",IF($D6="",INDEX(primary_jama_2024_4183_disposition,MATCH($A6,primary_jama_2024_4183_key,0)),$D6)&lt;&gt;"retain"),NOT(OR(IF($E6="",INDEX(primary_jama_2024_4183_domain,MATCH($A6,primary_jama_2024_4183_key,0)),$E6)="statistical_results"))),H6&lt;&gt;"",H6&lt;&gt;"not_applicable"),AND(OR(AND(IF($D6="",INDEX(primary_jama_2024_4183_disposition,MATCH($A6,primary_jama_2024_4183_key,0)),$D6)&lt;&gt;"",IF($D6="",INDEX(primary_jama_2024_4183_disposition,MATCH($A6,primary_jama_2024_4183_key,0)),$D6)&lt;&gt;"retain"),NOT(OR(IF($E6="",INDEX(primary_jama_2024_4183_domain,MATCH($A6,primary_jama_2024_4183_key,0)),$E6)="statistical_results"))),I6&lt;&gt;"",I6&lt;&gt;"not_applicable"),AND(OR(AND(IF($D6="",INDEX(primary_jama_2024_4183_disposition,MATCH($A6,primary_jama_2024_4183_key,0)),$D6)&lt;&gt;"",IF($D6="",INDEX(primary_jama_2024_4183_disposition,MATCH($A6,primary_jama_2024_4183_key,0)),$D6)&lt;&gt;"retain"),NOT(OR(IF($E6="",INDEX(primary_jama_2024_4183_domain,MATCH($A6,primary_jama_2024_4183_key,0)),$E6)="statistical_results"))),J6&lt;&gt;"",J6&lt;&gt;"not_applicable"),AND(OR(AND(IF($D6="",INDEX(primary_jama_2024_4183_disposition,MATCH($A6,primary_jama_2024_4183_key,0)),$D6)&lt;&gt;"",IF($D6="",INDEX(primary_jama_2024_4183_disposition,MATCH($A6,primary_jama_2024_4183_key,0)),$D6)&lt;&gt;"retain"),NOT(OR(IF($E6="",INDEX(primary_jama_2024_4183_domain,MATCH($A6,primary_jama_2024_4183_key,0)),$E6)="internal_nonstatistical",IF($E6="",INDEX(primary_jama_2024_4183_domain,MATCH($A6,primary_jama_2024_4183_key,0)),$E6)="plan_material"))),K6&lt;&gt;"",K6&lt;&gt;"not_applicable"),AND(OR(AND(IF($D6="",INDEX(primary_jama_2024_4183_disposition,MATCH($A6,primary_jama_2024_4183_key,0)),$D6)&lt;&gt;"",IF($D6="",INDEX(primary_jama_2024_4183_disposition,MATCH($A6,primary_jama_2024_4183_key,0)),$D6)&lt;&gt;"retain"),NOT(OR(IF($E6="",INDEX(primary_jama_2024_4183_domain,MATCH($A6,primary_jama_2024_4183_key,0)),$E6)="protocol_report"))),L6&lt;&gt;"",L6&lt;&gt;"not_applicable")),"CLEAR INACTIVE VALUES",IF(O6="","PENDING",IF(AND(O6&lt;&gt;"agree",LEN(TRIM(P6))=0),"COMMENT NEEDED",IF(F6="yes","CHECKED - see resolution","DRAFT"))))</f>
        <v/>
      </c>
      <c r="H6" s="8">
        <f>IF(OR(AND(IF($D6="",INDEX(primary_jama_2024_4183_disposition,MATCH($A6,primary_jama_2024_4183_key,0)),$D6)&lt;&gt;"",IF($D6="",INDEX(primary_jama_2024_4183_disposition,MATCH($A6,primary_jama_2024_4183_key,0)),$D6)&lt;&gt;"retain"),NOT(OR(IF($E6="",INDEX(primary_jama_2024_4183_domain,MATCH($A6,primary_jama_2024_4183_key,0)),$E6)="statistical_results"))),"not_applicable","")</f>
        <v/>
      </c>
      <c r="I6" s="8">
        <f>IF(OR(AND(IF($D6="",INDEX(primary_jama_2024_4183_disposition,MATCH($A6,primary_jama_2024_4183_key,0)),$D6)&lt;&gt;"",IF($D6="",INDEX(primary_jama_2024_4183_disposition,MATCH($A6,primary_jama_2024_4183_key,0)),$D6)&lt;&gt;"retain"),NOT(OR(IF($E6="",INDEX(primary_jama_2024_4183_domain,MATCH($A6,primary_jama_2024_4183_key,0)),$E6)="statistical_results"))),"not_applicable","")</f>
        <v/>
      </c>
      <c r="J6" s="9">
        <f>IF(OR(AND(IF($D6="",INDEX(primary_jama_2024_4183_disposition,MATCH($A6,primary_jama_2024_4183_key,0)),$D6)&lt;&gt;"",IF($D6="",INDEX(primary_jama_2024_4183_disposition,MATCH($A6,primary_jama_2024_4183_key,0)),$D6)&lt;&gt;"retain"),NOT(OR(IF($E6="",INDEX(primary_jama_2024_4183_domain,MATCH($A6,primary_jama_2024_4183_key,0)),$E6)="statistical_results"))),"not_applicable","")</f>
        <v/>
      </c>
      <c r="K6" s="8">
        <f>IF(OR(AND(IF($D6="",INDEX(primary_jama_2024_4183_disposition,MATCH($A6,primary_jama_2024_4183_key,0)),$D6)&lt;&gt;"",IF($D6="",INDEX(primary_jama_2024_4183_disposition,MATCH($A6,primary_jama_2024_4183_key,0)),$D6)&lt;&gt;"retain"),NOT(OR(IF($E6="",INDEX(primary_jama_2024_4183_domain,MATCH($A6,primary_jama_2024_4183_key,0)),$E6)="internal_nonstatistical",IF($E6="",INDEX(primary_jama_2024_4183_domain,MATCH($A6,primary_jama_2024_4183_key,0)),$E6)="plan_material"))),"not_applicable","")</f>
        <v/>
      </c>
      <c r="L6" s="9">
        <f>IF(OR(AND(IF($D6="",INDEX(primary_jama_2024_4183_disposition,MATCH($A6,primary_jama_2024_4183_key,0)),$D6)&lt;&gt;"",IF($D6="",INDEX(primary_jama_2024_4183_disposition,MATCH($A6,primary_jama_2024_4183_key,0)),$D6)&lt;&gt;"retain"),NOT(OR(IF($E6="",INDEX(primary_jama_2024_4183_domain,MATCH($A6,primary_jama_2024_4183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c r="F7" s="8" t="inlineStr">
        <is>
          <t>no</t>
        </is>
      </c>
      <c r="G7" s="3">
        <f>IF(OR(AND(OR(AND(IF($D7="",INDEX(primary_jama_2024_4183_disposition,MATCH($A7,primary_jama_2024_4183_key,0)),$D7)&lt;&gt;"",IF($D7="",INDEX(primary_jama_2024_4183_disposition,MATCH($A7,primary_jama_2024_4183_key,0)),$D7)&lt;&gt;"retain"),NOT(OR(IF($E7="",INDEX(primary_jama_2024_4183_domain,MATCH($A7,primary_jama_2024_4183_key,0)),$E7)="statistical_results"))),H7&lt;&gt;"",H7&lt;&gt;"not_applicable"),AND(OR(AND(IF($D7="",INDEX(primary_jama_2024_4183_disposition,MATCH($A7,primary_jama_2024_4183_key,0)),$D7)&lt;&gt;"",IF($D7="",INDEX(primary_jama_2024_4183_disposition,MATCH($A7,primary_jama_2024_4183_key,0)),$D7)&lt;&gt;"retain"),NOT(OR(IF($E7="",INDEX(primary_jama_2024_4183_domain,MATCH($A7,primary_jama_2024_4183_key,0)),$E7)="statistical_results"))),I7&lt;&gt;"",I7&lt;&gt;"not_applicable"),AND(OR(AND(IF($D7="",INDEX(primary_jama_2024_4183_disposition,MATCH($A7,primary_jama_2024_4183_key,0)),$D7)&lt;&gt;"",IF($D7="",INDEX(primary_jama_2024_4183_disposition,MATCH($A7,primary_jama_2024_4183_key,0)),$D7)&lt;&gt;"retain"),NOT(OR(IF($E7="",INDEX(primary_jama_2024_4183_domain,MATCH($A7,primary_jama_2024_4183_key,0)),$E7)="statistical_results"))),J7&lt;&gt;"",J7&lt;&gt;"not_applicable"),AND(OR(AND(IF($D7="",INDEX(primary_jama_2024_4183_disposition,MATCH($A7,primary_jama_2024_4183_key,0)),$D7)&lt;&gt;"",IF($D7="",INDEX(primary_jama_2024_4183_disposition,MATCH($A7,primary_jama_2024_4183_key,0)),$D7)&lt;&gt;"retain"),NOT(OR(IF($E7="",INDEX(primary_jama_2024_4183_domain,MATCH($A7,primary_jama_2024_4183_key,0)),$E7)="internal_nonstatistical",IF($E7="",INDEX(primary_jama_2024_4183_domain,MATCH($A7,primary_jama_2024_4183_key,0)),$E7)="plan_material"))),K7&lt;&gt;"",K7&lt;&gt;"not_applicable"),AND(OR(AND(IF($D7="",INDEX(primary_jama_2024_4183_disposition,MATCH($A7,primary_jama_2024_4183_key,0)),$D7)&lt;&gt;"",IF($D7="",INDEX(primary_jama_2024_4183_disposition,MATCH($A7,primary_jama_2024_4183_key,0)),$D7)&lt;&gt;"retain"),NOT(OR(IF($E7="",INDEX(primary_jama_2024_4183_domain,MATCH($A7,primary_jama_2024_4183_key,0)),$E7)="protocol_report"))),L7&lt;&gt;"",L7&lt;&gt;"not_applicable")),"CLEAR INACTIVE VALUES",IF(O7="","PENDING",IF(AND(O7&lt;&gt;"agree",LEN(TRIM(P7))=0),"COMMENT NEEDED",IF(F7="yes","CHECKED - see resolution","DRAFT"))))</f>
        <v/>
      </c>
      <c r="H7" s="8">
        <f>IF(OR(AND(IF($D7="",INDEX(primary_jama_2024_4183_disposition,MATCH($A7,primary_jama_2024_4183_key,0)),$D7)&lt;&gt;"",IF($D7="",INDEX(primary_jama_2024_4183_disposition,MATCH($A7,primary_jama_2024_4183_key,0)),$D7)&lt;&gt;"retain"),NOT(OR(IF($E7="",INDEX(primary_jama_2024_4183_domain,MATCH($A7,primary_jama_2024_4183_key,0)),$E7)="statistical_results"))),"not_applicable","")</f>
        <v/>
      </c>
      <c r="I7" s="8">
        <f>IF(OR(AND(IF($D7="",INDEX(primary_jama_2024_4183_disposition,MATCH($A7,primary_jama_2024_4183_key,0)),$D7)&lt;&gt;"",IF($D7="",INDEX(primary_jama_2024_4183_disposition,MATCH($A7,primary_jama_2024_4183_key,0)),$D7)&lt;&gt;"retain"),NOT(OR(IF($E7="",INDEX(primary_jama_2024_4183_domain,MATCH($A7,primary_jama_2024_4183_key,0)),$E7)="statistical_results"))),"not_applicable","")</f>
        <v/>
      </c>
      <c r="J7" s="9">
        <f>IF(OR(AND(IF($D7="",INDEX(primary_jama_2024_4183_disposition,MATCH($A7,primary_jama_2024_4183_key,0)),$D7)&lt;&gt;"",IF($D7="",INDEX(primary_jama_2024_4183_disposition,MATCH($A7,primary_jama_2024_4183_key,0)),$D7)&lt;&gt;"retain"),NOT(OR(IF($E7="",INDEX(primary_jama_2024_4183_domain,MATCH($A7,primary_jama_2024_4183_key,0)),$E7)="statistical_results"))),"not_applicable","")</f>
        <v/>
      </c>
      <c r="K7" s="8">
        <f>IF(OR(AND(IF($D7="",INDEX(primary_jama_2024_4183_disposition,MATCH($A7,primary_jama_2024_4183_key,0)),$D7)&lt;&gt;"",IF($D7="",INDEX(primary_jama_2024_4183_disposition,MATCH($A7,primary_jama_2024_4183_key,0)),$D7)&lt;&gt;"retain"),NOT(OR(IF($E7="",INDEX(primary_jama_2024_4183_domain,MATCH($A7,primary_jama_2024_4183_key,0)),$E7)="internal_nonstatistical",IF($E7="",INDEX(primary_jama_2024_4183_domain,MATCH($A7,primary_jama_2024_4183_key,0)),$E7)="plan_material"))),"not_applicable","")</f>
        <v/>
      </c>
      <c r="L7" s="9">
        <f>IF(OR(AND(IF($D7="",INDEX(primary_jama_2024_4183_disposition,MATCH($A7,primary_jama_2024_4183_key,0)),$D7)&lt;&gt;"",IF($D7="",INDEX(primary_jama_2024_4183_disposition,MATCH($A7,primary_jama_2024_4183_key,0)),$D7)&lt;&gt;"retain"),NOT(OR(IF($E7="",INDEX(primary_jama_2024_4183_domain,MATCH($A7,primary_jama_2024_4183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c r="F8" s="8" t="inlineStr">
        <is>
          <t>no</t>
        </is>
      </c>
      <c r="G8" s="2">
        <f>IF(OR(AND(OR(AND(IF($D8="",INDEX(primary_jama_2024_4183_disposition,MATCH($A8,primary_jama_2024_4183_key,0)),$D8)&lt;&gt;"",IF($D8="",INDEX(primary_jama_2024_4183_disposition,MATCH($A8,primary_jama_2024_4183_key,0)),$D8)&lt;&gt;"retain"),NOT(OR(IF($E8="",INDEX(primary_jama_2024_4183_domain,MATCH($A8,primary_jama_2024_4183_key,0)),$E8)="statistical_results"))),H8&lt;&gt;"",H8&lt;&gt;"not_applicable"),AND(OR(AND(IF($D8="",INDEX(primary_jama_2024_4183_disposition,MATCH($A8,primary_jama_2024_4183_key,0)),$D8)&lt;&gt;"",IF($D8="",INDEX(primary_jama_2024_4183_disposition,MATCH($A8,primary_jama_2024_4183_key,0)),$D8)&lt;&gt;"retain"),NOT(OR(IF($E8="",INDEX(primary_jama_2024_4183_domain,MATCH($A8,primary_jama_2024_4183_key,0)),$E8)="statistical_results"))),I8&lt;&gt;"",I8&lt;&gt;"not_applicable"),AND(OR(AND(IF($D8="",INDEX(primary_jama_2024_4183_disposition,MATCH($A8,primary_jama_2024_4183_key,0)),$D8)&lt;&gt;"",IF($D8="",INDEX(primary_jama_2024_4183_disposition,MATCH($A8,primary_jama_2024_4183_key,0)),$D8)&lt;&gt;"retain"),NOT(OR(IF($E8="",INDEX(primary_jama_2024_4183_domain,MATCH($A8,primary_jama_2024_4183_key,0)),$E8)="statistical_results"))),J8&lt;&gt;"",J8&lt;&gt;"not_applicable"),AND(OR(AND(IF($D8="",INDEX(primary_jama_2024_4183_disposition,MATCH($A8,primary_jama_2024_4183_key,0)),$D8)&lt;&gt;"",IF($D8="",INDEX(primary_jama_2024_4183_disposition,MATCH($A8,primary_jama_2024_4183_key,0)),$D8)&lt;&gt;"retain"),NOT(OR(IF($E8="",INDEX(primary_jama_2024_4183_domain,MATCH($A8,primary_jama_2024_4183_key,0)),$E8)="internal_nonstatistical",IF($E8="",INDEX(primary_jama_2024_4183_domain,MATCH($A8,primary_jama_2024_4183_key,0)),$E8)="plan_material"))),K8&lt;&gt;"",K8&lt;&gt;"not_applicable"),AND(OR(AND(IF($D8="",INDEX(primary_jama_2024_4183_disposition,MATCH($A8,primary_jama_2024_4183_key,0)),$D8)&lt;&gt;"",IF($D8="",INDEX(primary_jama_2024_4183_disposition,MATCH($A8,primary_jama_2024_4183_key,0)),$D8)&lt;&gt;"retain"),NOT(OR(IF($E8="",INDEX(primary_jama_2024_4183_domain,MATCH($A8,primary_jama_2024_4183_key,0)),$E8)="protocol_report"))),L8&lt;&gt;"",L8&lt;&gt;"not_applicable")),"CLEAR INACTIVE VALUES",IF(O8="","PENDING",IF(AND(O8&lt;&gt;"agree",LEN(TRIM(P8))=0),"COMMENT NEEDED",IF(F8="yes","CHECKED - see resolution","DRAFT"))))</f>
        <v/>
      </c>
      <c r="H8" s="8">
        <f>IF(OR(AND(IF($D8="",INDEX(primary_jama_2024_4183_disposition,MATCH($A8,primary_jama_2024_4183_key,0)),$D8)&lt;&gt;"",IF($D8="",INDEX(primary_jama_2024_4183_disposition,MATCH($A8,primary_jama_2024_4183_key,0)),$D8)&lt;&gt;"retain"),NOT(OR(IF($E8="",INDEX(primary_jama_2024_4183_domain,MATCH($A8,primary_jama_2024_4183_key,0)),$E8)="statistical_results"))),"not_applicable","")</f>
        <v/>
      </c>
      <c r="I8" s="8">
        <f>IF(OR(AND(IF($D8="",INDEX(primary_jama_2024_4183_disposition,MATCH($A8,primary_jama_2024_4183_key,0)),$D8)&lt;&gt;"",IF($D8="",INDEX(primary_jama_2024_4183_disposition,MATCH($A8,primary_jama_2024_4183_key,0)),$D8)&lt;&gt;"retain"),NOT(OR(IF($E8="",INDEX(primary_jama_2024_4183_domain,MATCH($A8,primary_jama_2024_4183_key,0)),$E8)="statistical_results"))),"not_applicable","")</f>
        <v/>
      </c>
      <c r="J8" s="9">
        <f>IF(OR(AND(IF($D8="",INDEX(primary_jama_2024_4183_disposition,MATCH($A8,primary_jama_2024_4183_key,0)),$D8)&lt;&gt;"",IF($D8="",INDEX(primary_jama_2024_4183_disposition,MATCH($A8,primary_jama_2024_4183_key,0)),$D8)&lt;&gt;"retain"),NOT(OR(IF($E8="",INDEX(primary_jama_2024_4183_domain,MATCH($A8,primary_jama_2024_4183_key,0)),$E8)="statistical_results"))),"not_applicable","")</f>
        <v/>
      </c>
      <c r="K8" s="8">
        <f>IF(OR(AND(IF($D8="",INDEX(primary_jama_2024_4183_disposition,MATCH($A8,primary_jama_2024_4183_key,0)),$D8)&lt;&gt;"",IF($D8="",INDEX(primary_jama_2024_4183_disposition,MATCH($A8,primary_jama_2024_4183_key,0)),$D8)&lt;&gt;"retain"),NOT(OR(IF($E8="",INDEX(primary_jama_2024_4183_domain,MATCH($A8,primary_jama_2024_4183_key,0)),$E8)="internal_nonstatistical",IF($E8="",INDEX(primary_jama_2024_4183_domain,MATCH($A8,primary_jama_2024_4183_key,0)),$E8)="plan_material"))),"not_applicable","")</f>
        <v/>
      </c>
      <c r="L8" s="9">
        <f>IF(OR(AND(IF($D8="",INDEX(primary_jama_2024_4183_disposition,MATCH($A8,primary_jama_2024_4183_key,0)),$D8)&lt;&gt;"",IF($D8="",INDEX(primary_jama_2024_4183_disposition,MATCH($A8,primary_jama_2024_4183_key,0)),$D8)&lt;&gt;"retain"),NOT(OR(IF($E8="",INDEX(primary_jama_2024_4183_domain,MATCH($A8,primary_jama_2024_4183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c r="F9" s="8" t="inlineStr">
        <is>
          <t>no</t>
        </is>
      </c>
      <c r="G9" s="3">
        <f>IF(OR(AND(OR(AND(IF($D9="",INDEX(primary_jama_2024_4183_disposition,MATCH($A9,primary_jama_2024_4183_key,0)),$D9)&lt;&gt;"",IF($D9="",INDEX(primary_jama_2024_4183_disposition,MATCH($A9,primary_jama_2024_4183_key,0)),$D9)&lt;&gt;"retain"),NOT(OR(IF($E9="",INDEX(primary_jama_2024_4183_domain,MATCH($A9,primary_jama_2024_4183_key,0)),$E9)="statistical_results"))),H9&lt;&gt;"",H9&lt;&gt;"not_applicable"),AND(OR(AND(IF($D9="",INDEX(primary_jama_2024_4183_disposition,MATCH($A9,primary_jama_2024_4183_key,0)),$D9)&lt;&gt;"",IF($D9="",INDEX(primary_jama_2024_4183_disposition,MATCH($A9,primary_jama_2024_4183_key,0)),$D9)&lt;&gt;"retain"),NOT(OR(IF($E9="",INDEX(primary_jama_2024_4183_domain,MATCH($A9,primary_jama_2024_4183_key,0)),$E9)="statistical_results"))),I9&lt;&gt;"",I9&lt;&gt;"not_applicable"),AND(OR(AND(IF($D9="",INDEX(primary_jama_2024_4183_disposition,MATCH($A9,primary_jama_2024_4183_key,0)),$D9)&lt;&gt;"",IF($D9="",INDEX(primary_jama_2024_4183_disposition,MATCH($A9,primary_jama_2024_4183_key,0)),$D9)&lt;&gt;"retain"),NOT(OR(IF($E9="",INDEX(primary_jama_2024_4183_domain,MATCH($A9,primary_jama_2024_4183_key,0)),$E9)="statistical_results"))),J9&lt;&gt;"",J9&lt;&gt;"not_applicable"),AND(OR(AND(IF($D9="",INDEX(primary_jama_2024_4183_disposition,MATCH($A9,primary_jama_2024_4183_key,0)),$D9)&lt;&gt;"",IF($D9="",INDEX(primary_jama_2024_4183_disposition,MATCH($A9,primary_jama_2024_4183_key,0)),$D9)&lt;&gt;"retain"),NOT(OR(IF($E9="",INDEX(primary_jama_2024_4183_domain,MATCH($A9,primary_jama_2024_4183_key,0)),$E9)="internal_nonstatistical",IF($E9="",INDEX(primary_jama_2024_4183_domain,MATCH($A9,primary_jama_2024_4183_key,0)),$E9)="plan_material"))),K9&lt;&gt;"",K9&lt;&gt;"not_applicable"),AND(OR(AND(IF($D9="",INDEX(primary_jama_2024_4183_disposition,MATCH($A9,primary_jama_2024_4183_key,0)),$D9)&lt;&gt;"",IF($D9="",INDEX(primary_jama_2024_4183_disposition,MATCH($A9,primary_jama_2024_4183_key,0)),$D9)&lt;&gt;"retain"),NOT(OR(IF($E9="",INDEX(primary_jama_2024_4183_domain,MATCH($A9,primary_jama_2024_4183_key,0)),$E9)="protocol_report"))),L9&lt;&gt;"",L9&lt;&gt;"not_applicable")),"CLEAR INACTIVE VALUES",IF(O9="","PENDING",IF(AND(O9&lt;&gt;"agree",LEN(TRIM(P9))=0),"COMMENT NEEDED",IF(F9="yes","CHECKED - see resolution","DRAFT"))))</f>
        <v/>
      </c>
      <c r="H9" s="8">
        <f>IF(OR(AND(IF($D9="",INDEX(primary_jama_2024_4183_disposition,MATCH($A9,primary_jama_2024_4183_key,0)),$D9)&lt;&gt;"",IF($D9="",INDEX(primary_jama_2024_4183_disposition,MATCH($A9,primary_jama_2024_4183_key,0)),$D9)&lt;&gt;"retain"),NOT(OR(IF($E9="",INDEX(primary_jama_2024_4183_domain,MATCH($A9,primary_jama_2024_4183_key,0)),$E9)="statistical_results"))),"not_applicable","")</f>
        <v/>
      </c>
      <c r="I9" s="8">
        <f>IF(OR(AND(IF($D9="",INDEX(primary_jama_2024_4183_disposition,MATCH($A9,primary_jama_2024_4183_key,0)),$D9)&lt;&gt;"",IF($D9="",INDEX(primary_jama_2024_4183_disposition,MATCH($A9,primary_jama_2024_4183_key,0)),$D9)&lt;&gt;"retain"),NOT(OR(IF($E9="",INDEX(primary_jama_2024_4183_domain,MATCH($A9,primary_jama_2024_4183_key,0)),$E9)="statistical_results"))),"not_applicable","")</f>
        <v/>
      </c>
      <c r="J9" s="9">
        <f>IF(OR(AND(IF($D9="",INDEX(primary_jama_2024_4183_disposition,MATCH($A9,primary_jama_2024_4183_key,0)),$D9)&lt;&gt;"",IF($D9="",INDEX(primary_jama_2024_4183_disposition,MATCH($A9,primary_jama_2024_4183_key,0)),$D9)&lt;&gt;"retain"),NOT(OR(IF($E9="",INDEX(primary_jama_2024_4183_domain,MATCH($A9,primary_jama_2024_4183_key,0)),$E9)="statistical_results"))),"not_applicable","")</f>
        <v/>
      </c>
      <c r="K9" s="8">
        <f>IF(OR(AND(IF($D9="",INDEX(primary_jama_2024_4183_disposition,MATCH($A9,primary_jama_2024_4183_key,0)),$D9)&lt;&gt;"",IF($D9="",INDEX(primary_jama_2024_4183_disposition,MATCH($A9,primary_jama_2024_4183_key,0)),$D9)&lt;&gt;"retain"),NOT(OR(IF($E9="",INDEX(primary_jama_2024_4183_domain,MATCH($A9,primary_jama_2024_4183_key,0)),$E9)="internal_nonstatistical",IF($E9="",INDEX(primary_jama_2024_4183_domain,MATCH($A9,primary_jama_2024_4183_key,0)),$E9)="plan_material"))),"not_applicable","")</f>
        <v/>
      </c>
      <c r="L9" s="9">
        <f>IF(OR(AND(IF($D9="",INDEX(primary_jama_2024_4183_disposition,MATCH($A9,primary_jama_2024_4183_key,0)),$D9)&lt;&gt;"",IF($D9="",INDEX(primary_jama_2024_4183_disposition,MATCH($A9,primary_jama_2024_4183_key,0)),$D9)&lt;&gt;"retain"),NOT(OR(IF($E9="",INDEX(primary_jama_2024_4183_domain,MATCH($A9,primary_jama_2024_4183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2024::jama.2024.4183::C009</t>
        </is>
      </c>
      <c r="B10" s="2" t="inlineStr">
        <is>
          <t>Phase-1 abstainer primary CrI lower endpoint differs</t>
        </is>
      </c>
      <c r="C10" s="2" t="inlineStr">
        <is>
          <t>Main article p. 7; Supplement 2 p. 21.</t>
        </is>
      </c>
      <c r="D10" s="8" t="inlineStr"/>
      <c r="E10" s="8" t="inlineStr"/>
      <c r="F10" s="8" t="inlineStr">
        <is>
          <t>no</t>
        </is>
      </c>
      <c r="G10" s="2">
        <f>IF(OR(AND(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H10&lt;&gt;"",H10&lt;&gt;"not_applicable"),AND(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I10&lt;&gt;"",I10&lt;&gt;"not_applicable"),AND(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J10&lt;&gt;"",J10&lt;&gt;"not_applicable"),AND(OR(AND(IF($D10="",INDEX(primary_jama_2024_4183_disposition,MATCH($A10,primary_jama_2024_4183_key,0)),$D10)&lt;&gt;"",IF($D10="",INDEX(primary_jama_2024_4183_disposition,MATCH($A10,primary_jama_2024_4183_key,0)),$D10)&lt;&gt;"retain"),NOT(OR(IF($E10="",INDEX(primary_jama_2024_4183_domain,MATCH($A10,primary_jama_2024_4183_key,0)),$E10)="internal_nonstatistical",IF($E10="",INDEX(primary_jama_2024_4183_domain,MATCH($A10,primary_jama_2024_4183_key,0)),$E10)="plan_material"))),K10&lt;&gt;"",K10&lt;&gt;"not_applicable"),AND(OR(AND(IF($D10="",INDEX(primary_jama_2024_4183_disposition,MATCH($A10,primary_jama_2024_4183_key,0)),$D10)&lt;&gt;"",IF($D10="",INDEX(primary_jama_2024_4183_disposition,MATCH($A10,primary_jama_2024_4183_key,0)),$D10)&lt;&gt;"retain"),NOT(OR(IF($E10="",INDEX(primary_jama_2024_4183_domain,MATCH($A10,primary_jama_2024_4183_key,0)),$E10)="protocol_report"))),L10&lt;&gt;"",L10&lt;&gt;"not_applicable")),"CLEAR INACTIVE VALUES",IF(O10="","PENDING",IF(AND(O10&lt;&gt;"agree",LEN(TRIM(P10))=0),"COMMENT NEEDED",IF(F10="yes","CHECKED - see resolution","DRAFT"))))</f>
        <v/>
      </c>
      <c r="H10" s="8">
        <f>IF(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not_applicable","")</f>
        <v/>
      </c>
      <c r="I10" s="8">
        <f>IF(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not_applicable","")</f>
        <v/>
      </c>
      <c r="J10" s="9">
        <f>IF(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not_applicable","")</f>
        <v/>
      </c>
      <c r="K10" s="8">
        <f>IF(OR(AND(IF($D10="",INDEX(primary_jama_2024_4183_disposition,MATCH($A10,primary_jama_2024_4183_key,0)),$D10)&lt;&gt;"",IF($D10="",INDEX(primary_jama_2024_4183_disposition,MATCH($A10,primary_jama_2024_4183_key,0)),$D10)&lt;&gt;"retain"),NOT(OR(IF($E10="",INDEX(primary_jama_2024_4183_domain,MATCH($A10,primary_jama_2024_4183_key,0)),$E10)="internal_nonstatistical",IF($E10="",INDEX(primary_jama_2024_4183_domain,MATCH($A10,primary_jama_2024_4183_key,0)),$E10)="plan_material"))),"not_applicable","")</f>
        <v/>
      </c>
      <c r="L10" s="9">
        <f>IF(OR(AND(IF($D10="",INDEX(primary_jama_2024_4183_disposition,MATCH($A10,primary_jama_2024_4183_key,0)),$D10)&lt;&gt;"",IF($D10="",INDEX(primary_jama_2024_4183_disposition,MATCH($A10,primary_jama_2024_4183_key,0)),$D10)&lt;&gt;"retain"),NOT(OR(IF($E10="",INDEX(primary_jama_2024_4183_domain,MATCH($A10,primary_jama_2024_4183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c r="F11" s="8" t="inlineStr">
        <is>
          <t>no</t>
        </is>
      </c>
      <c r="G11" s="3">
        <f>IF(OR(AND(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H11&lt;&gt;"",H11&lt;&gt;"not_applicable"),AND(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I11&lt;&gt;"",I11&lt;&gt;"not_applicable"),AND(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J11&lt;&gt;"",J11&lt;&gt;"not_applicable"),AND(OR(AND(IF($D11="",INDEX(primary_jama_2024_4183_disposition,MATCH($A11,primary_jama_2024_4183_key,0)),$D11)&lt;&gt;"",IF($D11="",INDEX(primary_jama_2024_4183_disposition,MATCH($A11,primary_jama_2024_4183_key,0)),$D11)&lt;&gt;"retain"),NOT(OR(IF($E11="",INDEX(primary_jama_2024_4183_domain,MATCH($A11,primary_jama_2024_4183_key,0)),$E11)="internal_nonstatistical",IF($E11="",INDEX(primary_jama_2024_4183_domain,MATCH($A11,primary_jama_2024_4183_key,0)),$E11)="plan_material"))),K11&lt;&gt;"",K11&lt;&gt;"not_applicable"),AND(OR(AND(IF($D11="",INDEX(primary_jama_2024_4183_disposition,MATCH($A11,primary_jama_2024_4183_key,0)),$D11)&lt;&gt;"",IF($D11="",INDEX(primary_jama_2024_4183_disposition,MATCH($A11,primary_jama_2024_4183_key,0)),$D11)&lt;&gt;"retain"),NOT(OR(IF($E11="",INDEX(primary_jama_2024_4183_domain,MATCH($A11,primary_jama_2024_4183_key,0)),$E11)="protocol_report"))),L11&lt;&gt;"",L11&lt;&gt;"not_applicable")),"CLEAR INACTIVE VALUES",IF(O11="","PENDING",IF(AND(O11&lt;&gt;"agree",LEN(TRIM(P11))=0),"COMMENT NEEDED",IF(F11="yes","CHECKED - see resolution","DRAFT"))))</f>
        <v/>
      </c>
      <c r="H11" s="8">
        <f>IF(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not_applicable","")</f>
        <v/>
      </c>
      <c r="I11" s="8">
        <f>IF(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not_applicable","")</f>
        <v/>
      </c>
      <c r="J11" s="9">
        <f>IF(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not_applicable","")</f>
        <v/>
      </c>
      <c r="K11" s="8">
        <f>IF(OR(AND(IF($D11="",INDEX(primary_jama_2024_4183_disposition,MATCH($A11,primary_jama_2024_4183_key,0)),$D11)&lt;&gt;"",IF($D11="",INDEX(primary_jama_2024_4183_disposition,MATCH($A11,primary_jama_2024_4183_key,0)),$D11)&lt;&gt;"retain"),NOT(OR(IF($E11="",INDEX(primary_jama_2024_4183_domain,MATCH($A11,primary_jama_2024_4183_key,0)),$E11)="internal_nonstatistical",IF($E11="",INDEX(primary_jama_2024_4183_domain,MATCH($A11,primary_jama_2024_4183_key,0)),$E11)="plan_material"))),"not_applicable","")</f>
        <v/>
      </c>
      <c r="L11" s="9">
        <f>IF(OR(AND(IF($D11="",INDEX(primary_jama_2024_4183_disposition,MATCH($A11,primary_jama_2024_4183_key,0)),$D11)&lt;&gt;"",IF($D11="",INDEX(primary_jama_2024_4183_disposition,MATCH($A11,primary_jama_2024_4183_key,0)),$D11)&lt;&gt;"retain"),NOT(OR(IF($E11="",INDEX(primary_jama_2024_4183_domain,MATCH($A11,primary_jama_2024_4183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2024::jama.2024.4183::C011</t>
        </is>
      </c>
      <c r="B12" s="2" t="inlineStr">
        <is>
          <t>Protocol Aim-1 power increases at a stricter nested threshold</t>
        </is>
      </c>
      <c r="C12" s="2" t="inlineStr">
        <is>
          <t>Protocol p. 34, Table 3.</t>
        </is>
      </c>
      <c r="D12" s="8" t="inlineStr"/>
      <c r="E12" s="8" t="inlineStr"/>
      <c r="F12" s="8" t="inlineStr">
        <is>
          <t>no</t>
        </is>
      </c>
      <c r="G12" s="2">
        <f>IF(OR(AND(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H12&lt;&gt;"",H12&lt;&gt;"not_applicable"),AND(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I12&lt;&gt;"",I12&lt;&gt;"not_applicable"),AND(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J12&lt;&gt;"",J12&lt;&gt;"not_applicable"),AND(OR(AND(IF($D12="",INDEX(primary_jama_2024_4183_disposition,MATCH($A12,primary_jama_2024_4183_key,0)),$D12)&lt;&gt;"",IF($D12="",INDEX(primary_jama_2024_4183_disposition,MATCH($A12,primary_jama_2024_4183_key,0)),$D12)&lt;&gt;"retain"),NOT(OR(IF($E12="",INDEX(primary_jama_2024_4183_domain,MATCH($A12,primary_jama_2024_4183_key,0)),$E12)="internal_nonstatistical",IF($E12="",INDEX(primary_jama_2024_4183_domain,MATCH($A12,primary_jama_2024_4183_key,0)),$E12)="plan_material"))),K12&lt;&gt;"",K12&lt;&gt;"not_applicable"),AND(OR(AND(IF($D12="",INDEX(primary_jama_2024_4183_disposition,MATCH($A12,primary_jama_2024_4183_key,0)),$D12)&lt;&gt;"",IF($D12="",INDEX(primary_jama_2024_4183_disposition,MATCH($A12,primary_jama_2024_4183_key,0)),$D12)&lt;&gt;"retain"),NOT(OR(IF($E12="",INDEX(primary_jama_2024_4183_domain,MATCH($A12,primary_jama_2024_4183_key,0)),$E12)="protocol_report"))),L12&lt;&gt;"",L12&lt;&gt;"not_applicable")),"CLEAR INACTIVE VALUES",IF(O12="","PENDING",IF(AND(O12&lt;&gt;"agree",LEN(TRIM(P12))=0),"COMMENT NEEDED",IF(F12="yes","CHECKED - see resolution","DRAFT"))))</f>
        <v/>
      </c>
      <c r="H12" s="8">
        <f>IF(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not_applicable","")</f>
        <v/>
      </c>
      <c r="I12" s="8">
        <f>IF(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not_applicable","")</f>
        <v/>
      </c>
      <c r="J12" s="9">
        <f>IF(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not_applicable","")</f>
        <v/>
      </c>
      <c r="K12" s="8">
        <f>IF(OR(AND(IF($D12="",INDEX(primary_jama_2024_4183_disposition,MATCH($A12,primary_jama_2024_4183_key,0)),$D12)&lt;&gt;"",IF($D12="",INDEX(primary_jama_2024_4183_disposition,MATCH($A12,primary_jama_2024_4183_key,0)),$D12)&lt;&gt;"retain"),NOT(OR(IF($E12="",INDEX(primary_jama_2024_4183_domain,MATCH($A12,primary_jama_2024_4183_key,0)),$E12)="internal_nonstatistical",IF($E12="",INDEX(primary_jama_2024_4183_domain,MATCH($A12,primary_jama_2024_4183_key,0)),$E12)="plan_material"))),"not_applicable","")</f>
        <v/>
      </c>
      <c r="L12" s="9">
        <f>IF(OR(AND(IF($D12="",INDEX(primary_jama_2024_4183_disposition,MATCH($A12,primary_jama_2024_4183_key,0)),$D12)&lt;&gt;"",IF($D12="",INDEX(primary_jama_2024_4183_disposition,MATCH($A12,primary_jama_2024_4183_key,0)),$D12)&lt;&gt;"retain"),NOT(OR(IF($E12="",INDEX(primary_jama_2024_4183_domain,MATCH($A12,primary_jama_2024_4183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c r="F13" s="8" t="inlineStr">
        <is>
          <t>no</t>
        </is>
      </c>
      <c r="G13" s="3">
        <f>IF(OR(AND(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H13&lt;&gt;"",H13&lt;&gt;"not_applicable"),AND(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I13&lt;&gt;"",I13&lt;&gt;"not_applicable"),AND(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J13&lt;&gt;"",J13&lt;&gt;"not_applicable"),AND(OR(AND(IF($D13="",INDEX(primary_jama_2024_4183_disposition,MATCH($A13,primary_jama_2024_4183_key,0)),$D13)&lt;&gt;"",IF($D13="",INDEX(primary_jama_2024_4183_disposition,MATCH($A13,primary_jama_2024_4183_key,0)),$D13)&lt;&gt;"retain"),NOT(OR(IF($E13="",INDEX(primary_jama_2024_4183_domain,MATCH($A13,primary_jama_2024_4183_key,0)),$E13)="internal_nonstatistical",IF($E13="",INDEX(primary_jama_2024_4183_domain,MATCH($A13,primary_jama_2024_4183_key,0)),$E13)="plan_material"))),K13&lt;&gt;"",K13&lt;&gt;"not_applicable"),AND(OR(AND(IF($D13="",INDEX(primary_jama_2024_4183_disposition,MATCH($A13,primary_jama_2024_4183_key,0)),$D13)&lt;&gt;"",IF($D13="",INDEX(primary_jama_2024_4183_disposition,MATCH($A13,primary_jama_2024_4183_key,0)),$D13)&lt;&gt;"retain"),NOT(OR(IF($E13="",INDEX(primary_jama_2024_4183_domain,MATCH($A13,primary_jama_2024_4183_key,0)),$E13)="protocol_report"))),L13&lt;&gt;"",L13&lt;&gt;"not_applicable")),"CLEAR INACTIVE VALUES",IF(O13="","PENDING",IF(AND(O13&lt;&gt;"agree",LEN(TRIM(P13))=0),"COMMENT NEEDED",IF(F13="yes","CHECKED - see resolution","DRAFT"))))</f>
        <v/>
      </c>
      <c r="H13" s="8">
        <f>IF(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not_applicable","")</f>
        <v/>
      </c>
      <c r="I13" s="8">
        <f>IF(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not_applicable","")</f>
        <v/>
      </c>
      <c r="J13" s="9">
        <f>IF(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not_applicable","")</f>
        <v/>
      </c>
      <c r="K13" s="8">
        <f>IF(OR(AND(IF($D13="",INDEX(primary_jama_2024_4183_disposition,MATCH($A13,primary_jama_2024_4183_key,0)),$D13)&lt;&gt;"",IF($D13="",INDEX(primary_jama_2024_4183_disposition,MATCH($A13,primary_jama_2024_4183_key,0)),$D13)&lt;&gt;"retain"),NOT(OR(IF($E13="",INDEX(primary_jama_2024_4183_domain,MATCH($A13,primary_jama_2024_4183_key,0)),$E13)="internal_nonstatistical",IF($E13="",INDEX(primary_jama_2024_4183_domain,MATCH($A13,primary_jama_2024_4183_key,0)),$E13)="plan_material"))),"not_applicable","")</f>
        <v/>
      </c>
      <c r="L13" s="9">
        <f>IF(OR(AND(IF($D13="",INDEX(primary_jama_2024_4183_disposition,MATCH($A13,primary_jama_2024_4183_key,0)),$D13)&lt;&gt;"",IF($D13="",INDEX(primary_jama_2024_4183_disposition,MATCH($A13,primary_jama_2024_4183_key,0)),$D13)&lt;&gt;"retain"),NOT(OR(IF($E13="",INDEX(primary_jama_2024_4183_domain,MATCH($A13,primary_jama_2024_4183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2024::jama.2024.4183::C013</t>
        </is>
      </c>
      <c r="B14" s="2" t="inlineStr">
        <is>
          <t>ETable 3 reverses count and percentage in one n (%) cell</t>
        </is>
      </c>
      <c r="C14" s="2" t="inlineStr">
        <is>
          <t>Supplement 2 p. 19, ETable 3.</t>
        </is>
      </c>
      <c r="D14" s="8" t="inlineStr"/>
      <c r="E14" s="8" t="inlineStr"/>
      <c r="F14" s="8" t="inlineStr">
        <is>
          <t>no</t>
        </is>
      </c>
      <c r="G14" s="2">
        <f>IF(OR(AND(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H14&lt;&gt;"",H14&lt;&gt;"not_applicable"),AND(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I14&lt;&gt;"",I14&lt;&gt;"not_applicable"),AND(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J14&lt;&gt;"",J14&lt;&gt;"not_applicable"),AND(OR(AND(IF($D14="",INDEX(primary_jama_2024_4183_disposition,MATCH($A14,primary_jama_2024_4183_key,0)),$D14)&lt;&gt;"",IF($D14="",INDEX(primary_jama_2024_4183_disposition,MATCH($A14,primary_jama_2024_4183_key,0)),$D14)&lt;&gt;"retain"),NOT(OR(IF($E14="",INDEX(primary_jama_2024_4183_domain,MATCH($A14,primary_jama_2024_4183_key,0)),$E14)="internal_nonstatistical",IF($E14="",INDEX(primary_jama_2024_4183_domain,MATCH($A14,primary_jama_2024_4183_key,0)),$E14)="plan_material"))),K14&lt;&gt;"",K14&lt;&gt;"not_applicable"),AND(OR(AND(IF($D14="",INDEX(primary_jama_2024_4183_disposition,MATCH($A14,primary_jama_2024_4183_key,0)),$D14)&lt;&gt;"",IF($D14="",INDEX(primary_jama_2024_4183_disposition,MATCH($A14,primary_jama_2024_4183_key,0)),$D14)&lt;&gt;"retain"),NOT(OR(IF($E14="",INDEX(primary_jama_2024_4183_domain,MATCH($A14,primary_jama_2024_4183_key,0)),$E14)="protocol_report"))),L14&lt;&gt;"",L14&lt;&gt;"not_applicable")),"CLEAR INACTIVE VALUES",IF(O14="","PENDING",IF(AND(O14&lt;&gt;"agree",LEN(TRIM(P14))=0),"COMMENT NEEDED",IF(F14="yes","CHECKED - see resolution","DRAFT"))))</f>
        <v/>
      </c>
      <c r="H14" s="8">
        <f>IF(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not_applicable","")</f>
        <v/>
      </c>
      <c r="I14" s="8">
        <f>IF(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not_applicable","")</f>
        <v/>
      </c>
      <c r="J14" s="9">
        <f>IF(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not_applicable","")</f>
        <v/>
      </c>
      <c r="K14" s="8">
        <f>IF(OR(AND(IF($D14="",INDEX(primary_jama_2024_4183_disposition,MATCH($A14,primary_jama_2024_4183_key,0)),$D14)&lt;&gt;"",IF($D14="",INDEX(primary_jama_2024_4183_disposition,MATCH($A14,primary_jama_2024_4183_key,0)),$D14)&lt;&gt;"retain"),NOT(OR(IF($E14="",INDEX(primary_jama_2024_4183_domain,MATCH($A14,primary_jama_2024_4183_key,0)),$E14)="internal_nonstatistical",IF($E14="",INDEX(primary_jama_2024_4183_domain,MATCH($A14,primary_jama_2024_4183_key,0)),$E14)="plan_material"))),"not_applicable","")</f>
        <v/>
      </c>
      <c r="L14" s="9">
        <f>IF(OR(AND(IF($D14="",INDEX(primary_jama_2024_4183_disposition,MATCH($A14,primary_jama_2024_4183_key,0)),$D14)&lt;&gt;"",IF($D14="",INDEX(primary_jama_2024_4183_disposition,MATCH($A14,primary_jama_2024_4183_key,0)),$D14)&lt;&gt;"retain"),NOT(OR(IF($E14="",INDEX(primary_jama_2024_4183_domain,MATCH($A14,primary_jama_2024_4183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c r="F15" s="8" t="inlineStr">
        <is>
          <t>no</t>
        </is>
      </c>
      <c r="G15" s="3">
        <f>IF(OR(AND(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H15&lt;&gt;"",H15&lt;&gt;"not_applicable"),AND(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I15&lt;&gt;"",I15&lt;&gt;"not_applicable"),AND(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J15&lt;&gt;"",J15&lt;&gt;"not_applicable"),AND(OR(AND(IF($D15="",INDEX(primary_jama_2024_4183_disposition,MATCH($A15,primary_jama_2024_4183_key,0)),$D15)&lt;&gt;"",IF($D15="",INDEX(primary_jama_2024_4183_disposition,MATCH($A15,primary_jama_2024_4183_key,0)),$D15)&lt;&gt;"retain"),NOT(OR(IF($E15="",INDEX(primary_jama_2024_4183_domain,MATCH($A15,primary_jama_2024_4183_key,0)),$E15)="internal_nonstatistical",IF($E15="",INDEX(primary_jama_2024_4183_domain,MATCH($A15,primary_jama_2024_4183_key,0)),$E15)="plan_material"))),K15&lt;&gt;"",K15&lt;&gt;"not_applicable"),AND(OR(AND(IF($D15="",INDEX(primary_jama_2024_4183_disposition,MATCH($A15,primary_jama_2024_4183_key,0)),$D15)&lt;&gt;"",IF($D15="",INDEX(primary_jama_2024_4183_disposition,MATCH($A15,primary_jama_2024_4183_key,0)),$D15)&lt;&gt;"retain"),NOT(OR(IF($E15="",INDEX(primary_jama_2024_4183_domain,MATCH($A15,primary_jama_2024_4183_key,0)),$E15)="protocol_report"))),L15&lt;&gt;"",L15&lt;&gt;"not_applicable")),"CLEAR INACTIVE VALUES",IF(O15="","PENDING",IF(AND(O15&lt;&gt;"agree",LEN(TRIM(P15))=0),"COMMENT NEEDED",IF(F15="yes","CHECKED - see resolution","DRAFT"))))</f>
        <v/>
      </c>
      <c r="H15" s="8">
        <f>IF(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not_applicable","")</f>
        <v/>
      </c>
      <c r="I15" s="8">
        <f>IF(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not_applicable","")</f>
        <v/>
      </c>
      <c r="J15" s="9">
        <f>IF(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not_applicable","")</f>
        <v/>
      </c>
      <c r="K15" s="8">
        <f>IF(OR(AND(IF($D15="",INDEX(primary_jama_2024_4183_disposition,MATCH($A15,primary_jama_2024_4183_key,0)),$D15)&lt;&gt;"",IF($D15="",INDEX(primary_jama_2024_4183_disposition,MATCH($A15,primary_jama_2024_4183_key,0)),$D15)&lt;&gt;"retain"),NOT(OR(IF($E15="",INDEX(primary_jama_2024_4183_domain,MATCH($A15,primary_jama_2024_4183_key,0)),$E15)="internal_nonstatistical",IF($E15="",INDEX(primary_jama_2024_4183_domain,MATCH($A15,primary_jama_2024_4183_key,0)),$E15)="plan_material"))),"not_applicable","")</f>
        <v/>
      </c>
      <c r="L15" s="9">
        <f>IF(OR(AND(IF($D15="",INDEX(primary_jama_2024_4183_disposition,MATCH($A15,primary_jama_2024_4183_key,0)),$D15)&lt;&gt;"",IF($D15="",INDEX(primary_jama_2024_4183_disposition,MATCH($A15,primary_jama_2024_4183_key,0)),$D15)&lt;&gt;"retain"),NOT(OR(IF($E15="",INDEX(primary_jama_2024_4183_domain,MATCH($A15,primary_jama_2024_4183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c r="F16" s="8" t="inlineStr">
        <is>
          <t>no</t>
        </is>
      </c>
      <c r="G16" s="2">
        <f>IF(OR(AND(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H16&lt;&gt;"",H16&lt;&gt;"not_applicable"),AND(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I16&lt;&gt;"",I16&lt;&gt;"not_applicable"),AND(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J16&lt;&gt;"",J16&lt;&gt;"not_applicable"),AND(OR(AND(IF($D16="",INDEX(primary_jama_2024_4183_disposition,MATCH($A16,primary_jama_2024_4183_key,0)),$D16)&lt;&gt;"",IF($D16="",INDEX(primary_jama_2024_4183_disposition,MATCH($A16,primary_jama_2024_4183_key,0)),$D16)&lt;&gt;"retain"),NOT(OR(IF($E16="",INDEX(primary_jama_2024_4183_domain,MATCH($A16,primary_jama_2024_4183_key,0)),$E16)="internal_nonstatistical",IF($E16="",INDEX(primary_jama_2024_4183_domain,MATCH($A16,primary_jama_2024_4183_key,0)),$E16)="plan_material"))),K16&lt;&gt;"",K16&lt;&gt;"not_applicable"),AND(OR(AND(IF($D16="",INDEX(primary_jama_2024_4183_disposition,MATCH($A16,primary_jama_2024_4183_key,0)),$D16)&lt;&gt;"",IF($D16="",INDEX(primary_jama_2024_4183_disposition,MATCH($A16,primary_jama_2024_4183_key,0)),$D16)&lt;&gt;"retain"),NOT(OR(IF($E16="",INDEX(primary_jama_2024_4183_domain,MATCH($A16,primary_jama_2024_4183_key,0)),$E16)="protocol_report"))),L16&lt;&gt;"",L16&lt;&gt;"not_applicable")),"CLEAR INACTIVE VALUES",IF(O16="","PENDING",IF(AND(O16&lt;&gt;"agree",LEN(TRIM(P16))=0),"COMMENT NEEDED",IF(F16="yes","CHECKED - see resolution","DRAFT"))))</f>
        <v/>
      </c>
      <c r="H16" s="8">
        <f>IF(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not_applicable","")</f>
        <v/>
      </c>
      <c r="I16" s="8">
        <f>IF(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not_applicable","")</f>
        <v/>
      </c>
      <c r="J16" s="9">
        <f>IF(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not_applicable","")</f>
        <v/>
      </c>
      <c r="K16" s="8">
        <f>IF(OR(AND(IF($D16="",INDEX(primary_jama_2024_4183_disposition,MATCH($A16,primary_jama_2024_4183_key,0)),$D16)&lt;&gt;"",IF($D16="",INDEX(primary_jama_2024_4183_disposition,MATCH($A16,primary_jama_2024_4183_key,0)),$D16)&lt;&gt;"retain"),NOT(OR(IF($E16="",INDEX(primary_jama_2024_4183_domain,MATCH($A16,primary_jama_2024_4183_key,0)),$E16)="internal_nonstatistical",IF($E16="",INDEX(primary_jama_2024_4183_domain,MATCH($A16,primary_jama_2024_4183_key,0)),$E16)="plan_material"))),"not_applicable","")</f>
        <v/>
      </c>
      <c r="L16" s="9">
        <f>IF(OR(AND(IF($D16="",INDEX(primary_jama_2024_4183_disposition,MATCH($A16,primary_jama_2024_4183_key,0)),$D16)&lt;&gt;"",IF($D16="",INDEX(primary_jama_2024_4183_disposition,MATCH($A16,primary_jama_2024_4183_key,0)),$D16)&lt;&gt;"retain"),NOT(OR(IF($E16="",INDEX(primary_jama_2024_4183_domain,MATCH($A16,primary_jama_2024_4183_key,0)),$E16)="protocol_report"))),"not_applicable","")</f>
        <v/>
      </c>
      <c r="M16" s="10" t="inlineStr"/>
      <c r="N16" s="10" t="inlineStr"/>
      <c r="O16" s="8" t="inlineStr"/>
      <c r="P16" s="11" t="inlineStr"/>
      <c r="Q16" s="8" t="inlineStr">
        <is>
          <t>pending</t>
        </is>
      </c>
      <c r="R16" s="11" t="inlineStr"/>
      <c r="S16" s="2" t="inlineStr">
        <is>
          <t>AWAITING PRIMARY HANDOFF - do not start checking this template.</t>
        </is>
      </c>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c r="F17" s="8" t="inlineStr">
        <is>
          <t>no</t>
        </is>
      </c>
      <c r="G17" s="3">
        <f>IF(OR(AND(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H17&lt;&gt;"",H17&lt;&gt;"not_applicable"),AND(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I17&lt;&gt;"",I17&lt;&gt;"not_applicable"),AND(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J17&lt;&gt;"",J17&lt;&gt;"not_applicable"),AND(OR(AND(IF($D17="",INDEX(primary_jama_2024_4183_disposition,MATCH($A17,primary_jama_2024_4183_key,0)),$D17)&lt;&gt;"",IF($D17="",INDEX(primary_jama_2024_4183_disposition,MATCH($A17,primary_jama_2024_4183_key,0)),$D17)&lt;&gt;"retain"),NOT(OR(IF($E17="",INDEX(primary_jama_2024_4183_domain,MATCH($A17,primary_jama_2024_4183_key,0)),$E17)="internal_nonstatistical",IF($E17="",INDEX(primary_jama_2024_4183_domain,MATCH($A17,primary_jama_2024_4183_key,0)),$E17)="plan_material"))),K17&lt;&gt;"",K17&lt;&gt;"not_applicable"),AND(OR(AND(IF($D17="",INDEX(primary_jama_2024_4183_disposition,MATCH($A17,primary_jama_2024_4183_key,0)),$D17)&lt;&gt;"",IF($D17="",INDEX(primary_jama_2024_4183_disposition,MATCH($A17,primary_jama_2024_4183_key,0)),$D17)&lt;&gt;"retain"),NOT(OR(IF($E17="",INDEX(primary_jama_2024_4183_domain,MATCH($A17,primary_jama_2024_4183_key,0)),$E17)="protocol_report"))),L17&lt;&gt;"",L17&lt;&gt;"not_applicable")),"CLEAR INACTIVE VALUES",IF(O17="","PENDING",IF(AND(O17&lt;&gt;"agree",LEN(TRIM(P17))=0),"COMMENT NEEDED",IF(F17="yes","CHECKED - see resolution","DRAFT"))))</f>
        <v/>
      </c>
      <c r="H17" s="8">
        <f>IF(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not_applicable","")</f>
        <v/>
      </c>
      <c r="I17" s="8">
        <f>IF(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not_applicable","")</f>
        <v/>
      </c>
      <c r="J17" s="9">
        <f>IF(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not_applicable","")</f>
        <v/>
      </c>
      <c r="K17" s="8">
        <f>IF(OR(AND(IF($D17="",INDEX(primary_jama_2024_4183_disposition,MATCH($A17,primary_jama_2024_4183_key,0)),$D17)&lt;&gt;"",IF($D17="",INDEX(primary_jama_2024_4183_disposition,MATCH($A17,primary_jama_2024_4183_key,0)),$D17)&lt;&gt;"retain"),NOT(OR(IF($E17="",INDEX(primary_jama_2024_4183_domain,MATCH($A17,primary_jama_2024_4183_key,0)),$E17)="internal_nonstatistical",IF($E17="",INDEX(primary_jama_2024_4183_domain,MATCH($A17,primary_jama_2024_4183_key,0)),$E17)="plan_material"))),"not_applicable","")</f>
        <v/>
      </c>
      <c r="L17" s="9">
        <f>IF(OR(AND(IF($D17="",INDEX(primary_jama_2024_4183_disposition,MATCH($A17,primary_jama_2024_4183_key,0)),$D17)&lt;&gt;"",IF($D17="",INDEX(primary_jama_2024_4183_disposition,MATCH($A17,primary_jama_2024_4183_key,0)),$D17)&lt;&gt;"retain"),NOT(OR(IF($E17="",INDEX(primary_jama_2024_4183_domain,MATCH($A17,primary_jama_2024_4183_key,0)),$E17)="protocol_report"))),"not_applicable","")</f>
        <v/>
      </c>
      <c r="M17" s="10" t="inlineStr"/>
      <c r="N17" s="10" t="inlineStr"/>
      <c r="O17" s="8" t="inlineStr"/>
      <c r="P17" s="11" t="inlineStr"/>
      <c r="Q17" s="8" t="inlineStr">
        <is>
          <t>pending</t>
        </is>
      </c>
      <c r="R17" s="11" t="inlineStr"/>
      <c r="S17" s="3" t="inlineStr">
        <is>
          <t>AWAITING PRIMARY HANDOFF - do not start checking this template.</t>
        </is>
      </c>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c r="F18" s="8" t="inlineStr">
        <is>
          <t>no</t>
        </is>
      </c>
      <c r="G18" s="2">
        <f>IF(OR(AND(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H18&lt;&gt;"",H18&lt;&gt;"not_applicable"),AND(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I18&lt;&gt;"",I18&lt;&gt;"not_applicable"),AND(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J18&lt;&gt;"",J18&lt;&gt;"not_applicable"),AND(OR(AND(IF($D18="",INDEX(primary_jama_2024_4183_disposition,MATCH($A18,primary_jama_2024_4183_key,0)),$D18)&lt;&gt;"",IF($D18="",INDEX(primary_jama_2024_4183_disposition,MATCH($A18,primary_jama_2024_4183_key,0)),$D18)&lt;&gt;"retain"),NOT(OR(IF($E18="",INDEX(primary_jama_2024_4183_domain,MATCH($A18,primary_jama_2024_4183_key,0)),$E18)="internal_nonstatistical",IF($E18="",INDEX(primary_jama_2024_4183_domain,MATCH($A18,primary_jama_2024_4183_key,0)),$E18)="plan_material"))),K18&lt;&gt;"",K18&lt;&gt;"not_applicable"),AND(OR(AND(IF($D18="",INDEX(primary_jama_2024_4183_disposition,MATCH($A18,primary_jama_2024_4183_key,0)),$D18)&lt;&gt;"",IF($D18="",INDEX(primary_jama_2024_4183_disposition,MATCH($A18,primary_jama_2024_4183_key,0)),$D18)&lt;&gt;"retain"),NOT(OR(IF($E18="",INDEX(primary_jama_2024_4183_domain,MATCH($A18,primary_jama_2024_4183_key,0)),$E18)="protocol_report"))),L18&lt;&gt;"",L18&lt;&gt;"not_applicable")),"CLEAR INACTIVE VALUES",IF(O18="","PENDING",IF(AND(O18&lt;&gt;"agree",LEN(TRIM(P18))=0),"COMMENT NEEDED",IF(F18="yes","CHECKED - see resolution","DRAFT"))))</f>
        <v/>
      </c>
      <c r="H18" s="8">
        <f>IF(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not_applicable","")</f>
        <v/>
      </c>
      <c r="I18" s="8">
        <f>IF(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not_applicable","")</f>
        <v/>
      </c>
      <c r="J18" s="9">
        <f>IF(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not_applicable","")</f>
        <v/>
      </c>
      <c r="K18" s="8">
        <f>IF(OR(AND(IF($D18="",INDEX(primary_jama_2024_4183_disposition,MATCH($A18,primary_jama_2024_4183_key,0)),$D18)&lt;&gt;"",IF($D18="",INDEX(primary_jama_2024_4183_disposition,MATCH($A18,primary_jama_2024_4183_key,0)),$D18)&lt;&gt;"retain"),NOT(OR(IF($E18="",INDEX(primary_jama_2024_4183_domain,MATCH($A18,primary_jama_2024_4183_key,0)),$E18)="internal_nonstatistical",IF($E18="",INDEX(primary_jama_2024_4183_domain,MATCH($A18,primary_jama_2024_4183_key,0)),$E18)="plan_material"))),"not_applicable","")</f>
        <v/>
      </c>
      <c r="L18" s="9">
        <f>IF(OR(AND(IF($D18="",INDEX(primary_jama_2024_4183_disposition,MATCH($A18,primary_jama_2024_4183_key,0)),$D18)&lt;&gt;"",IF($D18="",INDEX(primary_jama_2024_4183_disposition,MATCH($A18,primary_jama_2024_4183_key,0)),$D18)&lt;&gt;"retain"),NOT(OR(IF($E18="",INDEX(primary_jama_2024_4183_domain,MATCH($A18,primary_jama_2024_4183_key,0)),$E18)="protocol_report"))),"not_applicable","")</f>
        <v/>
      </c>
      <c r="M18" s="10" t="inlineStr"/>
      <c r="N18" s="10" t="inlineStr"/>
      <c r="O18" s="8" t="inlineStr"/>
      <c r="P18" s="11" t="inlineStr"/>
      <c r="Q18" s="8" t="inlineStr">
        <is>
          <t>pending</t>
        </is>
      </c>
      <c r="R18" s="11" t="inlineStr"/>
      <c r="S18" s="2" t="inlineStr">
        <is>
          <t>AWAITING PRIMARY HANDOFF - do not start checking this template.</t>
        </is>
      </c>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c r="F19" s="8" t="inlineStr">
        <is>
          <t>no</t>
        </is>
      </c>
      <c r="G19" s="3">
        <f>IF(OR(AND(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H19&lt;&gt;"",H19&lt;&gt;"not_applicable"),AND(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I19&lt;&gt;"",I19&lt;&gt;"not_applicable"),AND(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J19&lt;&gt;"",J19&lt;&gt;"not_applicable"),AND(OR(AND(IF($D19="",INDEX(primary_jama_2024_4183_disposition,MATCH($A19,primary_jama_2024_4183_key,0)),$D19)&lt;&gt;"",IF($D19="",INDEX(primary_jama_2024_4183_disposition,MATCH($A19,primary_jama_2024_4183_key,0)),$D19)&lt;&gt;"retain"),NOT(OR(IF($E19="",INDEX(primary_jama_2024_4183_domain,MATCH($A19,primary_jama_2024_4183_key,0)),$E19)="internal_nonstatistical",IF($E19="",INDEX(primary_jama_2024_4183_domain,MATCH($A19,primary_jama_2024_4183_key,0)),$E19)="plan_material"))),K19&lt;&gt;"",K19&lt;&gt;"not_applicable"),AND(OR(AND(IF($D19="",INDEX(primary_jama_2024_4183_disposition,MATCH($A19,primary_jama_2024_4183_key,0)),$D19)&lt;&gt;"",IF($D19="",INDEX(primary_jama_2024_4183_disposition,MATCH($A19,primary_jama_2024_4183_key,0)),$D19)&lt;&gt;"retain"),NOT(OR(IF($E19="",INDEX(primary_jama_2024_4183_domain,MATCH($A19,primary_jama_2024_4183_key,0)),$E19)="protocol_report"))),L19&lt;&gt;"",L19&lt;&gt;"not_applicable")),"CLEAR INACTIVE VALUES",IF(O19="","PENDING",IF(AND(O19&lt;&gt;"agree",LEN(TRIM(P19))=0),"COMMENT NEEDED",IF(F19="yes","CHECKED - see resolution","DRAFT"))))</f>
        <v/>
      </c>
      <c r="H19" s="8">
        <f>IF(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not_applicable","")</f>
        <v/>
      </c>
      <c r="I19" s="8">
        <f>IF(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not_applicable","")</f>
        <v/>
      </c>
      <c r="J19" s="9">
        <f>IF(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not_applicable","")</f>
        <v/>
      </c>
      <c r="K19" s="8">
        <f>IF(OR(AND(IF($D19="",INDEX(primary_jama_2024_4183_disposition,MATCH($A19,primary_jama_2024_4183_key,0)),$D19)&lt;&gt;"",IF($D19="",INDEX(primary_jama_2024_4183_disposition,MATCH($A19,primary_jama_2024_4183_key,0)),$D19)&lt;&gt;"retain"),NOT(OR(IF($E19="",INDEX(primary_jama_2024_4183_domain,MATCH($A19,primary_jama_2024_4183_key,0)),$E19)="internal_nonstatistical",IF($E19="",INDEX(primary_jama_2024_4183_domain,MATCH($A19,primary_jama_2024_4183_key,0)),$E19)="plan_material"))),"not_applicable","")</f>
        <v/>
      </c>
      <c r="L19" s="9">
        <f>IF(OR(AND(IF($D19="",INDEX(primary_jama_2024_4183_disposition,MATCH($A19,primary_jama_2024_4183_key,0)),$D19)&lt;&gt;"",IF($D19="",INDEX(primary_jama_2024_4183_disposition,MATCH($A19,primary_jama_2024_4183_key,0)),$D19)&lt;&gt;"retain"),NOT(OR(IF($E19="",INDEX(primary_jama_2024_4183_domain,MATCH($A19,primary_jama_2024_4183_key,0)),$E19)="protocol_report"))),"not_applicable","")</f>
        <v/>
      </c>
      <c r="M19" s="10" t="inlineStr"/>
      <c r="N19" s="10" t="inlineStr"/>
      <c r="O19" s="8" t="inlineStr"/>
      <c r="P19" s="11" t="inlineStr"/>
      <c r="Q19" s="8" t="inlineStr">
        <is>
          <t>pending</t>
        </is>
      </c>
      <c r="R19" s="11" t="inlineStr"/>
      <c r="S19" s="3" t="inlineStr">
        <is>
          <t>AWAITING PRIMARY HANDOFF - do not start checking this template.</t>
        </is>
      </c>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c r="F20" s="8" t="inlineStr">
        <is>
          <t>no</t>
        </is>
      </c>
      <c r="G20" s="2">
        <f>IF(OR(AND(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H20&lt;&gt;"",H20&lt;&gt;"not_applicable"),AND(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I20&lt;&gt;"",I20&lt;&gt;"not_applicable"),AND(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J20&lt;&gt;"",J20&lt;&gt;"not_applicable"),AND(OR(AND(IF($D20="",INDEX(primary_jama_2024_4183_disposition,MATCH($A20,primary_jama_2024_4183_key,0)),$D20)&lt;&gt;"",IF($D20="",INDEX(primary_jama_2024_4183_disposition,MATCH($A20,primary_jama_2024_4183_key,0)),$D20)&lt;&gt;"retain"),NOT(OR(IF($E20="",INDEX(primary_jama_2024_4183_domain,MATCH($A20,primary_jama_2024_4183_key,0)),$E20)="internal_nonstatistical",IF($E20="",INDEX(primary_jama_2024_4183_domain,MATCH($A20,primary_jama_2024_4183_key,0)),$E20)="plan_material"))),K20&lt;&gt;"",K20&lt;&gt;"not_applicable"),AND(OR(AND(IF($D20="",INDEX(primary_jama_2024_4183_disposition,MATCH($A20,primary_jama_2024_4183_key,0)),$D20)&lt;&gt;"",IF($D20="",INDEX(primary_jama_2024_4183_disposition,MATCH($A20,primary_jama_2024_4183_key,0)),$D20)&lt;&gt;"retain"),NOT(OR(IF($E20="",INDEX(primary_jama_2024_4183_domain,MATCH($A20,primary_jama_2024_4183_key,0)),$E20)="protocol_report"))),L20&lt;&gt;"",L20&lt;&gt;"not_applicable")),"CLEAR INACTIVE VALUES",IF(O20="","PENDING",IF(AND(O20&lt;&gt;"agree",LEN(TRIM(P20))=0),"COMMENT NEEDED",IF(F20="yes","CHECKED - see resolution","DRAFT"))))</f>
        <v/>
      </c>
      <c r="H20" s="8">
        <f>IF(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not_applicable","")</f>
        <v/>
      </c>
      <c r="I20" s="8">
        <f>IF(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not_applicable","")</f>
        <v/>
      </c>
      <c r="J20" s="9">
        <f>IF(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not_applicable","")</f>
        <v/>
      </c>
      <c r="K20" s="8">
        <f>IF(OR(AND(IF($D20="",INDEX(primary_jama_2024_4183_disposition,MATCH($A20,primary_jama_2024_4183_key,0)),$D20)&lt;&gt;"",IF($D20="",INDEX(primary_jama_2024_4183_disposition,MATCH($A20,primary_jama_2024_4183_key,0)),$D20)&lt;&gt;"retain"),NOT(OR(IF($E20="",INDEX(primary_jama_2024_4183_domain,MATCH($A20,primary_jama_2024_4183_key,0)),$E20)="internal_nonstatistical",IF($E20="",INDEX(primary_jama_2024_4183_domain,MATCH($A20,primary_jama_2024_4183_key,0)),$E20)="plan_material"))),"not_applicable","")</f>
        <v/>
      </c>
      <c r="L20" s="9">
        <f>IF(OR(AND(IF($D20="",INDEX(primary_jama_2024_4183_disposition,MATCH($A20,primary_jama_2024_4183_key,0)),$D20)&lt;&gt;"",IF($D20="",INDEX(primary_jama_2024_4183_disposition,MATCH($A20,primary_jama_2024_4183_key,0)),$D20)&lt;&gt;"retain"),NOT(OR(IF($E20="",INDEX(primary_jama_2024_4183_domain,MATCH($A20,primary_jama_2024_4183_key,0)),$E20)="protocol_report"))),"not_applicable","")</f>
        <v/>
      </c>
      <c r="M20" s="10" t="inlineStr"/>
      <c r="N20" s="10" t="inlineStr"/>
      <c r="O20" s="8" t="inlineStr"/>
      <c r="P20" s="11" t="inlineStr"/>
      <c r="Q20" s="8" t="inlineStr">
        <is>
          <t>pending</t>
        </is>
      </c>
      <c r="R20" s="11" t="inlineStr"/>
      <c r="S20" s="2" t="inlineStr">
        <is>
          <t>AWAITING PRIMARY HANDOFF - do not start checking this template.</t>
        </is>
      </c>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c r="F21" s="8" t="inlineStr">
        <is>
          <t>no</t>
        </is>
      </c>
      <c r="G21" s="3">
        <f>IF(OR(AND(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H21&lt;&gt;"",H21&lt;&gt;"not_applicable"),AND(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I21&lt;&gt;"",I21&lt;&gt;"not_applicable"),AND(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J21&lt;&gt;"",J21&lt;&gt;"not_applicable"),AND(OR(AND(IF($D21="",INDEX(primary_jama_2024_4183_disposition,MATCH($A21,primary_jama_2024_4183_key,0)),$D21)&lt;&gt;"",IF($D21="",INDEX(primary_jama_2024_4183_disposition,MATCH($A21,primary_jama_2024_4183_key,0)),$D21)&lt;&gt;"retain"),NOT(OR(IF($E21="",INDEX(primary_jama_2024_4183_domain,MATCH($A21,primary_jama_2024_4183_key,0)),$E21)="internal_nonstatistical",IF($E21="",INDEX(primary_jama_2024_4183_domain,MATCH($A21,primary_jama_2024_4183_key,0)),$E21)="plan_material"))),K21&lt;&gt;"",K21&lt;&gt;"not_applicable"),AND(OR(AND(IF($D21="",INDEX(primary_jama_2024_4183_disposition,MATCH($A21,primary_jama_2024_4183_key,0)),$D21)&lt;&gt;"",IF($D21="",INDEX(primary_jama_2024_4183_disposition,MATCH($A21,primary_jama_2024_4183_key,0)),$D21)&lt;&gt;"retain"),NOT(OR(IF($E21="",INDEX(primary_jama_2024_4183_domain,MATCH($A21,primary_jama_2024_4183_key,0)),$E21)="protocol_report"))),L21&lt;&gt;"",L21&lt;&gt;"not_applicable")),"CLEAR INACTIVE VALUES",IF(O21="","PENDING",IF(AND(O21&lt;&gt;"agree",LEN(TRIM(P21))=0),"COMMENT NEEDED",IF(F21="yes","CHECKED - see resolution","DRAFT"))))</f>
        <v/>
      </c>
      <c r="H21" s="8">
        <f>IF(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not_applicable","")</f>
        <v/>
      </c>
      <c r="I21" s="8">
        <f>IF(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not_applicable","")</f>
        <v/>
      </c>
      <c r="J21" s="9">
        <f>IF(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not_applicable","")</f>
        <v/>
      </c>
      <c r="K21" s="8">
        <f>IF(OR(AND(IF($D21="",INDEX(primary_jama_2024_4183_disposition,MATCH($A21,primary_jama_2024_4183_key,0)),$D21)&lt;&gt;"",IF($D21="",INDEX(primary_jama_2024_4183_disposition,MATCH($A21,primary_jama_2024_4183_key,0)),$D21)&lt;&gt;"retain"),NOT(OR(IF($E21="",INDEX(primary_jama_2024_4183_domain,MATCH($A21,primary_jama_2024_4183_key,0)),$E21)="internal_nonstatistical",IF($E21="",INDEX(primary_jama_2024_4183_domain,MATCH($A21,primary_jama_2024_4183_key,0)),$E21)="plan_material"))),"not_applicable","")</f>
        <v/>
      </c>
      <c r="L21" s="9">
        <f>IF(OR(AND(IF($D21="",INDEX(primary_jama_2024_4183_disposition,MATCH($A21,primary_jama_2024_4183_key,0)),$D21)&lt;&gt;"",IF($D21="",INDEX(primary_jama_2024_4183_disposition,MATCH($A21,primary_jama_2024_4183_key,0)),$D21)&lt;&gt;"retain"),NOT(OR(IF($E21="",INDEX(primary_jama_2024_4183_domain,MATCH($A21,primary_jama_2024_4183_key,0)),$E21)="protocol_report"))),"not_applicable","")</f>
        <v/>
      </c>
      <c r="M21" s="10" t="inlineStr"/>
      <c r="N21" s="10" t="inlineStr"/>
      <c r="O21" s="8" t="inlineStr"/>
      <c r="P21" s="11" t="inlineStr"/>
      <c r="Q21" s="8" t="inlineStr">
        <is>
          <t>pending</t>
        </is>
      </c>
      <c r="R21" s="11" t="inlineStr"/>
      <c r="S21" s="3" t="inlineStr">
        <is>
          <t>AWAITING PRIMARY HANDOFF - do not start checking this template.</t>
        </is>
      </c>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c r="F22" s="8" t="inlineStr">
        <is>
          <t>no</t>
        </is>
      </c>
      <c r="G22" s="2">
        <f>IF(OR(AND(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H22&lt;&gt;"",H22&lt;&gt;"not_applicable"),AND(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I22&lt;&gt;"",I22&lt;&gt;"not_applicable"),AND(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J22&lt;&gt;"",J22&lt;&gt;"not_applicable"),AND(OR(AND(IF($D22="",INDEX(primary_jama_2024_4183_disposition,MATCH($A22,primary_jama_2024_4183_key,0)),$D22)&lt;&gt;"",IF($D22="",INDEX(primary_jama_2024_4183_disposition,MATCH($A22,primary_jama_2024_4183_key,0)),$D22)&lt;&gt;"retain"),NOT(OR(IF($E22="",INDEX(primary_jama_2024_4183_domain,MATCH($A22,primary_jama_2024_4183_key,0)),$E22)="internal_nonstatistical",IF($E22="",INDEX(primary_jama_2024_4183_domain,MATCH($A22,primary_jama_2024_4183_key,0)),$E22)="plan_material"))),K22&lt;&gt;"",K22&lt;&gt;"not_applicable"),AND(OR(AND(IF($D22="",INDEX(primary_jama_2024_4183_disposition,MATCH($A22,primary_jama_2024_4183_key,0)),$D22)&lt;&gt;"",IF($D22="",INDEX(primary_jama_2024_4183_disposition,MATCH($A22,primary_jama_2024_4183_key,0)),$D22)&lt;&gt;"retain"),NOT(OR(IF($E22="",INDEX(primary_jama_2024_4183_domain,MATCH($A22,primary_jama_2024_4183_key,0)),$E22)="protocol_report"))),L22&lt;&gt;"",L22&lt;&gt;"not_applicable")),"CLEAR INACTIVE VALUES",IF(O22="","PENDING",IF(AND(O22&lt;&gt;"agree",LEN(TRIM(P22))=0),"COMMENT NEEDED",IF(F22="yes","CHECKED - see resolution","DRAFT"))))</f>
        <v/>
      </c>
      <c r="H22" s="8">
        <f>IF(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not_applicable","")</f>
        <v/>
      </c>
      <c r="I22" s="8">
        <f>IF(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not_applicable","")</f>
        <v/>
      </c>
      <c r="J22" s="9">
        <f>IF(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not_applicable","")</f>
        <v/>
      </c>
      <c r="K22" s="8">
        <f>IF(OR(AND(IF($D22="",INDEX(primary_jama_2024_4183_disposition,MATCH($A22,primary_jama_2024_4183_key,0)),$D22)&lt;&gt;"",IF($D22="",INDEX(primary_jama_2024_4183_disposition,MATCH($A22,primary_jama_2024_4183_key,0)),$D22)&lt;&gt;"retain"),NOT(OR(IF($E22="",INDEX(primary_jama_2024_4183_domain,MATCH($A22,primary_jama_2024_4183_key,0)),$E22)="internal_nonstatistical",IF($E22="",INDEX(primary_jama_2024_4183_domain,MATCH($A22,primary_jama_2024_4183_key,0)),$E22)="plan_material"))),"not_applicable","")</f>
        <v/>
      </c>
      <c r="L22" s="9">
        <f>IF(OR(AND(IF($D22="",INDEX(primary_jama_2024_4183_disposition,MATCH($A22,primary_jama_2024_4183_key,0)),$D22)&lt;&gt;"",IF($D22="",INDEX(primary_jama_2024_4183_disposition,MATCH($A22,primary_jama_2024_4183_key,0)),$D22)&lt;&gt;"retain"),NOT(OR(IF($E22="",INDEX(primary_jama_2024_4183_domain,MATCH($A22,primary_jama_2024_4183_key,0)),$E22)="protocol_report"))),"not_applicable","")</f>
        <v/>
      </c>
      <c r="M22" s="10" t="inlineStr"/>
      <c r="N22" s="10" t="inlineStr"/>
      <c r="O22" s="8" t="inlineStr"/>
      <c r="P22" s="11" t="inlineStr"/>
      <c r="Q22" s="8" t="inlineStr">
        <is>
          <t>pending</t>
        </is>
      </c>
      <c r="R22" s="11" t="inlineStr"/>
      <c r="S22" s="2" t="inlineStr">
        <is>
          <t>AWAITING PRIMARY HANDOFF - do not start checking this template.</t>
        </is>
      </c>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c r="F23" s="8" t="inlineStr">
        <is>
          <t>no</t>
        </is>
      </c>
      <c r="G23" s="3">
        <f>IF(OR(AND(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H23&lt;&gt;"",H23&lt;&gt;"not_applicable"),AND(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I23&lt;&gt;"",I23&lt;&gt;"not_applicable"),AND(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J23&lt;&gt;"",J23&lt;&gt;"not_applicable"),AND(OR(AND(IF($D23="",INDEX(primary_jama_2024_4183_disposition,MATCH($A23,primary_jama_2024_4183_key,0)),$D23)&lt;&gt;"",IF($D23="",INDEX(primary_jama_2024_4183_disposition,MATCH($A23,primary_jama_2024_4183_key,0)),$D23)&lt;&gt;"retain"),NOT(OR(IF($E23="",INDEX(primary_jama_2024_4183_domain,MATCH($A23,primary_jama_2024_4183_key,0)),$E23)="internal_nonstatistical",IF($E23="",INDEX(primary_jama_2024_4183_domain,MATCH($A23,primary_jama_2024_4183_key,0)),$E23)="plan_material"))),K23&lt;&gt;"",K23&lt;&gt;"not_applicable"),AND(OR(AND(IF($D23="",INDEX(primary_jama_2024_4183_disposition,MATCH($A23,primary_jama_2024_4183_key,0)),$D23)&lt;&gt;"",IF($D23="",INDEX(primary_jama_2024_4183_disposition,MATCH($A23,primary_jama_2024_4183_key,0)),$D23)&lt;&gt;"retain"),NOT(OR(IF($E23="",INDEX(primary_jama_2024_4183_domain,MATCH($A23,primary_jama_2024_4183_key,0)),$E23)="protocol_report"))),L23&lt;&gt;"",L23&lt;&gt;"not_applicable")),"CLEAR INACTIVE VALUES",IF(O23="","PENDING",IF(AND(O23&lt;&gt;"agree",LEN(TRIM(P23))=0),"COMMENT NEEDED",IF(F23="yes","CHECKED - see resolution","DRAFT"))))</f>
        <v/>
      </c>
      <c r="H23" s="8">
        <f>IF(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not_applicable","")</f>
        <v/>
      </c>
      <c r="I23" s="8">
        <f>IF(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not_applicable","")</f>
        <v/>
      </c>
      <c r="J23" s="9">
        <f>IF(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not_applicable","")</f>
        <v/>
      </c>
      <c r="K23" s="8">
        <f>IF(OR(AND(IF($D23="",INDEX(primary_jama_2024_4183_disposition,MATCH($A23,primary_jama_2024_4183_key,0)),$D23)&lt;&gt;"",IF($D23="",INDEX(primary_jama_2024_4183_disposition,MATCH($A23,primary_jama_2024_4183_key,0)),$D23)&lt;&gt;"retain"),NOT(OR(IF($E23="",INDEX(primary_jama_2024_4183_domain,MATCH($A23,primary_jama_2024_4183_key,0)),$E23)="internal_nonstatistical",IF($E23="",INDEX(primary_jama_2024_4183_domain,MATCH($A23,primary_jama_2024_4183_key,0)),$E23)="plan_material"))),"not_applicable","")</f>
        <v/>
      </c>
      <c r="L23" s="9">
        <f>IF(OR(AND(IF($D23="",INDEX(primary_jama_2024_4183_disposition,MATCH($A23,primary_jama_2024_4183_key,0)),$D23)&lt;&gt;"",IF($D23="",INDEX(primary_jama_2024_4183_disposition,MATCH($A23,primary_jama_2024_4183_key,0)),$D23)&lt;&gt;"retain"),NOT(OR(IF($E23="",INDEX(primary_jama_2024_4183_domain,MATCH($A23,primary_jama_2024_4183_key,0)),$E23)="protocol_report"))),"not_applicable","")</f>
        <v/>
      </c>
      <c r="M23" s="10" t="inlineStr"/>
      <c r="N23" s="10" t="inlineStr"/>
      <c r="O23" s="8" t="inlineStr"/>
      <c r="P23" s="11" t="inlineStr"/>
      <c r="Q23" s="8" t="inlineStr">
        <is>
          <t>pending</t>
        </is>
      </c>
      <c r="R23" s="11" t="inlineStr"/>
      <c r="S23" s="3" t="inlineStr">
        <is>
          <t>AWAITING PRIMARY HANDOFF - do not start checking this template.</t>
        </is>
      </c>
    </row>
    <row r="24" ht="76" customHeight="1">
      <c r="A24" s="2" t="inlineStr">
        <is>
          <t>2024::jama.2024.4183::C023</t>
        </is>
      </c>
      <c r="B24" s="2" t="inlineStr">
        <is>
          <t>ETable 3 employment value order differs from declared n (%)</t>
        </is>
      </c>
      <c r="C24" s="2" t="inlineStr">
        <is>
          <t>Supplement 2 p. 19, ETable 3.</t>
        </is>
      </c>
      <c r="D24" s="8" t="inlineStr"/>
      <c r="E24" s="8" t="inlineStr"/>
      <c r="F24" s="8" t="inlineStr">
        <is>
          <t>no</t>
        </is>
      </c>
      <c r="G24" s="2">
        <f>IF(OR(AND(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H24&lt;&gt;"",H24&lt;&gt;"not_applicable"),AND(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I24&lt;&gt;"",I24&lt;&gt;"not_applicable"),AND(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J24&lt;&gt;"",J24&lt;&gt;"not_applicable"),AND(OR(AND(IF($D24="",INDEX(primary_jama_2024_4183_disposition,MATCH($A24,primary_jama_2024_4183_key,0)),$D24)&lt;&gt;"",IF($D24="",INDEX(primary_jama_2024_4183_disposition,MATCH($A24,primary_jama_2024_4183_key,0)),$D24)&lt;&gt;"retain"),NOT(OR(IF($E24="",INDEX(primary_jama_2024_4183_domain,MATCH($A24,primary_jama_2024_4183_key,0)),$E24)="internal_nonstatistical",IF($E24="",INDEX(primary_jama_2024_4183_domain,MATCH($A24,primary_jama_2024_4183_key,0)),$E24)="plan_material"))),K24&lt;&gt;"",K24&lt;&gt;"not_applicable"),AND(OR(AND(IF($D24="",INDEX(primary_jama_2024_4183_disposition,MATCH($A24,primary_jama_2024_4183_key,0)),$D24)&lt;&gt;"",IF($D24="",INDEX(primary_jama_2024_4183_disposition,MATCH($A24,primary_jama_2024_4183_key,0)),$D24)&lt;&gt;"retain"),NOT(OR(IF($E24="",INDEX(primary_jama_2024_4183_domain,MATCH($A24,primary_jama_2024_4183_key,0)),$E24)="protocol_report"))),L24&lt;&gt;"",L24&lt;&gt;"not_applicable")),"CLEAR INACTIVE VALUES",IF(O24="","PENDING",IF(AND(O24&lt;&gt;"agree",LEN(TRIM(P24))=0),"COMMENT NEEDED",IF(F24="yes","CHECKED - see resolution","DRAFT"))))</f>
        <v/>
      </c>
      <c r="H24" s="8">
        <f>IF(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not_applicable","")</f>
        <v/>
      </c>
      <c r="I24" s="8">
        <f>IF(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not_applicable","")</f>
        <v/>
      </c>
      <c r="J24" s="9">
        <f>IF(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not_applicable","")</f>
        <v/>
      </c>
      <c r="K24" s="8">
        <f>IF(OR(AND(IF($D24="",INDEX(primary_jama_2024_4183_disposition,MATCH($A24,primary_jama_2024_4183_key,0)),$D24)&lt;&gt;"",IF($D24="",INDEX(primary_jama_2024_4183_disposition,MATCH($A24,primary_jama_2024_4183_key,0)),$D24)&lt;&gt;"retain"),NOT(OR(IF($E24="",INDEX(primary_jama_2024_4183_domain,MATCH($A24,primary_jama_2024_4183_key,0)),$E24)="internal_nonstatistical",IF($E24="",INDEX(primary_jama_2024_4183_domain,MATCH($A24,primary_jama_2024_4183_key,0)),$E24)="plan_material"))),"not_applicable","")</f>
        <v/>
      </c>
      <c r="L24" s="9">
        <f>IF(OR(AND(IF($D24="",INDEX(primary_jama_2024_4183_disposition,MATCH($A24,primary_jama_2024_4183_key,0)),$D24)&lt;&gt;"",IF($D24="",INDEX(primary_jama_2024_4183_disposition,MATCH($A24,primary_jama_2024_4183_key,0)),$D24)&lt;&gt;"retain"),NOT(OR(IF($E24="",INDEX(primary_jama_2024_4183_domain,MATCH($A24,primary_jama_2024_4183_key,0)),$E24)="protocol_report"))),"not_applicable","")</f>
        <v/>
      </c>
      <c r="M24" s="10" t="inlineStr"/>
      <c r="N24" s="10" t="inlineStr"/>
      <c r="O24" s="8" t="inlineStr"/>
      <c r="P24" s="11" t="inlineStr"/>
      <c r="Q24" s="8" t="inlineStr">
        <is>
          <t>pending</t>
        </is>
      </c>
      <c r="R24" s="11" t="inlineStr"/>
      <c r="S24" s="2" t="inlineStr">
        <is>
          <t>AWAITING PRIMARY HANDOFF - do not start checking this template.</t>
        </is>
      </c>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c r="F25" s="8" t="inlineStr">
        <is>
          <t>no</t>
        </is>
      </c>
      <c r="G25" s="3">
        <f>IF(OR(AND(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H25&lt;&gt;"",H25&lt;&gt;"not_applicable"),AND(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I25&lt;&gt;"",I25&lt;&gt;"not_applicable"),AND(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J25&lt;&gt;"",J25&lt;&gt;"not_applicable"),AND(OR(AND(IF($D25="",INDEX(primary_jama_2024_4183_disposition,MATCH($A25,primary_jama_2024_4183_key,0)),$D25)&lt;&gt;"",IF($D25="",INDEX(primary_jama_2024_4183_disposition,MATCH($A25,primary_jama_2024_4183_key,0)),$D25)&lt;&gt;"retain"),NOT(OR(IF($E25="",INDEX(primary_jama_2024_4183_domain,MATCH($A25,primary_jama_2024_4183_key,0)),$E25)="internal_nonstatistical",IF($E25="",INDEX(primary_jama_2024_4183_domain,MATCH($A25,primary_jama_2024_4183_key,0)),$E25)="plan_material"))),K25&lt;&gt;"",K25&lt;&gt;"not_applicable"),AND(OR(AND(IF($D25="",INDEX(primary_jama_2024_4183_disposition,MATCH($A25,primary_jama_2024_4183_key,0)),$D25)&lt;&gt;"",IF($D25="",INDEX(primary_jama_2024_4183_disposition,MATCH($A25,primary_jama_2024_4183_key,0)),$D25)&lt;&gt;"retain"),NOT(OR(IF($E25="",INDEX(primary_jama_2024_4183_domain,MATCH($A25,primary_jama_2024_4183_key,0)),$E25)="protocol_report"))),L25&lt;&gt;"",L25&lt;&gt;"not_applicable")),"CLEAR INACTIVE VALUES",IF(O25="","PENDING",IF(AND(O25&lt;&gt;"agree",LEN(TRIM(P25))=0),"COMMENT NEEDED",IF(F25="yes","CHECKED - see resolution","DRAFT"))))</f>
        <v/>
      </c>
      <c r="H25" s="8">
        <f>IF(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not_applicable","")</f>
        <v/>
      </c>
      <c r="I25" s="8">
        <f>IF(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not_applicable","")</f>
        <v/>
      </c>
      <c r="J25" s="9">
        <f>IF(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not_applicable","")</f>
        <v/>
      </c>
      <c r="K25" s="8">
        <f>IF(OR(AND(IF($D25="",INDEX(primary_jama_2024_4183_disposition,MATCH($A25,primary_jama_2024_4183_key,0)),$D25)&lt;&gt;"",IF($D25="",INDEX(primary_jama_2024_4183_disposition,MATCH($A25,primary_jama_2024_4183_key,0)),$D25)&lt;&gt;"retain"),NOT(OR(IF($E25="",INDEX(primary_jama_2024_4183_domain,MATCH($A25,primary_jama_2024_4183_key,0)),$E25)="internal_nonstatistical",IF($E25="",INDEX(primary_jama_2024_4183_domain,MATCH($A25,primary_jama_2024_4183_key,0)),$E25)="plan_material"))),"not_applicable","")</f>
        <v/>
      </c>
      <c r="L25" s="9">
        <f>IF(OR(AND(IF($D25="",INDEX(primary_jama_2024_4183_disposition,MATCH($A25,primary_jama_2024_4183_key,0)),$D25)&lt;&gt;"",IF($D25="",INDEX(primary_jama_2024_4183_disposition,MATCH($A25,primary_jama_2024_4183_key,0)),$D25)&lt;&gt;"retain"),NOT(OR(IF($E25="",INDEX(primary_jama_2024_4183_domain,MATCH($A25,primary_jama_2024_4183_key,0)),$E25)="protocol_report"))),"not_applicable","")</f>
        <v/>
      </c>
      <c r="M25" s="10" t="inlineStr"/>
      <c r="N25" s="10" t="inlineStr"/>
      <c r="O25" s="8" t="inlineStr"/>
      <c r="P25" s="11" t="inlineStr"/>
      <c r="Q25" s="8" t="inlineStr">
        <is>
          <t>pending</t>
        </is>
      </c>
      <c r="R25" s="11" t="inlineStr"/>
      <c r="S25"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25"/>
  <conditionalFormatting sqref="H2">
    <cfRule type="expression" priority="1" dxfId="0" stopIfTrue="1">
      <formula>AND(OR(AND(IF($D2="",INDEX(primary_jama_2024_4183_disposition,MATCH($A2,primary_jama_2024_4183_key,0)),$D2)&lt;&gt;"",IF($D2="",INDEX(primary_jama_2024_4183_disposition,MATCH($A2,primary_jama_2024_4183_key,0)),$D2)&lt;&gt;"retain"),NOT(OR(IF($E2="",INDEX(primary_jama_2024_4183_domain,MATCH($A2,primary_jama_2024_4183_key,0)),$E2)="statistical_results"))),H2&lt;&gt;"",H2&lt;&gt;"not_applicable")</formula>
    </cfRule>
    <cfRule type="expression" priority="2" dxfId="1">
      <formula>OR(AND(IF($D2="",INDEX(primary_jama_2024_4183_disposition,MATCH($A2,primary_jama_2024_4183_key,0)),$D2)&lt;&gt;"",IF($D2="",INDEX(primary_jama_2024_4183_disposition,MATCH($A2,primary_jama_2024_4183_key,0)),$D2)&lt;&gt;"retain"),NOT(OR(IF($E2="",INDEX(primary_jama_2024_4183_domain,MATCH($A2,primary_jama_2024_4183_key,0)),$E2)="statistical_results")))</formula>
    </cfRule>
  </conditionalFormatting>
  <conditionalFormatting sqref="H3">
    <cfRule type="expression" priority="3" dxfId="0" stopIfTrue="1">
      <formula>AND(OR(AND(IF($D3="",INDEX(primary_jama_2024_4183_disposition,MATCH($A3,primary_jama_2024_4183_key,0)),$D3)&lt;&gt;"",IF($D3="",INDEX(primary_jama_2024_4183_disposition,MATCH($A3,primary_jama_2024_4183_key,0)),$D3)&lt;&gt;"retain"),NOT(OR(IF($E3="",INDEX(primary_jama_2024_4183_domain,MATCH($A3,primary_jama_2024_4183_key,0)),$E3)="statistical_results"))),H3&lt;&gt;"",H3&lt;&gt;"not_applicable")</formula>
    </cfRule>
    <cfRule type="expression" priority="4" dxfId="1">
      <formula>OR(AND(IF($D3="",INDEX(primary_jama_2024_4183_disposition,MATCH($A3,primary_jama_2024_4183_key,0)),$D3)&lt;&gt;"",IF($D3="",INDEX(primary_jama_2024_4183_disposition,MATCH($A3,primary_jama_2024_4183_key,0)),$D3)&lt;&gt;"retain"),NOT(OR(IF($E3="",INDEX(primary_jama_2024_4183_domain,MATCH($A3,primary_jama_2024_4183_key,0)),$E3)="statistical_results")))</formula>
    </cfRule>
  </conditionalFormatting>
  <conditionalFormatting sqref="H4">
    <cfRule type="expression" priority="5" dxfId="0" stopIfTrue="1">
      <formula>AND(OR(AND(IF($D4="",INDEX(primary_jama_2024_4183_disposition,MATCH($A4,primary_jama_2024_4183_key,0)),$D4)&lt;&gt;"",IF($D4="",INDEX(primary_jama_2024_4183_disposition,MATCH($A4,primary_jama_2024_4183_key,0)),$D4)&lt;&gt;"retain"),NOT(OR(IF($E4="",INDEX(primary_jama_2024_4183_domain,MATCH($A4,primary_jama_2024_4183_key,0)),$E4)="statistical_results"))),H4&lt;&gt;"",H4&lt;&gt;"not_applicable")</formula>
    </cfRule>
    <cfRule type="expression" priority="6" dxfId="1">
      <formula>OR(AND(IF($D4="",INDEX(primary_jama_2024_4183_disposition,MATCH($A4,primary_jama_2024_4183_key,0)),$D4)&lt;&gt;"",IF($D4="",INDEX(primary_jama_2024_4183_disposition,MATCH($A4,primary_jama_2024_4183_key,0)),$D4)&lt;&gt;"retain"),NOT(OR(IF($E4="",INDEX(primary_jama_2024_4183_domain,MATCH($A4,primary_jama_2024_4183_key,0)),$E4)="statistical_results")))</formula>
    </cfRule>
  </conditionalFormatting>
  <conditionalFormatting sqref="H5">
    <cfRule type="expression" priority="7" dxfId="0" stopIfTrue="1">
      <formula>AND(OR(AND(IF($D5="",INDEX(primary_jama_2024_4183_disposition,MATCH($A5,primary_jama_2024_4183_key,0)),$D5)&lt;&gt;"",IF($D5="",INDEX(primary_jama_2024_4183_disposition,MATCH($A5,primary_jama_2024_4183_key,0)),$D5)&lt;&gt;"retain"),NOT(OR(IF($E5="",INDEX(primary_jama_2024_4183_domain,MATCH($A5,primary_jama_2024_4183_key,0)),$E5)="statistical_results"))),H5&lt;&gt;"",H5&lt;&gt;"not_applicable")</formula>
    </cfRule>
    <cfRule type="expression" priority="8" dxfId="1">
      <formula>OR(AND(IF($D5="",INDEX(primary_jama_2024_4183_disposition,MATCH($A5,primary_jama_2024_4183_key,0)),$D5)&lt;&gt;"",IF($D5="",INDEX(primary_jama_2024_4183_disposition,MATCH($A5,primary_jama_2024_4183_key,0)),$D5)&lt;&gt;"retain"),NOT(OR(IF($E5="",INDEX(primary_jama_2024_4183_domain,MATCH($A5,primary_jama_2024_4183_key,0)),$E5)="statistical_results")))</formula>
    </cfRule>
  </conditionalFormatting>
  <conditionalFormatting sqref="H6">
    <cfRule type="expression" priority="9" dxfId="0" stopIfTrue="1">
      <formula>AND(OR(AND(IF($D6="",INDEX(primary_jama_2024_4183_disposition,MATCH($A6,primary_jama_2024_4183_key,0)),$D6)&lt;&gt;"",IF($D6="",INDEX(primary_jama_2024_4183_disposition,MATCH($A6,primary_jama_2024_4183_key,0)),$D6)&lt;&gt;"retain"),NOT(OR(IF($E6="",INDEX(primary_jama_2024_4183_domain,MATCH($A6,primary_jama_2024_4183_key,0)),$E6)="statistical_results"))),H6&lt;&gt;"",H6&lt;&gt;"not_applicable")</formula>
    </cfRule>
    <cfRule type="expression" priority="10" dxfId="1">
      <formula>OR(AND(IF($D6="",INDEX(primary_jama_2024_4183_disposition,MATCH($A6,primary_jama_2024_4183_key,0)),$D6)&lt;&gt;"",IF($D6="",INDEX(primary_jama_2024_4183_disposition,MATCH($A6,primary_jama_2024_4183_key,0)),$D6)&lt;&gt;"retain"),NOT(OR(IF($E6="",INDEX(primary_jama_2024_4183_domain,MATCH($A6,primary_jama_2024_4183_key,0)),$E6)="statistical_results")))</formula>
    </cfRule>
  </conditionalFormatting>
  <conditionalFormatting sqref="H7">
    <cfRule type="expression" priority="11" dxfId="0" stopIfTrue="1">
      <formula>AND(OR(AND(IF($D7="",INDEX(primary_jama_2024_4183_disposition,MATCH($A7,primary_jama_2024_4183_key,0)),$D7)&lt;&gt;"",IF($D7="",INDEX(primary_jama_2024_4183_disposition,MATCH($A7,primary_jama_2024_4183_key,0)),$D7)&lt;&gt;"retain"),NOT(OR(IF($E7="",INDEX(primary_jama_2024_4183_domain,MATCH($A7,primary_jama_2024_4183_key,0)),$E7)="statistical_results"))),H7&lt;&gt;"",H7&lt;&gt;"not_applicable")</formula>
    </cfRule>
    <cfRule type="expression" priority="12" dxfId="1">
      <formula>OR(AND(IF($D7="",INDEX(primary_jama_2024_4183_disposition,MATCH($A7,primary_jama_2024_4183_key,0)),$D7)&lt;&gt;"",IF($D7="",INDEX(primary_jama_2024_4183_disposition,MATCH($A7,primary_jama_2024_4183_key,0)),$D7)&lt;&gt;"retain"),NOT(OR(IF($E7="",INDEX(primary_jama_2024_4183_domain,MATCH($A7,primary_jama_2024_4183_key,0)),$E7)="statistical_results")))</formula>
    </cfRule>
  </conditionalFormatting>
  <conditionalFormatting sqref="H8">
    <cfRule type="expression" priority="13" dxfId="0" stopIfTrue="1">
      <formula>AND(OR(AND(IF($D8="",INDEX(primary_jama_2024_4183_disposition,MATCH($A8,primary_jama_2024_4183_key,0)),$D8)&lt;&gt;"",IF($D8="",INDEX(primary_jama_2024_4183_disposition,MATCH($A8,primary_jama_2024_4183_key,0)),$D8)&lt;&gt;"retain"),NOT(OR(IF($E8="",INDEX(primary_jama_2024_4183_domain,MATCH($A8,primary_jama_2024_4183_key,0)),$E8)="statistical_results"))),H8&lt;&gt;"",H8&lt;&gt;"not_applicable")</formula>
    </cfRule>
    <cfRule type="expression" priority="14" dxfId="1">
      <formula>OR(AND(IF($D8="",INDEX(primary_jama_2024_4183_disposition,MATCH($A8,primary_jama_2024_4183_key,0)),$D8)&lt;&gt;"",IF($D8="",INDEX(primary_jama_2024_4183_disposition,MATCH($A8,primary_jama_2024_4183_key,0)),$D8)&lt;&gt;"retain"),NOT(OR(IF($E8="",INDEX(primary_jama_2024_4183_domain,MATCH($A8,primary_jama_2024_4183_key,0)),$E8)="statistical_results")))</formula>
    </cfRule>
  </conditionalFormatting>
  <conditionalFormatting sqref="H9">
    <cfRule type="expression" priority="15" dxfId="0" stopIfTrue="1">
      <formula>AND(OR(AND(IF($D9="",INDEX(primary_jama_2024_4183_disposition,MATCH($A9,primary_jama_2024_4183_key,0)),$D9)&lt;&gt;"",IF($D9="",INDEX(primary_jama_2024_4183_disposition,MATCH($A9,primary_jama_2024_4183_key,0)),$D9)&lt;&gt;"retain"),NOT(OR(IF($E9="",INDEX(primary_jama_2024_4183_domain,MATCH($A9,primary_jama_2024_4183_key,0)),$E9)="statistical_results"))),H9&lt;&gt;"",H9&lt;&gt;"not_applicable")</formula>
    </cfRule>
    <cfRule type="expression" priority="16" dxfId="1">
      <formula>OR(AND(IF($D9="",INDEX(primary_jama_2024_4183_disposition,MATCH($A9,primary_jama_2024_4183_key,0)),$D9)&lt;&gt;"",IF($D9="",INDEX(primary_jama_2024_4183_disposition,MATCH($A9,primary_jama_2024_4183_key,0)),$D9)&lt;&gt;"retain"),NOT(OR(IF($E9="",INDEX(primary_jama_2024_4183_domain,MATCH($A9,primary_jama_2024_4183_key,0)),$E9)="statistical_results")))</formula>
    </cfRule>
  </conditionalFormatting>
  <conditionalFormatting sqref="H10">
    <cfRule type="expression" priority="17" dxfId="0" stopIfTrue="1">
      <formula>AND(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H10&lt;&gt;"",H10&lt;&gt;"not_applicable")</formula>
    </cfRule>
    <cfRule type="expression" priority="18" dxfId="1">
      <formula>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formula>
    </cfRule>
  </conditionalFormatting>
  <conditionalFormatting sqref="H11">
    <cfRule type="expression" priority="19" dxfId="0" stopIfTrue="1">
      <formula>AND(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H11&lt;&gt;"",H11&lt;&gt;"not_applicable")</formula>
    </cfRule>
    <cfRule type="expression" priority="20" dxfId="1">
      <formula>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formula>
    </cfRule>
  </conditionalFormatting>
  <conditionalFormatting sqref="H12">
    <cfRule type="expression" priority="21" dxfId="0" stopIfTrue="1">
      <formula>AND(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H12&lt;&gt;"",H12&lt;&gt;"not_applicable")</formula>
    </cfRule>
    <cfRule type="expression" priority="22" dxfId="1">
      <formula>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formula>
    </cfRule>
  </conditionalFormatting>
  <conditionalFormatting sqref="H13">
    <cfRule type="expression" priority="23" dxfId="0" stopIfTrue="1">
      <formula>AND(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H13&lt;&gt;"",H13&lt;&gt;"not_applicable")</formula>
    </cfRule>
    <cfRule type="expression" priority="24" dxfId="1">
      <formula>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formula>
    </cfRule>
  </conditionalFormatting>
  <conditionalFormatting sqref="H14">
    <cfRule type="expression" priority="25" dxfId="0" stopIfTrue="1">
      <formula>AND(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H14&lt;&gt;"",H14&lt;&gt;"not_applicable")</formula>
    </cfRule>
    <cfRule type="expression" priority="26" dxfId="1">
      <formula>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formula>
    </cfRule>
  </conditionalFormatting>
  <conditionalFormatting sqref="H15">
    <cfRule type="expression" priority="27" dxfId="0" stopIfTrue="1">
      <formula>AND(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H15&lt;&gt;"",H15&lt;&gt;"not_applicable")</formula>
    </cfRule>
    <cfRule type="expression" priority="28" dxfId="1">
      <formula>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formula>
    </cfRule>
  </conditionalFormatting>
  <conditionalFormatting sqref="H16">
    <cfRule type="expression" priority="29" dxfId="0" stopIfTrue="1">
      <formula>AND(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H16&lt;&gt;"",H16&lt;&gt;"not_applicable")</formula>
    </cfRule>
    <cfRule type="expression" priority="30" dxfId="1">
      <formula>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formula>
    </cfRule>
  </conditionalFormatting>
  <conditionalFormatting sqref="H17">
    <cfRule type="expression" priority="31" dxfId="0" stopIfTrue="1">
      <formula>AND(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H17&lt;&gt;"",H17&lt;&gt;"not_applicable")</formula>
    </cfRule>
    <cfRule type="expression" priority="32" dxfId="1">
      <formula>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formula>
    </cfRule>
  </conditionalFormatting>
  <conditionalFormatting sqref="H18">
    <cfRule type="expression" priority="33" dxfId="0" stopIfTrue="1">
      <formula>AND(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H18&lt;&gt;"",H18&lt;&gt;"not_applicable")</formula>
    </cfRule>
    <cfRule type="expression" priority="34" dxfId="1">
      <formula>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formula>
    </cfRule>
  </conditionalFormatting>
  <conditionalFormatting sqref="H19">
    <cfRule type="expression" priority="35" dxfId="0" stopIfTrue="1">
      <formula>AND(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H19&lt;&gt;"",H19&lt;&gt;"not_applicable")</formula>
    </cfRule>
    <cfRule type="expression" priority="36" dxfId="1">
      <formula>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formula>
    </cfRule>
  </conditionalFormatting>
  <conditionalFormatting sqref="H20">
    <cfRule type="expression" priority="37" dxfId="0" stopIfTrue="1">
      <formula>AND(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H20&lt;&gt;"",H20&lt;&gt;"not_applicable")</formula>
    </cfRule>
    <cfRule type="expression" priority="38" dxfId="1">
      <formula>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formula>
    </cfRule>
  </conditionalFormatting>
  <conditionalFormatting sqref="H21">
    <cfRule type="expression" priority="39" dxfId="0" stopIfTrue="1">
      <formula>AND(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H21&lt;&gt;"",H21&lt;&gt;"not_applicable")</formula>
    </cfRule>
    <cfRule type="expression" priority="40" dxfId="1">
      <formula>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formula>
    </cfRule>
  </conditionalFormatting>
  <conditionalFormatting sqref="H22">
    <cfRule type="expression" priority="41" dxfId="0" stopIfTrue="1">
      <formula>AND(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H22&lt;&gt;"",H22&lt;&gt;"not_applicable")</formula>
    </cfRule>
    <cfRule type="expression" priority="42" dxfId="1">
      <formula>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formula>
    </cfRule>
  </conditionalFormatting>
  <conditionalFormatting sqref="H23">
    <cfRule type="expression" priority="43" dxfId="0" stopIfTrue="1">
      <formula>AND(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H23&lt;&gt;"",H23&lt;&gt;"not_applicable")</formula>
    </cfRule>
    <cfRule type="expression" priority="44" dxfId="1">
      <formula>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formula>
    </cfRule>
  </conditionalFormatting>
  <conditionalFormatting sqref="H24">
    <cfRule type="expression" priority="45" dxfId="0" stopIfTrue="1">
      <formula>AND(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H24&lt;&gt;"",H24&lt;&gt;"not_applicable")</formula>
    </cfRule>
    <cfRule type="expression" priority="46" dxfId="1">
      <formula>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formula>
    </cfRule>
  </conditionalFormatting>
  <conditionalFormatting sqref="H25">
    <cfRule type="expression" priority="47" dxfId="0" stopIfTrue="1">
      <formula>AND(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H25&lt;&gt;"",H25&lt;&gt;"not_applicable")</formula>
    </cfRule>
    <cfRule type="expression" priority="48" dxfId="1">
      <formula>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formula>
    </cfRule>
  </conditionalFormatting>
  <conditionalFormatting sqref="I2">
    <cfRule type="expression" priority="49" dxfId="0" stopIfTrue="1">
      <formula>AND(OR(AND(IF($D2="",INDEX(primary_jama_2024_4183_disposition,MATCH($A2,primary_jama_2024_4183_key,0)),$D2)&lt;&gt;"",IF($D2="",INDEX(primary_jama_2024_4183_disposition,MATCH($A2,primary_jama_2024_4183_key,0)),$D2)&lt;&gt;"retain"),NOT(OR(IF($E2="",INDEX(primary_jama_2024_4183_domain,MATCH($A2,primary_jama_2024_4183_key,0)),$E2)="statistical_results"))),I2&lt;&gt;"",I2&lt;&gt;"not_applicable")</formula>
    </cfRule>
    <cfRule type="expression" priority="50" dxfId="1">
      <formula>OR(AND(IF($D2="",INDEX(primary_jama_2024_4183_disposition,MATCH($A2,primary_jama_2024_4183_key,0)),$D2)&lt;&gt;"",IF($D2="",INDEX(primary_jama_2024_4183_disposition,MATCH($A2,primary_jama_2024_4183_key,0)),$D2)&lt;&gt;"retain"),NOT(OR(IF($E2="",INDEX(primary_jama_2024_4183_domain,MATCH($A2,primary_jama_2024_4183_key,0)),$E2)="statistical_results")))</formula>
    </cfRule>
  </conditionalFormatting>
  <conditionalFormatting sqref="I3">
    <cfRule type="expression" priority="51" dxfId="0" stopIfTrue="1">
      <formula>AND(OR(AND(IF($D3="",INDEX(primary_jama_2024_4183_disposition,MATCH($A3,primary_jama_2024_4183_key,0)),$D3)&lt;&gt;"",IF($D3="",INDEX(primary_jama_2024_4183_disposition,MATCH($A3,primary_jama_2024_4183_key,0)),$D3)&lt;&gt;"retain"),NOT(OR(IF($E3="",INDEX(primary_jama_2024_4183_domain,MATCH($A3,primary_jama_2024_4183_key,0)),$E3)="statistical_results"))),I3&lt;&gt;"",I3&lt;&gt;"not_applicable")</formula>
    </cfRule>
    <cfRule type="expression" priority="52" dxfId="1">
      <formula>OR(AND(IF($D3="",INDEX(primary_jama_2024_4183_disposition,MATCH($A3,primary_jama_2024_4183_key,0)),$D3)&lt;&gt;"",IF($D3="",INDEX(primary_jama_2024_4183_disposition,MATCH($A3,primary_jama_2024_4183_key,0)),$D3)&lt;&gt;"retain"),NOT(OR(IF($E3="",INDEX(primary_jama_2024_4183_domain,MATCH($A3,primary_jama_2024_4183_key,0)),$E3)="statistical_results")))</formula>
    </cfRule>
  </conditionalFormatting>
  <conditionalFormatting sqref="I4">
    <cfRule type="expression" priority="53" dxfId="0" stopIfTrue="1">
      <formula>AND(OR(AND(IF($D4="",INDEX(primary_jama_2024_4183_disposition,MATCH($A4,primary_jama_2024_4183_key,0)),$D4)&lt;&gt;"",IF($D4="",INDEX(primary_jama_2024_4183_disposition,MATCH($A4,primary_jama_2024_4183_key,0)),$D4)&lt;&gt;"retain"),NOT(OR(IF($E4="",INDEX(primary_jama_2024_4183_domain,MATCH($A4,primary_jama_2024_4183_key,0)),$E4)="statistical_results"))),I4&lt;&gt;"",I4&lt;&gt;"not_applicable")</formula>
    </cfRule>
    <cfRule type="expression" priority="54" dxfId="1">
      <formula>OR(AND(IF($D4="",INDEX(primary_jama_2024_4183_disposition,MATCH($A4,primary_jama_2024_4183_key,0)),$D4)&lt;&gt;"",IF($D4="",INDEX(primary_jama_2024_4183_disposition,MATCH($A4,primary_jama_2024_4183_key,0)),$D4)&lt;&gt;"retain"),NOT(OR(IF($E4="",INDEX(primary_jama_2024_4183_domain,MATCH($A4,primary_jama_2024_4183_key,0)),$E4)="statistical_results")))</formula>
    </cfRule>
  </conditionalFormatting>
  <conditionalFormatting sqref="I5">
    <cfRule type="expression" priority="55" dxfId="0" stopIfTrue="1">
      <formula>AND(OR(AND(IF($D5="",INDEX(primary_jama_2024_4183_disposition,MATCH($A5,primary_jama_2024_4183_key,0)),$D5)&lt;&gt;"",IF($D5="",INDEX(primary_jama_2024_4183_disposition,MATCH($A5,primary_jama_2024_4183_key,0)),$D5)&lt;&gt;"retain"),NOT(OR(IF($E5="",INDEX(primary_jama_2024_4183_domain,MATCH($A5,primary_jama_2024_4183_key,0)),$E5)="statistical_results"))),I5&lt;&gt;"",I5&lt;&gt;"not_applicable")</formula>
    </cfRule>
    <cfRule type="expression" priority="56" dxfId="1">
      <formula>OR(AND(IF($D5="",INDEX(primary_jama_2024_4183_disposition,MATCH($A5,primary_jama_2024_4183_key,0)),$D5)&lt;&gt;"",IF($D5="",INDEX(primary_jama_2024_4183_disposition,MATCH($A5,primary_jama_2024_4183_key,0)),$D5)&lt;&gt;"retain"),NOT(OR(IF($E5="",INDEX(primary_jama_2024_4183_domain,MATCH($A5,primary_jama_2024_4183_key,0)),$E5)="statistical_results")))</formula>
    </cfRule>
  </conditionalFormatting>
  <conditionalFormatting sqref="I6">
    <cfRule type="expression" priority="57" dxfId="0" stopIfTrue="1">
      <formula>AND(OR(AND(IF($D6="",INDEX(primary_jama_2024_4183_disposition,MATCH($A6,primary_jama_2024_4183_key,0)),$D6)&lt;&gt;"",IF($D6="",INDEX(primary_jama_2024_4183_disposition,MATCH($A6,primary_jama_2024_4183_key,0)),$D6)&lt;&gt;"retain"),NOT(OR(IF($E6="",INDEX(primary_jama_2024_4183_domain,MATCH($A6,primary_jama_2024_4183_key,0)),$E6)="statistical_results"))),I6&lt;&gt;"",I6&lt;&gt;"not_applicable")</formula>
    </cfRule>
    <cfRule type="expression" priority="58" dxfId="1">
      <formula>OR(AND(IF($D6="",INDEX(primary_jama_2024_4183_disposition,MATCH($A6,primary_jama_2024_4183_key,0)),$D6)&lt;&gt;"",IF($D6="",INDEX(primary_jama_2024_4183_disposition,MATCH($A6,primary_jama_2024_4183_key,0)),$D6)&lt;&gt;"retain"),NOT(OR(IF($E6="",INDEX(primary_jama_2024_4183_domain,MATCH($A6,primary_jama_2024_4183_key,0)),$E6)="statistical_results")))</formula>
    </cfRule>
  </conditionalFormatting>
  <conditionalFormatting sqref="I7">
    <cfRule type="expression" priority="59" dxfId="0" stopIfTrue="1">
      <formula>AND(OR(AND(IF($D7="",INDEX(primary_jama_2024_4183_disposition,MATCH($A7,primary_jama_2024_4183_key,0)),$D7)&lt;&gt;"",IF($D7="",INDEX(primary_jama_2024_4183_disposition,MATCH($A7,primary_jama_2024_4183_key,0)),$D7)&lt;&gt;"retain"),NOT(OR(IF($E7="",INDEX(primary_jama_2024_4183_domain,MATCH($A7,primary_jama_2024_4183_key,0)),$E7)="statistical_results"))),I7&lt;&gt;"",I7&lt;&gt;"not_applicable")</formula>
    </cfRule>
    <cfRule type="expression" priority="60" dxfId="1">
      <formula>OR(AND(IF($D7="",INDEX(primary_jama_2024_4183_disposition,MATCH($A7,primary_jama_2024_4183_key,0)),$D7)&lt;&gt;"",IF($D7="",INDEX(primary_jama_2024_4183_disposition,MATCH($A7,primary_jama_2024_4183_key,0)),$D7)&lt;&gt;"retain"),NOT(OR(IF($E7="",INDEX(primary_jama_2024_4183_domain,MATCH($A7,primary_jama_2024_4183_key,0)),$E7)="statistical_results")))</formula>
    </cfRule>
  </conditionalFormatting>
  <conditionalFormatting sqref="I8">
    <cfRule type="expression" priority="61" dxfId="0" stopIfTrue="1">
      <formula>AND(OR(AND(IF($D8="",INDEX(primary_jama_2024_4183_disposition,MATCH($A8,primary_jama_2024_4183_key,0)),$D8)&lt;&gt;"",IF($D8="",INDEX(primary_jama_2024_4183_disposition,MATCH($A8,primary_jama_2024_4183_key,0)),$D8)&lt;&gt;"retain"),NOT(OR(IF($E8="",INDEX(primary_jama_2024_4183_domain,MATCH($A8,primary_jama_2024_4183_key,0)),$E8)="statistical_results"))),I8&lt;&gt;"",I8&lt;&gt;"not_applicable")</formula>
    </cfRule>
    <cfRule type="expression" priority="62" dxfId="1">
      <formula>OR(AND(IF($D8="",INDEX(primary_jama_2024_4183_disposition,MATCH($A8,primary_jama_2024_4183_key,0)),$D8)&lt;&gt;"",IF($D8="",INDEX(primary_jama_2024_4183_disposition,MATCH($A8,primary_jama_2024_4183_key,0)),$D8)&lt;&gt;"retain"),NOT(OR(IF($E8="",INDEX(primary_jama_2024_4183_domain,MATCH($A8,primary_jama_2024_4183_key,0)),$E8)="statistical_results")))</formula>
    </cfRule>
  </conditionalFormatting>
  <conditionalFormatting sqref="I9">
    <cfRule type="expression" priority="63" dxfId="0" stopIfTrue="1">
      <formula>AND(OR(AND(IF($D9="",INDEX(primary_jama_2024_4183_disposition,MATCH($A9,primary_jama_2024_4183_key,0)),$D9)&lt;&gt;"",IF($D9="",INDEX(primary_jama_2024_4183_disposition,MATCH($A9,primary_jama_2024_4183_key,0)),$D9)&lt;&gt;"retain"),NOT(OR(IF($E9="",INDEX(primary_jama_2024_4183_domain,MATCH($A9,primary_jama_2024_4183_key,0)),$E9)="statistical_results"))),I9&lt;&gt;"",I9&lt;&gt;"not_applicable")</formula>
    </cfRule>
    <cfRule type="expression" priority="64" dxfId="1">
      <formula>OR(AND(IF($D9="",INDEX(primary_jama_2024_4183_disposition,MATCH($A9,primary_jama_2024_4183_key,0)),$D9)&lt;&gt;"",IF($D9="",INDEX(primary_jama_2024_4183_disposition,MATCH($A9,primary_jama_2024_4183_key,0)),$D9)&lt;&gt;"retain"),NOT(OR(IF($E9="",INDEX(primary_jama_2024_4183_domain,MATCH($A9,primary_jama_2024_4183_key,0)),$E9)="statistical_results")))</formula>
    </cfRule>
  </conditionalFormatting>
  <conditionalFormatting sqref="I10">
    <cfRule type="expression" priority="65" dxfId="0" stopIfTrue="1">
      <formula>AND(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I10&lt;&gt;"",I10&lt;&gt;"not_applicable")</formula>
    </cfRule>
    <cfRule type="expression" priority="66" dxfId="1">
      <formula>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formula>
    </cfRule>
  </conditionalFormatting>
  <conditionalFormatting sqref="I11">
    <cfRule type="expression" priority="67" dxfId="0" stopIfTrue="1">
      <formula>AND(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I11&lt;&gt;"",I11&lt;&gt;"not_applicable")</formula>
    </cfRule>
    <cfRule type="expression" priority="68" dxfId="1">
      <formula>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formula>
    </cfRule>
  </conditionalFormatting>
  <conditionalFormatting sqref="I12">
    <cfRule type="expression" priority="69" dxfId="0" stopIfTrue="1">
      <formula>AND(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I12&lt;&gt;"",I12&lt;&gt;"not_applicable")</formula>
    </cfRule>
    <cfRule type="expression" priority="70" dxfId="1">
      <formula>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formula>
    </cfRule>
  </conditionalFormatting>
  <conditionalFormatting sqref="I13">
    <cfRule type="expression" priority="71" dxfId="0" stopIfTrue="1">
      <formula>AND(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I13&lt;&gt;"",I13&lt;&gt;"not_applicable")</formula>
    </cfRule>
    <cfRule type="expression" priority="72" dxfId="1">
      <formula>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formula>
    </cfRule>
  </conditionalFormatting>
  <conditionalFormatting sqref="I14">
    <cfRule type="expression" priority="73" dxfId="0" stopIfTrue="1">
      <formula>AND(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I14&lt;&gt;"",I14&lt;&gt;"not_applicable")</formula>
    </cfRule>
    <cfRule type="expression" priority="74" dxfId="1">
      <formula>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formula>
    </cfRule>
  </conditionalFormatting>
  <conditionalFormatting sqref="I15">
    <cfRule type="expression" priority="75" dxfId="0" stopIfTrue="1">
      <formula>AND(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I15&lt;&gt;"",I15&lt;&gt;"not_applicable")</formula>
    </cfRule>
    <cfRule type="expression" priority="76" dxfId="1">
      <formula>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formula>
    </cfRule>
  </conditionalFormatting>
  <conditionalFormatting sqref="I16">
    <cfRule type="expression" priority="77" dxfId="0" stopIfTrue="1">
      <formula>AND(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I16&lt;&gt;"",I16&lt;&gt;"not_applicable")</formula>
    </cfRule>
    <cfRule type="expression" priority="78" dxfId="1">
      <formula>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formula>
    </cfRule>
  </conditionalFormatting>
  <conditionalFormatting sqref="I17">
    <cfRule type="expression" priority="79" dxfId="0" stopIfTrue="1">
      <formula>AND(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I17&lt;&gt;"",I17&lt;&gt;"not_applicable")</formula>
    </cfRule>
    <cfRule type="expression" priority="80" dxfId="1">
      <formula>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formula>
    </cfRule>
  </conditionalFormatting>
  <conditionalFormatting sqref="I18">
    <cfRule type="expression" priority="81" dxfId="0" stopIfTrue="1">
      <formula>AND(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I18&lt;&gt;"",I18&lt;&gt;"not_applicable")</formula>
    </cfRule>
    <cfRule type="expression" priority="82" dxfId="1">
      <formula>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formula>
    </cfRule>
  </conditionalFormatting>
  <conditionalFormatting sqref="I19">
    <cfRule type="expression" priority="83" dxfId="0" stopIfTrue="1">
      <formula>AND(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I19&lt;&gt;"",I19&lt;&gt;"not_applicable")</formula>
    </cfRule>
    <cfRule type="expression" priority="84" dxfId="1">
      <formula>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formula>
    </cfRule>
  </conditionalFormatting>
  <conditionalFormatting sqref="I20">
    <cfRule type="expression" priority="85" dxfId="0" stopIfTrue="1">
      <formula>AND(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I20&lt;&gt;"",I20&lt;&gt;"not_applicable")</formula>
    </cfRule>
    <cfRule type="expression" priority="86" dxfId="1">
      <formula>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formula>
    </cfRule>
  </conditionalFormatting>
  <conditionalFormatting sqref="I21">
    <cfRule type="expression" priority="87" dxfId="0" stopIfTrue="1">
      <formula>AND(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I21&lt;&gt;"",I21&lt;&gt;"not_applicable")</formula>
    </cfRule>
    <cfRule type="expression" priority="88" dxfId="1">
      <formula>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formula>
    </cfRule>
  </conditionalFormatting>
  <conditionalFormatting sqref="I22">
    <cfRule type="expression" priority="89" dxfId="0" stopIfTrue="1">
      <formula>AND(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I22&lt;&gt;"",I22&lt;&gt;"not_applicable")</formula>
    </cfRule>
    <cfRule type="expression" priority="90" dxfId="1">
      <formula>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formula>
    </cfRule>
  </conditionalFormatting>
  <conditionalFormatting sqref="I23">
    <cfRule type="expression" priority="91" dxfId="0" stopIfTrue="1">
      <formula>AND(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I23&lt;&gt;"",I23&lt;&gt;"not_applicable")</formula>
    </cfRule>
    <cfRule type="expression" priority="92" dxfId="1">
      <formula>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formula>
    </cfRule>
  </conditionalFormatting>
  <conditionalFormatting sqref="I24">
    <cfRule type="expression" priority="93" dxfId="0" stopIfTrue="1">
      <formula>AND(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I24&lt;&gt;"",I24&lt;&gt;"not_applicable")</formula>
    </cfRule>
    <cfRule type="expression" priority="94" dxfId="1">
      <formula>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formula>
    </cfRule>
  </conditionalFormatting>
  <conditionalFormatting sqref="I25">
    <cfRule type="expression" priority="95" dxfId="0" stopIfTrue="1">
      <formula>AND(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I25&lt;&gt;"",I25&lt;&gt;"not_applicable")</formula>
    </cfRule>
    <cfRule type="expression" priority="96" dxfId="1">
      <formula>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formula>
    </cfRule>
  </conditionalFormatting>
  <conditionalFormatting sqref="J2">
    <cfRule type="expression" priority="97" dxfId="0" stopIfTrue="1">
      <formula>AND(OR(AND(IF($D2="",INDEX(primary_jama_2024_4183_disposition,MATCH($A2,primary_jama_2024_4183_key,0)),$D2)&lt;&gt;"",IF($D2="",INDEX(primary_jama_2024_4183_disposition,MATCH($A2,primary_jama_2024_4183_key,0)),$D2)&lt;&gt;"retain"),NOT(OR(IF($E2="",INDEX(primary_jama_2024_4183_domain,MATCH($A2,primary_jama_2024_4183_key,0)),$E2)="statistical_results"))),J2&lt;&gt;"",J2&lt;&gt;"not_applicable")</formula>
    </cfRule>
    <cfRule type="expression" priority="98" dxfId="1">
      <formula>OR(AND(IF($D2="",INDEX(primary_jama_2024_4183_disposition,MATCH($A2,primary_jama_2024_4183_key,0)),$D2)&lt;&gt;"",IF($D2="",INDEX(primary_jama_2024_4183_disposition,MATCH($A2,primary_jama_2024_4183_key,0)),$D2)&lt;&gt;"retain"),NOT(OR(IF($E2="",INDEX(primary_jama_2024_4183_domain,MATCH($A2,primary_jama_2024_4183_key,0)),$E2)="statistical_results")))</formula>
    </cfRule>
  </conditionalFormatting>
  <conditionalFormatting sqref="J3">
    <cfRule type="expression" priority="99" dxfId="0" stopIfTrue="1">
      <formula>AND(OR(AND(IF($D3="",INDEX(primary_jama_2024_4183_disposition,MATCH($A3,primary_jama_2024_4183_key,0)),$D3)&lt;&gt;"",IF($D3="",INDEX(primary_jama_2024_4183_disposition,MATCH($A3,primary_jama_2024_4183_key,0)),$D3)&lt;&gt;"retain"),NOT(OR(IF($E3="",INDEX(primary_jama_2024_4183_domain,MATCH($A3,primary_jama_2024_4183_key,0)),$E3)="statistical_results"))),J3&lt;&gt;"",J3&lt;&gt;"not_applicable")</formula>
    </cfRule>
    <cfRule type="expression" priority="100" dxfId="1">
      <formula>OR(AND(IF($D3="",INDEX(primary_jama_2024_4183_disposition,MATCH($A3,primary_jama_2024_4183_key,0)),$D3)&lt;&gt;"",IF($D3="",INDEX(primary_jama_2024_4183_disposition,MATCH($A3,primary_jama_2024_4183_key,0)),$D3)&lt;&gt;"retain"),NOT(OR(IF($E3="",INDEX(primary_jama_2024_4183_domain,MATCH($A3,primary_jama_2024_4183_key,0)),$E3)="statistical_results")))</formula>
    </cfRule>
  </conditionalFormatting>
  <conditionalFormatting sqref="J4">
    <cfRule type="expression" priority="101" dxfId="0" stopIfTrue="1">
      <formula>AND(OR(AND(IF($D4="",INDEX(primary_jama_2024_4183_disposition,MATCH($A4,primary_jama_2024_4183_key,0)),$D4)&lt;&gt;"",IF($D4="",INDEX(primary_jama_2024_4183_disposition,MATCH($A4,primary_jama_2024_4183_key,0)),$D4)&lt;&gt;"retain"),NOT(OR(IF($E4="",INDEX(primary_jama_2024_4183_domain,MATCH($A4,primary_jama_2024_4183_key,0)),$E4)="statistical_results"))),J4&lt;&gt;"",J4&lt;&gt;"not_applicable")</formula>
    </cfRule>
    <cfRule type="expression" priority="102" dxfId="1">
      <formula>OR(AND(IF($D4="",INDEX(primary_jama_2024_4183_disposition,MATCH($A4,primary_jama_2024_4183_key,0)),$D4)&lt;&gt;"",IF($D4="",INDEX(primary_jama_2024_4183_disposition,MATCH($A4,primary_jama_2024_4183_key,0)),$D4)&lt;&gt;"retain"),NOT(OR(IF($E4="",INDEX(primary_jama_2024_4183_domain,MATCH($A4,primary_jama_2024_4183_key,0)),$E4)="statistical_results")))</formula>
    </cfRule>
  </conditionalFormatting>
  <conditionalFormatting sqref="J5">
    <cfRule type="expression" priority="103" dxfId="0" stopIfTrue="1">
      <formula>AND(OR(AND(IF($D5="",INDEX(primary_jama_2024_4183_disposition,MATCH($A5,primary_jama_2024_4183_key,0)),$D5)&lt;&gt;"",IF($D5="",INDEX(primary_jama_2024_4183_disposition,MATCH($A5,primary_jama_2024_4183_key,0)),$D5)&lt;&gt;"retain"),NOT(OR(IF($E5="",INDEX(primary_jama_2024_4183_domain,MATCH($A5,primary_jama_2024_4183_key,0)),$E5)="statistical_results"))),J5&lt;&gt;"",J5&lt;&gt;"not_applicable")</formula>
    </cfRule>
    <cfRule type="expression" priority="104" dxfId="1">
      <formula>OR(AND(IF($D5="",INDEX(primary_jama_2024_4183_disposition,MATCH($A5,primary_jama_2024_4183_key,0)),$D5)&lt;&gt;"",IF($D5="",INDEX(primary_jama_2024_4183_disposition,MATCH($A5,primary_jama_2024_4183_key,0)),$D5)&lt;&gt;"retain"),NOT(OR(IF($E5="",INDEX(primary_jama_2024_4183_domain,MATCH($A5,primary_jama_2024_4183_key,0)),$E5)="statistical_results")))</formula>
    </cfRule>
  </conditionalFormatting>
  <conditionalFormatting sqref="J6">
    <cfRule type="expression" priority="105" dxfId="0" stopIfTrue="1">
      <formula>AND(OR(AND(IF($D6="",INDEX(primary_jama_2024_4183_disposition,MATCH($A6,primary_jama_2024_4183_key,0)),$D6)&lt;&gt;"",IF($D6="",INDEX(primary_jama_2024_4183_disposition,MATCH($A6,primary_jama_2024_4183_key,0)),$D6)&lt;&gt;"retain"),NOT(OR(IF($E6="",INDEX(primary_jama_2024_4183_domain,MATCH($A6,primary_jama_2024_4183_key,0)),$E6)="statistical_results"))),J6&lt;&gt;"",J6&lt;&gt;"not_applicable")</formula>
    </cfRule>
    <cfRule type="expression" priority="106" dxfId="1">
      <formula>OR(AND(IF($D6="",INDEX(primary_jama_2024_4183_disposition,MATCH($A6,primary_jama_2024_4183_key,0)),$D6)&lt;&gt;"",IF($D6="",INDEX(primary_jama_2024_4183_disposition,MATCH($A6,primary_jama_2024_4183_key,0)),$D6)&lt;&gt;"retain"),NOT(OR(IF($E6="",INDEX(primary_jama_2024_4183_domain,MATCH($A6,primary_jama_2024_4183_key,0)),$E6)="statistical_results")))</formula>
    </cfRule>
  </conditionalFormatting>
  <conditionalFormatting sqref="J7">
    <cfRule type="expression" priority="107" dxfId="0" stopIfTrue="1">
      <formula>AND(OR(AND(IF($D7="",INDEX(primary_jama_2024_4183_disposition,MATCH($A7,primary_jama_2024_4183_key,0)),$D7)&lt;&gt;"",IF($D7="",INDEX(primary_jama_2024_4183_disposition,MATCH($A7,primary_jama_2024_4183_key,0)),$D7)&lt;&gt;"retain"),NOT(OR(IF($E7="",INDEX(primary_jama_2024_4183_domain,MATCH($A7,primary_jama_2024_4183_key,0)),$E7)="statistical_results"))),J7&lt;&gt;"",J7&lt;&gt;"not_applicable")</formula>
    </cfRule>
    <cfRule type="expression" priority="108" dxfId="1">
      <formula>OR(AND(IF($D7="",INDEX(primary_jama_2024_4183_disposition,MATCH($A7,primary_jama_2024_4183_key,0)),$D7)&lt;&gt;"",IF($D7="",INDEX(primary_jama_2024_4183_disposition,MATCH($A7,primary_jama_2024_4183_key,0)),$D7)&lt;&gt;"retain"),NOT(OR(IF($E7="",INDEX(primary_jama_2024_4183_domain,MATCH($A7,primary_jama_2024_4183_key,0)),$E7)="statistical_results")))</formula>
    </cfRule>
  </conditionalFormatting>
  <conditionalFormatting sqref="J8">
    <cfRule type="expression" priority="109" dxfId="0" stopIfTrue="1">
      <formula>AND(OR(AND(IF($D8="",INDEX(primary_jama_2024_4183_disposition,MATCH($A8,primary_jama_2024_4183_key,0)),$D8)&lt;&gt;"",IF($D8="",INDEX(primary_jama_2024_4183_disposition,MATCH($A8,primary_jama_2024_4183_key,0)),$D8)&lt;&gt;"retain"),NOT(OR(IF($E8="",INDEX(primary_jama_2024_4183_domain,MATCH($A8,primary_jama_2024_4183_key,0)),$E8)="statistical_results"))),J8&lt;&gt;"",J8&lt;&gt;"not_applicable")</formula>
    </cfRule>
    <cfRule type="expression" priority="110" dxfId="1">
      <formula>OR(AND(IF($D8="",INDEX(primary_jama_2024_4183_disposition,MATCH($A8,primary_jama_2024_4183_key,0)),$D8)&lt;&gt;"",IF($D8="",INDEX(primary_jama_2024_4183_disposition,MATCH($A8,primary_jama_2024_4183_key,0)),$D8)&lt;&gt;"retain"),NOT(OR(IF($E8="",INDEX(primary_jama_2024_4183_domain,MATCH($A8,primary_jama_2024_4183_key,0)),$E8)="statistical_results")))</formula>
    </cfRule>
  </conditionalFormatting>
  <conditionalFormatting sqref="J9">
    <cfRule type="expression" priority="111" dxfId="0" stopIfTrue="1">
      <formula>AND(OR(AND(IF($D9="",INDEX(primary_jama_2024_4183_disposition,MATCH($A9,primary_jama_2024_4183_key,0)),$D9)&lt;&gt;"",IF($D9="",INDEX(primary_jama_2024_4183_disposition,MATCH($A9,primary_jama_2024_4183_key,0)),$D9)&lt;&gt;"retain"),NOT(OR(IF($E9="",INDEX(primary_jama_2024_4183_domain,MATCH($A9,primary_jama_2024_4183_key,0)),$E9)="statistical_results"))),J9&lt;&gt;"",J9&lt;&gt;"not_applicable")</formula>
    </cfRule>
    <cfRule type="expression" priority="112" dxfId="1">
      <formula>OR(AND(IF($D9="",INDEX(primary_jama_2024_4183_disposition,MATCH($A9,primary_jama_2024_4183_key,0)),$D9)&lt;&gt;"",IF($D9="",INDEX(primary_jama_2024_4183_disposition,MATCH($A9,primary_jama_2024_4183_key,0)),$D9)&lt;&gt;"retain"),NOT(OR(IF($E9="",INDEX(primary_jama_2024_4183_domain,MATCH($A9,primary_jama_2024_4183_key,0)),$E9)="statistical_results")))</formula>
    </cfRule>
  </conditionalFormatting>
  <conditionalFormatting sqref="J10">
    <cfRule type="expression" priority="113" dxfId="0" stopIfTrue="1">
      <formula>AND(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J10&lt;&gt;"",J10&lt;&gt;"not_applicable")</formula>
    </cfRule>
    <cfRule type="expression" priority="114" dxfId="1">
      <formula>OR(AND(IF($D10="",INDEX(primary_jama_2024_4183_disposition,MATCH($A10,primary_jama_2024_4183_key,0)),$D10)&lt;&gt;"",IF($D10="",INDEX(primary_jama_2024_4183_disposition,MATCH($A10,primary_jama_2024_4183_key,0)),$D10)&lt;&gt;"retain"),NOT(OR(IF($E10="",INDEX(primary_jama_2024_4183_domain,MATCH($A10,primary_jama_2024_4183_key,0)),$E10)="statistical_results")))</formula>
    </cfRule>
  </conditionalFormatting>
  <conditionalFormatting sqref="J11">
    <cfRule type="expression" priority="115" dxfId="0" stopIfTrue="1">
      <formula>AND(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J11&lt;&gt;"",J11&lt;&gt;"not_applicable")</formula>
    </cfRule>
    <cfRule type="expression" priority="116" dxfId="1">
      <formula>OR(AND(IF($D11="",INDEX(primary_jama_2024_4183_disposition,MATCH($A11,primary_jama_2024_4183_key,0)),$D11)&lt;&gt;"",IF($D11="",INDEX(primary_jama_2024_4183_disposition,MATCH($A11,primary_jama_2024_4183_key,0)),$D11)&lt;&gt;"retain"),NOT(OR(IF($E11="",INDEX(primary_jama_2024_4183_domain,MATCH($A11,primary_jama_2024_4183_key,0)),$E11)="statistical_results")))</formula>
    </cfRule>
  </conditionalFormatting>
  <conditionalFormatting sqref="J12">
    <cfRule type="expression" priority="117" dxfId="0" stopIfTrue="1">
      <formula>AND(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J12&lt;&gt;"",J12&lt;&gt;"not_applicable")</formula>
    </cfRule>
    <cfRule type="expression" priority="118" dxfId="1">
      <formula>OR(AND(IF($D12="",INDEX(primary_jama_2024_4183_disposition,MATCH($A12,primary_jama_2024_4183_key,0)),$D12)&lt;&gt;"",IF($D12="",INDEX(primary_jama_2024_4183_disposition,MATCH($A12,primary_jama_2024_4183_key,0)),$D12)&lt;&gt;"retain"),NOT(OR(IF($E12="",INDEX(primary_jama_2024_4183_domain,MATCH($A12,primary_jama_2024_4183_key,0)),$E12)="statistical_results")))</formula>
    </cfRule>
  </conditionalFormatting>
  <conditionalFormatting sqref="J13">
    <cfRule type="expression" priority="119" dxfId="0" stopIfTrue="1">
      <formula>AND(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J13&lt;&gt;"",J13&lt;&gt;"not_applicable")</formula>
    </cfRule>
    <cfRule type="expression" priority="120" dxfId="1">
      <formula>OR(AND(IF($D13="",INDEX(primary_jama_2024_4183_disposition,MATCH($A13,primary_jama_2024_4183_key,0)),$D13)&lt;&gt;"",IF($D13="",INDEX(primary_jama_2024_4183_disposition,MATCH($A13,primary_jama_2024_4183_key,0)),$D13)&lt;&gt;"retain"),NOT(OR(IF($E13="",INDEX(primary_jama_2024_4183_domain,MATCH($A13,primary_jama_2024_4183_key,0)),$E13)="statistical_results")))</formula>
    </cfRule>
  </conditionalFormatting>
  <conditionalFormatting sqref="J14">
    <cfRule type="expression" priority="121" dxfId="0" stopIfTrue="1">
      <formula>AND(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J14&lt;&gt;"",J14&lt;&gt;"not_applicable")</formula>
    </cfRule>
    <cfRule type="expression" priority="122" dxfId="1">
      <formula>OR(AND(IF($D14="",INDEX(primary_jama_2024_4183_disposition,MATCH($A14,primary_jama_2024_4183_key,0)),$D14)&lt;&gt;"",IF($D14="",INDEX(primary_jama_2024_4183_disposition,MATCH($A14,primary_jama_2024_4183_key,0)),$D14)&lt;&gt;"retain"),NOT(OR(IF($E14="",INDEX(primary_jama_2024_4183_domain,MATCH($A14,primary_jama_2024_4183_key,0)),$E14)="statistical_results")))</formula>
    </cfRule>
  </conditionalFormatting>
  <conditionalFormatting sqref="J15">
    <cfRule type="expression" priority="123" dxfId="0" stopIfTrue="1">
      <formula>AND(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J15&lt;&gt;"",J15&lt;&gt;"not_applicable")</formula>
    </cfRule>
    <cfRule type="expression" priority="124" dxfId="1">
      <formula>OR(AND(IF($D15="",INDEX(primary_jama_2024_4183_disposition,MATCH($A15,primary_jama_2024_4183_key,0)),$D15)&lt;&gt;"",IF($D15="",INDEX(primary_jama_2024_4183_disposition,MATCH($A15,primary_jama_2024_4183_key,0)),$D15)&lt;&gt;"retain"),NOT(OR(IF($E15="",INDEX(primary_jama_2024_4183_domain,MATCH($A15,primary_jama_2024_4183_key,0)),$E15)="statistical_results")))</formula>
    </cfRule>
  </conditionalFormatting>
  <conditionalFormatting sqref="J16">
    <cfRule type="expression" priority="125" dxfId="0" stopIfTrue="1">
      <formula>AND(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J16&lt;&gt;"",J16&lt;&gt;"not_applicable")</formula>
    </cfRule>
    <cfRule type="expression" priority="126" dxfId="1">
      <formula>OR(AND(IF($D16="",INDEX(primary_jama_2024_4183_disposition,MATCH($A16,primary_jama_2024_4183_key,0)),$D16)&lt;&gt;"",IF($D16="",INDEX(primary_jama_2024_4183_disposition,MATCH($A16,primary_jama_2024_4183_key,0)),$D16)&lt;&gt;"retain"),NOT(OR(IF($E16="",INDEX(primary_jama_2024_4183_domain,MATCH($A16,primary_jama_2024_4183_key,0)),$E16)="statistical_results")))</formula>
    </cfRule>
  </conditionalFormatting>
  <conditionalFormatting sqref="J17">
    <cfRule type="expression" priority="127" dxfId="0" stopIfTrue="1">
      <formula>AND(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J17&lt;&gt;"",J17&lt;&gt;"not_applicable")</formula>
    </cfRule>
    <cfRule type="expression" priority="128" dxfId="1">
      <formula>OR(AND(IF($D17="",INDEX(primary_jama_2024_4183_disposition,MATCH($A17,primary_jama_2024_4183_key,0)),$D17)&lt;&gt;"",IF($D17="",INDEX(primary_jama_2024_4183_disposition,MATCH($A17,primary_jama_2024_4183_key,0)),$D17)&lt;&gt;"retain"),NOT(OR(IF($E17="",INDEX(primary_jama_2024_4183_domain,MATCH($A17,primary_jama_2024_4183_key,0)),$E17)="statistical_results")))</formula>
    </cfRule>
  </conditionalFormatting>
  <conditionalFormatting sqref="J18">
    <cfRule type="expression" priority="129" dxfId="0" stopIfTrue="1">
      <formula>AND(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J18&lt;&gt;"",J18&lt;&gt;"not_applicable")</formula>
    </cfRule>
    <cfRule type="expression" priority="130" dxfId="1">
      <formula>OR(AND(IF($D18="",INDEX(primary_jama_2024_4183_disposition,MATCH($A18,primary_jama_2024_4183_key,0)),$D18)&lt;&gt;"",IF($D18="",INDEX(primary_jama_2024_4183_disposition,MATCH($A18,primary_jama_2024_4183_key,0)),$D18)&lt;&gt;"retain"),NOT(OR(IF($E18="",INDEX(primary_jama_2024_4183_domain,MATCH($A18,primary_jama_2024_4183_key,0)),$E18)="statistical_results")))</formula>
    </cfRule>
  </conditionalFormatting>
  <conditionalFormatting sqref="J19">
    <cfRule type="expression" priority="131" dxfId="0" stopIfTrue="1">
      <formula>AND(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J19&lt;&gt;"",J19&lt;&gt;"not_applicable")</formula>
    </cfRule>
    <cfRule type="expression" priority="132" dxfId="1">
      <formula>OR(AND(IF($D19="",INDEX(primary_jama_2024_4183_disposition,MATCH($A19,primary_jama_2024_4183_key,0)),$D19)&lt;&gt;"",IF($D19="",INDEX(primary_jama_2024_4183_disposition,MATCH($A19,primary_jama_2024_4183_key,0)),$D19)&lt;&gt;"retain"),NOT(OR(IF($E19="",INDEX(primary_jama_2024_4183_domain,MATCH($A19,primary_jama_2024_4183_key,0)),$E19)="statistical_results")))</formula>
    </cfRule>
  </conditionalFormatting>
  <conditionalFormatting sqref="J20">
    <cfRule type="expression" priority="133" dxfId="0" stopIfTrue="1">
      <formula>AND(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J20&lt;&gt;"",J20&lt;&gt;"not_applicable")</formula>
    </cfRule>
    <cfRule type="expression" priority="134" dxfId="1">
      <formula>OR(AND(IF($D20="",INDEX(primary_jama_2024_4183_disposition,MATCH($A20,primary_jama_2024_4183_key,0)),$D20)&lt;&gt;"",IF($D20="",INDEX(primary_jama_2024_4183_disposition,MATCH($A20,primary_jama_2024_4183_key,0)),$D20)&lt;&gt;"retain"),NOT(OR(IF($E20="",INDEX(primary_jama_2024_4183_domain,MATCH($A20,primary_jama_2024_4183_key,0)),$E20)="statistical_results")))</formula>
    </cfRule>
  </conditionalFormatting>
  <conditionalFormatting sqref="J21">
    <cfRule type="expression" priority="135" dxfId="0" stopIfTrue="1">
      <formula>AND(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J21&lt;&gt;"",J21&lt;&gt;"not_applicable")</formula>
    </cfRule>
    <cfRule type="expression" priority="136" dxfId="1">
      <formula>OR(AND(IF($D21="",INDEX(primary_jama_2024_4183_disposition,MATCH($A21,primary_jama_2024_4183_key,0)),$D21)&lt;&gt;"",IF($D21="",INDEX(primary_jama_2024_4183_disposition,MATCH($A21,primary_jama_2024_4183_key,0)),$D21)&lt;&gt;"retain"),NOT(OR(IF($E21="",INDEX(primary_jama_2024_4183_domain,MATCH($A21,primary_jama_2024_4183_key,0)),$E21)="statistical_results")))</formula>
    </cfRule>
  </conditionalFormatting>
  <conditionalFormatting sqref="J22">
    <cfRule type="expression" priority="137" dxfId="0" stopIfTrue="1">
      <formula>AND(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J22&lt;&gt;"",J22&lt;&gt;"not_applicable")</formula>
    </cfRule>
    <cfRule type="expression" priority="138" dxfId="1">
      <formula>OR(AND(IF($D22="",INDEX(primary_jama_2024_4183_disposition,MATCH($A22,primary_jama_2024_4183_key,0)),$D22)&lt;&gt;"",IF($D22="",INDEX(primary_jama_2024_4183_disposition,MATCH($A22,primary_jama_2024_4183_key,0)),$D22)&lt;&gt;"retain"),NOT(OR(IF($E22="",INDEX(primary_jama_2024_4183_domain,MATCH($A22,primary_jama_2024_4183_key,0)),$E22)="statistical_results")))</formula>
    </cfRule>
  </conditionalFormatting>
  <conditionalFormatting sqref="J23">
    <cfRule type="expression" priority="139" dxfId="0" stopIfTrue="1">
      <formula>AND(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J23&lt;&gt;"",J23&lt;&gt;"not_applicable")</formula>
    </cfRule>
    <cfRule type="expression" priority="140" dxfId="1">
      <formula>OR(AND(IF($D23="",INDEX(primary_jama_2024_4183_disposition,MATCH($A23,primary_jama_2024_4183_key,0)),$D23)&lt;&gt;"",IF($D23="",INDEX(primary_jama_2024_4183_disposition,MATCH($A23,primary_jama_2024_4183_key,0)),$D23)&lt;&gt;"retain"),NOT(OR(IF($E23="",INDEX(primary_jama_2024_4183_domain,MATCH($A23,primary_jama_2024_4183_key,0)),$E23)="statistical_results")))</formula>
    </cfRule>
  </conditionalFormatting>
  <conditionalFormatting sqref="J24">
    <cfRule type="expression" priority="141" dxfId="0" stopIfTrue="1">
      <formula>AND(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J24&lt;&gt;"",J24&lt;&gt;"not_applicable")</formula>
    </cfRule>
    <cfRule type="expression" priority="142" dxfId="1">
      <formula>OR(AND(IF($D24="",INDEX(primary_jama_2024_4183_disposition,MATCH($A24,primary_jama_2024_4183_key,0)),$D24)&lt;&gt;"",IF($D24="",INDEX(primary_jama_2024_4183_disposition,MATCH($A24,primary_jama_2024_4183_key,0)),$D24)&lt;&gt;"retain"),NOT(OR(IF($E24="",INDEX(primary_jama_2024_4183_domain,MATCH($A24,primary_jama_2024_4183_key,0)),$E24)="statistical_results")))</formula>
    </cfRule>
  </conditionalFormatting>
  <conditionalFormatting sqref="J25">
    <cfRule type="expression" priority="143" dxfId="0" stopIfTrue="1">
      <formula>AND(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J25&lt;&gt;"",J25&lt;&gt;"not_applicable")</formula>
    </cfRule>
    <cfRule type="expression" priority="144" dxfId="1">
      <formula>OR(AND(IF($D25="",INDEX(primary_jama_2024_4183_disposition,MATCH($A25,primary_jama_2024_4183_key,0)),$D25)&lt;&gt;"",IF($D25="",INDEX(primary_jama_2024_4183_disposition,MATCH($A25,primary_jama_2024_4183_key,0)),$D25)&lt;&gt;"retain"),NOT(OR(IF($E25="",INDEX(primary_jama_2024_4183_domain,MATCH($A25,primary_jama_2024_4183_key,0)),$E25)="statistical_results")))</formula>
    </cfRule>
  </conditionalFormatting>
  <conditionalFormatting sqref="K2">
    <cfRule type="expression" priority="145" dxfId="0" stopIfTrue="1">
      <formula>AND(OR(AND(IF($D2="",INDEX(primary_jama_2024_4183_disposition,MATCH($A2,primary_jama_2024_4183_key,0)),$D2)&lt;&gt;"",IF($D2="",INDEX(primary_jama_2024_4183_disposition,MATCH($A2,primary_jama_2024_4183_key,0)),$D2)&lt;&gt;"retain"),NOT(OR(IF($E2="",INDEX(primary_jama_2024_4183_domain,MATCH($A2,primary_jama_2024_4183_key,0)),$E2)="internal_nonstatistical",IF($E2="",INDEX(primary_jama_2024_4183_domain,MATCH($A2,primary_jama_2024_4183_key,0)),$E2)="plan_material"))),K2&lt;&gt;"",K2&lt;&gt;"not_applicable")</formula>
    </cfRule>
    <cfRule type="expression" priority="146" dxfId="1">
      <formula>OR(AND(IF($D2="",INDEX(primary_jama_2024_4183_disposition,MATCH($A2,primary_jama_2024_4183_key,0)),$D2)&lt;&gt;"",IF($D2="",INDEX(primary_jama_2024_4183_disposition,MATCH($A2,primary_jama_2024_4183_key,0)),$D2)&lt;&gt;"retain"),NOT(OR(IF($E2="",INDEX(primary_jama_2024_4183_domain,MATCH($A2,primary_jama_2024_4183_key,0)),$E2)="internal_nonstatistical",IF($E2="",INDEX(primary_jama_2024_4183_domain,MATCH($A2,primary_jama_2024_4183_key,0)),$E2)="plan_material")))</formula>
    </cfRule>
  </conditionalFormatting>
  <conditionalFormatting sqref="K3">
    <cfRule type="expression" priority="147" dxfId="0" stopIfTrue="1">
      <formula>AND(OR(AND(IF($D3="",INDEX(primary_jama_2024_4183_disposition,MATCH($A3,primary_jama_2024_4183_key,0)),$D3)&lt;&gt;"",IF($D3="",INDEX(primary_jama_2024_4183_disposition,MATCH($A3,primary_jama_2024_4183_key,0)),$D3)&lt;&gt;"retain"),NOT(OR(IF($E3="",INDEX(primary_jama_2024_4183_domain,MATCH($A3,primary_jama_2024_4183_key,0)),$E3)="internal_nonstatistical",IF($E3="",INDEX(primary_jama_2024_4183_domain,MATCH($A3,primary_jama_2024_4183_key,0)),$E3)="plan_material"))),K3&lt;&gt;"",K3&lt;&gt;"not_applicable")</formula>
    </cfRule>
    <cfRule type="expression" priority="148" dxfId="1">
      <formula>OR(AND(IF($D3="",INDEX(primary_jama_2024_4183_disposition,MATCH($A3,primary_jama_2024_4183_key,0)),$D3)&lt;&gt;"",IF($D3="",INDEX(primary_jama_2024_4183_disposition,MATCH($A3,primary_jama_2024_4183_key,0)),$D3)&lt;&gt;"retain"),NOT(OR(IF($E3="",INDEX(primary_jama_2024_4183_domain,MATCH($A3,primary_jama_2024_4183_key,0)),$E3)="internal_nonstatistical",IF($E3="",INDEX(primary_jama_2024_4183_domain,MATCH($A3,primary_jama_2024_4183_key,0)),$E3)="plan_material")))</formula>
    </cfRule>
  </conditionalFormatting>
  <conditionalFormatting sqref="K4">
    <cfRule type="expression" priority="149" dxfId="0" stopIfTrue="1">
      <formula>AND(OR(AND(IF($D4="",INDEX(primary_jama_2024_4183_disposition,MATCH($A4,primary_jama_2024_4183_key,0)),$D4)&lt;&gt;"",IF($D4="",INDEX(primary_jama_2024_4183_disposition,MATCH($A4,primary_jama_2024_4183_key,0)),$D4)&lt;&gt;"retain"),NOT(OR(IF($E4="",INDEX(primary_jama_2024_4183_domain,MATCH($A4,primary_jama_2024_4183_key,0)),$E4)="internal_nonstatistical",IF($E4="",INDEX(primary_jama_2024_4183_domain,MATCH($A4,primary_jama_2024_4183_key,0)),$E4)="plan_material"))),K4&lt;&gt;"",K4&lt;&gt;"not_applicable")</formula>
    </cfRule>
    <cfRule type="expression" priority="150" dxfId="1">
      <formula>OR(AND(IF($D4="",INDEX(primary_jama_2024_4183_disposition,MATCH($A4,primary_jama_2024_4183_key,0)),$D4)&lt;&gt;"",IF($D4="",INDEX(primary_jama_2024_4183_disposition,MATCH($A4,primary_jama_2024_4183_key,0)),$D4)&lt;&gt;"retain"),NOT(OR(IF($E4="",INDEX(primary_jama_2024_4183_domain,MATCH($A4,primary_jama_2024_4183_key,0)),$E4)="internal_nonstatistical",IF($E4="",INDEX(primary_jama_2024_4183_domain,MATCH($A4,primary_jama_2024_4183_key,0)),$E4)="plan_material")))</formula>
    </cfRule>
  </conditionalFormatting>
  <conditionalFormatting sqref="K5">
    <cfRule type="expression" priority="151" dxfId="0" stopIfTrue="1">
      <formula>AND(OR(AND(IF($D5="",INDEX(primary_jama_2024_4183_disposition,MATCH($A5,primary_jama_2024_4183_key,0)),$D5)&lt;&gt;"",IF($D5="",INDEX(primary_jama_2024_4183_disposition,MATCH($A5,primary_jama_2024_4183_key,0)),$D5)&lt;&gt;"retain"),NOT(OR(IF($E5="",INDEX(primary_jama_2024_4183_domain,MATCH($A5,primary_jama_2024_4183_key,0)),$E5)="internal_nonstatistical",IF($E5="",INDEX(primary_jama_2024_4183_domain,MATCH($A5,primary_jama_2024_4183_key,0)),$E5)="plan_material"))),K5&lt;&gt;"",K5&lt;&gt;"not_applicable")</formula>
    </cfRule>
    <cfRule type="expression" priority="152" dxfId="1">
      <formula>OR(AND(IF($D5="",INDEX(primary_jama_2024_4183_disposition,MATCH($A5,primary_jama_2024_4183_key,0)),$D5)&lt;&gt;"",IF($D5="",INDEX(primary_jama_2024_4183_disposition,MATCH($A5,primary_jama_2024_4183_key,0)),$D5)&lt;&gt;"retain"),NOT(OR(IF($E5="",INDEX(primary_jama_2024_4183_domain,MATCH($A5,primary_jama_2024_4183_key,0)),$E5)="internal_nonstatistical",IF($E5="",INDEX(primary_jama_2024_4183_domain,MATCH($A5,primary_jama_2024_4183_key,0)),$E5)="plan_material")))</formula>
    </cfRule>
  </conditionalFormatting>
  <conditionalFormatting sqref="K6">
    <cfRule type="expression" priority="153" dxfId="0" stopIfTrue="1">
      <formula>AND(OR(AND(IF($D6="",INDEX(primary_jama_2024_4183_disposition,MATCH($A6,primary_jama_2024_4183_key,0)),$D6)&lt;&gt;"",IF($D6="",INDEX(primary_jama_2024_4183_disposition,MATCH($A6,primary_jama_2024_4183_key,0)),$D6)&lt;&gt;"retain"),NOT(OR(IF($E6="",INDEX(primary_jama_2024_4183_domain,MATCH($A6,primary_jama_2024_4183_key,0)),$E6)="internal_nonstatistical",IF($E6="",INDEX(primary_jama_2024_4183_domain,MATCH($A6,primary_jama_2024_4183_key,0)),$E6)="plan_material"))),K6&lt;&gt;"",K6&lt;&gt;"not_applicable")</formula>
    </cfRule>
    <cfRule type="expression" priority="154" dxfId="1">
      <formula>OR(AND(IF($D6="",INDEX(primary_jama_2024_4183_disposition,MATCH($A6,primary_jama_2024_4183_key,0)),$D6)&lt;&gt;"",IF($D6="",INDEX(primary_jama_2024_4183_disposition,MATCH($A6,primary_jama_2024_4183_key,0)),$D6)&lt;&gt;"retain"),NOT(OR(IF($E6="",INDEX(primary_jama_2024_4183_domain,MATCH($A6,primary_jama_2024_4183_key,0)),$E6)="internal_nonstatistical",IF($E6="",INDEX(primary_jama_2024_4183_domain,MATCH($A6,primary_jama_2024_4183_key,0)),$E6)="plan_material")))</formula>
    </cfRule>
  </conditionalFormatting>
  <conditionalFormatting sqref="K7">
    <cfRule type="expression" priority="155" dxfId="0" stopIfTrue="1">
      <formula>AND(OR(AND(IF($D7="",INDEX(primary_jama_2024_4183_disposition,MATCH($A7,primary_jama_2024_4183_key,0)),$D7)&lt;&gt;"",IF($D7="",INDEX(primary_jama_2024_4183_disposition,MATCH($A7,primary_jama_2024_4183_key,0)),$D7)&lt;&gt;"retain"),NOT(OR(IF($E7="",INDEX(primary_jama_2024_4183_domain,MATCH($A7,primary_jama_2024_4183_key,0)),$E7)="internal_nonstatistical",IF($E7="",INDEX(primary_jama_2024_4183_domain,MATCH($A7,primary_jama_2024_4183_key,0)),$E7)="plan_material"))),K7&lt;&gt;"",K7&lt;&gt;"not_applicable")</formula>
    </cfRule>
    <cfRule type="expression" priority="156" dxfId="1">
      <formula>OR(AND(IF($D7="",INDEX(primary_jama_2024_4183_disposition,MATCH($A7,primary_jama_2024_4183_key,0)),$D7)&lt;&gt;"",IF($D7="",INDEX(primary_jama_2024_4183_disposition,MATCH($A7,primary_jama_2024_4183_key,0)),$D7)&lt;&gt;"retain"),NOT(OR(IF($E7="",INDEX(primary_jama_2024_4183_domain,MATCH($A7,primary_jama_2024_4183_key,0)),$E7)="internal_nonstatistical",IF($E7="",INDEX(primary_jama_2024_4183_domain,MATCH($A7,primary_jama_2024_4183_key,0)),$E7)="plan_material")))</formula>
    </cfRule>
  </conditionalFormatting>
  <conditionalFormatting sqref="K8">
    <cfRule type="expression" priority="157" dxfId="0" stopIfTrue="1">
      <formula>AND(OR(AND(IF($D8="",INDEX(primary_jama_2024_4183_disposition,MATCH($A8,primary_jama_2024_4183_key,0)),$D8)&lt;&gt;"",IF($D8="",INDEX(primary_jama_2024_4183_disposition,MATCH($A8,primary_jama_2024_4183_key,0)),$D8)&lt;&gt;"retain"),NOT(OR(IF($E8="",INDEX(primary_jama_2024_4183_domain,MATCH($A8,primary_jama_2024_4183_key,0)),$E8)="internal_nonstatistical",IF($E8="",INDEX(primary_jama_2024_4183_domain,MATCH($A8,primary_jama_2024_4183_key,0)),$E8)="plan_material"))),K8&lt;&gt;"",K8&lt;&gt;"not_applicable")</formula>
    </cfRule>
    <cfRule type="expression" priority="158" dxfId="1">
      <formula>OR(AND(IF($D8="",INDEX(primary_jama_2024_4183_disposition,MATCH($A8,primary_jama_2024_4183_key,0)),$D8)&lt;&gt;"",IF($D8="",INDEX(primary_jama_2024_4183_disposition,MATCH($A8,primary_jama_2024_4183_key,0)),$D8)&lt;&gt;"retain"),NOT(OR(IF($E8="",INDEX(primary_jama_2024_4183_domain,MATCH($A8,primary_jama_2024_4183_key,0)),$E8)="internal_nonstatistical",IF($E8="",INDEX(primary_jama_2024_4183_domain,MATCH($A8,primary_jama_2024_4183_key,0)),$E8)="plan_material")))</formula>
    </cfRule>
  </conditionalFormatting>
  <conditionalFormatting sqref="K9">
    <cfRule type="expression" priority="159" dxfId="0" stopIfTrue="1">
      <formula>AND(OR(AND(IF($D9="",INDEX(primary_jama_2024_4183_disposition,MATCH($A9,primary_jama_2024_4183_key,0)),$D9)&lt;&gt;"",IF($D9="",INDEX(primary_jama_2024_4183_disposition,MATCH($A9,primary_jama_2024_4183_key,0)),$D9)&lt;&gt;"retain"),NOT(OR(IF($E9="",INDEX(primary_jama_2024_4183_domain,MATCH($A9,primary_jama_2024_4183_key,0)),$E9)="internal_nonstatistical",IF($E9="",INDEX(primary_jama_2024_4183_domain,MATCH($A9,primary_jama_2024_4183_key,0)),$E9)="plan_material"))),K9&lt;&gt;"",K9&lt;&gt;"not_applicable")</formula>
    </cfRule>
    <cfRule type="expression" priority="160" dxfId="1">
      <formula>OR(AND(IF($D9="",INDEX(primary_jama_2024_4183_disposition,MATCH($A9,primary_jama_2024_4183_key,0)),$D9)&lt;&gt;"",IF($D9="",INDEX(primary_jama_2024_4183_disposition,MATCH($A9,primary_jama_2024_4183_key,0)),$D9)&lt;&gt;"retain"),NOT(OR(IF($E9="",INDEX(primary_jama_2024_4183_domain,MATCH($A9,primary_jama_2024_4183_key,0)),$E9)="internal_nonstatistical",IF($E9="",INDEX(primary_jama_2024_4183_domain,MATCH($A9,primary_jama_2024_4183_key,0)),$E9)="plan_material")))</formula>
    </cfRule>
  </conditionalFormatting>
  <conditionalFormatting sqref="K10">
    <cfRule type="expression" priority="161" dxfId="0" stopIfTrue="1">
      <formula>AND(OR(AND(IF($D10="",INDEX(primary_jama_2024_4183_disposition,MATCH($A10,primary_jama_2024_4183_key,0)),$D10)&lt;&gt;"",IF($D10="",INDEX(primary_jama_2024_4183_disposition,MATCH($A10,primary_jama_2024_4183_key,0)),$D10)&lt;&gt;"retain"),NOT(OR(IF($E10="",INDEX(primary_jama_2024_4183_domain,MATCH($A10,primary_jama_2024_4183_key,0)),$E10)="internal_nonstatistical",IF($E10="",INDEX(primary_jama_2024_4183_domain,MATCH($A10,primary_jama_2024_4183_key,0)),$E10)="plan_material"))),K10&lt;&gt;"",K10&lt;&gt;"not_applicable")</formula>
    </cfRule>
    <cfRule type="expression" priority="162" dxfId="1">
      <formula>OR(AND(IF($D10="",INDEX(primary_jama_2024_4183_disposition,MATCH($A10,primary_jama_2024_4183_key,0)),$D10)&lt;&gt;"",IF($D10="",INDEX(primary_jama_2024_4183_disposition,MATCH($A10,primary_jama_2024_4183_key,0)),$D10)&lt;&gt;"retain"),NOT(OR(IF($E10="",INDEX(primary_jama_2024_4183_domain,MATCH($A10,primary_jama_2024_4183_key,0)),$E10)="internal_nonstatistical",IF($E10="",INDEX(primary_jama_2024_4183_domain,MATCH($A10,primary_jama_2024_4183_key,0)),$E10)="plan_material")))</formula>
    </cfRule>
  </conditionalFormatting>
  <conditionalFormatting sqref="K11">
    <cfRule type="expression" priority="163" dxfId="0" stopIfTrue="1">
      <formula>AND(OR(AND(IF($D11="",INDEX(primary_jama_2024_4183_disposition,MATCH($A11,primary_jama_2024_4183_key,0)),$D11)&lt;&gt;"",IF($D11="",INDEX(primary_jama_2024_4183_disposition,MATCH($A11,primary_jama_2024_4183_key,0)),$D11)&lt;&gt;"retain"),NOT(OR(IF($E11="",INDEX(primary_jama_2024_4183_domain,MATCH($A11,primary_jama_2024_4183_key,0)),$E11)="internal_nonstatistical",IF($E11="",INDEX(primary_jama_2024_4183_domain,MATCH($A11,primary_jama_2024_4183_key,0)),$E11)="plan_material"))),K11&lt;&gt;"",K11&lt;&gt;"not_applicable")</formula>
    </cfRule>
    <cfRule type="expression" priority="164" dxfId="1">
      <formula>OR(AND(IF($D11="",INDEX(primary_jama_2024_4183_disposition,MATCH($A11,primary_jama_2024_4183_key,0)),$D11)&lt;&gt;"",IF($D11="",INDEX(primary_jama_2024_4183_disposition,MATCH($A11,primary_jama_2024_4183_key,0)),$D11)&lt;&gt;"retain"),NOT(OR(IF($E11="",INDEX(primary_jama_2024_4183_domain,MATCH($A11,primary_jama_2024_4183_key,0)),$E11)="internal_nonstatistical",IF($E11="",INDEX(primary_jama_2024_4183_domain,MATCH($A11,primary_jama_2024_4183_key,0)),$E11)="plan_material")))</formula>
    </cfRule>
  </conditionalFormatting>
  <conditionalFormatting sqref="K12">
    <cfRule type="expression" priority="165" dxfId="0" stopIfTrue="1">
      <formula>AND(OR(AND(IF($D12="",INDEX(primary_jama_2024_4183_disposition,MATCH($A12,primary_jama_2024_4183_key,0)),$D12)&lt;&gt;"",IF($D12="",INDEX(primary_jama_2024_4183_disposition,MATCH($A12,primary_jama_2024_4183_key,0)),$D12)&lt;&gt;"retain"),NOT(OR(IF($E12="",INDEX(primary_jama_2024_4183_domain,MATCH($A12,primary_jama_2024_4183_key,0)),$E12)="internal_nonstatistical",IF($E12="",INDEX(primary_jama_2024_4183_domain,MATCH($A12,primary_jama_2024_4183_key,0)),$E12)="plan_material"))),K12&lt;&gt;"",K12&lt;&gt;"not_applicable")</formula>
    </cfRule>
    <cfRule type="expression" priority="166" dxfId="1">
      <formula>OR(AND(IF($D12="",INDEX(primary_jama_2024_4183_disposition,MATCH($A12,primary_jama_2024_4183_key,0)),$D12)&lt;&gt;"",IF($D12="",INDEX(primary_jama_2024_4183_disposition,MATCH($A12,primary_jama_2024_4183_key,0)),$D12)&lt;&gt;"retain"),NOT(OR(IF($E12="",INDEX(primary_jama_2024_4183_domain,MATCH($A12,primary_jama_2024_4183_key,0)),$E12)="internal_nonstatistical",IF($E12="",INDEX(primary_jama_2024_4183_domain,MATCH($A12,primary_jama_2024_4183_key,0)),$E12)="plan_material")))</formula>
    </cfRule>
  </conditionalFormatting>
  <conditionalFormatting sqref="K13">
    <cfRule type="expression" priority="167" dxfId="0" stopIfTrue="1">
      <formula>AND(OR(AND(IF($D13="",INDEX(primary_jama_2024_4183_disposition,MATCH($A13,primary_jama_2024_4183_key,0)),$D13)&lt;&gt;"",IF($D13="",INDEX(primary_jama_2024_4183_disposition,MATCH($A13,primary_jama_2024_4183_key,0)),$D13)&lt;&gt;"retain"),NOT(OR(IF($E13="",INDEX(primary_jama_2024_4183_domain,MATCH($A13,primary_jama_2024_4183_key,0)),$E13)="internal_nonstatistical",IF($E13="",INDEX(primary_jama_2024_4183_domain,MATCH($A13,primary_jama_2024_4183_key,0)),$E13)="plan_material"))),K13&lt;&gt;"",K13&lt;&gt;"not_applicable")</formula>
    </cfRule>
    <cfRule type="expression" priority="168" dxfId="1">
      <formula>OR(AND(IF($D13="",INDEX(primary_jama_2024_4183_disposition,MATCH($A13,primary_jama_2024_4183_key,0)),$D13)&lt;&gt;"",IF($D13="",INDEX(primary_jama_2024_4183_disposition,MATCH($A13,primary_jama_2024_4183_key,0)),$D13)&lt;&gt;"retain"),NOT(OR(IF($E13="",INDEX(primary_jama_2024_4183_domain,MATCH($A13,primary_jama_2024_4183_key,0)),$E13)="internal_nonstatistical",IF($E13="",INDEX(primary_jama_2024_4183_domain,MATCH($A13,primary_jama_2024_4183_key,0)),$E13)="plan_material")))</formula>
    </cfRule>
  </conditionalFormatting>
  <conditionalFormatting sqref="K14">
    <cfRule type="expression" priority="169" dxfId="0" stopIfTrue="1">
      <formula>AND(OR(AND(IF($D14="",INDEX(primary_jama_2024_4183_disposition,MATCH($A14,primary_jama_2024_4183_key,0)),$D14)&lt;&gt;"",IF($D14="",INDEX(primary_jama_2024_4183_disposition,MATCH($A14,primary_jama_2024_4183_key,0)),$D14)&lt;&gt;"retain"),NOT(OR(IF($E14="",INDEX(primary_jama_2024_4183_domain,MATCH($A14,primary_jama_2024_4183_key,0)),$E14)="internal_nonstatistical",IF($E14="",INDEX(primary_jama_2024_4183_domain,MATCH($A14,primary_jama_2024_4183_key,0)),$E14)="plan_material"))),K14&lt;&gt;"",K14&lt;&gt;"not_applicable")</formula>
    </cfRule>
    <cfRule type="expression" priority="170" dxfId="1">
      <formula>OR(AND(IF($D14="",INDEX(primary_jama_2024_4183_disposition,MATCH($A14,primary_jama_2024_4183_key,0)),$D14)&lt;&gt;"",IF($D14="",INDEX(primary_jama_2024_4183_disposition,MATCH($A14,primary_jama_2024_4183_key,0)),$D14)&lt;&gt;"retain"),NOT(OR(IF($E14="",INDEX(primary_jama_2024_4183_domain,MATCH($A14,primary_jama_2024_4183_key,0)),$E14)="internal_nonstatistical",IF($E14="",INDEX(primary_jama_2024_4183_domain,MATCH($A14,primary_jama_2024_4183_key,0)),$E14)="plan_material")))</formula>
    </cfRule>
  </conditionalFormatting>
  <conditionalFormatting sqref="K15">
    <cfRule type="expression" priority="171" dxfId="0" stopIfTrue="1">
      <formula>AND(OR(AND(IF($D15="",INDEX(primary_jama_2024_4183_disposition,MATCH($A15,primary_jama_2024_4183_key,0)),$D15)&lt;&gt;"",IF($D15="",INDEX(primary_jama_2024_4183_disposition,MATCH($A15,primary_jama_2024_4183_key,0)),$D15)&lt;&gt;"retain"),NOT(OR(IF($E15="",INDEX(primary_jama_2024_4183_domain,MATCH($A15,primary_jama_2024_4183_key,0)),$E15)="internal_nonstatistical",IF($E15="",INDEX(primary_jama_2024_4183_domain,MATCH($A15,primary_jama_2024_4183_key,0)),$E15)="plan_material"))),K15&lt;&gt;"",K15&lt;&gt;"not_applicable")</formula>
    </cfRule>
    <cfRule type="expression" priority="172" dxfId="1">
      <formula>OR(AND(IF($D15="",INDEX(primary_jama_2024_4183_disposition,MATCH($A15,primary_jama_2024_4183_key,0)),$D15)&lt;&gt;"",IF($D15="",INDEX(primary_jama_2024_4183_disposition,MATCH($A15,primary_jama_2024_4183_key,0)),$D15)&lt;&gt;"retain"),NOT(OR(IF($E15="",INDEX(primary_jama_2024_4183_domain,MATCH($A15,primary_jama_2024_4183_key,0)),$E15)="internal_nonstatistical",IF($E15="",INDEX(primary_jama_2024_4183_domain,MATCH($A15,primary_jama_2024_4183_key,0)),$E15)="plan_material")))</formula>
    </cfRule>
  </conditionalFormatting>
  <conditionalFormatting sqref="K16">
    <cfRule type="expression" priority="173" dxfId="0" stopIfTrue="1">
      <formula>AND(OR(AND(IF($D16="",INDEX(primary_jama_2024_4183_disposition,MATCH($A16,primary_jama_2024_4183_key,0)),$D16)&lt;&gt;"",IF($D16="",INDEX(primary_jama_2024_4183_disposition,MATCH($A16,primary_jama_2024_4183_key,0)),$D16)&lt;&gt;"retain"),NOT(OR(IF($E16="",INDEX(primary_jama_2024_4183_domain,MATCH($A16,primary_jama_2024_4183_key,0)),$E16)="internal_nonstatistical",IF($E16="",INDEX(primary_jama_2024_4183_domain,MATCH($A16,primary_jama_2024_4183_key,0)),$E16)="plan_material"))),K16&lt;&gt;"",K16&lt;&gt;"not_applicable")</formula>
    </cfRule>
    <cfRule type="expression" priority="174" dxfId="1">
      <formula>OR(AND(IF($D16="",INDEX(primary_jama_2024_4183_disposition,MATCH($A16,primary_jama_2024_4183_key,0)),$D16)&lt;&gt;"",IF($D16="",INDEX(primary_jama_2024_4183_disposition,MATCH($A16,primary_jama_2024_4183_key,0)),$D16)&lt;&gt;"retain"),NOT(OR(IF($E16="",INDEX(primary_jama_2024_4183_domain,MATCH($A16,primary_jama_2024_4183_key,0)),$E16)="internal_nonstatistical",IF($E16="",INDEX(primary_jama_2024_4183_domain,MATCH($A16,primary_jama_2024_4183_key,0)),$E16)="plan_material")))</formula>
    </cfRule>
  </conditionalFormatting>
  <conditionalFormatting sqref="K17">
    <cfRule type="expression" priority="175" dxfId="0" stopIfTrue="1">
      <formula>AND(OR(AND(IF($D17="",INDEX(primary_jama_2024_4183_disposition,MATCH($A17,primary_jama_2024_4183_key,0)),$D17)&lt;&gt;"",IF($D17="",INDEX(primary_jama_2024_4183_disposition,MATCH($A17,primary_jama_2024_4183_key,0)),$D17)&lt;&gt;"retain"),NOT(OR(IF($E17="",INDEX(primary_jama_2024_4183_domain,MATCH($A17,primary_jama_2024_4183_key,0)),$E17)="internal_nonstatistical",IF($E17="",INDEX(primary_jama_2024_4183_domain,MATCH($A17,primary_jama_2024_4183_key,0)),$E17)="plan_material"))),K17&lt;&gt;"",K17&lt;&gt;"not_applicable")</formula>
    </cfRule>
    <cfRule type="expression" priority="176" dxfId="1">
      <formula>OR(AND(IF($D17="",INDEX(primary_jama_2024_4183_disposition,MATCH($A17,primary_jama_2024_4183_key,0)),$D17)&lt;&gt;"",IF($D17="",INDEX(primary_jama_2024_4183_disposition,MATCH($A17,primary_jama_2024_4183_key,0)),$D17)&lt;&gt;"retain"),NOT(OR(IF($E17="",INDEX(primary_jama_2024_4183_domain,MATCH($A17,primary_jama_2024_4183_key,0)),$E17)="internal_nonstatistical",IF($E17="",INDEX(primary_jama_2024_4183_domain,MATCH($A17,primary_jama_2024_4183_key,0)),$E17)="plan_material")))</formula>
    </cfRule>
  </conditionalFormatting>
  <conditionalFormatting sqref="K18">
    <cfRule type="expression" priority="177" dxfId="0" stopIfTrue="1">
      <formula>AND(OR(AND(IF($D18="",INDEX(primary_jama_2024_4183_disposition,MATCH($A18,primary_jama_2024_4183_key,0)),$D18)&lt;&gt;"",IF($D18="",INDEX(primary_jama_2024_4183_disposition,MATCH($A18,primary_jama_2024_4183_key,0)),$D18)&lt;&gt;"retain"),NOT(OR(IF($E18="",INDEX(primary_jama_2024_4183_domain,MATCH($A18,primary_jama_2024_4183_key,0)),$E18)="internal_nonstatistical",IF($E18="",INDEX(primary_jama_2024_4183_domain,MATCH($A18,primary_jama_2024_4183_key,0)),$E18)="plan_material"))),K18&lt;&gt;"",K18&lt;&gt;"not_applicable")</formula>
    </cfRule>
    <cfRule type="expression" priority="178" dxfId="1">
      <formula>OR(AND(IF($D18="",INDEX(primary_jama_2024_4183_disposition,MATCH($A18,primary_jama_2024_4183_key,0)),$D18)&lt;&gt;"",IF($D18="",INDEX(primary_jama_2024_4183_disposition,MATCH($A18,primary_jama_2024_4183_key,0)),$D18)&lt;&gt;"retain"),NOT(OR(IF($E18="",INDEX(primary_jama_2024_4183_domain,MATCH($A18,primary_jama_2024_4183_key,0)),$E18)="internal_nonstatistical",IF($E18="",INDEX(primary_jama_2024_4183_domain,MATCH($A18,primary_jama_2024_4183_key,0)),$E18)="plan_material")))</formula>
    </cfRule>
  </conditionalFormatting>
  <conditionalFormatting sqref="K19">
    <cfRule type="expression" priority="179" dxfId="0" stopIfTrue="1">
      <formula>AND(OR(AND(IF($D19="",INDEX(primary_jama_2024_4183_disposition,MATCH($A19,primary_jama_2024_4183_key,0)),$D19)&lt;&gt;"",IF($D19="",INDEX(primary_jama_2024_4183_disposition,MATCH($A19,primary_jama_2024_4183_key,0)),$D19)&lt;&gt;"retain"),NOT(OR(IF($E19="",INDEX(primary_jama_2024_4183_domain,MATCH($A19,primary_jama_2024_4183_key,0)),$E19)="internal_nonstatistical",IF($E19="",INDEX(primary_jama_2024_4183_domain,MATCH($A19,primary_jama_2024_4183_key,0)),$E19)="plan_material"))),K19&lt;&gt;"",K19&lt;&gt;"not_applicable")</formula>
    </cfRule>
    <cfRule type="expression" priority="180" dxfId="1">
      <formula>OR(AND(IF($D19="",INDEX(primary_jama_2024_4183_disposition,MATCH($A19,primary_jama_2024_4183_key,0)),$D19)&lt;&gt;"",IF($D19="",INDEX(primary_jama_2024_4183_disposition,MATCH($A19,primary_jama_2024_4183_key,0)),$D19)&lt;&gt;"retain"),NOT(OR(IF($E19="",INDEX(primary_jama_2024_4183_domain,MATCH($A19,primary_jama_2024_4183_key,0)),$E19)="internal_nonstatistical",IF($E19="",INDEX(primary_jama_2024_4183_domain,MATCH($A19,primary_jama_2024_4183_key,0)),$E19)="plan_material")))</formula>
    </cfRule>
  </conditionalFormatting>
  <conditionalFormatting sqref="K20">
    <cfRule type="expression" priority="181" dxfId="0" stopIfTrue="1">
      <formula>AND(OR(AND(IF($D20="",INDEX(primary_jama_2024_4183_disposition,MATCH($A20,primary_jama_2024_4183_key,0)),$D20)&lt;&gt;"",IF($D20="",INDEX(primary_jama_2024_4183_disposition,MATCH($A20,primary_jama_2024_4183_key,0)),$D20)&lt;&gt;"retain"),NOT(OR(IF($E20="",INDEX(primary_jama_2024_4183_domain,MATCH($A20,primary_jama_2024_4183_key,0)),$E20)="internal_nonstatistical",IF($E20="",INDEX(primary_jama_2024_4183_domain,MATCH($A20,primary_jama_2024_4183_key,0)),$E20)="plan_material"))),K20&lt;&gt;"",K20&lt;&gt;"not_applicable")</formula>
    </cfRule>
    <cfRule type="expression" priority="182" dxfId="1">
      <formula>OR(AND(IF($D20="",INDEX(primary_jama_2024_4183_disposition,MATCH($A20,primary_jama_2024_4183_key,0)),$D20)&lt;&gt;"",IF($D20="",INDEX(primary_jama_2024_4183_disposition,MATCH($A20,primary_jama_2024_4183_key,0)),$D20)&lt;&gt;"retain"),NOT(OR(IF($E20="",INDEX(primary_jama_2024_4183_domain,MATCH($A20,primary_jama_2024_4183_key,0)),$E20)="internal_nonstatistical",IF($E20="",INDEX(primary_jama_2024_4183_domain,MATCH($A20,primary_jama_2024_4183_key,0)),$E20)="plan_material")))</formula>
    </cfRule>
  </conditionalFormatting>
  <conditionalFormatting sqref="K21">
    <cfRule type="expression" priority="183" dxfId="0" stopIfTrue="1">
      <formula>AND(OR(AND(IF($D21="",INDEX(primary_jama_2024_4183_disposition,MATCH($A21,primary_jama_2024_4183_key,0)),$D21)&lt;&gt;"",IF($D21="",INDEX(primary_jama_2024_4183_disposition,MATCH($A21,primary_jama_2024_4183_key,0)),$D21)&lt;&gt;"retain"),NOT(OR(IF($E21="",INDEX(primary_jama_2024_4183_domain,MATCH($A21,primary_jama_2024_4183_key,0)),$E21)="internal_nonstatistical",IF($E21="",INDEX(primary_jama_2024_4183_domain,MATCH($A21,primary_jama_2024_4183_key,0)),$E21)="plan_material"))),K21&lt;&gt;"",K21&lt;&gt;"not_applicable")</formula>
    </cfRule>
    <cfRule type="expression" priority="184" dxfId="1">
      <formula>OR(AND(IF($D21="",INDEX(primary_jama_2024_4183_disposition,MATCH($A21,primary_jama_2024_4183_key,0)),$D21)&lt;&gt;"",IF($D21="",INDEX(primary_jama_2024_4183_disposition,MATCH($A21,primary_jama_2024_4183_key,0)),$D21)&lt;&gt;"retain"),NOT(OR(IF($E21="",INDEX(primary_jama_2024_4183_domain,MATCH($A21,primary_jama_2024_4183_key,0)),$E21)="internal_nonstatistical",IF($E21="",INDEX(primary_jama_2024_4183_domain,MATCH($A21,primary_jama_2024_4183_key,0)),$E21)="plan_material")))</formula>
    </cfRule>
  </conditionalFormatting>
  <conditionalFormatting sqref="K22">
    <cfRule type="expression" priority="185" dxfId="0" stopIfTrue="1">
      <formula>AND(OR(AND(IF($D22="",INDEX(primary_jama_2024_4183_disposition,MATCH($A22,primary_jama_2024_4183_key,0)),$D22)&lt;&gt;"",IF($D22="",INDEX(primary_jama_2024_4183_disposition,MATCH($A22,primary_jama_2024_4183_key,0)),$D22)&lt;&gt;"retain"),NOT(OR(IF($E22="",INDEX(primary_jama_2024_4183_domain,MATCH($A22,primary_jama_2024_4183_key,0)),$E22)="internal_nonstatistical",IF($E22="",INDEX(primary_jama_2024_4183_domain,MATCH($A22,primary_jama_2024_4183_key,0)),$E22)="plan_material"))),K22&lt;&gt;"",K22&lt;&gt;"not_applicable")</formula>
    </cfRule>
    <cfRule type="expression" priority="186" dxfId="1">
      <formula>OR(AND(IF($D22="",INDEX(primary_jama_2024_4183_disposition,MATCH($A22,primary_jama_2024_4183_key,0)),$D22)&lt;&gt;"",IF($D22="",INDEX(primary_jama_2024_4183_disposition,MATCH($A22,primary_jama_2024_4183_key,0)),$D22)&lt;&gt;"retain"),NOT(OR(IF($E22="",INDEX(primary_jama_2024_4183_domain,MATCH($A22,primary_jama_2024_4183_key,0)),$E22)="internal_nonstatistical",IF($E22="",INDEX(primary_jama_2024_4183_domain,MATCH($A22,primary_jama_2024_4183_key,0)),$E22)="plan_material")))</formula>
    </cfRule>
  </conditionalFormatting>
  <conditionalFormatting sqref="K23">
    <cfRule type="expression" priority="187" dxfId="0" stopIfTrue="1">
      <formula>AND(OR(AND(IF($D23="",INDEX(primary_jama_2024_4183_disposition,MATCH($A23,primary_jama_2024_4183_key,0)),$D23)&lt;&gt;"",IF($D23="",INDEX(primary_jama_2024_4183_disposition,MATCH($A23,primary_jama_2024_4183_key,0)),$D23)&lt;&gt;"retain"),NOT(OR(IF($E23="",INDEX(primary_jama_2024_4183_domain,MATCH($A23,primary_jama_2024_4183_key,0)),$E23)="internal_nonstatistical",IF($E23="",INDEX(primary_jama_2024_4183_domain,MATCH($A23,primary_jama_2024_4183_key,0)),$E23)="plan_material"))),K23&lt;&gt;"",K23&lt;&gt;"not_applicable")</formula>
    </cfRule>
    <cfRule type="expression" priority="188" dxfId="1">
      <formula>OR(AND(IF($D23="",INDEX(primary_jama_2024_4183_disposition,MATCH($A23,primary_jama_2024_4183_key,0)),$D23)&lt;&gt;"",IF($D23="",INDEX(primary_jama_2024_4183_disposition,MATCH($A23,primary_jama_2024_4183_key,0)),$D23)&lt;&gt;"retain"),NOT(OR(IF($E23="",INDEX(primary_jama_2024_4183_domain,MATCH($A23,primary_jama_2024_4183_key,0)),$E23)="internal_nonstatistical",IF($E23="",INDEX(primary_jama_2024_4183_domain,MATCH($A23,primary_jama_2024_4183_key,0)),$E23)="plan_material")))</formula>
    </cfRule>
  </conditionalFormatting>
  <conditionalFormatting sqref="K24">
    <cfRule type="expression" priority="189" dxfId="0" stopIfTrue="1">
      <formula>AND(OR(AND(IF($D24="",INDEX(primary_jama_2024_4183_disposition,MATCH($A24,primary_jama_2024_4183_key,0)),$D24)&lt;&gt;"",IF($D24="",INDEX(primary_jama_2024_4183_disposition,MATCH($A24,primary_jama_2024_4183_key,0)),$D24)&lt;&gt;"retain"),NOT(OR(IF($E24="",INDEX(primary_jama_2024_4183_domain,MATCH($A24,primary_jama_2024_4183_key,0)),$E24)="internal_nonstatistical",IF($E24="",INDEX(primary_jama_2024_4183_domain,MATCH($A24,primary_jama_2024_4183_key,0)),$E24)="plan_material"))),K24&lt;&gt;"",K24&lt;&gt;"not_applicable")</formula>
    </cfRule>
    <cfRule type="expression" priority="190" dxfId="1">
      <formula>OR(AND(IF($D24="",INDEX(primary_jama_2024_4183_disposition,MATCH($A24,primary_jama_2024_4183_key,0)),$D24)&lt;&gt;"",IF($D24="",INDEX(primary_jama_2024_4183_disposition,MATCH($A24,primary_jama_2024_4183_key,0)),$D24)&lt;&gt;"retain"),NOT(OR(IF($E24="",INDEX(primary_jama_2024_4183_domain,MATCH($A24,primary_jama_2024_4183_key,0)),$E24)="internal_nonstatistical",IF($E24="",INDEX(primary_jama_2024_4183_domain,MATCH($A24,primary_jama_2024_4183_key,0)),$E24)="plan_material")))</formula>
    </cfRule>
  </conditionalFormatting>
  <conditionalFormatting sqref="K25">
    <cfRule type="expression" priority="191" dxfId="0" stopIfTrue="1">
      <formula>AND(OR(AND(IF($D25="",INDEX(primary_jama_2024_4183_disposition,MATCH($A25,primary_jama_2024_4183_key,0)),$D25)&lt;&gt;"",IF($D25="",INDEX(primary_jama_2024_4183_disposition,MATCH($A25,primary_jama_2024_4183_key,0)),$D25)&lt;&gt;"retain"),NOT(OR(IF($E25="",INDEX(primary_jama_2024_4183_domain,MATCH($A25,primary_jama_2024_4183_key,0)),$E25)="internal_nonstatistical",IF($E25="",INDEX(primary_jama_2024_4183_domain,MATCH($A25,primary_jama_2024_4183_key,0)),$E25)="plan_material"))),K25&lt;&gt;"",K25&lt;&gt;"not_applicable")</formula>
    </cfRule>
    <cfRule type="expression" priority="192" dxfId="1">
      <formula>OR(AND(IF($D25="",INDEX(primary_jama_2024_4183_disposition,MATCH($A25,primary_jama_2024_4183_key,0)),$D25)&lt;&gt;"",IF($D25="",INDEX(primary_jama_2024_4183_disposition,MATCH($A25,primary_jama_2024_4183_key,0)),$D25)&lt;&gt;"retain"),NOT(OR(IF($E25="",INDEX(primary_jama_2024_4183_domain,MATCH($A25,primary_jama_2024_4183_key,0)),$E25)="internal_nonstatistical",IF($E25="",INDEX(primary_jama_2024_4183_domain,MATCH($A25,primary_jama_2024_4183_key,0)),$E25)="plan_material")))</formula>
    </cfRule>
  </conditionalFormatting>
  <conditionalFormatting sqref="L2">
    <cfRule type="expression" priority="193" dxfId="0" stopIfTrue="1">
      <formula>AND(OR(AND(IF($D2="",INDEX(primary_jama_2024_4183_disposition,MATCH($A2,primary_jama_2024_4183_key,0)),$D2)&lt;&gt;"",IF($D2="",INDEX(primary_jama_2024_4183_disposition,MATCH($A2,primary_jama_2024_4183_key,0)),$D2)&lt;&gt;"retain"),NOT(OR(IF($E2="",INDEX(primary_jama_2024_4183_domain,MATCH($A2,primary_jama_2024_4183_key,0)),$E2)="protocol_report"))),L2&lt;&gt;"",L2&lt;&gt;"not_applicable")</formula>
    </cfRule>
    <cfRule type="expression" priority="194" dxfId="1">
      <formula>OR(AND(IF($D2="",INDEX(primary_jama_2024_4183_disposition,MATCH($A2,primary_jama_2024_4183_key,0)),$D2)&lt;&gt;"",IF($D2="",INDEX(primary_jama_2024_4183_disposition,MATCH($A2,primary_jama_2024_4183_key,0)),$D2)&lt;&gt;"retain"),NOT(OR(IF($E2="",INDEX(primary_jama_2024_4183_domain,MATCH($A2,primary_jama_2024_4183_key,0)),$E2)="protocol_report")))</formula>
    </cfRule>
  </conditionalFormatting>
  <conditionalFormatting sqref="L3">
    <cfRule type="expression" priority="195" dxfId="0" stopIfTrue="1">
      <formula>AND(OR(AND(IF($D3="",INDEX(primary_jama_2024_4183_disposition,MATCH($A3,primary_jama_2024_4183_key,0)),$D3)&lt;&gt;"",IF($D3="",INDEX(primary_jama_2024_4183_disposition,MATCH($A3,primary_jama_2024_4183_key,0)),$D3)&lt;&gt;"retain"),NOT(OR(IF($E3="",INDEX(primary_jama_2024_4183_domain,MATCH($A3,primary_jama_2024_4183_key,0)),$E3)="protocol_report"))),L3&lt;&gt;"",L3&lt;&gt;"not_applicable")</formula>
    </cfRule>
    <cfRule type="expression" priority="196" dxfId="1">
      <formula>OR(AND(IF($D3="",INDEX(primary_jama_2024_4183_disposition,MATCH($A3,primary_jama_2024_4183_key,0)),$D3)&lt;&gt;"",IF($D3="",INDEX(primary_jama_2024_4183_disposition,MATCH($A3,primary_jama_2024_4183_key,0)),$D3)&lt;&gt;"retain"),NOT(OR(IF($E3="",INDEX(primary_jama_2024_4183_domain,MATCH($A3,primary_jama_2024_4183_key,0)),$E3)="protocol_report")))</formula>
    </cfRule>
  </conditionalFormatting>
  <conditionalFormatting sqref="L4">
    <cfRule type="expression" priority="197" dxfId="0" stopIfTrue="1">
      <formula>AND(OR(AND(IF($D4="",INDEX(primary_jama_2024_4183_disposition,MATCH($A4,primary_jama_2024_4183_key,0)),$D4)&lt;&gt;"",IF($D4="",INDEX(primary_jama_2024_4183_disposition,MATCH($A4,primary_jama_2024_4183_key,0)),$D4)&lt;&gt;"retain"),NOT(OR(IF($E4="",INDEX(primary_jama_2024_4183_domain,MATCH($A4,primary_jama_2024_4183_key,0)),$E4)="protocol_report"))),L4&lt;&gt;"",L4&lt;&gt;"not_applicable")</formula>
    </cfRule>
    <cfRule type="expression" priority="198" dxfId="1">
      <formula>OR(AND(IF($D4="",INDEX(primary_jama_2024_4183_disposition,MATCH($A4,primary_jama_2024_4183_key,0)),$D4)&lt;&gt;"",IF($D4="",INDEX(primary_jama_2024_4183_disposition,MATCH($A4,primary_jama_2024_4183_key,0)),$D4)&lt;&gt;"retain"),NOT(OR(IF($E4="",INDEX(primary_jama_2024_4183_domain,MATCH($A4,primary_jama_2024_4183_key,0)),$E4)="protocol_report")))</formula>
    </cfRule>
  </conditionalFormatting>
  <conditionalFormatting sqref="L5">
    <cfRule type="expression" priority="199" dxfId="0" stopIfTrue="1">
      <formula>AND(OR(AND(IF($D5="",INDEX(primary_jama_2024_4183_disposition,MATCH($A5,primary_jama_2024_4183_key,0)),$D5)&lt;&gt;"",IF($D5="",INDEX(primary_jama_2024_4183_disposition,MATCH($A5,primary_jama_2024_4183_key,0)),$D5)&lt;&gt;"retain"),NOT(OR(IF($E5="",INDEX(primary_jama_2024_4183_domain,MATCH($A5,primary_jama_2024_4183_key,0)),$E5)="protocol_report"))),L5&lt;&gt;"",L5&lt;&gt;"not_applicable")</formula>
    </cfRule>
    <cfRule type="expression" priority="200" dxfId="1">
      <formula>OR(AND(IF($D5="",INDEX(primary_jama_2024_4183_disposition,MATCH($A5,primary_jama_2024_4183_key,0)),$D5)&lt;&gt;"",IF($D5="",INDEX(primary_jama_2024_4183_disposition,MATCH($A5,primary_jama_2024_4183_key,0)),$D5)&lt;&gt;"retain"),NOT(OR(IF($E5="",INDEX(primary_jama_2024_4183_domain,MATCH($A5,primary_jama_2024_4183_key,0)),$E5)="protocol_report")))</formula>
    </cfRule>
  </conditionalFormatting>
  <conditionalFormatting sqref="L6">
    <cfRule type="expression" priority="201" dxfId="0" stopIfTrue="1">
      <formula>AND(OR(AND(IF($D6="",INDEX(primary_jama_2024_4183_disposition,MATCH($A6,primary_jama_2024_4183_key,0)),$D6)&lt;&gt;"",IF($D6="",INDEX(primary_jama_2024_4183_disposition,MATCH($A6,primary_jama_2024_4183_key,0)),$D6)&lt;&gt;"retain"),NOT(OR(IF($E6="",INDEX(primary_jama_2024_4183_domain,MATCH($A6,primary_jama_2024_4183_key,0)),$E6)="protocol_report"))),L6&lt;&gt;"",L6&lt;&gt;"not_applicable")</formula>
    </cfRule>
    <cfRule type="expression" priority="202" dxfId="1">
      <formula>OR(AND(IF($D6="",INDEX(primary_jama_2024_4183_disposition,MATCH($A6,primary_jama_2024_4183_key,0)),$D6)&lt;&gt;"",IF($D6="",INDEX(primary_jama_2024_4183_disposition,MATCH($A6,primary_jama_2024_4183_key,0)),$D6)&lt;&gt;"retain"),NOT(OR(IF($E6="",INDEX(primary_jama_2024_4183_domain,MATCH($A6,primary_jama_2024_4183_key,0)),$E6)="protocol_report")))</formula>
    </cfRule>
  </conditionalFormatting>
  <conditionalFormatting sqref="L7">
    <cfRule type="expression" priority="203" dxfId="0" stopIfTrue="1">
      <formula>AND(OR(AND(IF($D7="",INDEX(primary_jama_2024_4183_disposition,MATCH($A7,primary_jama_2024_4183_key,0)),$D7)&lt;&gt;"",IF($D7="",INDEX(primary_jama_2024_4183_disposition,MATCH($A7,primary_jama_2024_4183_key,0)),$D7)&lt;&gt;"retain"),NOT(OR(IF($E7="",INDEX(primary_jama_2024_4183_domain,MATCH($A7,primary_jama_2024_4183_key,0)),$E7)="protocol_report"))),L7&lt;&gt;"",L7&lt;&gt;"not_applicable")</formula>
    </cfRule>
    <cfRule type="expression" priority="204" dxfId="1">
      <formula>OR(AND(IF($D7="",INDEX(primary_jama_2024_4183_disposition,MATCH($A7,primary_jama_2024_4183_key,0)),$D7)&lt;&gt;"",IF($D7="",INDEX(primary_jama_2024_4183_disposition,MATCH($A7,primary_jama_2024_4183_key,0)),$D7)&lt;&gt;"retain"),NOT(OR(IF($E7="",INDEX(primary_jama_2024_4183_domain,MATCH($A7,primary_jama_2024_4183_key,0)),$E7)="protocol_report")))</formula>
    </cfRule>
  </conditionalFormatting>
  <conditionalFormatting sqref="L8">
    <cfRule type="expression" priority="205" dxfId="0" stopIfTrue="1">
      <formula>AND(OR(AND(IF($D8="",INDEX(primary_jama_2024_4183_disposition,MATCH($A8,primary_jama_2024_4183_key,0)),$D8)&lt;&gt;"",IF($D8="",INDEX(primary_jama_2024_4183_disposition,MATCH($A8,primary_jama_2024_4183_key,0)),$D8)&lt;&gt;"retain"),NOT(OR(IF($E8="",INDEX(primary_jama_2024_4183_domain,MATCH($A8,primary_jama_2024_4183_key,0)),$E8)="protocol_report"))),L8&lt;&gt;"",L8&lt;&gt;"not_applicable")</formula>
    </cfRule>
    <cfRule type="expression" priority="206" dxfId="1">
      <formula>OR(AND(IF($D8="",INDEX(primary_jama_2024_4183_disposition,MATCH($A8,primary_jama_2024_4183_key,0)),$D8)&lt;&gt;"",IF($D8="",INDEX(primary_jama_2024_4183_disposition,MATCH($A8,primary_jama_2024_4183_key,0)),$D8)&lt;&gt;"retain"),NOT(OR(IF($E8="",INDEX(primary_jama_2024_4183_domain,MATCH($A8,primary_jama_2024_4183_key,0)),$E8)="protocol_report")))</formula>
    </cfRule>
  </conditionalFormatting>
  <conditionalFormatting sqref="L9">
    <cfRule type="expression" priority="207" dxfId="0" stopIfTrue="1">
      <formula>AND(OR(AND(IF($D9="",INDEX(primary_jama_2024_4183_disposition,MATCH($A9,primary_jama_2024_4183_key,0)),$D9)&lt;&gt;"",IF($D9="",INDEX(primary_jama_2024_4183_disposition,MATCH($A9,primary_jama_2024_4183_key,0)),$D9)&lt;&gt;"retain"),NOT(OR(IF($E9="",INDEX(primary_jama_2024_4183_domain,MATCH($A9,primary_jama_2024_4183_key,0)),$E9)="protocol_report"))),L9&lt;&gt;"",L9&lt;&gt;"not_applicable")</formula>
    </cfRule>
    <cfRule type="expression" priority="208" dxfId="1">
      <formula>OR(AND(IF($D9="",INDEX(primary_jama_2024_4183_disposition,MATCH($A9,primary_jama_2024_4183_key,0)),$D9)&lt;&gt;"",IF($D9="",INDEX(primary_jama_2024_4183_disposition,MATCH($A9,primary_jama_2024_4183_key,0)),$D9)&lt;&gt;"retain"),NOT(OR(IF($E9="",INDEX(primary_jama_2024_4183_domain,MATCH($A9,primary_jama_2024_4183_key,0)),$E9)="protocol_report")))</formula>
    </cfRule>
  </conditionalFormatting>
  <conditionalFormatting sqref="L10">
    <cfRule type="expression" priority="209" dxfId="0" stopIfTrue="1">
      <formula>AND(OR(AND(IF($D10="",INDEX(primary_jama_2024_4183_disposition,MATCH($A10,primary_jama_2024_4183_key,0)),$D10)&lt;&gt;"",IF($D10="",INDEX(primary_jama_2024_4183_disposition,MATCH($A10,primary_jama_2024_4183_key,0)),$D10)&lt;&gt;"retain"),NOT(OR(IF($E10="",INDEX(primary_jama_2024_4183_domain,MATCH($A10,primary_jama_2024_4183_key,0)),$E10)="protocol_report"))),L10&lt;&gt;"",L10&lt;&gt;"not_applicable")</formula>
    </cfRule>
    <cfRule type="expression" priority="210" dxfId="1">
      <formula>OR(AND(IF($D10="",INDEX(primary_jama_2024_4183_disposition,MATCH($A10,primary_jama_2024_4183_key,0)),$D10)&lt;&gt;"",IF($D10="",INDEX(primary_jama_2024_4183_disposition,MATCH($A10,primary_jama_2024_4183_key,0)),$D10)&lt;&gt;"retain"),NOT(OR(IF($E10="",INDEX(primary_jama_2024_4183_domain,MATCH($A10,primary_jama_2024_4183_key,0)),$E10)="protocol_report")))</formula>
    </cfRule>
  </conditionalFormatting>
  <conditionalFormatting sqref="L11">
    <cfRule type="expression" priority="211" dxfId="0" stopIfTrue="1">
      <formula>AND(OR(AND(IF($D11="",INDEX(primary_jama_2024_4183_disposition,MATCH($A11,primary_jama_2024_4183_key,0)),$D11)&lt;&gt;"",IF($D11="",INDEX(primary_jama_2024_4183_disposition,MATCH($A11,primary_jama_2024_4183_key,0)),$D11)&lt;&gt;"retain"),NOT(OR(IF($E11="",INDEX(primary_jama_2024_4183_domain,MATCH($A11,primary_jama_2024_4183_key,0)),$E11)="protocol_report"))),L11&lt;&gt;"",L11&lt;&gt;"not_applicable")</formula>
    </cfRule>
    <cfRule type="expression" priority="212" dxfId="1">
      <formula>OR(AND(IF($D11="",INDEX(primary_jama_2024_4183_disposition,MATCH($A11,primary_jama_2024_4183_key,0)),$D11)&lt;&gt;"",IF($D11="",INDEX(primary_jama_2024_4183_disposition,MATCH($A11,primary_jama_2024_4183_key,0)),$D11)&lt;&gt;"retain"),NOT(OR(IF($E11="",INDEX(primary_jama_2024_4183_domain,MATCH($A11,primary_jama_2024_4183_key,0)),$E11)="protocol_report")))</formula>
    </cfRule>
  </conditionalFormatting>
  <conditionalFormatting sqref="L12">
    <cfRule type="expression" priority="213" dxfId="0" stopIfTrue="1">
      <formula>AND(OR(AND(IF($D12="",INDEX(primary_jama_2024_4183_disposition,MATCH($A12,primary_jama_2024_4183_key,0)),$D12)&lt;&gt;"",IF($D12="",INDEX(primary_jama_2024_4183_disposition,MATCH($A12,primary_jama_2024_4183_key,0)),$D12)&lt;&gt;"retain"),NOT(OR(IF($E12="",INDEX(primary_jama_2024_4183_domain,MATCH($A12,primary_jama_2024_4183_key,0)),$E12)="protocol_report"))),L12&lt;&gt;"",L12&lt;&gt;"not_applicable")</formula>
    </cfRule>
    <cfRule type="expression" priority="214" dxfId="1">
      <formula>OR(AND(IF($D12="",INDEX(primary_jama_2024_4183_disposition,MATCH($A12,primary_jama_2024_4183_key,0)),$D12)&lt;&gt;"",IF($D12="",INDEX(primary_jama_2024_4183_disposition,MATCH($A12,primary_jama_2024_4183_key,0)),$D12)&lt;&gt;"retain"),NOT(OR(IF($E12="",INDEX(primary_jama_2024_4183_domain,MATCH($A12,primary_jama_2024_4183_key,0)),$E12)="protocol_report")))</formula>
    </cfRule>
  </conditionalFormatting>
  <conditionalFormatting sqref="L13">
    <cfRule type="expression" priority="215" dxfId="0" stopIfTrue="1">
      <formula>AND(OR(AND(IF($D13="",INDEX(primary_jama_2024_4183_disposition,MATCH($A13,primary_jama_2024_4183_key,0)),$D13)&lt;&gt;"",IF($D13="",INDEX(primary_jama_2024_4183_disposition,MATCH($A13,primary_jama_2024_4183_key,0)),$D13)&lt;&gt;"retain"),NOT(OR(IF($E13="",INDEX(primary_jama_2024_4183_domain,MATCH($A13,primary_jama_2024_4183_key,0)),$E13)="protocol_report"))),L13&lt;&gt;"",L13&lt;&gt;"not_applicable")</formula>
    </cfRule>
    <cfRule type="expression" priority="216" dxfId="1">
      <formula>OR(AND(IF($D13="",INDEX(primary_jama_2024_4183_disposition,MATCH($A13,primary_jama_2024_4183_key,0)),$D13)&lt;&gt;"",IF($D13="",INDEX(primary_jama_2024_4183_disposition,MATCH($A13,primary_jama_2024_4183_key,0)),$D13)&lt;&gt;"retain"),NOT(OR(IF($E13="",INDEX(primary_jama_2024_4183_domain,MATCH($A13,primary_jama_2024_4183_key,0)),$E13)="protocol_report")))</formula>
    </cfRule>
  </conditionalFormatting>
  <conditionalFormatting sqref="L14">
    <cfRule type="expression" priority="217" dxfId="0" stopIfTrue="1">
      <formula>AND(OR(AND(IF($D14="",INDEX(primary_jama_2024_4183_disposition,MATCH($A14,primary_jama_2024_4183_key,0)),$D14)&lt;&gt;"",IF($D14="",INDEX(primary_jama_2024_4183_disposition,MATCH($A14,primary_jama_2024_4183_key,0)),$D14)&lt;&gt;"retain"),NOT(OR(IF($E14="",INDEX(primary_jama_2024_4183_domain,MATCH($A14,primary_jama_2024_4183_key,0)),$E14)="protocol_report"))),L14&lt;&gt;"",L14&lt;&gt;"not_applicable")</formula>
    </cfRule>
    <cfRule type="expression" priority="218" dxfId="1">
      <formula>OR(AND(IF($D14="",INDEX(primary_jama_2024_4183_disposition,MATCH($A14,primary_jama_2024_4183_key,0)),$D14)&lt;&gt;"",IF($D14="",INDEX(primary_jama_2024_4183_disposition,MATCH($A14,primary_jama_2024_4183_key,0)),$D14)&lt;&gt;"retain"),NOT(OR(IF($E14="",INDEX(primary_jama_2024_4183_domain,MATCH($A14,primary_jama_2024_4183_key,0)),$E14)="protocol_report")))</formula>
    </cfRule>
  </conditionalFormatting>
  <conditionalFormatting sqref="L15">
    <cfRule type="expression" priority="219" dxfId="0" stopIfTrue="1">
      <formula>AND(OR(AND(IF($D15="",INDEX(primary_jama_2024_4183_disposition,MATCH($A15,primary_jama_2024_4183_key,0)),$D15)&lt;&gt;"",IF($D15="",INDEX(primary_jama_2024_4183_disposition,MATCH($A15,primary_jama_2024_4183_key,0)),$D15)&lt;&gt;"retain"),NOT(OR(IF($E15="",INDEX(primary_jama_2024_4183_domain,MATCH($A15,primary_jama_2024_4183_key,0)),$E15)="protocol_report"))),L15&lt;&gt;"",L15&lt;&gt;"not_applicable")</formula>
    </cfRule>
    <cfRule type="expression" priority="220" dxfId="1">
      <formula>OR(AND(IF($D15="",INDEX(primary_jama_2024_4183_disposition,MATCH($A15,primary_jama_2024_4183_key,0)),$D15)&lt;&gt;"",IF($D15="",INDEX(primary_jama_2024_4183_disposition,MATCH($A15,primary_jama_2024_4183_key,0)),$D15)&lt;&gt;"retain"),NOT(OR(IF($E15="",INDEX(primary_jama_2024_4183_domain,MATCH($A15,primary_jama_2024_4183_key,0)),$E15)="protocol_report")))</formula>
    </cfRule>
  </conditionalFormatting>
  <conditionalFormatting sqref="L16">
    <cfRule type="expression" priority="221" dxfId="0" stopIfTrue="1">
      <formula>AND(OR(AND(IF($D16="",INDEX(primary_jama_2024_4183_disposition,MATCH($A16,primary_jama_2024_4183_key,0)),$D16)&lt;&gt;"",IF($D16="",INDEX(primary_jama_2024_4183_disposition,MATCH($A16,primary_jama_2024_4183_key,0)),$D16)&lt;&gt;"retain"),NOT(OR(IF($E16="",INDEX(primary_jama_2024_4183_domain,MATCH($A16,primary_jama_2024_4183_key,0)),$E16)="protocol_report"))),L16&lt;&gt;"",L16&lt;&gt;"not_applicable")</formula>
    </cfRule>
    <cfRule type="expression" priority="222" dxfId="1">
      <formula>OR(AND(IF($D16="",INDEX(primary_jama_2024_4183_disposition,MATCH($A16,primary_jama_2024_4183_key,0)),$D16)&lt;&gt;"",IF($D16="",INDEX(primary_jama_2024_4183_disposition,MATCH($A16,primary_jama_2024_4183_key,0)),$D16)&lt;&gt;"retain"),NOT(OR(IF($E16="",INDEX(primary_jama_2024_4183_domain,MATCH($A16,primary_jama_2024_4183_key,0)),$E16)="protocol_report")))</formula>
    </cfRule>
  </conditionalFormatting>
  <conditionalFormatting sqref="L17">
    <cfRule type="expression" priority="223" dxfId="0" stopIfTrue="1">
      <formula>AND(OR(AND(IF($D17="",INDEX(primary_jama_2024_4183_disposition,MATCH($A17,primary_jama_2024_4183_key,0)),$D17)&lt;&gt;"",IF($D17="",INDEX(primary_jama_2024_4183_disposition,MATCH($A17,primary_jama_2024_4183_key,0)),$D17)&lt;&gt;"retain"),NOT(OR(IF($E17="",INDEX(primary_jama_2024_4183_domain,MATCH($A17,primary_jama_2024_4183_key,0)),$E17)="protocol_report"))),L17&lt;&gt;"",L17&lt;&gt;"not_applicable")</formula>
    </cfRule>
    <cfRule type="expression" priority="224" dxfId="1">
      <formula>OR(AND(IF($D17="",INDEX(primary_jama_2024_4183_disposition,MATCH($A17,primary_jama_2024_4183_key,0)),$D17)&lt;&gt;"",IF($D17="",INDEX(primary_jama_2024_4183_disposition,MATCH($A17,primary_jama_2024_4183_key,0)),$D17)&lt;&gt;"retain"),NOT(OR(IF($E17="",INDEX(primary_jama_2024_4183_domain,MATCH($A17,primary_jama_2024_4183_key,0)),$E17)="protocol_report")))</formula>
    </cfRule>
  </conditionalFormatting>
  <conditionalFormatting sqref="L18">
    <cfRule type="expression" priority="225" dxfId="0" stopIfTrue="1">
      <formula>AND(OR(AND(IF($D18="",INDEX(primary_jama_2024_4183_disposition,MATCH($A18,primary_jama_2024_4183_key,0)),$D18)&lt;&gt;"",IF($D18="",INDEX(primary_jama_2024_4183_disposition,MATCH($A18,primary_jama_2024_4183_key,0)),$D18)&lt;&gt;"retain"),NOT(OR(IF($E18="",INDEX(primary_jama_2024_4183_domain,MATCH($A18,primary_jama_2024_4183_key,0)),$E18)="protocol_report"))),L18&lt;&gt;"",L18&lt;&gt;"not_applicable")</formula>
    </cfRule>
    <cfRule type="expression" priority="226" dxfId="1">
      <formula>OR(AND(IF($D18="",INDEX(primary_jama_2024_4183_disposition,MATCH($A18,primary_jama_2024_4183_key,0)),$D18)&lt;&gt;"",IF($D18="",INDEX(primary_jama_2024_4183_disposition,MATCH($A18,primary_jama_2024_4183_key,0)),$D18)&lt;&gt;"retain"),NOT(OR(IF($E18="",INDEX(primary_jama_2024_4183_domain,MATCH($A18,primary_jama_2024_4183_key,0)),$E18)="protocol_report")))</formula>
    </cfRule>
  </conditionalFormatting>
  <conditionalFormatting sqref="L19">
    <cfRule type="expression" priority="227" dxfId="0" stopIfTrue="1">
      <formula>AND(OR(AND(IF($D19="",INDEX(primary_jama_2024_4183_disposition,MATCH($A19,primary_jama_2024_4183_key,0)),$D19)&lt;&gt;"",IF($D19="",INDEX(primary_jama_2024_4183_disposition,MATCH($A19,primary_jama_2024_4183_key,0)),$D19)&lt;&gt;"retain"),NOT(OR(IF($E19="",INDEX(primary_jama_2024_4183_domain,MATCH($A19,primary_jama_2024_4183_key,0)),$E19)="protocol_report"))),L19&lt;&gt;"",L19&lt;&gt;"not_applicable")</formula>
    </cfRule>
    <cfRule type="expression" priority="228" dxfId="1">
      <formula>OR(AND(IF($D19="",INDEX(primary_jama_2024_4183_disposition,MATCH($A19,primary_jama_2024_4183_key,0)),$D19)&lt;&gt;"",IF($D19="",INDEX(primary_jama_2024_4183_disposition,MATCH($A19,primary_jama_2024_4183_key,0)),$D19)&lt;&gt;"retain"),NOT(OR(IF($E19="",INDEX(primary_jama_2024_4183_domain,MATCH($A19,primary_jama_2024_4183_key,0)),$E19)="protocol_report")))</formula>
    </cfRule>
  </conditionalFormatting>
  <conditionalFormatting sqref="L20">
    <cfRule type="expression" priority="229" dxfId="0" stopIfTrue="1">
      <formula>AND(OR(AND(IF($D20="",INDEX(primary_jama_2024_4183_disposition,MATCH($A20,primary_jama_2024_4183_key,0)),$D20)&lt;&gt;"",IF($D20="",INDEX(primary_jama_2024_4183_disposition,MATCH($A20,primary_jama_2024_4183_key,0)),$D20)&lt;&gt;"retain"),NOT(OR(IF($E20="",INDEX(primary_jama_2024_4183_domain,MATCH($A20,primary_jama_2024_4183_key,0)),$E20)="protocol_report"))),L20&lt;&gt;"",L20&lt;&gt;"not_applicable")</formula>
    </cfRule>
    <cfRule type="expression" priority="230" dxfId="1">
      <formula>OR(AND(IF($D20="",INDEX(primary_jama_2024_4183_disposition,MATCH($A20,primary_jama_2024_4183_key,0)),$D20)&lt;&gt;"",IF($D20="",INDEX(primary_jama_2024_4183_disposition,MATCH($A20,primary_jama_2024_4183_key,0)),$D20)&lt;&gt;"retain"),NOT(OR(IF($E20="",INDEX(primary_jama_2024_4183_domain,MATCH($A20,primary_jama_2024_4183_key,0)),$E20)="protocol_report")))</formula>
    </cfRule>
  </conditionalFormatting>
  <conditionalFormatting sqref="L21">
    <cfRule type="expression" priority="231" dxfId="0" stopIfTrue="1">
      <formula>AND(OR(AND(IF($D21="",INDEX(primary_jama_2024_4183_disposition,MATCH($A21,primary_jama_2024_4183_key,0)),$D21)&lt;&gt;"",IF($D21="",INDEX(primary_jama_2024_4183_disposition,MATCH($A21,primary_jama_2024_4183_key,0)),$D21)&lt;&gt;"retain"),NOT(OR(IF($E21="",INDEX(primary_jama_2024_4183_domain,MATCH($A21,primary_jama_2024_4183_key,0)),$E21)="protocol_report"))),L21&lt;&gt;"",L21&lt;&gt;"not_applicable")</formula>
    </cfRule>
    <cfRule type="expression" priority="232" dxfId="1">
      <formula>OR(AND(IF($D21="",INDEX(primary_jama_2024_4183_disposition,MATCH($A21,primary_jama_2024_4183_key,0)),$D21)&lt;&gt;"",IF($D21="",INDEX(primary_jama_2024_4183_disposition,MATCH($A21,primary_jama_2024_4183_key,0)),$D21)&lt;&gt;"retain"),NOT(OR(IF($E21="",INDEX(primary_jama_2024_4183_domain,MATCH($A21,primary_jama_2024_4183_key,0)),$E21)="protocol_report")))</formula>
    </cfRule>
  </conditionalFormatting>
  <conditionalFormatting sqref="L22">
    <cfRule type="expression" priority="233" dxfId="0" stopIfTrue="1">
      <formula>AND(OR(AND(IF($D22="",INDEX(primary_jama_2024_4183_disposition,MATCH($A22,primary_jama_2024_4183_key,0)),$D22)&lt;&gt;"",IF($D22="",INDEX(primary_jama_2024_4183_disposition,MATCH($A22,primary_jama_2024_4183_key,0)),$D22)&lt;&gt;"retain"),NOT(OR(IF($E22="",INDEX(primary_jama_2024_4183_domain,MATCH($A22,primary_jama_2024_4183_key,0)),$E22)="protocol_report"))),L22&lt;&gt;"",L22&lt;&gt;"not_applicable")</formula>
    </cfRule>
    <cfRule type="expression" priority="234" dxfId="1">
      <formula>OR(AND(IF($D22="",INDEX(primary_jama_2024_4183_disposition,MATCH($A22,primary_jama_2024_4183_key,0)),$D22)&lt;&gt;"",IF($D22="",INDEX(primary_jama_2024_4183_disposition,MATCH($A22,primary_jama_2024_4183_key,0)),$D22)&lt;&gt;"retain"),NOT(OR(IF($E22="",INDEX(primary_jama_2024_4183_domain,MATCH($A22,primary_jama_2024_4183_key,0)),$E22)="protocol_report")))</formula>
    </cfRule>
  </conditionalFormatting>
  <conditionalFormatting sqref="L23">
    <cfRule type="expression" priority="235" dxfId="0" stopIfTrue="1">
      <formula>AND(OR(AND(IF($D23="",INDEX(primary_jama_2024_4183_disposition,MATCH($A23,primary_jama_2024_4183_key,0)),$D23)&lt;&gt;"",IF($D23="",INDEX(primary_jama_2024_4183_disposition,MATCH($A23,primary_jama_2024_4183_key,0)),$D23)&lt;&gt;"retain"),NOT(OR(IF($E23="",INDEX(primary_jama_2024_4183_domain,MATCH($A23,primary_jama_2024_4183_key,0)),$E23)="protocol_report"))),L23&lt;&gt;"",L23&lt;&gt;"not_applicable")</formula>
    </cfRule>
    <cfRule type="expression" priority="236" dxfId="1">
      <formula>OR(AND(IF($D23="",INDEX(primary_jama_2024_4183_disposition,MATCH($A23,primary_jama_2024_4183_key,0)),$D23)&lt;&gt;"",IF($D23="",INDEX(primary_jama_2024_4183_disposition,MATCH($A23,primary_jama_2024_4183_key,0)),$D23)&lt;&gt;"retain"),NOT(OR(IF($E23="",INDEX(primary_jama_2024_4183_domain,MATCH($A23,primary_jama_2024_4183_key,0)),$E23)="protocol_report")))</formula>
    </cfRule>
  </conditionalFormatting>
  <conditionalFormatting sqref="L24">
    <cfRule type="expression" priority="237" dxfId="0" stopIfTrue="1">
      <formula>AND(OR(AND(IF($D24="",INDEX(primary_jama_2024_4183_disposition,MATCH($A24,primary_jama_2024_4183_key,0)),$D24)&lt;&gt;"",IF($D24="",INDEX(primary_jama_2024_4183_disposition,MATCH($A24,primary_jama_2024_4183_key,0)),$D24)&lt;&gt;"retain"),NOT(OR(IF($E24="",INDEX(primary_jama_2024_4183_domain,MATCH($A24,primary_jama_2024_4183_key,0)),$E24)="protocol_report"))),L24&lt;&gt;"",L24&lt;&gt;"not_applicable")</formula>
    </cfRule>
    <cfRule type="expression" priority="238" dxfId="1">
      <formula>OR(AND(IF($D24="",INDEX(primary_jama_2024_4183_disposition,MATCH($A24,primary_jama_2024_4183_key,0)),$D24)&lt;&gt;"",IF($D24="",INDEX(primary_jama_2024_4183_disposition,MATCH($A24,primary_jama_2024_4183_key,0)),$D24)&lt;&gt;"retain"),NOT(OR(IF($E24="",INDEX(primary_jama_2024_4183_domain,MATCH($A24,primary_jama_2024_4183_key,0)),$E24)="protocol_report")))</formula>
    </cfRule>
  </conditionalFormatting>
  <conditionalFormatting sqref="L25">
    <cfRule type="expression" priority="239" dxfId="0" stopIfTrue="1">
      <formula>AND(OR(AND(IF($D25="",INDEX(primary_jama_2024_4183_disposition,MATCH($A25,primary_jama_2024_4183_key,0)),$D25)&lt;&gt;"",IF($D25="",INDEX(primary_jama_2024_4183_disposition,MATCH($A25,primary_jama_2024_4183_key,0)),$D25)&lt;&gt;"retain"),NOT(OR(IF($E25="",INDEX(primary_jama_2024_4183_domain,MATCH($A25,primary_jama_2024_4183_key,0)),$E25)="protocol_report"))),L25&lt;&gt;"",L25&lt;&gt;"not_applicable")</formula>
    </cfRule>
    <cfRule type="expression" priority="240" dxfId="1">
      <formula>OR(AND(IF($D25="",INDEX(primary_jama_2024_4183_disposition,MATCH($A25,primary_jama_2024_4183_key,0)),$D25)&lt;&gt;"",IF($D25="",INDEX(primary_jama_2024_4183_disposition,MATCH($A25,primary_jama_2024_4183_key,0)),$D25)&lt;&gt;"retain"),NOT(OR(IF($E25="",INDEX(primary_jama_2024_4183_domain,MATCH($A25,primary_jama_2024_4183_key,0)),$E25)="protocol_report")))</formula>
    </cfRule>
  </conditionalFormatting>
  <dataValidations count="10">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25" showDropDown="0" showInputMessage="1" showErrorMessage="1" allowBlank="1" errorTitle="Invalid option" error="Choose a listed value." promptTitle="Checker result" prompt="See Codebook for meanings." type="list" errorStyle="stop">
      <formula1>opt_checkStatus</formula1>
    </dataValidation>
    <dataValidation sqref="Q2:Q2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c r="F2" s="8" t="inlineStr">
        <is>
          <t>no</t>
        </is>
      </c>
      <c r="G2" s="2">
        <f>IF(OR(AND(OR(AND(IF($D2="",INDEX(primary_jama_2024_6063_disposition,MATCH($A2,primary_jama_2024_6063_key,0)),$D2)&lt;&gt;"",IF($D2="",INDEX(primary_jama_2024_6063_disposition,MATCH($A2,primary_jama_2024_6063_key,0)),$D2)&lt;&gt;"retain"),NOT(OR(IF($E2="",INDEX(primary_jama_2024_6063_domain,MATCH($A2,primary_jama_2024_6063_key,0)),$E2)="statistical_results"))),H2&lt;&gt;"",H2&lt;&gt;"not_applicable"),AND(OR(AND(IF($D2="",INDEX(primary_jama_2024_6063_disposition,MATCH($A2,primary_jama_2024_6063_key,0)),$D2)&lt;&gt;"",IF($D2="",INDEX(primary_jama_2024_6063_disposition,MATCH($A2,primary_jama_2024_6063_key,0)),$D2)&lt;&gt;"retain"),NOT(OR(IF($E2="",INDEX(primary_jama_2024_6063_domain,MATCH($A2,primary_jama_2024_6063_key,0)),$E2)="statistical_results"))),I2&lt;&gt;"",I2&lt;&gt;"not_applicable"),AND(OR(AND(IF($D2="",INDEX(primary_jama_2024_6063_disposition,MATCH($A2,primary_jama_2024_6063_key,0)),$D2)&lt;&gt;"",IF($D2="",INDEX(primary_jama_2024_6063_disposition,MATCH($A2,primary_jama_2024_6063_key,0)),$D2)&lt;&gt;"retain"),NOT(OR(IF($E2="",INDEX(primary_jama_2024_6063_domain,MATCH($A2,primary_jama_2024_6063_key,0)),$E2)="statistical_results"))),J2&lt;&gt;"",J2&lt;&gt;"not_applicable"),AND(OR(AND(IF($D2="",INDEX(primary_jama_2024_6063_disposition,MATCH($A2,primary_jama_2024_6063_key,0)),$D2)&lt;&gt;"",IF($D2="",INDEX(primary_jama_2024_6063_disposition,MATCH($A2,primary_jama_2024_6063_key,0)),$D2)&lt;&gt;"retain"),NOT(OR(IF($E2="",INDEX(primary_jama_2024_6063_domain,MATCH($A2,primary_jama_2024_6063_key,0)),$E2)="internal_nonstatistical",IF($E2="",INDEX(primary_jama_2024_6063_domain,MATCH($A2,primary_jama_2024_6063_key,0)),$E2)="plan_material"))),K2&lt;&gt;"",K2&lt;&gt;"not_applicable"),AND(OR(AND(IF($D2="",INDEX(primary_jama_2024_6063_disposition,MATCH($A2,primary_jama_2024_6063_key,0)),$D2)&lt;&gt;"",IF($D2="",INDEX(primary_jama_2024_6063_disposition,MATCH($A2,primary_jama_2024_6063_key,0)),$D2)&lt;&gt;"retain"),NOT(OR(IF($E2="",INDEX(primary_jama_2024_6063_domain,MATCH($A2,primary_jama_2024_6063_key,0)),$E2)="protocol_report"))),L2&lt;&gt;"",L2&lt;&gt;"not_applicable")),"CLEAR INACTIVE VALUES",IF(O2="","PENDING",IF(AND(O2&lt;&gt;"agree",LEN(TRIM(P2))=0),"COMMENT NEEDED",IF(F2="yes","CHECKED - see resolution","DRAFT"))))</f>
        <v/>
      </c>
      <c r="H2" s="8">
        <f>IF(OR(AND(IF($D2="",INDEX(primary_jama_2024_6063_disposition,MATCH($A2,primary_jama_2024_6063_key,0)),$D2)&lt;&gt;"",IF($D2="",INDEX(primary_jama_2024_6063_disposition,MATCH($A2,primary_jama_2024_6063_key,0)),$D2)&lt;&gt;"retain"),NOT(OR(IF($E2="",INDEX(primary_jama_2024_6063_domain,MATCH($A2,primary_jama_2024_6063_key,0)),$E2)="statistical_results"))),"not_applicable","")</f>
        <v/>
      </c>
      <c r="I2" s="8">
        <f>IF(OR(AND(IF($D2="",INDEX(primary_jama_2024_6063_disposition,MATCH($A2,primary_jama_2024_6063_key,0)),$D2)&lt;&gt;"",IF($D2="",INDEX(primary_jama_2024_6063_disposition,MATCH($A2,primary_jama_2024_6063_key,0)),$D2)&lt;&gt;"retain"),NOT(OR(IF($E2="",INDEX(primary_jama_2024_6063_domain,MATCH($A2,primary_jama_2024_6063_key,0)),$E2)="statistical_results"))),"not_applicable","")</f>
        <v/>
      </c>
      <c r="J2" s="9">
        <f>IF(OR(AND(IF($D2="",INDEX(primary_jama_2024_6063_disposition,MATCH($A2,primary_jama_2024_6063_key,0)),$D2)&lt;&gt;"",IF($D2="",INDEX(primary_jama_2024_6063_disposition,MATCH($A2,primary_jama_2024_6063_key,0)),$D2)&lt;&gt;"retain"),NOT(OR(IF($E2="",INDEX(primary_jama_2024_6063_domain,MATCH($A2,primary_jama_2024_6063_key,0)),$E2)="statistical_results"))),"not_applicable","")</f>
        <v/>
      </c>
      <c r="K2" s="8">
        <f>IF(OR(AND(IF($D2="",INDEX(primary_jama_2024_6063_disposition,MATCH($A2,primary_jama_2024_6063_key,0)),$D2)&lt;&gt;"",IF($D2="",INDEX(primary_jama_2024_6063_disposition,MATCH($A2,primary_jama_2024_6063_key,0)),$D2)&lt;&gt;"retain"),NOT(OR(IF($E2="",INDEX(primary_jama_2024_6063_domain,MATCH($A2,primary_jama_2024_6063_key,0)),$E2)="internal_nonstatistical",IF($E2="",INDEX(primary_jama_2024_6063_domain,MATCH($A2,primary_jama_2024_6063_key,0)),$E2)="plan_material"))),"not_applicable","")</f>
        <v/>
      </c>
      <c r="L2" s="9">
        <f>IF(OR(AND(IF($D2="",INDEX(primary_jama_2024_6063_disposition,MATCH($A2,primary_jama_2024_6063_key,0)),$D2)&lt;&gt;"",IF($D2="",INDEX(primary_jama_2024_6063_disposition,MATCH($A2,primary_jama_2024_6063_key,0)),$D2)&lt;&gt;"retain"),NOT(OR(IF($E2="",INDEX(primary_jama_2024_6063_domain,MATCH($A2,primary_jama_2024_6063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2024::jama.2024.6063::C002</t>
        </is>
      </c>
      <c r="B3" s="3" t="inlineStr">
        <is>
          <t>eTable 2 names 167 and 165 for the overall adherence population</t>
        </is>
      </c>
      <c r="C3" s="3" t="inlineStr">
        <is>
          <t>Supplement 3 — PDF p. 3.</t>
        </is>
      </c>
      <c r="D3" s="8" t="inlineStr"/>
      <c r="E3" s="8" t="inlineStr"/>
      <c r="F3" s="8" t="inlineStr">
        <is>
          <t>no</t>
        </is>
      </c>
      <c r="G3" s="3">
        <f>IF(OR(AND(OR(AND(IF($D3="",INDEX(primary_jama_2024_6063_disposition,MATCH($A3,primary_jama_2024_6063_key,0)),$D3)&lt;&gt;"",IF($D3="",INDEX(primary_jama_2024_6063_disposition,MATCH($A3,primary_jama_2024_6063_key,0)),$D3)&lt;&gt;"retain"),NOT(OR(IF($E3="",INDEX(primary_jama_2024_6063_domain,MATCH($A3,primary_jama_2024_6063_key,0)),$E3)="statistical_results"))),H3&lt;&gt;"",H3&lt;&gt;"not_applicable"),AND(OR(AND(IF($D3="",INDEX(primary_jama_2024_6063_disposition,MATCH($A3,primary_jama_2024_6063_key,0)),$D3)&lt;&gt;"",IF($D3="",INDEX(primary_jama_2024_6063_disposition,MATCH($A3,primary_jama_2024_6063_key,0)),$D3)&lt;&gt;"retain"),NOT(OR(IF($E3="",INDEX(primary_jama_2024_6063_domain,MATCH($A3,primary_jama_2024_6063_key,0)),$E3)="statistical_results"))),I3&lt;&gt;"",I3&lt;&gt;"not_applicable"),AND(OR(AND(IF($D3="",INDEX(primary_jama_2024_6063_disposition,MATCH($A3,primary_jama_2024_6063_key,0)),$D3)&lt;&gt;"",IF($D3="",INDEX(primary_jama_2024_6063_disposition,MATCH($A3,primary_jama_2024_6063_key,0)),$D3)&lt;&gt;"retain"),NOT(OR(IF($E3="",INDEX(primary_jama_2024_6063_domain,MATCH($A3,primary_jama_2024_6063_key,0)),$E3)="statistical_results"))),J3&lt;&gt;"",J3&lt;&gt;"not_applicable"),AND(OR(AND(IF($D3="",INDEX(primary_jama_2024_6063_disposition,MATCH($A3,primary_jama_2024_6063_key,0)),$D3)&lt;&gt;"",IF($D3="",INDEX(primary_jama_2024_6063_disposition,MATCH($A3,primary_jama_2024_6063_key,0)),$D3)&lt;&gt;"retain"),NOT(OR(IF($E3="",INDEX(primary_jama_2024_6063_domain,MATCH($A3,primary_jama_2024_6063_key,0)),$E3)="internal_nonstatistical",IF($E3="",INDEX(primary_jama_2024_6063_domain,MATCH($A3,primary_jama_2024_6063_key,0)),$E3)="plan_material"))),K3&lt;&gt;"",K3&lt;&gt;"not_applicable"),AND(OR(AND(IF($D3="",INDEX(primary_jama_2024_6063_disposition,MATCH($A3,primary_jama_2024_6063_key,0)),$D3)&lt;&gt;"",IF($D3="",INDEX(primary_jama_2024_6063_disposition,MATCH($A3,primary_jama_2024_6063_key,0)),$D3)&lt;&gt;"retain"),NOT(OR(IF($E3="",INDEX(primary_jama_2024_6063_domain,MATCH($A3,primary_jama_2024_6063_key,0)),$E3)="protocol_report"))),L3&lt;&gt;"",L3&lt;&gt;"not_applicable")),"CLEAR INACTIVE VALUES",IF(O3="","PENDING",IF(AND(O3&lt;&gt;"agree",LEN(TRIM(P3))=0),"COMMENT NEEDED",IF(F3="yes","CHECKED - see resolution","DRAFT"))))</f>
        <v/>
      </c>
      <c r="H3" s="8">
        <f>IF(OR(AND(IF($D3="",INDEX(primary_jama_2024_6063_disposition,MATCH($A3,primary_jama_2024_6063_key,0)),$D3)&lt;&gt;"",IF($D3="",INDEX(primary_jama_2024_6063_disposition,MATCH($A3,primary_jama_2024_6063_key,0)),$D3)&lt;&gt;"retain"),NOT(OR(IF($E3="",INDEX(primary_jama_2024_6063_domain,MATCH($A3,primary_jama_2024_6063_key,0)),$E3)="statistical_results"))),"not_applicable","")</f>
        <v/>
      </c>
      <c r="I3" s="8">
        <f>IF(OR(AND(IF($D3="",INDEX(primary_jama_2024_6063_disposition,MATCH($A3,primary_jama_2024_6063_key,0)),$D3)&lt;&gt;"",IF($D3="",INDEX(primary_jama_2024_6063_disposition,MATCH($A3,primary_jama_2024_6063_key,0)),$D3)&lt;&gt;"retain"),NOT(OR(IF($E3="",INDEX(primary_jama_2024_6063_domain,MATCH($A3,primary_jama_2024_6063_key,0)),$E3)="statistical_results"))),"not_applicable","")</f>
        <v/>
      </c>
      <c r="J3" s="9">
        <f>IF(OR(AND(IF($D3="",INDEX(primary_jama_2024_6063_disposition,MATCH($A3,primary_jama_2024_6063_key,0)),$D3)&lt;&gt;"",IF($D3="",INDEX(primary_jama_2024_6063_disposition,MATCH($A3,primary_jama_2024_6063_key,0)),$D3)&lt;&gt;"retain"),NOT(OR(IF($E3="",INDEX(primary_jama_2024_6063_domain,MATCH($A3,primary_jama_2024_6063_key,0)),$E3)="statistical_results"))),"not_applicable","")</f>
        <v/>
      </c>
      <c r="K3" s="8">
        <f>IF(OR(AND(IF($D3="",INDEX(primary_jama_2024_6063_disposition,MATCH($A3,primary_jama_2024_6063_key,0)),$D3)&lt;&gt;"",IF($D3="",INDEX(primary_jama_2024_6063_disposition,MATCH($A3,primary_jama_2024_6063_key,0)),$D3)&lt;&gt;"retain"),NOT(OR(IF($E3="",INDEX(primary_jama_2024_6063_domain,MATCH($A3,primary_jama_2024_6063_key,0)),$E3)="internal_nonstatistical",IF($E3="",INDEX(primary_jama_2024_6063_domain,MATCH($A3,primary_jama_2024_6063_key,0)),$E3)="plan_material"))),"not_applicable","")</f>
        <v/>
      </c>
      <c r="L3" s="9">
        <f>IF(OR(AND(IF($D3="",INDEX(primary_jama_2024_6063_disposition,MATCH($A3,primary_jama_2024_6063_key,0)),$D3)&lt;&gt;"",IF($D3="",INDEX(primary_jama_2024_6063_disposition,MATCH($A3,primary_jama_2024_6063_key,0)),$D3)&lt;&gt;"retain"),NOT(OR(IF($E3="",INDEX(primary_jama_2024_6063_domain,MATCH($A3,primary_jama_2024_6063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2024::jama.2024.6063::C003</t>
        </is>
      </c>
      <c r="B4" s="2" t="inlineStr">
        <is>
          <t>eTable 5 krill “Smaller by 1 unit” percentage conflicts with 10 of 107</t>
        </is>
      </c>
      <c r="C4" s="2" t="inlineStr">
        <is>
          <t>Supplement 3 — PDF p. 8.</t>
        </is>
      </c>
      <c r="D4" s="8" t="inlineStr"/>
      <c r="E4" s="8" t="inlineStr"/>
      <c r="F4" s="8" t="inlineStr">
        <is>
          <t>no</t>
        </is>
      </c>
      <c r="G4" s="2">
        <f>IF(OR(AND(OR(AND(IF($D4="",INDEX(primary_jama_2024_6063_disposition,MATCH($A4,primary_jama_2024_6063_key,0)),$D4)&lt;&gt;"",IF($D4="",INDEX(primary_jama_2024_6063_disposition,MATCH($A4,primary_jama_2024_6063_key,0)),$D4)&lt;&gt;"retain"),NOT(OR(IF($E4="",INDEX(primary_jama_2024_6063_domain,MATCH($A4,primary_jama_2024_6063_key,0)),$E4)="statistical_results"))),H4&lt;&gt;"",H4&lt;&gt;"not_applicable"),AND(OR(AND(IF($D4="",INDEX(primary_jama_2024_6063_disposition,MATCH($A4,primary_jama_2024_6063_key,0)),$D4)&lt;&gt;"",IF($D4="",INDEX(primary_jama_2024_6063_disposition,MATCH($A4,primary_jama_2024_6063_key,0)),$D4)&lt;&gt;"retain"),NOT(OR(IF($E4="",INDEX(primary_jama_2024_6063_domain,MATCH($A4,primary_jama_2024_6063_key,0)),$E4)="statistical_results"))),I4&lt;&gt;"",I4&lt;&gt;"not_applicable"),AND(OR(AND(IF($D4="",INDEX(primary_jama_2024_6063_disposition,MATCH($A4,primary_jama_2024_6063_key,0)),$D4)&lt;&gt;"",IF($D4="",INDEX(primary_jama_2024_6063_disposition,MATCH($A4,primary_jama_2024_6063_key,0)),$D4)&lt;&gt;"retain"),NOT(OR(IF($E4="",INDEX(primary_jama_2024_6063_domain,MATCH($A4,primary_jama_2024_6063_key,0)),$E4)="statistical_results"))),J4&lt;&gt;"",J4&lt;&gt;"not_applicable"),AND(OR(AND(IF($D4="",INDEX(primary_jama_2024_6063_disposition,MATCH($A4,primary_jama_2024_6063_key,0)),$D4)&lt;&gt;"",IF($D4="",INDEX(primary_jama_2024_6063_disposition,MATCH($A4,primary_jama_2024_6063_key,0)),$D4)&lt;&gt;"retain"),NOT(OR(IF($E4="",INDEX(primary_jama_2024_6063_domain,MATCH($A4,primary_jama_2024_6063_key,0)),$E4)="internal_nonstatistical",IF($E4="",INDEX(primary_jama_2024_6063_domain,MATCH($A4,primary_jama_2024_6063_key,0)),$E4)="plan_material"))),K4&lt;&gt;"",K4&lt;&gt;"not_applicable"),AND(OR(AND(IF($D4="",INDEX(primary_jama_2024_6063_disposition,MATCH($A4,primary_jama_2024_6063_key,0)),$D4)&lt;&gt;"",IF($D4="",INDEX(primary_jama_2024_6063_disposition,MATCH($A4,primary_jama_2024_6063_key,0)),$D4)&lt;&gt;"retain"),NOT(OR(IF($E4="",INDEX(primary_jama_2024_6063_domain,MATCH($A4,primary_jama_2024_6063_key,0)),$E4)="protocol_report"))),L4&lt;&gt;"",L4&lt;&gt;"not_applicable")),"CLEAR INACTIVE VALUES",IF(O4="","PENDING",IF(AND(O4&lt;&gt;"agree",LEN(TRIM(P4))=0),"COMMENT NEEDED",IF(F4="yes","CHECKED - see resolution","DRAFT"))))</f>
        <v/>
      </c>
      <c r="H4" s="8">
        <f>IF(OR(AND(IF($D4="",INDEX(primary_jama_2024_6063_disposition,MATCH($A4,primary_jama_2024_6063_key,0)),$D4)&lt;&gt;"",IF($D4="",INDEX(primary_jama_2024_6063_disposition,MATCH($A4,primary_jama_2024_6063_key,0)),$D4)&lt;&gt;"retain"),NOT(OR(IF($E4="",INDEX(primary_jama_2024_6063_domain,MATCH($A4,primary_jama_2024_6063_key,0)),$E4)="statistical_results"))),"not_applicable","")</f>
        <v/>
      </c>
      <c r="I4" s="8">
        <f>IF(OR(AND(IF($D4="",INDEX(primary_jama_2024_6063_disposition,MATCH($A4,primary_jama_2024_6063_key,0)),$D4)&lt;&gt;"",IF($D4="",INDEX(primary_jama_2024_6063_disposition,MATCH($A4,primary_jama_2024_6063_key,0)),$D4)&lt;&gt;"retain"),NOT(OR(IF($E4="",INDEX(primary_jama_2024_6063_domain,MATCH($A4,primary_jama_2024_6063_key,0)),$E4)="statistical_results"))),"not_applicable","")</f>
        <v/>
      </c>
      <c r="J4" s="9">
        <f>IF(OR(AND(IF($D4="",INDEX(primary_jama_2024_6063_disposition,MATCH($A4,primary_jama_2024_6063_key,0)),$D4)&lt;&gt;"",IF($D4="",INDEX(primary_jama_2024_6063_disposition,MATCH($A4,primary_jama_2024_6063_key,0)),$D4)&lt;&gt;"retain"),NOT(OR(IF($E4="",INDEX(primary_jama_2024_6063_domain,MATCH($A4,primary_jama_2024_6063_key,0)),$E4)="statistical_results"))),"not_applicable","")</f>
        <v/>
      </c>
      <c r="K4" s="8">
        <f>IF(OR(AND(IF($D4="",INDEX(primary_jama_2024_6063_disposition,MATCH($A4,primary_jama_2024_6063_key,0)),$D4)&lt;&gt;"",IF($D4="",INDEX(primary_jama_2024_6063_disposition,MATCH($A4,primary_jama_2024_6063_key,0)),$D4)&lt;&gt;"retain"),NOT(OR(IF($E4="",INDEX(primary_jama_2024_6063_domain,MATCH($A4,primary_jama_2024_6063_key,0)),$E4)="internal_nonstatistical",IF($E4="",INDEX(primary_jama_2024_6063_domain,MATCH($A4,primary_jama_2024_6063_key,0)),$E4)="plan_material"))),"not_applicable","")</f>
        <v/>
      </c>
      <c r="L4" s="9">
        <f>IF(OR(AND(IF($D4="",INDEX(primary_jama_2024_6063_disposition,MATCH($A4,primary_jama_2024_6063_key,0)),$D4)&lt;&gt;"",IF($D4="",INDEX(primary_jama_2024_6063_disposition,MATCH($A4,primary_jama_2024_6063_key,0)),$D4)&lt;&gt;"retain"),NOT(OR(IF($E4="",INDEX(primary_jama_2024_6063_domain,MATCH($A4,primary_jama_2024_6063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2024::jama.2024.6063::C004</t>
        </is>
      </c>
      <c r="B5" s="3" t="inlineStr">
        <is>
          <t>eTable 5 krill “No change” percentage conflicts with 80 of 107</t>
        </is>
      </c>
      <c r="C5" s="3" t="inlineStr">
        <is>
          <t>Supplement 3 — PDF p. 8.</t>
        </is>
      </c>
      <c r="D5" s="8" t="inlineStr"/>
      <c r="E5" s="8" t="inlineStr"/>
      <c r="F5" s="8" t="inlineStr">
        <is>
          <t>no</t>
        </is>
      </c>
      <c r="G5" s="3">
        <f>IF(OR(AND(OR(AND(IF($D5="",INDEX(primary_jama_2024_6063_disposition,MATCH($A5,primary_jama_2024_6063_key,0)),$D5)&lt;&gt;"",IF($D5="",INDEX(primary_jama_2024_6063_disposition,MATCH($A5,primary_jama_2024_6063_key,0)),$D5)&lt;&gt;"retain"),NOT(OR(IF($E5="",INDEX(primary_jama_2024_6063_domain,MATCH($A5,primary_jama_2024_6063_key,0)),$E5)="statistical_results"))),H5&lt;&gt;"",H5&lt;&gt;"not_applicable"),AND(OR(AND(IF($D5="",INDEX(primary_jama_2024_6063_disposition,MATCH($A5,primary_jama_2024_6063_key,0)),$D5)&lt;&gt;"",IF($D5="",INDEX(primary_jama_2024_6063_disposition,MATCH($A5,primary_jama_2024_6063_key,0)),$D5)&lt;&gt;"retain"),NOT(OR(IF($E5="",INDEX(primary_jama_2024_6063_domain,MATCH($A5,primary_jama_2024_6063_key,0)),$E5)="statistical_results"))),I5&lt;&gt;"",I5&lt;&gt;"not_applicable"),AND(OR(AND(IF($D5="",INDEX(primary_jama_2024_6063_disposition,MATCH($A5,primary_jama_2024_6063_key,0)),$D5)&lt;&gt;"",IF($D5="",INDEX(primary_jama_2024_6063_disposition,MATCH($A5,primary_jama_2024_6063_key,0)),$D5)&lt;&gt;"retain"),NOT(OR(IF($E5="",INDEX(primary_jama_2024_6063_domain,MATCH($A5,primary_jama_2024_6063_key,0)),$E5)="statistical_results"))),J5&lt;&gt;"",J5&lt;&gt;"not_applicable"),AND(OR(AND(IF($D5="",INDEX(primary_jama_2024_6063_disposition,MATCH($A5,primary_jama_2024_6063_key,0)),$D5)&lt;&gt;"",IF($D5="",INDEX(primary_jama_2024_6063_disposition,MATCH($A5,primary_jama_2024_6063_key,0)),$D5)&lt;&gt;"retain"),NOT(OR(IF($E5="",INDEX(primary_jama_2024_6063_domain,MATCH($A5,primary_jama_2024_6063_key,0)),$E5)="internal_nonstatistical",IF($E5="",INDEX(primary_jama_2024_6063_domain,MATCH($A5,primary_jama_2024_6063_key,0)),$E5)="plan_material"))),K5&lt;&gt;"",K5&lt;&gt;"not_applicable"),AND(OR(AND(IF($D5="",INDEX(primary_jama_2024_6063_disposition,MATCH($A5,primary_jama_2024_6063_key,0)),$D5)&lt;&gt;"",IF($D5="",INDEX(primary_jama_2024_6063_disposition,MATCH($A5,primary_jama_2024_6063_key,0)),$D5)&lt;&gt;"retain"),NOT(OR(IF($E5="",INDEX(primary_jama_2024_6063_domain,MATCH($A5,primary_jama_2024_6063_key,0)),$E5)="protocol_report"))),L5&lt;&gt;"",L5&lt;&gt;"not_applicable")),"CLEAR INACTIVE VALUES",IF(O5="","PENDING",IF(AND(O5&lt;&gt;"agree",LEN(TRIM(P5))=0),"COMMENT NEEDED",IF(F5="yes","CHECKED - see resolution","DRAFT"))))</f>
        <v/>
      </c>
      <c r="H5" s="8">
        <f>IF(OR(AND(IF($D5="",INDEX(primary_jama_2024_6063_disposition,MATCH($A5,primary_jama_2024_6063_key,0)),$D5)&lt;&gt;"",IF($D5="",INDEX(primary_jama_2024_6063_disposition,MATCH($A5,primary_jama_2024_6063_key,0)),$D5)&lt;&gt;"retain"),NOT(OR(IF($E5="",INDEX(primary_jama_2024_6063_domain,MATCH($A5,primary_jama_2024_6063_key,0)),$E5)="statistical_results"))),"not_applicable","")</f>
        <v/>
      </c>
      <c r="I5" s="8">
        <f>IF(OR(AND(IF($D5="",INDEX(primary_jama_2024_6063_disposition,MATCH($A5,primary_jama_2024_6063_key,0)),$D5)&lt;&gt;"",IF($D5="",INDEX(primary_jama_2024_6063_disposition,MATCH($A5,primary_jama_2024_6063_key,0)),$D5)&lt;&gt;"retain"),NOT(OR(IF($E5="",INDEX(primary_jama_2024_6063_domain,MATCH($A5,primary_jama_2024_6063_key,0)),$E5)="statistical_results"))),"not_applicable","")</f>
        <v/>
      </c>
      <c r="J5" s="9">
        <f>IF(OR(AND(IF($D5="",INDEX(primary_jama_2024_6063_disposition,MATCH($A5,primary_jama_2024_6063_key,0)),$D5)&lt;&gt;"",IF($D5="",INDEX(primary_jama_2024_6063_disposition,MATCH($A5,primary_jama_2024_6063_key,0)),$D5)&lt;&gt;"retain"),NOT(OR(IF($E5="",INDEX(primary_jama_2024_6063_domain,MATCH($A5,primary_jama_2024_6063_key,0)),$E5)="statistical_results"))),"not_applicable","")</f>
        <v/>
      </c>
      <c r="K5" s="8">
        <f>IF(OR(AND(IF($D5="",INDEX(primary_jama_2024_6063_disposition,MATCH($A5,primary_jama_2024_6063_key,0)),$D5)&lt;&gt;"",IF($D5="",INDEX(primary_jama_2024_6063_disposition,MATCH($A5,primary_jama_2024_6063_key,0)),$D5)&lt;&gt;"retain"),NOT(OR(IF($E5="",INDEX(primary_jama_2024_6063_domain,MATCH($A5,primary_jama_2024_6063_key,0)),$E5)="internal_nonstatistical",IF($E5="",INDEX(primary_jama_2024_6063_domain,MATCH($A5,primary_jama_2024_6063_key,0)),$E5)="plan_material"))),"not_applicable","")</f>
        <v/>
      </c>
      <c r="L5" s="9">
        <f>IF(OR(AND(IF($D5="",INDEX(primary_jama_2024_6063_disposition,MATCH($A5,primary_jama_2024_6063_key,0)),$D5)&lt;&gt;"",IF($D5="",INDEX(primary_jama_2024_6063_disposition,MATCH($A5,primary_jama_2024_6063_key,0)),$D5)&lt;&gt;"retain"),NOT(OR(IF($E5="",INDEX(primary_jama_2024_6063_domain,MATCH($A5,primary_jama_2024_6063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2024::jama.2024.6063::C005</t>
        </is>
      </c>
      <c r="B6" s="2" t="inlineStr">
        <is>
          <t>eTable 5 krill “Larger by 1 unit” percentage conflicts with 12 of 107</t>
        </is>
      </c>
      <c r="C6" s="2" t="inlineStr">
        <is>
          <t>Supplement 3 — PDF p. 8.</t>
        </is>
      </c>
      <c r="D6" s="8" t="inlineStr"/>
      <c r="E6" s="8" t="inlineStr"/>
      <c r="F6" s="8" t="inlineStr">
        <is>
          <t>no</t>
        </is>
      </c>
      <c r="G6" s="2">
        <f>IF(OR(AND(OR(AND(IF($D6="",INDEX(primary_jama_2024_6063_disposition,MATCH($A6,primary_jama_2024_6063_key,0)),$D6)&lt;&gt;"",IF($D6="",INDEX(primary_jama_2024_6063_disposition,MATCH($A6,primary_jama_2024_6063_key,0)),$D6)&lt;&gt;"retain"),NOT(OR(IF($E6="",INDEX(primary_jama_2024_6063_domain,MATCH($A6,primary_jama_2024_6063_key,0)),$E6)="statistical_results"))),H6&lt;&gt;"",H6&lt;&gt;"not_applicable"),AND(OR(AND(IF($D6="",INDEX(primary_jama_2024_6063_disposition,MATCH($A6,primary_jama_2024_6063_key,0)),$D6)&lt;&gt;"",IF($D6="",INDEX(primary_jama_2024_6063_disposition,MATCH($A6,primary_jama_2024_6063_key,0)),$D6)&lt;&gt;"retain"),NOT(OR(IF($E6="",INDEX(primary_jama_2024_6063_domain,MATCH($A6,primary_jama_2024_6063_key,0)),$E6)="statistical_results"))),I6&lt;&gt;"",I6&lt;&gt;"not_applicable"),AND(OR(AND(IF($D6="",INDEX(primary_jama_2024_6063_disposition,MATCH($A6,primary_jama_2024_6063_key,0)),$D6)&lt;&gt;"",IF($D6="",INDEX(primary_jama_2024_6063_disposition,MATCH($A6,primary_jama_2024_6063_key,0)),$D6)&lt;&gt;"retain"),NOT(OR(IF($E6="",INDEX(primary_jama_2024_6063_domain,MATCH($A6,primary_jama_2024_6063_key,0)),$E6)="statistical_results"))),J6&lt;&gt;"",J6&lt;&gt;"not_applicable"),AND(OR(AND(IF($D6="",INDEX(primary_jama_2024_6063_disposition,MATCH($A6,primary_jama_2024_6063_key,0)),$D6)&lt;&gt;"",IF($D6="",INDEX(primary_jama_2024_6063_disposition,MATCH($A6,primary_jama_2024_6063_key,0)),$D6)&lt;&gt;"retain"),NOT(OR(IF($E6="",INDEX(primary_jama_2024_6063_domain,MATCH($A6,primary_jama_2024_6063_key,0)),$E6)="internal_nonstatistical",IF($E6="",INDEX(primary_jama_2024_6063_domain,MATCH($A6,primary_jama_2024_6063_key,0)),$E6)="plan_material"))),K6&lt;&gt;"",K6&lt;&gt;"not_applicable"),AND(OR(AND(IF($D6="",INDEX(primary_jama_2024_6063_disposition,MATCH($A6,primary_jama_2024_6063_key,0)),$D6)&lt;&gt;"",IF($D6="",INDEX(primary_jama_2024_6063_disposition,MATCH($A6,primary_jama_2024_6063_key,0)),$D6)&lt;&gt;"retain"),NOT(OR(IF($E6="",INDEX(primary_jama_2024_6063_domain,MATCH($A6,primary_jama_2024_6063_key,0)),$E6)="protocol_report"))),L6&lt;&gt;"",L6&lt;&gt;"not_applicable")),"CLEAR INACTIVE VALUES",IF(O6="","PENDING",IF(AND(O6&lt;&gt;"agree",LEN(TRIM(P6))=0),"COMMENT NEEDED",IF(F6="yes","CHECKED - see resolution","DRAFT"))))</f>
        <v/>
      </c>
      <c r="H6" s="8">
        <f>IF(OR(AND(IF($D6="",INDEX(primary_jama_2024_6063_disposition,MATCH($A6,primary_jama_2024_6063_key,0)),$D6)&lt;&gt;"",IF($D6="",INDEX(primary_jama_2024_6063_disposition,MATCH($A6,primary_jama_2024_6063_key,0)),$D6)&lt;&gt;"retain"),NOT(OR(IF($E6="",INDEX(primary_jama_2024_6063_domain,MATCH($A6,primary_jama_2024_6063_key,0)),$E6)="statistical_results"))),"not_applicable","")</f>
        <v/>
      </c>
      <c r="I6" s="8">
        <f>IF(OR(AND(IF($D6="",INDEX(primary_jama_2024_6063_disposition,MATCH($A6,primary_jama_2024_6063_key,0)),$D6)&lt;&gt;"",IF($D6="",INDEX(primary_jama_2024_6063_disposition,MATCH($A6,primary_jama_2024_6063_key,0)),$D6)&lt;&gt;"retain"),NOT(OR(IF($E6="",INDEX(primary_jama_2024_6063_domain,MATCH($A6,primary_jama_2024_6063_key,0)),$E6)="statistical_results"))),"not_applicable","")</f>
        <v/>
      </c>
      <c r="J6" s="9">
        <f>IF(OR(AND(IF($D6="",INDEX(primary_jama_2024_6063_disposition,MATCH($A6,primary_jama_2024_6063_key,0)),$D6)&lt;&gt;"",IF($D6="",INDEX(primary_jama_2024_6063_disposition,MATCH($A6,primary_jama_2024_6063_key,0)),$D6)&lt;&gt;"retain"),NOT(OR(IF($E6="",INDEX(primary_jama_2024_6063_domain,MATCH($A6,primary_jama_2024_6063_key,0)),$E6)="statistical_results"))),"not_applicable","")</f>
        <v/>
      </c>
      <c r="K6" s="8">
        <f>IF(OR(AND(IF($D6="",INDEX(primary_jama_2024_6063_disposition,MATCH($A6,primary_jama_2024_6063_key,0)),$D6)&lt;&gt;"",IF($D6="",INDEX(primary_jama_2024_6063_disposition,MATCH($A6,primary_jama_2024_6063_key,0)),$D6)&lt;&gt;"retain"),NOT(OR(IF($E6="",INDEX(primary_jama_2024_6063_domain,MATCH($A6,primary_jama_2024_6063_key,0)),$E6)="internal_nonstatistical",IF($E6="",INDEX(primary_jama_2024_6063_domain,MATCH($A6,primary_jama_2024_6063_key,0)),$E6)="plan_material"))),"not_applicable","")</f>
        <v/>
      </c>
      <c r="L6" s="9">
        <f>IF(OR(AND(IF($D6="",INDEX(primary_jama_2024_6063_disposition,MATCH($A6,primary_jama_2024_6063_key,0)),$D6)&lt;&gt;"",IF($D6="",INDEX(primary_jama_2024_6063_disposition,MATCH($A6,primary_jama_2024_6063_key,0)),$D6)&lt;&gt;"retain"),NOT(OR(IF($E6="",INDEX(primary_jama_2024_6063_domain,MATCH($A6,primary_jama_2024_6063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2024::jama.2024.6063::C006</t>
        </is>
      </c>
      <c r="B7" s="3" t="inlineStr">
        <is>
          <t>eTable 5 placebo “Smaller by 2 units” percentage conflicts with 2 of 109</t>
        </is>
      </c>
      <c r="C7" s="3" t="inlineStr">
        <is>
          <t>Supplement 3 — PDF p. 8.</t>
        </is>
      </c>
      <c r="D7" s="8" t="inlineStr"/>
      <c r="E7" s="8" t="inlineStr"/>
      <c r="F7" s="8" t="inlineStr">
        <is>
          <t>no</t>
        </is>
      </c>
      <c r="G7" s="3">
        <f>IF(OR(AND(OR(AND(IF($D7="",INDEX(primary_jama_2024_6063_disposition,MATCH($A7,primary_jama_2024_6063_key,0)),$D7)&lt;&gt;"",IF($D7="",INDEX(primary_jama_2024_6063_disposition,MATCH($A7,primary_jama_2024_6063_key,0)),$D7)&lt;&gt;"retain"),NOT(OR(IF($E7="",INDEX(primary_jama_2024_6063_domain,MATCH($A7,primary_jama_2024_6063_key,0)),$E7)="statistical_results"))),H7&lt;&gt;"",H7&lt;&gt;"not_applicable"),AND(OR(AND(IF($D7="",INDEX(primary_jama_2024_6063_disposition,MATCH($A7,primary_jama_2024_6063_key,0)),$D7)&lt;&gt;"",IF($D7="",INDEX(primary_jama_2024_6063_disposition,MATCH($A7,primary_jama_2024_6063_key,0)),$D7)&lt;&gt;"retain"),NOT(OR(IF($E7="",INDEX(primary_jama_2024_6063_domain,MATCH($A7,primary_jama_2024_6063_key,0)),$E7)="statistical_results"))),I7&lt;&gt;"",I7&lt;&gt;"not_applicable"),AND(OR(AND(IF($D7="",INDEX(primary_jama_2024_6063_disposition,MATCH($A7,primary_jama_2024_6063_key,0)),$D7)&lt;&gt;"",IF($D7="",INDEX(primary_jama_2024_6063_disposition,MATCH($A7,primary_jama_2024_6063_key,0)),$D7)&lt;&gt;"retain"),NOT(OR(IF($E7="",INDEX(primary_jama_2024_6063_domain,MATCH($A7,primary_jama_2024_6063_key,0)),$E7)="statistical_results"))),J7&lt;&gt;"",J7&lt;&gt;"not_applicable"),AND(OR(AND(IF($D7="",INDEX(primary_jama_2024_6063_disposition,MATCH($A7,primary_jama_2024_6063_key,0)),$D7)&lt;&gt;"",IF($D7="",INDEX(primary_jama_2024_6063_disposition,MATCH($A7,primary_jama_2024_6063_key,0)),$D7)&lt;&gt;"retain"),NOT(OR(IF($E7="",INDEX(primary_jama_2024_6063_domain,MATCH($A7,primary_jama_2024_6063_key,0)),$E7)="internal_nonstatistical",IF($E7="",INDEX(primary_jama_2024_6063_domain,MATCH($A7,primary_jama_2024_6063_key,0)),$E7)="plan_material"))),K7&lt;&gt;"",K7&lt;&gt;"not_applicable"),AND(OR(AND(IF($D7="",INDEX(primary_jama_2024_6063_disposition,MATCH($A7,primary_jama_2024_6063_key,0)),$D7)&lt;&gt;"",IF($D7="",INDEX(primary_jama_2024_6063_disposition,MATCH($A7,primary_jama_2024_6063_key,0)),$D7)&lt;&gt;"retain"),NOT(OR(IF($E7="",INDEX(primary_jama_2024_6063_domain,MATCH($A7,primary_jama_2024_6063_key,0)),$E7)="protocol_report"))),L7&lt;&gt;"",L7&lt;&gt;"not_applicable")),"CLEAR INACTIVE VALUES",IF(O7="","PENDING",IF(AND(O7&lt;&gt;"agree",LEN(TRIM(P7))=0),"COMMENT NEEDED",IF(F7="yes","CHECKED - see resolution","DRAFT"))))</f>
        <v/>
      </c>
      <c r="H7" s="8">
        <f>IF(OR(AND(IF($D7="",INDEX(primary_jama_2024_6063_disposition,MATCH($A7,primary_jama_2024_6063_key,0)),$D7)&lt;&gt;"",IF($D7="",INDEX(primary_jama_2024_6063_disposition,MATCH($A7,primary_jama_2024_6063_key,0)),$D7)&lt;&gt;"retain"),NOT(OR(IF($E7="",INDEX(primary_jama_2024_6063_domain,MATCH($A7,primary_jama_2024_6063_key,0)),$E7)="statistical_results"))),"not_applicable","")</f>
        <v/>
      </c>
      <c r="I7" s="8">
        <f>IF(OR(AND(IF($D7="",INDEX(primary_jama_2024_6063_disposition,MATCH($A7,primary_jama_2024_6063_key,0)),$D7)&lt;&gt;"",IF($D7="",INDEX(primary_jama_2024_6063_disposition,MATCH($A7,primary_jama_2024_6063_key,0)),$D7)&lt;&gt;"retain"),NOT(OR(IF($E7="",INDEX(primary_jama_2024_6063_domain,MATCH($A7,primary_jama_2024_6063_key,0)),$E7)="statistical_results"))),"not_applicable","")</f>
        <v/>
      </c>
      <c r="J7" s="9">
        <f>IF(OR(AND(IF($D7="",INDEX(primary_jama_2024_6063_disposition,MATCH($A7,primary_jama_2024_6063_key,0)),$D7)&lt;&gt;"",IF($D7="",INDEX(primary_jama_2024_6063_disposition,MATCH($A7,primary_jama_2024_6063_key,0)),$D7)&lt;&gt;"retain"),NOT(OR(IF($E7="",INDEX(primary_jama_2024_6063_domain,MATCH($A7,primary_jama_2024_6063_key,0)),$E7)="statistical_results"))),"not_applicable","")</f>
        <v/>
      </c>
      <c r="K7" s="8">
        <f>IF(OR(AND(IF($D7="",INDEX(primary_jama_2024_6063_disposition,MATCH($A7,primary_jama_2024_6063_key,0)),$D7)&lt;&gt;"",IF($D7="",INDEX(primary_jama_2024_6063_disposition,MATCH($A7,primary_jama_2024_6063_key,0)),$D7)&lt;&gt;"retain"),NOT(OR(IF($E7="",INDEX(primary_jama_2024_6063_domain,MATCH($A7,primary_jama_2024_6063_key,0)),$E7)="internal_nonstatistical",IF($E7="",INDEX(primary_jama_2024_6063_domain,MATCH($A7,primary_jama_2024_6063_key,0)),$E7)="plan_material"))),"not_applicable","")</f>
        <v/>
      </c>
      <c r="L7" s="9">
        <f>IF(OR(AND(IF($D7="",INDEX(primary_jama_2024_6063_disposition,MATCH($A7,primary_jama_2024_6063_key,0)),$D7)&lt;&gt;"",IF($D7="",INDEX(primary_jama_2024_6063_disposition,MATCH($A7,primary_jama_2024_6063_key,0)),$D7)&lt;&gt;"retain"),NOT(OR(IF($E7="",INDEX(primary_jama_2024_6063_domain,MATCH($A7,primary_jama_2024_6063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2024::jama.2024.6063::C007</t>
        </is>
      </c>
      <c r="B8" s="2" t="inlineStr">
        <is>
          <t>eTable 5 placebo “Smaller by 1 unit” percentage conflicts with 16 of 109</t>
        </is>
      </c>
      <c r="C8" s="2" t="inlineStr">
        <is>
          <t>Supplement 3 — PDF p. 8.</t>
        </is>
      </c>
      <c r="D8" s="8" t="inlineStr"/>
      <c r="E8" s="8" t="inlineStr"/>
      <c r="F8" s="8" t="inlineStr">
        <is>
          <t>no</t>
        </is>
      </c>
      <c r="G8" s="2">
        <f>IF(OR(AND(OR(AND(IF($D8="",INDEX(primary_jama_2024_6063_disposition,MATCH($A8,primary_jama_2024_6063_key,0)),$D8)&lt;&gt;"",IF($D8="",INDEX(primary_jama_2024_6063_disposition,MATCH($A8,primary_jama_2024_6063_key,0)),$D8)&lt;&gt;"retain"),NOT(OR(IF($E8="",INDEX(primary_jama_2024_6063_domain,MATCH($A8,primary_jama_2024_6063_key,0)),$E8)="statistical_results"))),H8&lt;&gt;"",H8&lt;&gt;"not_applicable"),AND(OR(AND(IF($D8="",INDEX(primary_jama_2024_6063_disposition,MATCH($A8,primary_jama_2024_6063_key,0)),$D8)&lt;&gt;"",IF($D8="",INDEX(primary_jama_2024_6063_disposition,MATCH($A8,primary_jama_2024_6063_key,0)),$D8)&lt;&gt;"retain"),NOT(OR(IF($E8="",INDEX(primary_jama_2024_6063_domain,MATCH($A8,primary_jama_2024_6063_key,0)),$E8)="statistical_results"))),I8&lt;&gt;"",I8&lt;&gt;"not_applicable"),AND(OR(AND(IF($D8="",INDEX(primary_jama_2024_6063_disposition,MATCH($A8,primary_jama_2024_6063_key,0)),$D8)&lt;&gt;"",IF($D8="",INDEX(primary_jama_2024_6063_disposition,MATCH($A8,primary_jama_2024_6063_key,0)),$D8)&lt;&gt;"retain"),NOT(OR(IF($E8="",INDEX(primary_jama_2024_6063_domain,MATCH($A8,primary_jama_2024_6063_key,0)),$E8)="statistical_results"))),J8&lt;&gt;"",J8&lt;&gt;"not_applicable"),AND(OR(AND(IF($D8="",INDEX(primary_jama_2024_6063_disposition,MATCH($A8,primary_jama_2024_6063_key,0)),$D8)&lt;&gt;"",IF($D8="",INDEX(primary_jama_2024_6063_disposition,MATCH($A8,primary_jama_2024_6063_key,0)),$D8)&lt;&gt;"retain"),NOT(OR(IF($E8="",INDEX(primary_jama_2024_6063_domain,MATCH($A8,primary_jama_2024_6063_key,0)),$E8)="internal_nonstatistical",IF($E8="",INDEX(primary_jama_2024_6063_domain,MATCH($A8,primary_jama_2024_6063_key,0)),$E8)="plan_material"))),K8&lt;&gt;"",K8&lt;&gt;"not_applicable"),AND(OR(AND(IF($D8="",INDEX(primary_jama_2024_6063_disposition,MATCH($A8,primary_jama_2024_6063_key,0)),$D8)&lt;&gt;"",IF($D8="",INDEX(primary_jama_2024_6063_disposition,MATCH($A8,primary_jama_2024_6063_key,0)),$D8)&lt;&gt;"retain"),NOT(OR(IF($E8="",INDEX(primary_jama_2024_6063_domain,MATCH($A8,primary_jama_2024_6063_key,0)),$E8)="protocol_report"))),L8&lt;&gt;"",L8&lt;&gt;"not_applicable")),"CLEAR INACTIVE VALUES",IF(O8="","PENDING",IF(AND(O8&lt;&gt;"agree",LEN(TRIM(P8))=0),"COMMENT NEEDED",IF(F8="yes","CHECKED - see resolution","DRAFT"))))</f>
        <v/>
      </c>
      <c r="H8" s="8">
        <f>IF(OR(AND(IF($D8="",INDEX(primary_jama_2024_6063_disposition,MATCH($A8,primary_jama_2024_6063_key,0)),$D8)&lt;&gt;"",IF($D8="",INDEX(primary_jama_2024_6063_disposition,MATCH($A8,primary_jama_2024_6063_key,0)),$D8)&lt;&gt;"retain"),NOT(OR(IF($E8="",INDEX(primary_jama_2024_6063_domain,MATCH($A8,primary_jama_2024_6063_key,0)),$E8)="statistical_results"))),"not_applicable","")</f>
        <v/>
      </c>
      <c r="I8" s="8">
        <f>IF(OR(AND(IF($D8="",INDEX(primary_jama_2024_6063_disposition,MATCH($A8,primary_jama_2024_6063_key,0)),$D8)&lt;&gt;"",IF($D8="",INDEX(primary_jama_2024_6063_disposition,MATCH($A8,primary_jama_2024_6063_key,0)),$D8)&lt;&gt;"retain"),NOT(OR(IF($E8="",INDEX(primary_jama_2024_6063_domain,MATCH($A8,primary_jama_2024_6063_key,0)),$E8)="statistical_results"))),"not_applicable","")</f>
        <v/>
      </c>
      <c r="J8" s="9">
        <f>IF(OR(AND(IF($D8="",INDEX(primary_jama_2024_6063_disposition,MATCH($A8,primary_jama_2024_6063_key,0)),$D8)&lt;&gt;"",IF($D8="",INDEX(primary_jama_2024_6063_disposition,MATCH($A8,primary_jama_2024_6063_key,0)),$D8)&lt;&gt;"retain"),NOT(OR(IF($E8="",INDEX(primary_jama_2024_6063_domain,MATCH($A8,primary_jama_2024_6063_key,0)),$E8)="statistical_results"))),"not_applicable","")</f>
        <v/>
      </c>
      <c r="K8" s="8">
        <f>IF(OR(AND(IF($D8="",INDEX(primary_jama_2024_6063_disposition,MATCH($A8,primary_jama_2024_6063_key,0)),$D8)&lt;&gt;"",IF($D8="",INDEX(primary_jama_2024_6063_disposition,MATCH($A8,primary_jama_2024_6063_key,0)),$D8)&lt;&gt;"retain"),NOT(OR(IF($E8="",INDEX(primary_jama_2024_6063_domain,MATCH($A8,primary_jama_2024_6063_key,0)),$E8)="internal_nonstatistical",IF($E8="",INDEX(primary_jama_2024_6063_domain,MATCH($A8,primary_jama_2024_6063_key,0)),$E8)="plan_material"))),"not_applicable","")</f>
        <v/>
      </c>
      <c r="L8" s="9">
        <f>IF(OR(AND(IF($D8="",INDEX(primary_jama_2024_6063_disposition,MATCH($A8,primary_jama_2024_6063_key,0)),$D8)&lt;&gt;"",IF($D8="",INDEX(primary_jama_2024_6063_disposition,MATCH($A8,primary_jama_2024_6063_key,0)),$D8)&lt;&gt;"retain"),NOT(OR(IF($E8="",INDEX(primary_jama_2024_6063_domain,MATCH($A8,primary_jama_2024_6063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2024::jama.2024.6063::C008</t>
        </is>
      </c>
      <c r="B9" s="3" t="inlineStr">
        <is>
          <t>eTable 5 placebo “No change” percentage conflicts with 75 of 109</t>
        </is>
      </c>
      <c r="C9" s="3" t="inlineStr">
        <is>
          <t>Supplement 3 — PDF p. 8.</t>
        </is>
      </c>
      <c r="D9" s="8" t="inlineStr"/>
      <c r="E9" s="8" t="inlineStr"/>
      <c r="F9" s="8" t="inlineStr">
        <is>
          <t>no</t>
        </is>
      </c>
      <c r="G9" s="3">
        <f>IF(OR(AND(OR(AND(IF($D9="",INDEX(primary_jama_2024_6063_disposition,MATCH($A9,primary_jama_2024_6063_key,0)),$D9)&lt;&gt;"",IF($D9="",INDEX(primary_jama_2024_6063_disposition,MATCH($A9,primary_jama_2024_6063_key,0)),$D9)&lt;&gt;"retain"),NOT(OR(IF($E9="",INDEX(primary_jama_2024_6063_domain,MATCH($A9,primary_jama_2024_6063_key,0)),$E9)="statistical_results"))),H9&lt;&gt;"",H9&lt;&gt;"not_applicable"),AND(OR(AND(IF($D9="",INDEX(primary_jama_2024_6063_disposition,MATCH($A9,primary_jama_2024_6063_key,0)),$D9)&lt;&gt;"",IF($D9="",INDEX(primary_jama_2024_6063_disposition,MATCH($A9,primary_jama_2024_6063_key,0)),$D9)&lt;&gt;"retain"),NOT(OR(IF($E9="",INDEX(primary_jama_2024_6063_domain,MATCH($A9,primary_jama_2024_6063_key,0)),$E9)="statistical_results"))),I9&lt;&gt;"",I9&lt;&gt;"not_applicable"),AND(OR(AND(IF($D9="",INDEX(primary_jama_2024_6063_disposition,MATCH($A9,primary_jama_2024_6063_key,0)),$D9)&lt;&gt;"",IF($D9="",INDEX(primary_jama_2024_6063_disposition,MATCH($A9,primary_jama_2024_6063_key,0)),$D9)&lt;&gt;"retain"),NOT(OR(IF($E9="",INDEX(primary_jama_2024_6063_domain,MATCH($A9,primary_jama_2024_6063_key,0)),$E9)="statistical_results"))),J9&lt;&gt;"",J9&lt;&gt;"not_applicable"),AND(OR(AND(IF($D9="",INDEX(primary_jama_2024_6063_disposition,MATCH($A9,primary_jama_2024_6063_key,0)),$D9)&lt;&gt;"",IF($D9="",INDEX(primary_jama_2024_6063_disposition,MATCH($A9,primary_jama_2024_6063_key,0)),$D9)&lt;&gt;"retain"),NOT(OR(IF($E9="",INDEX(primary_jama_2024_6063_domain,MATCH($A9,primary_jama_2024_6063_key,0)),$E9)="internal_nonstatistical",IF($E9="",INDEX(primary_jama_2024_6063_domain,MATCH($A9,primary_jama_2024_6063_key,0)),$E9)="plan_material"))),K9&lt;&gt;"",K9&lt;&gt;"not_applicable"),AND(OR(AND(IF($D9="",INDEX(primary_jama_2024_6063_disposition,MATCH($A9,primary_jama_2024_6063_key,0)),$D9)&lt;&gt;"",IF($D9="",INDEX(primary_jama_2024_6063_disposition,MATCH($A9,primary_jama_2024_6063_key,0)),$D9)&lt;&gt;"retain"),NOT(OR(IF($E9="",INDEX(primary_jama_2024_6063_domain,MATCH($A9,primary_jama_2024_6063_key,0)),$E9)="protocol_report"))),L9&lt;&gt;"",L9&lt;&gt;"not_applicable")),"CLEAR INACTIVE VALUES",IF(O9="","PENDING",IF(AND(O9&lt;&gt;"agree",LEN(TRIM(P9))=0),"COMMENT NEEDED",IF(F9="yes","CHECKED - see resolution","DRAFT"))))</f>
        <v/>
      </c>
      <c r="H9" s="8">
        <f>IF(OR(AND(IF($D9="",INDEX(primary_jama_2024_6063_disposition,MATCH($A9,primary_jama_2024_6063_key,0)),$D9)&lt;&gt;"",IF($D9="",INDEX(primary_jama_2024_6063_disposition,MATCH($A9,primary_jama_2024_6063_key,0)),$D9)&lt;&gt;"retain"),NOT(OR(IF($E9="",INDEX(primary_jama_2024_6063_domain,MATCH($A9,primary_jama_2024_6063_key,0)),$E9)="statistical_results"))),"not_applicable","")</f>
        <v/>
      </c>
      <c r="I9" s="8">
        <f>IF(OR(AND(IF($D9="",INDEX(primary_jama_2024_6063_disposition,MATCH($A9,primary_jama_2024_6063_key,0)),$D9)&lt;&gt;"",IF($D9="",INDEX(primary_jama_2024_6063_disposition,MATCH($A9,primary_jama_2024_6063_key,0)),$D9)&lt;&gt;"retain"),NOT(OR(IF($E9="",INDEX(primary_jama_2024_6063_domain,MATCH($A9,primary_jama_2024_6063_key,0)),$E9)="statistical_results"))),"not_applicable","")</f>
        <v/>
      </c>
      <c r="J9" s="9">
        <f>IF(OR(AND(IF($D9="",INDEX(primary_jama_2024_6063_disposition,MATCH($A9,primary_jama_2024_6063_key,0)),$D9)&lt;&gt;"",IF($D9="",INDEX(primary_jama_2024_6063_disposition,MATCH($A9,primary_jama_2024_6063_key,0)),$D9)&lt;&gt;"retain"),NOT(OR(IF($E9="",INDEX(primary_jama_2024_6063_domain,MATCH($A9,primary_jama_2024_6063_key,0)),$E9)="statistical_results"))),"not_applicable","")</f>
        <v/>
      </c>
      <c r="K9" s="8">
        <f>IF(OR(AND(IF($D9="",INDEX(primary_jama_2024_6063_disposition,MATCH($A9,primary_jama_2024_6063_key,0)),$D9)&lt;&gt;"",IF($D9="",INDEX(primary_jama_2024_6063_disposition,MATCH($A9,primary_jama_2024_6063_key,0)),$D9)&lt;&gt;"retain"),NOT(OR(IF($E9="",INDEX(primary_jama_2024_6063_domain,MATCH($A9,primary_jama_2024_6063_key,0)),$E9)="internal_nonstatistical",IF($E9="",INDEX(primary_jama_2024_6063_domain,MATCH($A9,primary_jama_2024_6063_key,0)),$E9)="plan_material"))),"not_applicable","")</f>
        <v/>
      </c>
      <c r="L9" s="9">
        <f>IF(OR(AND(IF($D9="",INDEX(primary_jama_2024_6063_disposition,MATCH($A9,primary_jama_2024_6063_key,0)),$D9)&lt;&gt;"",IF($D9="",INDEX(primary_jama_2024_6063_disposition,MATCH($A9,primary_jama_2024_6063_key,0)),$D9)&lt;&gt;"retain"),NOT(OR(IF($E9="",INDEX(primary_jama_2024_6063_domain,MATCH($A9,primary_jama_2024_6063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2024::jama.2024.6063::C009</t>
        </is>
      </c>
      <c r="B10" s="2" t="inlineStr">
        <is>
          <t>eTable 4 repeats week-4 function changes in the weight-bearing-pain row</t>
        </is>
      </c>
      <c r="C10" s="2" t="inlineStr">
        <is>
          <t>Supplement 3 — PDF p. 5.</t>
        </is>
      </c>
      <c r="D10" s="8" t="inlineStr"/>
      <c r="E10" s="8" t="inlineStr"/>
      <c r="F10" s="8" t="inlineStr">
        <is>
          <t>no</t>
        </is>
      </c>
      <c r="G10" s="2">
        <f>IF(OR(AND(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H10&lt;&gt;"",H10&lt;&gt;"not_applicable"),AND(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I10&lt;&gt;"",I10&lt;&gt;"not_applicable"),AND(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J10&lt;&gt;"",J10&lt;&gt;"not_applicable"),AND(OR(AND(IF($D10="",INDEX(primary_jama_2024_6063_disposition,MATCH($A10,primary_jama_2024_6063_key,0)),$D10)&lt;&gt;"",IF($D10="",INDEX(primary_jama_2024_6063_disposition,MATCH($A10,primary_jama_2024_6063_key,0)),$D10)&lt;&gt;"retain"),NOT(OR(IF($E10="",INDEX(primary_jama_2024_6063_domain,MATCH($A10,primary_jama_2024_6063_key,0)),$E10)="internal_nonstatistical",IF($E10="",INDEX(primary_jama_2024_6063_domain,MATCH($A10,primary_jama_2024_6063_key,0)),$E10)="plan_material"))),K10&lt;&gt;"",K10&lt;&gt;"not_applicable"),AND(OR(AND(IF($D10="",INDEX(primary_jama_2024_6063_disposition,MATCH($A10,primary_jama_2024_6063_key,0)),$D10)&lt;&gt;"",IF($D10="",INDEX(primary_jama_2024_6063_disposition,MATCH($A10,primary_jama_2024_6063_key,0)),$D10)&lt;&gt;"retain"),NOT(OR(IF($E10="",INDEX(primary_jama_2024_6063_domain,MATCH($A10,primary_jama_2024_6063_key,0)),$E10)="protocol_report"))),L10&lt;&gt;"",L10&lt;&gt;"not_applicable")),"CLEAR INACTIVE VALUES",IF(O10="","PENDING",IF(AND(O10&lt;&gt;"agree",LEN(TRIM(P10))=0),"COMMENT NEEDED",IF(F10="yes","CHECKED - see resolution","DRAFT"))))</f>
        <v/>
      </c>
      <c r="H10" s="8">
        <f>IF(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not_applicable","")</f>
        <v/>
      </c>
      <c r="I10" s="8">
        <f>IF(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not_applicable","")</f>
        <v/>
      </c>
      <c r="J10" s="9">
        <f>IF(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not_applicable","")</f>
        <v/>
      </c>
      <c r="K10" s="8">
        <f>IF(OR(AND(IF($D10="",INDEX(primary_jama_2024_6063_disposition,MATCH($A10,primary_jama_2024_6063_key,0)),$D10)&lt;&gt;"",IF($D10="",INDEX(primary_jama_2024_6063_disposition,MATCH($A10,primary_jama_2024_6063_key,0)),$D10)&lt;&gt;"retain"),NOT(OR(IF($E10="",INDEX(primary_jama_2024_6063_domain,MATCH($A10,primary_jama_2024_6063_key,0)),$E10)="internal_nonstatistical",IF($E10="",INDEX(primary_jama_2024_6063_domain,MATCH($A10,primary_jama_2024_6063_key,0)),$E10)="plan_material"))),"not_applicable","")</f>
        <v/>
      </c>
      <c r="L10" s="9">
        <f>IF(OR(AND(IF($D10="",INDEX(primary_jama_2024_6063_disposition,MATCH($A10,primary_jama_2024_6063_key,0)),$D10)&lt;&gt;"",IF($D10="",INDEX(primary_jama_2024_6063_disposition,MATCH($A10,primary_jama_2024_6063_key,0)),$D10)&lt;&gt;"retain"),NOT(OR(IF($E10="",INDEX(primary_jama_2024_6063_domain,MATCH($A10,primary_jama_2024_6063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2024::jama.2024.6063::C010</t>
        </is>
      </c>
      <c r="B11" s="3" t="inlineStr">
        <is>
          <t>eTable 4 repeats week-4 back-pain results in week-12 lower-leg strength</t>
        </is>
      </c>
      <c r="C11" s="3" t="inlineStr">
        <is>
          <t>Supplement 3 — PDF p. 6.</t>
        </is>
      </c>
      <c r="D11" s="8" t="inlineStr"/>
      <c r="E11" s="8" t="inlineStr"/>
      <c r="F11" s="8" t="inlineStr">
        <is>
          <t>no</t>
        </is>
      </c>
      <c r="G11" s="3">
        <f>IF(OR(AND(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H11&lt;&gt;"",H11&lt;&gt;"not_applicable"),AND(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I11&lt;&gt;"",I11&lt;&gt;"not_applicable"),AND(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J11&lt;&gt;"",J11&lt;&gt;"not_applicable"),AND(OR(AND(IF($D11="",INDEX(primary_jama_2024_6063_disposition,MATCH($A11,primary_jama_2024_6063_key,0)),$D11)&lt;&gt;"",IF($D11="",INDEX(primary_jama_2024_6063_disposition,MATCH($A11,primary_jama_2024_6063_key,0)),$D11)&lt;&gt;"retain"),NOT(OR(IF($E11="",INDEX(primary_jama_2024_6063_domain,MATCH($A11,primary_jama_2024_6063_key,0)),$E11)="internal_nonstatistical",IF($E11="",INDEX(primary_jama_2024_6063_domain,MATCH($A11,primary_jama_2024_6063_key,0)),$E11)="plan_material"))),K11&lt;&gt;"",K11&lt;&gt;"not_applicable"),AND(OR(AND(IF($D11="",INDEX(primary_jama_2024_6063_disposition,MATCH($A11,primary_jama_2024_6063_key,0)),$D11)&lt;&gt;"",IF($D11="",INDEX(primary_jama_2024_6063_disposition,MATCH($A11,primary_jama_2024_6063_key,0)),$D11)&lt;&gt;"retain"),NOT(OR(IF($E11="",INDEX(primary_jama_2024_6063_domain,MATCH($A11,primary_jama_2024_6063_key,0)),$E11)="protocol_report"))),L11&lt;&gt;"",L11&lt;&gt;"not_applicable")),"CLEAR INACTIVE VALUES",IF(O11="","PENDING",IF(AND(O11&lt;&gt;"agree",LEN(TRIM(P11))=0),"COMMENT NEEDED",IF(F11="yes","CHECKED - see resolution","DRAFT"))))</f>
        <v/>
      </c>
      <c r="H11" s="8">
        <f>IF(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not_applicable","")</f>
        <v/>
      </c>
      <c r="I11" s="8">
        <f>IF(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not_applicable","")</f>
        <v/>
      </c>
      <c r="J11" s="9">
        <f>IF(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not_applicable","")</f>
        <v/>
      </c>
      <c r="K11" s="8">
        <f>IF(OR(AND(IF($D11="",INDEX(primary_jama_2024_6063_disposition,MATCH($A11,primary_jama_2024_6063_key,0)),$D11)&lt;&gt;"",IF($D11="",INDEX(primary_jama_2024_6063_disposition,MATCH($A11,primary_jama_2024_6063_key,0)),$D11)&lt;&gt;"retain"),NOT(OR(IF($E11="",INDEX(primary_jama_2024_6063_domain,MATCH($A11,primary_jama_2024_6063_key,0)),$E11)="internal_nonstatistical",IF($E11="",INDEX(primary_jama_2024_6063_domain,MATCH($A11,primary_jama_2024_6063_key,0)),$E11)="plan_material"))),"not_applicable","")</f>
        <v/>
      </c>
      <c r="L11" s="9">
        <f>IF(OR(AND(IF($D11="",INDEX(primary_jama_2024_6063_disposition,MATCH($A11,primary_jama_2024_6063_key,0)),$D11)&lt;&gt;"",IF($D11="",INDEX(primary_jama_2024_6063_disposition,MATCH($A11,primary_jama_2024_6063_key,0)),$D11)&lt;&gt;"retain"),NOT(OR(IF($E11="",INDEX(primary_jama_2024_6063_domain,MATCH($A11,primary_jama_2024_6063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2024::jama.2024.6063::C011</t>
        </is>
      </c>
      <c r="B12" s="2" t="inlineStr">
        <is>
          <t>eTable 4 repeats the week-12 hsCRP result in fasting glucose</t>
        </is>
      </c>
      <c r="C12" s="2" t="inlineStr">
        <is>
          <t>Supplement 3 — PDF p. 6.</t>
        </is>
      </c>
      <c r="D12" s="8" t="inlineStr"/>
      <c r="E12" s="8" t="inlineStr"/>
      <c r="F12" s="8" t="inlineStr">
        <is>
          <t>no</t>
        </is>
      </c>
      <c r="G12" s="2">
        <f>IF(OR(AND(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H12&lt;&gt;"",H12&lt;&gt;"not_applicable"),AND(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I12&lt;&gt;"",I12&lt;&gt;"not_applicable"),AND(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J12&lt;&gt;"",J12&lt;&gt;"not_applicable"),AND(OR(AND(IF($D12="",INDEX(primary_jama_2024_6063_disposition,MATCH($A12,primary_jama_2024_6063_key,0)),$D12)&lt;&gt;"",IF($D12="",INDEX(primary_jama_2024_6063_disposition,MATCH($A12,primary_jama_2024_6063_key,0)),$D12)&lt;&gt;"retain"),NOT(OR(IF($E12="",INDEX(primary_jama_2024_6063_domain,MATCH($A12,primary_jama_2024_6063_key,0)),$E12)="internal_nonstatistical",IF($E12="",INDEX(primary_jama_2024_6063_domain,MATCH($A12,primary_jama_2024_6063_key,0)),$E12)="plan_material"))),K12&lt;&gt;"",K12&lt;&gt;"not_applicable"),AND(OR(AND(IF($D12="",INDEX(primary_jama_2024_6063_disposition,MATCH($A12,primary_jama_2024_6063_key,0)),$D12)&lt;&gt;"",IF($D12="",INDEX(primary_jama_2024_6063_disposition,MATCH($A12,primary_jama_2024_6063_key,0)),$D12)&lt;&gt;"retain"),NOT(OR(IF($E12="",INDEX(primary_jama_2024_6063_domain,MATCH($A12,primary_jama_2024_6063_key,0)),$E12)="protocol_report"))),L12&lt;&gt;"",L12&lt;&gt;"not_applicable")),"CLEAR INACTIVE VALUES",IF(O12="","PENDING",IF(AND(O12&lt;&gt;"agree",LEN(TRIM(P12))=0),"COMMENT NEEDED",IF(F12="yes","CHECKED - see resolution","DRAFT"))))</f>
        <v/>
      </c>
      <c r="H12" s="8">
        <f>IF(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not_applicable","")</f>
        <v/>
      </c>
      <c r="I12" s="8">
        <f>IF(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not_applicable","")</f>
        <v/>
      </c>
      <c r="J12" s="9">
        <f>IF(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not_applicable","")</f>
        <v/>
      </c>
      <c r="K12" s="8">
        <f>IF(OR(AND(IF($D12="",INDEX(primary_jama_2024_6063_disposition,MATCH($A12,primary_jama_2024_6063_key,0)),$D12)&lt;&gt;"",IF($D12="",INDEX(primary_jama_2024_6063_disposition,MATCH($A12,primary_jama_2024_6063_key,0)),$D12)&lt;&gt;"retain"),NOT(OR(IF($E12="",INDEX(primary_jama_2024_6063_domain,MATCH($A12,primary_jama_2024_6063_key,0)),$E12)="internal_nonstatistical",IF($E12="",INDEX(primary_jama_2024_6063_domain,MATCH($A12,primary_jama_2024_6063_key,0)),$E12)="plan_material"))),"not_applicable","")</f>
        <v/>
      </c>
      <c r="L12" s="9">
        <f>IF(OR(AND(IF($D12="",INDEX(primary_jama_2024_6063_disposition,MATCH($A12,primary_jama_2024_6063_key,0)),$D12)&lt;&gt;"",IF($D12="",INDEX(primary_jama_2024_6063_disposition,MATCH($A12,primary_jama_2024_6063_key,0)),$D12)&lt;&gt;"retain"),NOT(OR(IF($E12="",INDEX(primary_jama_2024_6063_domain,MATCH($A12,primary_jama_2024_6063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c r="F13" s="8" t="inlineStr">
        <is>
          <t>no</t>
        </is>
      </c>
      <c r="G13" s="3">
        <f>IF(OR(AND(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H13&lt;&gt;"",H13&lt;&gt;"not_applicable"),AND(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I13&lt;&gt;"",I13&lt;&gt;"not_applicable"),AND(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J13&lt;&gt;"",J13&lt;&gt;"not_applicable"),AND(OR(AND(IF($D13="",INDEX(primary_jama_2024_6063_disposition,MATCH($A13,primary_jama_2024_6063_key,0)),$D13)&lt;&gt;"",IF($D13="",INDEX(primary_jama_2024_6063_disposition,MATCH($A13,primary_jama_2024_6063_key,0)),$D13)&lt;&gt;"retain"),NOT(OR(IF($E13="",INDEX(primary_jama_2024_6063_domain,MATCH($A13,primary_jama_2024_6063_key,0)),$E13)="internal_nonstatistical",IF($E13="",INDEX(primary_jama_2024_6063_domain,MATCH($A13,primary_jama_2024_6063_key,0)),$E13)="plan_material"))),K13&lt;&gt;"",K13&lt;&gt;"not_applicable"),AND(OR(AND(IF($D13="",INDEX(primary_jama_2024_6063_disposition,MATCH($A13,primary_jama_2024_6063_key,0)),$D13)&lt;&gt;"",IF($D13="",INDEX(primary_jama_2024_6063_disposition,MATCH($A13,primary_jama_2024_6063_key,0)),$D13)&lt;&gt;"retain"),NOT(OR(IF($E13="",INDEX(primary_jama_2024_6063_domain,MATCH($A13,primary_jama_2024_6063_key,0)),$E13)="protocol_report"))),L13&lt;&gt;"",L13&lt;&gt;"not_applicable")),"CLEAR INACTIVE VALUES",IF(O13="","PENDING",IF(AND(O13&lt;&gt;"agree",LEN(TRIM(P13))=0),"COMMENT NEEDED",IF(F13="yes","CHECKED - see resolution","DRAFT"))))</f>
        <v/>
      </c>
      <c r="H13" s="8">
        <f>IF(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not_applicable","")</f>
        <v/>
      </c>
      <c r="I13" s="8">
        <f>IF(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not_applicable","")</f>
        <v/>
      </c>
      <c r="J13" s="9">
        <f>IF(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not_applicable","")</f>
        <v/>
      </c>
      <c r="K13" s="8">
        <f>IF(OR(AND(IF($D13="",INDEX(primary_jama_2024_6063_disposition,MATCH($A13,primary_jama_2024_6063_key,0)),$D13)&lt;&gt;"",IF($D13="",INDEX(primary_jama_2024_6063_disposition,MATCH($A13,primary_jama_2024_6063_key,0)),$D13)&lt;&gt;"retain"),NOT(OR(IF($E13="",INDEX(primary_jama_2024_6063_domain,MATCH($A13,primary_jama_2024_6063_key,0)),$E13)="internal_nonstatistical",IF($E13="",INDEX(primary_jama_2024_6063_domain,MATCH($A13,primary_jama_2024_6063_key,0)),$E13)="plan_material"))),"not_applicable","")</f>
        <v/>
      </c>
      <c r="L13" s="9">
        <f>IF(OR(AND(IF($D13="",INDEX(primary_jama_2024_6063_disposition,MATCH($A13,primary_jama_2024_6063_key,0)),$D13)&lt;&gt;"",IF($D13="",INDEX(primary_jama_2024_6063_disposition,MATCH($A13,primary_jama_2024_6063_key,0)),$D13)&lt;&gt;"retain"),NOT(OR(IF($E13="",INDEX(primary_jama_2024_6063_domain,MATCH($A13,primary_jama_2024_6063_key,0)),$E13)="protocol_report"))),"not_applicable","")</f>
        <v/>
      </c>
      <c r="M13" s="10" t="inlineStr"/>
      <c r="N13" s="10" t="inlineStr"/>
      <c r="O13" s="8" t="inlineStr"/>
      <c r="P13" s="11" t="inlineStr"/>
      <c r="Q13" s="8" t="inlineStr">
        <is>
          <t>pending</t>
        </is>
      </c>
      <c r="R13" s="11" t="inlineStr"/>
      <c r="S13" s="3" t="inlineStr">
        <is>
          <t>AWAITING PRIMARY HANDOFF - do not start checking this template.</t>
        </is>
      </c>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c r="F14" s="8" t="inlineStr">
        <is>
          <t>no</t>
        </is>
      </c>
      <c r="G14" s="2">
        <f>IF(OR(AND(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H14&lt;&gt;"",H14&lt;&gt;"not_applicable"),AND(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I14&lt;&gt;"",I14&lt;&gt;"not_applicable"),AND(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J14&lt;&gt;"",J14&lt;&gt;"not_applicable"),AND(OR(AND(IF($D14="",INDEX(primary_jama_2024_6063_disposition,MATCH($A14,primary_jama_2024_6063_key,0)),$D14)&lt;&gt;"",IF($D14="",INDEX(primary_jama_2024_6063_disposition,MATCH($A14,primary_jama_2024_6063_key,0)),$D14)&lt;&gt;"retain"),NOT(OR(IF($E14="",INDEX(primary_jama_2024_6063_domain,MATCH($A14,primary_jama_2024_6063_key,0)),$E14)="internal_nonstatistical",IF($E14="",INDEX(primary_jama_2024_6063_domain,MATCH($A14,primary_jama_2024_6063_key,0)),$E14)="plan_material"))),K14&lt;&gt;"",K14&lt;&gt;"not_applicable"),AND(OR(AND(IF($D14="",INDEX(primary_jama_2024_6063_disposition,MATCH($A14,primary_jama_2024_6063_key,0)),$D14)&lt;&gt;"",IF($D14="",INDEX(primary_jama_2024_6063_disposition,MATCH($A14,primary_jama_2024_6063_key,0)),$D14)&lt;&gt;"retain"),NOT(OR(IF($E14="",INDEX(primary_jama_2024_6063_domain,MATCH($A14,primary_jama_2024_6063_key,0)),$E14)="protocol_report"))),L14&lt;&gt;"",L14&lt;&gt;"not_applicable")),"CLEAR INACTIVE VALUES",IF(O14="","PENDING",IF(AND(O14&lt;&gt;"agree",LEN(TRIM(P14))=0),"COMMENT NEEDED",IF(F14="yes","CHECKED - see resolution","DRAFT"))))</f>
        <v/>
      </c>
      <c r="H14" s="8">
        <f>IF(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not_applicable","")</f>
        <v/>
      </c>
      <c r="I14" s="8">
        <f>IF(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not_applicable","")</f>
        <v/>
      </c>
      <c r="J14" s="9">
        <f>IF(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not_applicable","")</f>
        <v/>
      </c>
      <c r="K14" s="8">
        <f>IF(OR(AND(IF($D14="",INDEX(primary_jama_2024_6063_disposition,MATCH($A14,primary_jama_2024_6063_key,0)),$D14)&lt;&gt;"",IF($D14="",INDEX(primary_jama_2024_6063_disposition,MATCH($A14,primary_jama_2024_6063_key,0)),$D14)&lt;&gt;"retain"),NOT(OR(IF($E14="",INDEX(primary_jama_2024_6063_domain,MATCH($A14,primary_jama_2024_6063_key,0)),$E14)="internal_nonstatistical",IF($E14="",INDEX(primary_jama_2024_6063_domain,MATCH($A14,primary_jama_2024_6063_key,0)),$E14)="plan_material"))),"not_applicable","")</f>
        <v/>
      </c>
      <c r="L14" s="9">
        <f>IF(OR(AND(IF($D14="",INDEX(primary_jama_2024_6063_disposition,MATCH($A14,primary_jama_2024_6063_key,0)),$D14)&lt;&gt;"",IF($D14="",INDEX(primary_jama_2024_6063_disposition,MATCH($A14,primary_jama_2024_6063_key,0)),$D14)&lt;&gt;"retain"),NOT(OR(IF($E14="",INDEX(primary_jama_2024_6063_domain,MATCH($A14,primary_jama_2024_6063_key,0)),$E14)="protocol_report"))),"not_applicable","")</f>
        <v/>
      </c>
      <c r="M14" s="10" t="inlineStr"/>
      <c r="N14" s="10" t="inlineStr"/>
      <c r="O14" s="8" t="inlineStr"/>
      <c r="P14" s="11" t="inlineStr"/>
      <c r="Q14" s="8" t="inlineStr">
        <is>
          <t>pending</t>
        </is>
      </c>
      <c r="R14" s="11" t="inlineStr"/>
      <c r="S14" s="2" t="inlineStr">
        <is>
          <t>AWAITING PRIMARY HANDOFF - do not start checking this template.</t>
        </is>
      </c>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c r="F15" s="8" t="inlineStr">
        <is>
          <t>no</t>
        </is>
      </c>
      <c r="G15" s="3">
        <f>IF(OR(AND(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H15&lt;&gt;"",H15&lt;&gt;"not_applicable"),AND(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I15&lt;&gt;"",I15&lt;&gt;"not_applicable"),AND(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J15&lt;&gt;"",J15&lt;&gt;"not_applicable"),AND(OR(AND(IF($D15="",INDEX(primary_jama_2024_6063_disposition,MATCH($A15,primary_jama_2024_6063_key,0)),$D15)&lt;&gt;"",IF($D15="",INDEX(primary_jama_2024_6063_disposition,MATCH($A15,primary_jama_2024_6063_key,0)),$D15)&lt;&gt;"retain"),NOT(OR(IF($E15="",INDEX(primary_jama_2024_6063_domain,MATCH($A15,primary_jama_2024_6063_key,0)),$E15)="internal_nonstatistical",IF($E15="",INDEX(primary_jama_2024_6063_domain,MATCH($A15,primary_jama_2024_6063_key,0)),$E15)="plan_material"))),K15&lt;&gt;"",K15&lt;&gt;"not_applicable"),AND(OR(AND(IF($D15="",INDEX(primary_jama_2024_6063_disposition,MATCH($A15,primary_jama_2024_6063_key,0)),$D15)&lt;&gt;"",IF($D15="",INDEX(primary_jama_2024_6063_disposition,MATCH($A15,primary_jama_2024_6063_key,0)),$D15)&lt;&gt;"retain"),NOT(OR(IF($E15="",INDEX(primary_jama_2024_6063_domain,MATCH($A15,primary_jama_2024_6063_key,0)),$E15)="protocol_report"))),L15&lt;&gt;"",L15&lt;&gt;"not_applicable")),"CLEAR INACTIVE VALUES",IF(O15="","PENDING",IF(AND(O15&lt;&gt;"agree",LEN(TRIM(P15))=0),"COMMENT NEEDED",IF(F15="yes","CHECKED - see resolution","DRAFT"))))</f>
        <v/>
      </c>
      <c r="H15" s="8">
        <f>IF(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not_applicable","")</f>
        <v/>
      </c>
      <c r="I15" s="8">
        <f>IF(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not_applicable","")</f>
        <v/>
      </c>
      <c r="J15" s="9">
        <f>IF(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not_applicable","")</f>
        <v/>
      </c>
      <c r="K15" s="8">
        <f>IF(OR(AND(IF($D15="",INDEX(primary_jama_2024_6063_disposition,MATCH($A15,primary_jama_2024_6063_key,0)),$D15)&lt;&gt;"",IF($D15="",INDEX(primary_jama_2024_6063_disposition,MATCH($A15,primary_jama_2024_6063_key,0)),$D15)&lt;&gt;"retain"),NOT(OR(IF($E15="",INDEX(primary_jama_2024_6063_domain,MATCH($A15,primary_jama_2024_6063_key,0)),$E15)="internal_nonstatistical",IF($E15="",INDEX(primary_jama_2024_6063_domain,MATCH($A15,primary_jama_2024_6063_key,0)),$E15)="plan_material"))),"not_applicable","")</f>
        <v/>
      </c>
      <c r="L15" s="9">
        <f>IF(OR(AND(IF($D15="",INDEX(primary_jama_2024_6063_disposition,MATCH($A15,primary_jama_2024_6063_key,0)),$D15)&lt;&gt;"",IF($D15="",INDEX(primary_jama_2024_6063_disposition,MATCH($A15,primary_jama_2024_6063_key,0)),$D15)&lt;&gt;"retain"),NOT(OR(IF($E15="",INDEX(primary_jama_2024_6063_domain,MATCH($A15,primary_jama_2024_6063_key,0)),$E15)="protocol_report"))),"not_applicable","")</f>
        <v/>
      </c>
      <c r="M15" s="10" t="inlineStr"/>
      <c r="N15" s="10" t="inlineStr"/>
      <c r="O15" s="8" t="inlineStr"/>
      <c r="P15" s="11" t="inlineStr"/>
      <c r="Q15" s="8" t="inlineStr">
        <is>
          <t>pending</t>
        </is>
      </c>
      <c r="R15" s="11" t="inlineStr"/>
      <c r="S15" s="3" t="inlineStr">
        <is>
          <t>AWAITING PRIMARY HANDOFF - do not start checking this template.</t>
        </is>
      </c>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c r="F16" s="8" t="inlineStr">
        <is>
          <t>no</t>
        </is>
      </c>
      <c r="G16" s="2">
        <f>IF(OR(AND(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H16&lt;&gt;"",H16&lt;&gt;"not_applicable"),AND(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I16&lt;&gt;"",I16&lt;&gt;"not_applicable"),AND(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J16&lt;&gt;"",J16&lt;&gt;"not_applicable"),AND(OR(AND(IF($D16="",INDEX(primary_jama_2024_6063_disposition,MATCH($A16,primary_jama_2024_6063_key,0)),$D16)&lt;&gt;"",IF($D16="",INDEX(primary_jama_2024_6063_disposition,MATCH($A16,primary_jama_2024_6063_key,0)),$D16)&lt;&gt;"retain"),NOT(OR(IF($E16="",INDEX(primary_jama_2024_6063_domain,MATCH($A16,primary_jama_2024_6063_key,0)),$E16)="internal_nonstatistical",IF($E16="",INDEX(primary_jama_2024_6063_domain,MATCH($A16,primary_jama_2024_6063_key,0)),$E16)="plan_material"))),K16&lt;&gt;"",K16&lt;&gt;"not_applicable"),AND(OR(AND(IF($D16="",INDEX(primary_jama_2024_6063_disposition,MATCH($A16,primary_jama_2024_6063_key,0)),$D16)&lt;&gt;"",IF($D16="",INDEX(primary_jama_2024_6063_disposition,MATCH($A16,primary_jama_2024_6063_key,0)),$D16)&lt;&gt;"retain"),NOT(OR(IF($E16="",INDEX(primary_jama_2024_6063_domain,MATCH($A16,primary_jama_2024_6063_key,0)),$E16)="protocol_report"))),L16&lt;&gt;"",L16&lt;&gt;"not_applicable")),"CLEAR INACTIVE VALUES",IF(O16="","PENDING",IF(AND(O16&lt;&gt;"agree",LEN(TRIM(P16))=0),"COMMENT NEEDED",IF(F16="yes","CHECKED - see resolution","DRAFT"))))</f>
        <v/>
      </c>
      <c r="H16" s="8">
        <f>IF(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not_applicable","")</f>
        <v/>
      </c>
      <c r="I16" s="8">
        <f>IF(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not_applicable","")</f>
        <v/>
      </c>
      <c r="J16" s="9">
        <f>IF(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not_applicable","")</f>
        <v/>
      </c>
      <c r="K16" s="8">
        <f>IF(OR(AND(IF($D16="",INDEX(primary_jama_2024_6063_disposition,MATCH($A16,primary_jama_2024_6063_key,0)),$D16)&lt;&gt;"",IF($D16="",INDEX(primary_jama_2024_6063_disposition,MATCH($A16,primary_jama_2024_6063_key,0)),$D16)&lt;&gt;"retain"),NOT(OR(IF($E16="",INDEX(primary_jama_2024_6063_domain,MATCH($A16,primary_jama_2024_6063_key,0)),$E16)="internal_nonstatistical",IF($E16="",INDEX(primary_jama_2024_6063_domain,MATCH($A16,primary_jama_2024_6063_key,0)),$E16)="plan_material"))),"not_applicable","")</f>
        <v/>
      </c>
      <c r="L16" s="9">
        <f>IF(OR(AND(IF($D16="",INDEX(primary_jama_2024_6063_disposition,MATCH($A16,primary_jama_2024_6063_key,0)),$D16)&lt;&gt;"",IF($D16="",INDEX(primary_jama_2024_6063_disposition,MATCH($A16,primary_jama_2024_6063_key,0)),$D16)&lt;&gt;"retain"),NOT(OR(IF($E16="",INDEX(primary_jama_2024_6063_domain,MATCH($A16,primary_jama_2024_6063_key,0)),$E16)="protocol_report"))),"not_applicable","")</f>
        <v/>
      </c>
      <c r="M16" s="10" t="inlineStr"/>
      <c r="N16" s="10" t="inlineStr"/>
      <c r="O16" s="8" t="inlineStr"/>
      <c r="P16" s="11" t="inlineStr"/>
      <c r="Q16" s="8" t="inlineStr">
        <is>
          <t>pending</t>
        </is>
      </c>
      <c r="R16" s="11" t="inlineStr"/>
      <c r="S16" s="2" t="inlineStr">
        <is>
          <t>AWAITING PRIMARY HANDOFF - do not start checking this template.</t>
        </is>
      </c>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c r="F17" s="8" t="inlineStr">
        <is>
          <t>no</t>
        </is>
      </c>
      <c r="G17" s="3">
        <f>IF(OR(AND(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H17&lt;&gt;"",H17&lt;&gt;"not_applicable"),AND(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I17&lt;&gt;"",I17&lt;&gt;"not_applicable"),AND(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J17&lt;&gt;"",J17&lt;&gt;"not_applicable"),AND(OR(AND(IF($D17="",INDEX(primary_jama_2024_6063_disposition,MATCH($A17,primary_jama_2024_6063_key,0)),$D17)&lt;&gt;"",IF($D17="",INDEX(primary_jama_2024_6063_disposition,MATCH($A17,primary_jama_2024_6063_key,0)),$D17)&lt;&gt;"retain"),NOT(OR(IF($E17="",INDEX(primary_jama_2024_6063_domain,MATCH($A17,primary_jama_2024_6063_key,0)),$E17)="internal_nonstatistical",IF($E17="",INDEX(primary_jama_2024_6063_domain,MATCH($A17,primary_jama_2024_6063_key,0)),$E17)="plan_material"))),K17&lt;&gt;"",K17&lt;&gt;"not_applicable"),AND(OR(AND(IF($D17="",INDEX(primary_jama_2024_6063_disposition,MATCH($A17,primary_jama_2024_6063_key,0)),$D17)&lt;&gt;"",IF($D17="",INDEX(primary_jama_2024_6063_disposition,MATCH($A17,primary_jama_2024_6063_key,0)),$D17)&lt;&gt;"retain"),NOT(OR(IF($E17="",INDEX(primary_jama_2024_6063_domain,MATCH($A17,primary_jama_2024_6063_key,0)),$E17)="protocol_report"))),L17&lt;&gt;"",L17&lt;&gt;"not_applicable")),"CLEAR INACTIVE VALUES",IF(O17="","PENDING",IF(AND(O17&lt;&gt;"agree",LEN(TRIM(P17))=0),"COMMENT NEEDED",IF(F17="yes","CHECKED - see resolution","DRAFT"))))</f>
        <v/>
      </c>
      <c r="H17" s="8">
        <f>IF(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not_applicable","")</f>
        <v/>
      </c>
      <c r="I17" s="8">
        <f>IF(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not_applicable","")</f>
        <v/>
      </c>
      <c r="J17" s="9">
        <f>IF(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not_applicable","")</f>
        <v/>
      </c>
      <c r="K17" s="8">
        <f>IF(OR(AND(IF($D17="",INDEX(primary_jama_2024_6063_disposition,MATCH($A17,primary_jama_2024_6063_key,0)),$D17)&lt;&gt;"",IF($D17="",INDEX(primary_jama_2024_6063_disposition,MATCH($A17,primary_jama_2024_6063_key,0)),$D17)&lt;&gt;"retain"),NOT(OR(IF($E17="",INDEX(primary_jama_2024_6063_domain,MATCH($A17,primary_jama_2024_6063_key,0)),$E17)="internal_nonstatistical",IF($E17="",INDEX(primary_jama_2024_6063_domain,MATCH($A17,primary_jama_2024_6063_key,0)),$E17)="plan_material"))),"not_applicable","")</f>
        <v/>
      </c>
      <c r="L17" s="9">
        <f>IF(OR(AND(IF($D17="",INDEX(primary_jama_2024_6063_disposition,MATCH($A17,primary_jama_2024_6063_key,0)),$D17)&lt;&gt;"",IF($D17="",INDEX(primary_jama_2024_6063_disposition,MATCH($A17,primary_jama_2024_6063_key,0)),$D17)&lt;&gt;"retain"),NOT(OR(IF($E17="",INDEX(primary_jama_2024_6063_domain,MATCH($A17,primary_jama_2024_6063_key,0)),$E17)="protocol_report"))),"not_applicable","")</f>
        <v/>
      </c>
      <c r="M17" s="10" t="inlineStr"/>
      <c r="N17" s="10" t="inlineStr"/>
      <c r="O17" s="8" t="inlineStr"/>
      <c r="P17" s="11" t="inlineStr"/>
      <c r="Q17" s="8" t="inlineStr">
        <is>
          <t>pending</t>
        </is>
      </c>
      <c r="R17" s="11" t="inlineStr"/>
      <c r="S17"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7"/>
  <conditionalFormatting sqref="H2">
    <cfRule type="expression" priority="1" dxfId="0" stopIfTrue="1">
      <formula>AND(OR(AND(IF($D2="",INDEX(primary_jama_2024_6063_disposition,MATCH($A2,primary_jama_2024_6063_key,0)),$D2)&lt;&gt;"",IF($D2="",INDEX(primary_jama_2024_6063_disposition,MATCH($A2,primary_jama_2024_6063_key,0)),$D2)&lt;&gt;"retain"),NOT(OR(IF($E2="",INDEX(primary_jama_2024_6063_domain,MATCH($A2,primary_jama_2024_6063_key,0)),$E2)="statistical_results"))),H2&lt;&gt;"",H2&lt;&gt;"not_applicable")</formula>
    </cfRule>
    <cfRule type="expression" priority="2" dxfId="1">
      <formula>OR(AND(IF($D2="",INDEX(primary_jama_2024_6063_disposition,MATCH($A2,primary_jama_2024_6063_key,0)),$D2)&lt;&gt;"",IF($D2="",INDEX(primary_jama_2024_6063_disposition,MATCH($A2,primary_jama_2024_6063_key,0)),$D2)&lt;&gt;"retain"),NOT(OR(IF($E2="",INDEX(primary_jama_2024_6063_domain,MATCH($A2,primary_jama_2024_6063_key,0)),$E2)="statistical_results")))</formula>
    </cfRule>
  </conditionalFormatting>
  <conditionalFormatting sqref="H3">
    <cfRule type="expression" priority="3" dxfId="0" stopIfTrue="1">
      <formula>AND(OR(AND(IF($D3="",INDEX(primary_jama_2024_6063_disposition,MATCH($A3,primary_jama_2024_6063_key,0)),$D3)&lt;&gt;"",IF($D3="",INDEX(primary_jama_2024_6063_disposition,MATCH($A3,primary_jama_2024_6063_key,0)),$D3)&lt;&gt;"retain"),NOT(OR(IF($E3="",INDEX(primary_jama_2024_6063_domain,MATCH($A3,primary_jama_2024_6063_key,0)),$E3)="statistical_results"))),H3&lt;&gt;"",H3&lt;&gt;"not_applicable")</formula>
    </cfRule>
    <cfRule type="expression" priority="4" dxfId="1">
      <formula>OR(AND(IF($D3="",INDEX(primary_jama_2024_6063_disposition,MATCH($A3,primary_jama_2024_6063_key,0)),$D3)&lt;&gt;"",IF($D3="",INDEX(primary_jama_2024_6063_disposition,MATCH($A3,primary_jama_2024_6063_key,0)),$D3)&lt;&gt;"retain"),NOT(OR(IF($E3="",INDEX(primary_jama_2024_6063_domain,MATCH($A3,primary_jama_2024_6063_key,0)),$E3)="statistical_results")))</formula>
    </cfRule>
  </conditionalFormatting>
  <conditionalFormatting sqref="H4">
    <cfRule type="expression" priority="5" dxfId="0" stopIfTrue="1">
      <formula>AND(OR(AND(IF($D4="",INDEX(primary_jama_2024_6063_disposition,MATCH($A4,primary_jama_2024_6063_key,0)),$D4)&lt;&gt;"",IF($D4="",INDEX(primary_jama_2024_6063_disposition,MATCH($A4,primary_jama_2024_6063_key,0)),$D4)&lt;&gt;"retain"),NOT(OR(IF($E4="",INDEX(primary_jama_2024_6063_domain,MATCH($A4,primary_jama_2024_6063_key,0)),$E4)="statistical_results"))),H4&lt;&gt;"",H4&lt;&gt;"not_applicable")</formula>
    </cfRule>
    <cfRule type="expression" priority="6" dxfId="1">
      <formula>OR(AND(IF($D4="",INDEX(primary_jama_2024_6063_disposition,MATCH($A4,primary_jama_2024_6063_key,0)),$D4)&lt;&gt;"",IF($D4="",INDEX(primary_jama_2024_6063_disposition,MATCH($A4,primary_jama_2024_6063_key,0)),$D4)&lt;&gt;"retain"),NOT(OR(IF($E4="",INDEX(primary_jama_2024_6063_domain,MATCH($A4,primary_jama_2024_6063_key,0)),$E4)="statistical_results")))</formula>
    </cfRule>
  </conditionalFormatting>
  <conditionalFormatting sqref="H5">
    <cfRule type="expression" priority="7" dxfId="0" stopIfTrue="1">
      <formula>AND(OR(AND(IF($D5="",INDEX(primary_jama_2024_6063_disposition,MATCH($A5,primary_jama_2024_6063_key,0)),$D5)&lt;&gt;"",IF($D5="",INDEX(primary_jama_2024_6063_disposition,MATCH($A5,primary_jama_2024_6063_key,0)),$D5)&lt;&gt;"retain"),NOT(OR(IF($E5="",INDEX(primary_jama_2024_6063_domain,MATCH($A5,primary_jama_2024_6063_key,0)),$E5)="statistical_results"))),H5&lt;&gt;"",H5&lt;&gt;"not_applicable")</formula>
    </cfRule>
    <cfRule type="expression" priority="8" dxfId="1">
      <formula>OR(AND(IF($D5="",INDEX(primary_jama_2024_6063_disposition,MATCH($A5,primary_jama_2024_6063_key,0)),$D5)&lt;&gt;"",IF($D5="",INDEX(primary_jama_2024_6063_disposition,MATCH($A5,primary_jama_2024_6063_key,0)),$D5)&lt;&gt;"retain"),NOT(OR(IF($E5="",INDEX(primary_jama_2024_6063_domain,MATCH($A5,primary_jama_2024_6063_key,0)),$E5)="statistical_results")))</formula>
    </cfRule>
  </conditionalFormatting>
  <conditionalFormatting sqref="H6">
    <cfRule type="expression" priority="9" dxfId="0" stopIfTrue="1">
      <formula>AND(OR(AND(IF($D6="",INDEX(primary_jama_2024_6063_disposition,MATCH($A6,primary_jama_2024_6063_key,0)),$D6)&lt;&gt;"",IF($D6="",INDEX(primary_jama_2024_6063_disposition,MATCH($A6,primary_jama_2024_6063_key,0)),$D6)&lt;&gt;"retain"),NOT(OR(IF($E6="",INDEX(primary_jama_2024_6063_domain,MATCH($A6,primary_jama_2024_6063_key,0)),$E6)="statistical_results"))),H6&lt;&gt;"",H6&lt;&gt;"not_applicable")</formula>
    </cfRule>
    <cfRule type="expression" priority="10" dxfId="1">
      <formula>OR(AND(IF($D6="",INDEX(primary_jama_2024_6063_disposition,MATCH($A6,primary_jama_2024_6063_key,0)),$D6)&lt;&gt;"",IF($D6="",INDEX(primary_jama_2024_6063_disposition,MATCH($A6,primary_jama_2024_6063_key,0)),$D6)&lt;&gt;"retain"),NOT(OR(IF($E6="",INDEX(primary_jama_2024_6063_domain,MATCH($A6,primary_jama_2024_6063_key,0)),$E6)="statistical_results")))</formula>
    </cfRule>
  </conditionalFormatting>
  <conditionalFormatting sqref="H7">
    <cfRule type="expression" priority="11" dxfId="0" stopIfTrue="1">
      <formula>AND(OR(AND(IF($D7="",INDEX(primary_jama_2024_6063_disposition,MATCH($A7,primary_jama_2024_6063_key,0)),$D7)&lt;&gt;"",IF($D7="",INDEX(primary_jama_2024_6063_disposition,MATCH($A7,primary_jama_2024_6063_key,0)),$D7)&lt;&gt;"retain"),NOT(OR(IF($E7="",INDEX(primary_jama_2024_6063_domain,MATCH($A7,primary_jama_2024_6063_key,0)),$E7)="statistical_results"))),H7&lt;&gt;"",H7&lt;&gt;"not_applicable")</formula>
    </cfRule>
    <cfRule type="expression" priority="12" dxfId="1">
      <formula>OR(AND(IF($D7="",INDEX(primary_jama_2024_6063_disposition,MATCH($A7,primary_jama_2024_6063_key,0)),$D7)&lt;&gt;"",IF($D7="",INDEX(primary_jama_2024_6063_disposition,MATCH($A7,primary_jama_2024_6063_key,0)),$D7)&lt;&gt;"retain"),NOT(OR(IF($E7="",INDEX(primary_jama_2024_6063_domain,MATCH($A7,primary_jama_2024_6063_key,0)),$E7)="statistical_results")))</formula>
    </cfRule>
  </conditionalFormatting>
  <conditionalFormatting sqref="H8">
    <cfRule type="expression" priority="13" dxfId="0" stopIfTrue="1">
      <formula>AND(OR(AND(IF($D8="",INDEX(primary_jama_2024_6063_disposition,MATCH($A8,primary_jama_2024_6063_key,0)),$D8)&lt;&gt;"",IF($D8="",INDEX(primary_jama_2024_6063_disposition,MATCH($A8,primary_jama_2024_6063_key,0)),$D8)&lt;&gt;"retain"),NOT(OR(IF($E8="",INDEX(primary_jama_2024_6063_domain,MATCH($A8,primary_jama_2024_6063_key,0)),$E8)="statistical_results"))),H8&lt;&gt;"",H8&lt;&gt;"not_applicable")</formula>
    </cfRule>
    <cfRule type="expression" priority="14" dxfId="1">
      <formula>OR(AND(IF($D8="",INDEX(primary_jama_2024_6063_disposition,MATCH($A8,primary_jama_2024_6063_key,0)),$D8)&lt;&gt;"",IF($D8="",INDEX(primary_jama_2024_6063_disposition,MATCH($A8,primary_jama_2024_6063_key,0)),$D8)&lt;&gt;"retain"),NOT(OR(IF($E8="",INDEX(primary_jama_2024_6063_domain,MATCH($A8,primary_jama_2024_6063_key,0)),$E8)="statistical_results")))</formula>
    </cfRule>
  </conditionalFormatting>
  <conditionalFormatting sqref="H9">
    <cfRule type="expression" priority="15" dxfId="0" stopIfTrue="1">
      <formula>AND(OR(AND(IF($D9="",INDEX(primary_jama_2024_6063_disposition,MATCH($A9,primary_jama_2024_6063_key,0)),$D9)&lt;&gt;"",IF($D9="",INDEX(primary_jama_2024_6063_disposition,MATCH($A9,primary_jama_2024_6063_key,0)),$D9)&lt;&gt;"retain"),NOT(OR(IF($E9="",INDEX(primary_jama_2024_6063_domain,MATCH($A9,primary_jama_2024_6063_key,0)),$E9)="statistical_results"))),H9&lt;&gt;"",H9&lt;&gt;"not_applicable")</formula>
    </cfRule>
    <cfRule type="expression" priority="16" dxfId="1">
      <formula>OR(AND(IF($D9="",INDEX(primary_jama_2024_6063_disposition,MATCH($A9,primary_jama_2024_6063_key,0)),$D9)&lt;&gt;"",IF($D9="",INDEX(primary_jama_2024_6063_disposition,MATCH($A9,primary_jama_2024_6063_key,0)),$D9)&lt;&gt;"retain"),NOT(OR(IF($E9="",INDEX(primary_jama_2024_6063_domain,MATCH($A9,primary_jama_2024_6063_key,0)),$E9)="statistical_results")))</formula>
    </cfRule>
  </conditionalFormatting>
  <conditionalFormatting sqref="H10">
    <cfRule type="expression" priority="17" dxfId="0" stopIfTrue="1">
      <formula>AND(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H10&lt;&gt;"",H10&lt;&gt;"not_applicable")</formula>
    </cfRule>
    <cfRule type="expression" priority="18" dxfId="1">
      <formula>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formula>
    </cfRule>
  </conditionalFormatting>
  <conditionalFormatting sqref="H11">
    <cfRule type="expression" priority="19" dxfId="0" stopIfTrue="1">
      <formula>AND(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H11&lt;&gt;"",H11&lt;&gt;"not_applicable")</formula>
    </cfRule>
    <cfRule type="expression" priority="20" dxfId="1">
      <formula>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formula>
    </cfRule>
  </conditionalFormatting>
  <conditionalFormatting sqref="H12">
    <cfRule type="expression" priority="21" dxfId="0" stopIfTrue="1">
      <formula>AND(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H12&lt;&gt;"",H12&lt;&gt;"not_applicable")</formula>
    </cfRule>
    <cfRule type="expression" priority="22" dxfId="1">
      <formula>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formula>
    </cfRule>
  </conditionalFormatting>
  <conditionalFormatting sqref="H13">
    <cfRule type="expression" priority="23" dxfId="0" stopIfTrue="1">
      <formula>AND(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H13&lt;&gt;"",H13&lt;&gt;"not_applicable")</formula>
    </cfRule>
    <cfRule type="expression" priority="24" dxfId="1">
      <formula>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formula>
    </cfRule>
  </conditionalFormatting>
  <conditionalFormatting sqref="H14">
    <cfRule type="expression" priority="25" dxfId="0" stopIfTrue="1">
      <formula>AND(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H14&lt;&gt;"",H14&lt;&gt;"not_applicable")</formula>
    </cfRule>
    <cfRule type="expression" priority="26" dxfId="1">
      <formula>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formula>
    </cfRule>
  </conditionalFormatting>
  <conditionalFormatting sqref="H15">
    <cfRule type="expression" priority="27" dxfId="0" stopIfTrue="1">
      <formula>AND(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H15&lt;&gt;"",H15&lt;&gt;"not_applicable")</formula>
    </cfRule>
    <cfRule type="expression" priority="28" dxfId="1">
      <formula>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formula>
    </cfRule>
  </conditionalFormatting>
  <conditionalFormatting sqref="H16">
    <cfRule type="expression" priority="29" dxfId="0" stopIfTrue="1">
      <formula>AND(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H16&lt;&gt;"",H16&lt;&gt;"not_applicable")</formula>
    </cfRule>
    <cfRule type="expression" priority="30" dxfId="1">
      <formula>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formula>
    </cfRule>
  </conditionalFormatting>
  <conditionalFormatting sqref="H17">
    <cfRule type="expression" priority="31" dxfId="0" stopIfTrue="1">
      <formula>AND(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H17&lt;&gt;"",H17&lt;&gt;"not_applicable")</formula>
    </cfRule>
    <cfRule type="expression" priority="32" dxfId="1">
      <formula>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formula>
    </cfRule>
  </conditionalFormatting>
  <conditionalFormatting sqref="I2">
    <cfRule type="expression" priority="33" dxfId="0" stopIfTrue="1">
      <formula>AND(OR(AND(IF($D2="",INDEX(primary_jama_2024_6063_disposition,MATCH($A2,primary_jama_2024_6063_key,0)),$D2)&lt;&gt;"",IF($D2="",INDEX(primary_jama_2024_6063_disposition,MATCH($A2,primary_jama_2024_6063_key,0)),$D2)&lt;&gt;"retain"),NOT(OR(IF($E2="",INDEX(primary_jama_2024_6063_domain,MATCH($A2,primary_jama_2024_6063_key,0)),$E2)="statistical_results"))),I2&lt;&gt;"",I2&lt;&gt;"not_applicable")</formula>
    </cfRule>
    <cfRule type="expression" priority="34" dxfId="1">
      <formula>OR(AND(IF($D2="",INDEX(primary_jama_2024_6063_disposition,MATCH($A2,primary_jama_2024_6063_key,0)),$D2)&lt;&gt;"",IF($D2="",INDEX(primary_jama_2024_6063_disposition,MATCH($A2,primary_jama_2024_6063_key,0)),$D2)&lt;&gt;"retain"),NOT(OR(IF($E2="",INDEX(primary_jama_2024_6063_domain,MATCH($A2,primary_jama_2024_6063_key,0)),$E2)="statistical_results")))</formula>
    </cfRule>
  </conditionalFormatting>
  <conditionalFormatting sqref="I3">
    <cfRule type="expression" priority="35" dxfId="0" stopIfTrue="1">
      <formula>AND(OR(AND(IF($D3="",INDEX(primary_jama_2024_6063_disposition,MATCH($A3,primary_jama_2024_6063_key,0)),$D3)&lt;&gt;"",IF($D3="",INDEX(primary_jama_2024_6063_disposition,MATCH($A3,primary_jama_2024_6063_key,0)),$D3)&lt;&gt;"retain"),NOT(OR(IF($E3="",INDEX(primary_jama_2024_6063_domain,MATCH($A3,primary_jama_2024_6063_key,0)),$E3)="statistical_results"))),I3&lt;&gt;"",I3&lt;&gt;"not_applicable")</formula>
    </cfRule>
    <cfRule type="expression" priority="36" dxfId="1">
      <formula>OR(AND(IF($D3="",INDEX(primary_jama_2024_6063_disposition,MATCH($A3,primary_jama_2024_6063_key,0)),$D3)&lt;&gt;"",IF($D3="",INDEX(primary_jama_2024_6063_disposition,MATCH($A3,primary_jama_2024_6063_key,0)),$D3)&lt;&gt;"retain"),NOT(OR(IF($E3="",INDEX(primary_jama_2024_6063_domain,MATCH($A3,primary_jama_2024_6063_key,0)),$E3)="statistical_results")))</formula>
    </cfRule>
  </conditionalFormatting>
  <conditionalFormatting sqref="I4">
    <cfRule type="expression" priority="37" dxfId="0" stopIfTrue="1">
      <formula>AND(OR(AND(IF($D4="",INDEX(primary_jama_2024_6063_disposition,MATCH($A4,primary_jama_2024_6063_key,0)),$D4)&lt;&gt;"",IF($D4="",INDEX(primary_jama_2024_6063_disposition,MATCH($A4,primary_jama_2024_6063_key,0)),$D4)&lt;&gt;"retain"),NOT(OR(IF($E4="",INDEX(primary_jama_2024_6063_domain,MATCH($A4,primary_jama_2024_6063_key,0)),$E4)="statistical_results"))),I4&lt;&gt;"",I4&lt;&gt;"not_applicable")</formula>
    </cfRule>
    <cfRule type="expression" priority="38" dxfId="1">
      <formula>OR(AND(IF($D4="",INDEX(primary_jama_2024_6063_disposition,MATCH($A4,primary_jama_2024_6063_key,0)),$D4)&lt;&gt;"",IF($D4="",INDEX(primary_jama_2024_6063_disposition,MATCH($A4,primary_jama_2024_6063_key,0)),$D4)&lt;&gt;"retain"),NOT(OR(IF($E4="",INDEX(primary_jama_2024_6063_domain,MATCH($A4,primary_jama_2024_6063_key,0)),$E4)="statistical_results")))</formula>
    </cfRule>
  </conditionalFormatting>
  <conditionalFormatting sqref="I5">
    <cfRule type="expression" priority="39" dxfId="0" stopIfTrue="1">
      <formula>AND(OR(AND(IF($D5="",INDEX(primary_jama_2024_6063_disposition,MATCH($A5,primary_jama_2024_6063_key,0)),$D5)&lt;&gt;"",IF($D5="",INDEX(primary_jama_2024_6063_disposition,MATCH($A5,primary_jama_2024_6063_key,0)),$D5)&lt;&gt;"retain"),NOT(OR(IF($E5="",INDEX(primary_jama_2024_6063_domain,MATCH($A5,primary_jama_2024_6063_key,0)),$E5)="statistical_results"))),I5&lt;&gt;"",I5&lt;&gt;"not_applicable")</formula>
    </cfRule>
    <cfRule type="expression" priority="40" dxfId="1">
      <formula>OR(AND(IF($D5="",INDEX(primary_jama_2024_6063_disposition,MATCH($A5,primary_jama_2024_6063_key,0)),$D5)&lt;&gt;"",IF($D5="",INDEX(primary_jama_2024_6063_disposition,MATCH($A5,primary_jama_2024_6063_key,0)),$D5)&lt;&gt;"retain"),NOT(OR(IF($E5="",INDEX(primary_jama_2024_6063_domain,MATCH($A5,primary_jama_2024_6063_key,0)),$E5)="statistical_results")))</formula>
    </cfRule>
  </conditionalFormatting>
  <conditionalFormatting sqref="I6">
    <cfRule type="expression" priority="41" dxfId="0" stopIfTrue="1">
      <formula>AND(OR(AND(IF($D6="",INDEX(primary_jama_2024_6063_disposition,MATCH($A6,primary_jama_2024_6063_key,0)),$D6)&lt;&gt;"",IF($D6="",INDEX(primary_jama_2024_6063_disposition,MATCH($A6,primary_jama_2024_6063_key,0)),$D6)&lt;&gt;"retain"),NOT(OR(IF($E6="",INDEX(primary_jama_2024_6063_domain,MATCH($A6,primary_jama_2024_6063_key,0)),$E6)="statistical_results"))),I6&lt;&gt;"",I6&lt;&gt;"not_applicable")</formula>
    </cfRule>
    <cfRule type="expression" priority="42" dxfId="1">
      <formula>OR(AND(IF($D6="",INDEX(primary_jama_2024_6063_disposition,MATCH($A6,primary_jama_2024_6063_key,0)),$D6)&lt;&gt;"",IF($D6="",INDEX(primary_jama_2024_6063_disposition,MATCH($A6,primary_jama_2024_6063_key,0)),$D6)&lt;&gt;"retain"),NOT(OR(IF($E6="",INDEX(primary_jama_2024_6063_domain,MATCH($A6,primary_jama_2024_6063_key,0)),$E6)="statistical_results")))</formula>
    </cfRule>
  </conditionalFormatting>
  <conditionalFormatting sqref="I7">
    <cfRule type="expression" priority="43" dxfId="0" stopIfTrue="1">
      <formula>AND(OR(AND(IF($D7="",INDEX(primary_jama_2024_6063_disposition,MATCH($A7,primary_jama_2024_6063_key,0)),$D7)&lt;&gt;"",IF($D7="",INDEX(primary_jama_2024_6063_disposition,MATCH($A7,primary_jama_2024_6063_key,0)),$D7)&lt;&gt;"retain"),NOT(OR(IF($E7="",INDEX(primary_jama_2024_6063_domain,MATCH($A7,primary_jama_2024_6063_key,0)),$E7)="statistical_results"))),I7&lt;&gt;"",I7&lt;&gt;"not_applicable")</formula>
    </cfRule>
    <cfRule type="expression" priority="44" dxfId="1">
      <formula>OR(AND(IF($D7="",INDEX(primary_jama_2024_6063_disposition,MATCH($A7,primary_jama_2024_6063_key,0)),$D7)&lt;&gt;"",IF($D7="",INDEX(primary_jama_2024_6063_disposition,MATCH($A7,primary_jama_2024_6063_key,0)),$D7)&lt;&gt;"retain"),NOT(OR(IF($E7="",INDEX(primary_jama_2024_6063_domain,MATCH($A7,primary_jama_2024_6063_key,0)),$E7)="statistical_results")))</formula>
    </cfRule>
  </conditionalFormatting>
  <conditionalFormatting sqref="I8">
    <cfRule type="expression" priority="45" dxfId="0" stopIfTrue="1">
      <formula>AND(OR(AND(IF($D8="",INDEX(primary_jama_2024_6063_disposition,MATCH($A8,primary_jama_2024_6063_key,0)),$D8)&lt;&gt;"",IF($D8="",INDEX(primary_jama_2024_6063_disposition,MATCH($A8,primary_jama_2024_6063_key,0)),$D8)&lt;&gt;"retain"),NOT(OR(IF($E8="",INDEX(primary_jama_2024_6063_domain,MATCH($A8,primary_jama_2024_6063_key,0)),$E8)="statistical_results"))),I8&lt;&gt;"",I8&lt;&gt;"not_applicable")</formula>
    </cfRule>
    <cfRule type="expression" priority="46" dxfId="1">
      <formula>OR(AND(IF($D8="",INDEX(primary_jama_2024_6063_disposition,MATCH($A8,primary_jama_2024_6063_key,0)),$D8)&lt;&gt;"",IF($D8="",INDEX(primary_jama_2024_6063_disposition,MATCH($A8,primary_jama_2024_6063_key,0)),$D8)&lt;&gt;"retain"),NOT(OR(IF($E8="",INDEX(primary_jama_2024_6063_domain,MATCH($A8,primary_jama_2024_6063_key,0)),$E8)="statistical_results")))</formula>
    </cfRule>
  </conditionalFormatting>
  <conditionalFormatting sqref="I9">
    <cfRule type="expression" priority="47" dxfId="0" stopIfTrue="1">
      <formula>AND(OR(AND(IF($D9="",INDEX(primary_jama_2024_6063_disposition,MATCH($A9,primary_jama_2024_6063_key,0)),$D9)&lt;&gt;"",IF($D9="",INDEX(primary_jama_2024_6063_disposition,MATCH($A9,primary_jama_2024_6063_key,0)),$D9)&lt;&gt;"retain"),NOT(OR(IF($E9="",INDEX(primary_jama_2024_6063_domain,MATCH($A9,primary_jama_2024_6063_key,0)),$E9)="statistical_results"))),I9&lt;&gt;"",I9&lt;&gt;"not_applicable")</formula>
    </cfRule>
    <cfRule type="expression" priority="48" dxfId="1">
      <formula>OR(AND(IF($D9="",INDEX(primary_jama_2024_6063_disposition,MATCH($A9,primary_jama_2024_6063_key,0)),$D9)&lt;&gt;"",IF($D9="",INDEX(primary_jama_2024_6063_disposition,MATCH($A9,primary_jama_2024_6063_key,0)),$D9)&lt;&gt;"retain"),NOT(OR(IF($E9="",INDEX(primary_jama_2024_6063_domain,MATCH($A9,primary_jama_2024_6063_key,0)),$E9)="statistical_results")))</formula>
    </cfRule>
  </conditionalFormatting>
  <conditionalFormatting sqref="I10">
    <cfRule type="expression" priority="49" dxfId="0" stopIfTrue="1">
      <formula>AND(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I10&lt;&gt;"",I10&lt;&gt;"not_applicable")</formula>
    </cfRule>
    <cfRule type="expression" priority="50" dxfId="1">
      <formula>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formula>
    </cfRule>
  </conditionalFormatting>
  <conditionalFormatting sqref="I11">
    <cfRule type="expression" priority="51" dxfId="0" stopIfTrue="1">
      <formula>AND(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I11&lt;&gt;"",I11&lt;&gt;"not_applicable")</formula>
    </cfRule>
    <cfRule type="expression" priority="52" dxfId="1">
      <formula>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formula>
    </cfRule>
  </conditionalFormatting>
  <conditionalFormatting sqref="I12">
    <cfRule type="expression" priority="53" dxfId="0" stopIfTrue="1">
      <formula>AND(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I12&lt;&gt;"",I12&lt;&gt;"not_applicable")</formula>
    </cfRule>
    <cfRule type="expression" priority="54" dxfId="1">
      <formula>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formula>
    </cfRule>
  </conditionalFormatting>
  <conditionalFormatting sqref="I13">
    <cfRule type="expression" priority="55" dxfId="0" stopIfTrue="1">
      <formula>AND(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I13&lt;&gt;"",I13&lt;&gt;"not_applicable")</formula>
    </cfRule>
    <cfRule type="expression" priority="56" dxfId="1">
      <formula>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formula>
    </cfRule>
  </conditionalFormatting>
  <conditionalFormatting sqref="I14">
    <cfRule type="expression" priority="57" dxfId="0" stopIfTrue="1">
      <formula>AND(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I14&lt;&gt;"",I14&lt;&gt;"not_applicable")</formula>
    </cfRule>
    <cfRule type="expression" priority="58" dxfId="1">
      <formula>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formula>
    </cfRule>
  </conditionalFormatting>
  <conditionalFormatting sqref="I15">
    <cfRule type="expression" priority="59" dxfId="0" stopIfTrue="1">
      <formula>AND(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I15&lt;&gt;"",I15&lt;&gt;"not_applicable")</formula>
    </cfRule>
    <cfRule type="expression" priority="60" dxfId="1">
      <formula>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formula>
    </cfRule>
  </conditionalFormatting>
  <conditionalFormatting sqref="I16">
    <cfRule type="expression" priority="61" dxfId="0" stopIfTrue="1">
      <formula>AND(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I16&lt;&gt;"",I16&lt;&gt;"not_applicable")</formula>
    </cfRule>
    <cfRule type="expression" priority="62" dxfId="1">
      <formula>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formula>
    </cfRule>
  </conditionalFormatting>
  <conditionalFormatting sqref="I17">
    <cfRule type="expression" priority="63" dxfId="0" stopIfTrue="1">
      <formula>AND(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I17&lt;&gt;"",I17&lt;&gt;"not_applicable")</formula>
    </cfRule>
    <cfRule type="expression" priority="64" dxfId="1">
      <formula>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formula>
    </cfRule>
  </conditionalFormatting>
  <conditionalFormatting sqref="J2">
    <cfRule type="expression" priority="65" dxfId="0" stopIfTrue="1">
      <formula>AND(OR(AND(IF($D2="",INDEX(primary_jama_2024_6063_disposition,MATCH($A2,primary_jama_2024_6063_key,0)),$D2)&lt;&gt;"",IF($D2="",INDEX(primary_jama_2024_6063_disposition,MATCH($A2,primary_jama_2024_6063_key,0)),$D2)&lt;&gt;"retain"),NOT(OR(IF($E2="",INDEX(primary_jama_2024_6063_domain,MATCH($A2,primary_jama_2024_6063_key,0)),$E2)="statistical_results"))),J2&lt;&gt;"",J2&lt;&gt;"not_applicable")</formula>
    </cfRule>
    <cfRule type="expression" priority="66" dxfId="1">
      <formula>OR(AND(IF($D2="",INDEX(primary_jama_2024_6063_disposition,MATCH($A2,primary_jama_2024_6063_key,0)),$D2)&lt;&gt;"",IF($D2="",INDEX(primary_jama_2024_6063_disposition,MATCH($A2,primary_jama_2024_6063_key,0)),$D2)&lt;&gt;"retain"),NOT(OR(IF($E2="",INDEX(primary_jama_2024_6063_domain,MATCH($A2,primary_jama_2024_6063_key,0)),$E2)="statistical_results")))</formula>
    </cfRule>
  </conditionalFormatting>
  <conditionalFormatting sqref="J3">
    <cfRule type="expression" priority="67" dxfId="0" stopIfTrue="1">
      <formula>AND(OR(AND(IF($D3="",INDEX(primary_jama_2024_6063_disposition,MATCH($A3,primary_jama_2024_6063_key,0)),$D3)&lt;&gt;"",IF($D3="",INDEX(primary_jama_2024_6063_disposition,MATCH($A3,primary_jama_2024_6063_key,0)),$D3)&lt;&gt;"retain"),NOT(OR(IF($E3="",INDEX(primary_jama_2024_6063_domain,MATCH($A3,primary_jama_2024_6063_key,0)),$E3)="statistical_results"))),J3&lt;&gt;"",J3&lt;&gt;"not_applicable")</formula>
    </cfRule>
    <cfRule type="expression" priority="68" dxfId="1">
      <formula>OR(AND(IF($D3="",INDEX(primary_jama_2024_6063_disposition,MATCH($A3,primary_jama_2024_6063_key,0)),$D3)&lt;&gt;"",IF($D3="",INDEX(primary_jama_2024_6063_disposition,MATCH($A3,primary_jama_2024_6063_key,0)),$D3)&lt;&gt;"retain"),NOT(OR(IF($E3="",INDEX(primary_jama_2024_6063_domain,MATCH($A3,primary_jama_2024_6063_key,0)),$E3)="statistical_results")))</formula>
    </cfRule>
  </conditionalFormatting>
  <conditionalFormatting sqref="J4">
    <cfRule type="expression" priority="69" dxfId="0" stopIfTrue="1">
      <formula>AND(OR(AND(IF($D4="",INDEX(primary_jama_2024_6063_disposition,MATCH($A4,primary_jama_2024_6063_key,0)),$D4)&lt;&gt;"",IF($D4="",INDEX(primary_jama_2024_6063_disposition,MATCH($A4,primary_jama_2024_6063_key,0)),$D4)&lt;&gt;"retain"),NOT(OR(IF($E4="",INDEX(primary_jama_2024_6063_domain,MATCH($A4,primary_jama_2024_6063_key,0)),$E4)="statistical_results"))),J4&lt;&gt;"",J4&lt;&gt;"not_applicable")</formula>
    </cfRule>
    <cfRule type="expression" priority="70" dxfId="1">
      <formula>OR(AND(IF($D4="",INDEX(primary_jama_2024_6063_disposition,MATCH($A4,primary_jama_2024_6063_key,0)),$D4)&lt;&gt;"",IF($D4="",INDEX(primary_jama_2024_6063_disposition,MATCH($A4,primary_jama_2024_6063_key,0)),$D4)&lt;&gt;"retain"),NOT(OR(IF($E4="",INDEX(primary_jama_2024_6063_domain,MATCH($A4,primary_jama_2024_6063_key,0)),$E4)="statistical_results")))</formula>
    </cfRule>
  </conditionalFormatting>
  <conditionalFormatting sqref="J5">
    <cfRule type="expression" priority="71" dxfId="0" stopIfTrue="1">
      <formula>AND(OR(AND(IF($D5="",INDEX(primary_jama_2024_6063_disposition,MATCH($A5,primary_jama_2024_6063_key,0)),$D5)&lt;&gt;"",IF($D5="",INDEX(primary_jama_2024_6063_disposition,MATCH($A5,primary_jama_2024_6063_key,0)),$D5)&lt;&gt;"retain"),NOT(OR(IF($E5="",INDEX(primary_jama_2024_6063_domain,MATCH($A5,primary_jama_2024_6063_key,0)),$E5)="statistical_results"))),J5&lt;&gt;"",J5&lt;&gt;"not_applicable")</formula>
    </cfRule>
    <cfRule type="expression" priority="72" dxfId="1">
      <formula>OR(AND(IF($D5="",INDEX(primary_jama_2024_6063_disposition,MATCH($A5,primary_jama_2024_6063_key,0)),$D5)&lt;&gt;"",IF($D5="",INDEX(primary_jama_2024_6063_disposition,MATCH($A5,primary_jama_2024_6063_key,0)),$D5)&lt;&gt;"retain"),NOT(OR(IF($E5="",INDEX(primary_jama_2024_6063_domain,MATCH($A5,primary_jama_2024_6063_key,0)),$E5)="statistical_results")))</formula>
    </cfRule>
  </conditionalFormatting>
  <conditionalFormatting sqref="J6">
    <cfRule type="expression" priority="73" dxfId="0" stopIfTrue="1">
      <formula>AND(OR(AND(IF($D6="",INDEX(primary_jama_2024_6063_disposition,MATCH($A6,primary_jama_2024_6063_key,0)),$D6)&lt;&gt;"",IF($D6="",INDEX(primary_jama_2024_6063_disposition,MATCH($A6,primary_jama_2024_6063_key,0)),$D6)&lt;&gt;"retain"),NOT(OR(IF($E6="",INDEX(primary_jama_2024_6063_domain,MATCH($A6,primary_jama_2024_6063_key,0)),$E6)="statistical_results"))),J6&lt;&gt;"",J6&lt;&gt;"not_applicable")</formula>
    </cfRule>
    <cfRule type="expression" priority="74" dxfId="1">
      <formula>OR(AND(IF($D6="",INDEX(primary_jama_2024_6063_disposition,MATCH($A6,primary_jama_2024_6063_key,0)),$D6)&lt;&gt;"",IF($D6="",INDEX(primary_jama_2024_6063_disposition,MATCH($A6,primary_jama_2024_6063_key,0)),$D6)&lt;&gt;"retain"),NOT(OR(IF($E6="",INDEX(primary_jama_2024_6063_domain,MATCH($A6,primary_jama_2024_6063_key,0)),$E6)="statistical_results")))</formula>
    </cfRule>
  </conditionalFormatting>
  <conditionalFormatting sqref="J7">
    <cfRule type="expression" priority="75" dxfId="0" stopIfTrue="1">
      <formula>AND(OR(AND(IF($D7="",INDEX(primary_jama_2024_6063_disposition,MATCH($A7,primary_jama_2024_6063_key,0)),$D7)&lt;&gt;"",IF($D7="",INDEX(primary_jama_2024_6063_disposition,MATCH($A7,primary_jama_2024_6063_key,0)),$D7)&lt;&gt;"retain"),NOT(OR(IF($E7="",INDEX(primary_jama_2024_6063_domain,MATCH($A7,primary_jama_2024_6063_key,0)),$E7)="statistical_results"))),J7&lt;&gt;"",J7&lt;&gt;"not_applicable")</formula>
    </cfRule>
    <cfRule type="expression" priority="76" dxfId="1">
      <formula>OR(AND(IF($D7="",INDEX(primary_jama_2024_6063_disposition,MATCH($A7,primary_jama_2024_6063_key,0)),$D7)&lt;&gt;"",IF($D7="",INDEX(primary_jama_2024_6063_disposition,MATCH($A7,primary_jama_2024_6063_key,0)),$D7)&lt;&gt;"retain"),NOT(OR(IF($E7="",INDEX(primary_jama_2024_6063_domain,MATCH($A7,primary_jama_2024_6063_key,0)),$E7)="statistical_results")))</formula>
    </cfRule>
  </conditionalFormatting>
  <conditionalFormatting sqref="J8">
    <cfRule type="expression" priority="77" dxfId="0" stopIfTrue="1">
      <formula>AND(OR(AND(IF($D8="",INDEX(primary_jama_2024_6063_disposition,MATCH($A8,primary_jama_2024_6063_key,0)),$D8)&lt;&gt;"",IF($D8="",INDEX(primary_jama_2024_6063_disposition,MATCH($A8,primary_jama_2024_6063_key,0)),$D8)&lt;&gt;"retain"),NOT(OR(IF($E8="",INDEX(primary_jama_2024_6063_domain,MATCH($A8,primary_jama_2024_6063_key,0)),$E8)="statistical_results"))),J8&lt;&gt;"",J8&lt;&gt;"not_applicable")</formula>
    </cfRule>
    <cfRule type="expression" priority="78" dxfId="1">
      <formula>OR(AND(IF($D8="",INDEX(primary_jama_2024_6063_disposition,MATCH($A8,primary_jama_2024_6063_key,0)),$D8)&lt;&gt;"",IF($D8="",INDEX(primary_jama_2024_6063_disposition,MATCH($A8,primary_jama_2024_6063_key,0)),$D8)&lt;&gt;"retain"),NOT(OR(IF($E8="",INDEX(primary_jama_2024_6063_domain,MATCH($A8,primary_jama_2024_6063_key,0)),$E8)="statistical_results")))</formula>
    </cfRule>
  </conditionalFormatting>
  <conditionalFormatting sqref="J9">
    <cfRule type="expression" priority="79" dxfId="0" stopIfTrue="1">
      <formula>AND(OR(AND(IF($D9="",INDEX(primary_jama_2024_6063_disposition,MATCH($A9,primary_jama_2024_6063_key,0)),$D9)&lt;&gt;"",IF($D9="",INDEX(primary_jama_2024_6063_disposition,MATCH($A9,primary_jama_2024_6063_key,0)),$D9)&lt;&gt;"retain"),NOT(OR(IF($E9="",INDEX(primary_jama_2024_6063_domain,MATCH($A9,primary_jama_2024_6063_key,0)),$E9)="statistical_results"))),J9&lt;&gt;"",J9&lt;&gt;"not_applicable")</formula>
    </cfRule>
    <cfRule type="expression" priority="80" dxfId="1">
      <formula>OR(AND(IF($D9="",INDEX(primary_jama_2024_6063_disposition,MATCH($A9,primary_jama_2024_6063_key,0)),$D9)&lt;&gt;"",IF($D9="",INDEX(primary_jama_2024_6063_disposition,MATCH($A9,primary_jama_2024_6063_key,0)),$D9)&lt;&gt;"retain"),NOT(OR(IF($E9="",INDEX(primary_jama_2024_6063_domain,MATCH($A9,primary_jama_2024_6063_key,0)),$E9)="statistical_results")))</formula>
    </cfRule>
  </conditionalFormatting>
  <conditionalFormatting sqref="J10">
    <cfRule type="expression" priority="81" dxfId="0" stopIfTrue="1">
      <formula>AND(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J10&lt;&gt;"",J10&lt;&gt;"not_applicable")</formula>
    </cfRule>
    <cfRule type="expression" priority="82" dxfId="1">
      <formula>OR(AND(IF($D10="",INDEX(primary_jama_2024_6063_disposition,MATCH($A10,primary_jama_2024_6063_key,0)),$D10)&lt;&gt;"",IF($D10="",INDEX(primary_jama_2024_6063_disposition,MATCH($A10,primary_jama_2024_6063_key,0)),$D10)&lt;&gt;"retain"),NOT(OR(IF($E10="",INDEX(primary_jama_2024_6063_domain,MATCH($A10,primary_jama_2024_6063_key,0)),$E10)="statistical_results")))</formula>
    </cfRule>
  </conditionalFormatting>
  <conditionalFormatting sqref="J11">
    <cfRule type="expression" priority="83" dxfId="0" stopIfTrue="1">
      <formula>AND(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J11&lt;&gt;"",J11&lt;&gt;"not_applicable")</formula>
    </cfRule>
    <cfRule type="expression" priority="84" dxfId="1">
      <formula>OR(AND(IF($D11="",INDEX(primary_jama_2024_6063_disposition,MATCH($A11,primary_jama_2024_6063_key,0)),$D11)&lt;&gt;"",IF($D11="",INDEX(primary_jama_2024_6063_disposition,MATCH($A11,primary_jama_2024_6063_key,0)),$D11)&lt;&gt;"retain"),NOT(OR(IF($E11="",INDEX(primary_jama_2024_6063_domain,MATCH($A11,primary_jama_2024_6063_key,0)),$E11)="statistical_results")))</formula>
    </cfRule>
  </conditionalFormatting>
  <conditionalFormatting sqref="J12">
    <cfRule type="expression" priority="85" dxfId="0" stopIfTrue="1">
      <formula>AND(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J12&lt;&gt;"",J12&lt;&gt;"not_applicable")</formula>
    </cfRule>
    <cfRule type="expression" priority="86" dxfId="1">
      <formula>OR(AND(IF($D12="",INDEX(primary_jama_2024_6063_disposition,MATCH($A12,primary_jama_2024_6063_key,0)),$D12)&lt;&gt;"",IF($D12="",INDEX(primary_jama_2024_6063_disposition,MATCH($A12,primary_jama_2024_6063_key,0)),$D12)&lt;&gt;"retain"),NOT(OR(IF($E12="",INDEX(primary_jama_2024_6063_domain,MATCH($A12,primary_jama_2024_6063_key,0)),$E12)="statistical_results")))</formula>
    </cfRule>
  </conditionalFormatting>
  <conditionalFormatting sqref="J13">
    <cfRule type="expression" priority="87" dxfId="0" stopIfTrue="1">
      <formula>AND(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J13&lt;&gt;"",J13&lt;&gt;"not_applicable")</formula>
    </cfRule>
    <cfRule type="expression" priority="88" dxfId="1">
      <formula>OR(AND(IF($D13="",INDEX(primary_jama_2024_6063_disposition,MATCH($A13,primary_jama_2024_6063_key,0)),$D13)&lt;&gt;"",IF($D13="",INDEX(primary_jama_2024_6063_disposition,MATCH($A13,primary_jama_2024_6063_key,0)),$D13)&lt;&gt;"retain"),NOT(OR(IF($E13="",INDEX(primary_jama_2024_6063_domain,MATCH($A13,primary_jama_2024_6063_key,0)),$E13)="statistical_results")))</formula>
    </cfRule>
  </conditionalFormatting>
  <conditionalFormatting sqref="J14">
    <cfRule type="expression" priority="89" dxfId="0" stopIfTrue="1">
      <formula>AND(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J14&lt;&gt;"",J14&lt;&gt;"not_applicable")</formula>
    </cfRule>
    <cfRule type="expression" priority="90" dxfId="1">
      <formula>OR(AND(IF($D14="",INDEX(primary_jama_2024_6063_disposition,MATCH($A14,primary_jama_2024_6063_key,0)),$D14)&lt;&gt;"",IF($D14="",INDEX(primary_jama_2024_6063_disposition,MATCH($A14,primary_jama_2024_6063_key,0)),$D14)&lt;&gt;"retain"),NOT(OR(IF($E14="",INDEX(primary_jama_2024_6063_domain,MATCH($A14,primary_jama_2024_6063_key,0)),$E14)="statistical_results")))</formula>
    </cfRule>
  </conditionalFormatting>
  <conditionalFormatting sqref="J15">
    <cfRule type="expression" priority="91" dxfId="0" stopIfTrue="1">
      <formula>AND(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J15&lt;&gt;"",J15&lt;&gt;"not_applicable")</formula>
    </cfRule>
    <cfRule type="expression" priority="92" dxfId="1">
      <formula>OR(AND(IF($D15="",INDEX(primary_jama_2024_6063_disposition,MATCH($A15,primary_jama_2024_6063_key,0)),$D15)&lt;&gt;"",IF($D15="",INDEX(primary_jama_2024_6063_disposition,MATCH($A15,primary_jama_2024_6063_key,0)),$D15)&lt;&gt;"retain"),NOT(OR(IF($E15="",INDEX(primary_jama_2024_6063_domain,MATCH($A15,primary_jama_2024_6063_key,0)),$E15)="statistical_results")))</formula>
    </cfRule>
  </conditionalFormatting>
  <conditionalFormatting sqref="J16">
    <cfRule type="expression" priority="93" dxfId="0" stopIfTrue="1">
      <formula>AND(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J16&lt;&gt;"",J16&lt;&gt;"not_applicable")</formula>
    </cfRule>
    <cfRule type="expression" priority="94" dxfId="1">
      <formula>OR(AND(IF($D16="",INDEX(primary_jama_2024_6063_disposition,MATCH($A16,primary_jama_2024_6063_key,0)),$D16)&lt;&gt;"",IF($D16="",INDEX(primary_jama_2024_6063_disposition,MATCH($A16,primary_jama_2024_6063_key,0)),$D16)&lt;&gt;"retain"),NOT(OR(IF($E16="",INDEX(primary_jama_2024_6063_domain,MATCH($A16,primary_jama_2024_6063_key,0)),$E16)="statistical_results")))</formula>
    </cfRule>
  </conditionalFormatting>
  <conditionalFormatting sqref="J17">
    <cfRule type="expression" priority="95" dxfId="0" stopIfTrue="1">
      <formula>AND(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J17&lt;&gt;"",J17&lt;&gt;"not_applicable")</formula>
    </cfRule>
    <cfRule type="expression" priority="96" dxfId="1">
      <formula>OR(AND(IF($D17="",INDEX(primary_jama_2024_6063_disposition,MATCH($A17,primary_jama_2024_6063_key,0)),$D17)&lt;&gt;"",IF($D17="",INDEX(primary_jama_2024_6063_disposition,MATCH($A17,primary_jama_2024_6063_key,0)),$D17)&lt;&gt;"retain"),NOT(OR(IF($E17="",INDEX(primary_jama_2024_6063_domain,MATCH($A17,primary_jama_2024_6063_key,0)),$E17)="statistical_results")))</formula>
    </cfRule>
  </conditionalFormatting>
  <conditionalFormatting sqref="K2">
    <cfRule type="expression" priority="97" dxfId="0" stopIfTrue="1">
      <formula>AND(OR(AND(IF($D2="",INDEX(primary_jama_2024_6063_disposition,MATCH($A2,primary_jama_2024_6063_key,0)),$D2)&lt;&gt;"",IF($D2="",INDEX(primary_jama_2024_6063_disposition,MATCH($A2,primary_jama_2024_6063_key,0)),$D2)&lt;&gt;"retain"),NOT(OR(IF($E2="",INDEX(primary_jama_2024_6063_domain,MATCH($A2,primary_jama_2024_6063_key,0)),$E2)="internal_nonstatistical",IF($E2="",INDEX(primary_jama_2024_6063_domain,MATCH($A2,primary_jama_2024_6063_key,0)),$E2)="plan_material"))),K2&lt;&gt;"",K2&lt;&gt;"not_applicable")</formula>
    </cfRule>
    <cfRule type="expression" priority="98" dxfId="1">
      <formula>OR(AND(IF($D2="",INDEX(primary_jama_2024_6063_disposition,MATCH($A2,primary_jama_2024_6063_key,0)),$D2)&lt;&gt;"",IF($D2="",INDEX(primary_jama_2024_6063_disposition,MATCH($A2,primary_jama_2024_6063_key,0)),$D2)&lt;&gt;"retain"),NOT(OR(IF($E2="",INDEX(primary_jama_2024_6063_domain,MATCH($A2,primary_jama_2024_6063_key,0)),$E2)="internal_nonstatistical",IF($E2="",INDEX(primary_jama_2024_6063_domain,MATCH($A2,primary_jama_2024_6063_key,0)),$E2)="plan_material")))</formula>
    </cfRule>
  </conditionalFormatting>
  <conditionalFormatting sqref="K3">
    <cfRule type="expression" priority="99" dxfId="0" stopIfTrue="1">
      <formula>AND(OR(AND(IF($D3="",INDEX(primary_jama_2024_6063_disposition,MATCH($A3,primary_jama_2024_6063_key,0)),$D3)&lt;&gt;"",IF($D3="",INDEX(primary_jama_2024_6063_disposition,MATCH($A3,primary_jama_2024_6063_key,0)),$D3)&lt;&gt;"retain"),NOT(OR(IF($E3="",INDEX(primary_jama_2024_6063_domain,MATCH($A3,primary_jama_2024_6063_key,0)),$E3)="internal_nonstatistical",IF($E3="",INDEX(primary_jama_2024_6063_domain,MATCH($A3,primary_jama_2024_6063_key,0)),$E3)="plan_material"))),K3&lt;&gt;"",K3&lt;&gt;"not_applicable")</formula>
    </cfRule>
    <cfRule type="expression" priority="100" dxfId="1">
      <formula>OR(AND(IF($D3="",INDEX(primary_jama_2024_6063_disposition,MATCH($A3,primary_jama_2024_6063_key,0)),$D3)&lt;&gt;"",IF($D3="",INDEX(primary_jama_2024_6063_disposition,MATCH($A3,primary_jama_2024_6063_key,0)),$D3)&lt;&gt;"retain"),NOT(OR(IF($E3="",INDEX(primary_jama_2024_6063_domain,MATCH($A3,primary_jama_2024_6063_key,0)),$E3)="internal_nonstatistical",IF($E3="",INDEX(primary_jama_2024_6063_domain,MATCH($A3,primary_jama_2024_6063_key,0)),$E3)="plan_material")))</formula>
    </cfRule>
  </conditionalFormatting>
  <conditionalFormatting sqref="K4">
    <cfRule type="expression" priority="101" dxfId="0" stopIfTrue="1">
      <formula>AND(OR(AND(IF($D4="",INDEX(primary_jama_2024_6063_disposition,MATCH($A4,primary_jama_2024_6063_key,0)),$D4)&lt;&gt;"",IF($D4="",INDEX(primary_jama_2024_6063_disposition,MATCH($A4,primary_jama_2024_6063_key,0)),$D4)&lt;&gt;"retain"),NOT(OR(IF($E4="",INDEX(primary_jama_2024_6063_domain,MATCH($A4,primary_jama_2024_6063_key,0)),$E4)="internal_nonstatistical",IF($E4="",INDEX(primary_jama_2024_6063_domain,MATCH($A4,primary_jama_2024_6063_key,0)),$E4)="plan_material"))),K4&lt;&gt;"",K4&lt;&gt;"not_applicable")</formula>
    </cfRule>
    <cfRule type="expression" priority="102" dxfId="1">
      <formula>OR(AND(IF($D4="",INDEX(primary_jama_2024_6063_disposition,MATCH($A4,primary_jama_2024_6063_key,0)),$D4)&lt;&gt;"",IF($D4="",INDEX(primary_jama_2024_6063_disposition,MATCH($A4,primary_jama_2024_6063_key,0)),$D4)&lt;&gt;"retain"),NOT(OR(IF($E4="",INDEX(primary_jama_2024_6063_domain,MATCH($A4,primary_jama_2024_6063_key,0)),$E4)="internal_nonstatistical",IF($E4="",INDEX(primary_jama_2024_6063_domain,MATCH($A4,primary_jama_2024_6063_key,0)),$E4)="plan_material")))</formula>
    </cfRule>
  </conditionalFormatting>
  <conditionalFormatting sqref="K5">
    <cfRule type="expression" priority="103" dxfId="0" stopIfTrue="1">
      <formula>AND(OR(AND(IF($D5="",INDEX(primary_jama_2024_6063_disposition,MATCH($A5,primary_jama_2024_6063_key,0)),$D5)&lt;&gt;"",IF($D5="",INDEX(primary_jama_2024_6063_disposition,MATCH($A5,primary_jama_2024_6063_key,0)),$D5)&lt;&gt;"retain"),NOT(OR(IF($E5="",INDEX(primary_jama_2024_6063_domain,MATCH($A5,primary_jama_2024_6063_key,0)),$E5)="internal_nonstatistical",IF($E5="",INDEX(primary_jama_2024_6063_domain,MATCH($A5,primary_jama_2024_6063_key,0)),$E5)="plan_material"))),K5&lt;&gt;"",K5&lt;&gt;"not_applicable")</formula>
    </cfRule>
    <cfRule type="expression" priority="104" dxfId="1">
      <formula>OR(AND(IF($D5="",INDEX(primary_jama_2024_6063_disposition,MATCH($A5,primary_jama_2024_6063_key,0)),$D5)&lt;&gt;"",IF($D5="",INDEX(primary_jama_2024_6063_disposition,MATCH($A5,primary_jama_2024_6063_key,0)),$D5)&lt;&gt;"retain"),NOT(OR(IF($E5="",INDEX(primary_jama_2024_6063_domain,MATCH($A5,primary_jama_2024_6063_key,0)),$E5)="internal_nonstatistical",IF($E5="",INDEX(primary_jama_2024_6063_domain,MATCH($A5,primary_jama_2024_6063_key,0)),$E5)="plan_material")))</formula>
    </cfRule>
  </conditionalFormatting>
  <conditionalFormatting sqref="K6">
    <cfRule type="expression" priority="105" dxfId="0" stopIfTrue="1">
      <formula>AND(OR(AND(IF($D6="",INDEX(primary_jama_2024_6063_disposition,MATCH($A6,primary_jama_2024_6063_key,0)),$D6)&lt;&gt;"",IF($D6="",INDEX(primary_jama_2024_6063_disposition,MATCH($A6,primary_jama_2024_6063_key,0)),$D6)&lt;&gt;"retain"),NOT(OR(IF($E6="",INDEX(primary_jama_2024_6063_domain,MATCH($A6,primary_jama_2024_6063_key,0)),$E6)="internal_nonstatistical",IF($E6="",INDEX(primary_jama_2024_6063_domain,MATCH($A6,primary_jama_2024_6063_key,0)),$E6)="plan_material"))),K6&lt;&gt;"",K6&lt;&gt;"not_applicable")</formula>
    </cfRule>
    <cfRule type="expression" priority="106" dxfId="1">
      <formula>OR(AND(IF($D6="",INDEX(primary_jama_2024_6063_disposition,MATCH($A6,primary_jama_2024_6063_key,0)),$D6)&lt;&gt;"",IF($D6="",INDEX(primary_jama_2024_6063_disposition,MATCH($A6,primary_jama_2024_6063_key,0)),$D6)&lt;&gt;"retain"),NOT(OR(IF($E6="",INDEX(primary_jama_2024_6063_domain,MATCH($A6,primary_jama_2024_6063_key,0)),$E6)="internal_nonstatistical",IF($E6="",INDEX(primary_jama_2024_6063_domain,MATCH($A6,primary_jama_2024_6063_key,0)),$E6)="plan_material")))</formula>
    </cfRule>
  </conditionalFormatting>
  <conditionalFormatting sqref="K7">
    <cfRule type="expression" priority="107" dxfId="0" stopIfTrue="1">
      <formula>AND(OR(AND(IF($D7="",INDEX(primary_jama_2024_6063_disposition,MATCH($A7,primary_jama_2024_6063_key,0)),$D7)&lt;&gt;"",IF($D7="",INDEX(primary_jama_2024_6063_disposition,MATCH($A7,primary_jama_2024_6063_key,0)),$D7)&lt;&gt;"retain"),NOT(OR(IF($E7="",INDEX(primary_jama_2024_6063_domain,MATCH($A7,primary_jama_2024_6063_key,0)),$E7)="internal_nonstatistical",IF($E7="",INDEX(primary_jama_2024_6063_domain,MATCH($A7,primary_jama_2024_6063_key,0)),$E7)="plan_material"))),K7&lt;&gt;"",K7&lt;&gt;"not_applicable")</formula>
    </cfRule>
    <cfRule type="expression" priority="108" dxfId="1">
      <formula>OR(AND(IF($D7="",INDEX(primary_jama_2024_6063_disposition,MATCH($A7,primary_jama_2024_6063_key,0)),$D7)&lt;&gt;"",IF($D7="",INDEX(primary_jama_2024_6063_disposition,MATCH($A7,primary_jama_2024_6063_key,0)),$D7)&lt;&gt;"retain"),NOT(OR(IF($E7="",INDEX(primary_jama_2024_6063_domain,MATCH($A7,primary_jama_2024_6063_key,0)),$E7)="internal_nonstatistical",IF($E7="",INDEX(primary_jama_2024_6063_domain,MATCH($A7,primary_jama_2024_6063_key,0)),$E7)="plan_material")))</formula>
    </cfRule>
  </conditionalFormatting>
  <conditionalFormatting sqref="K8">
    <cfRule type="expression" priority="109" dxfId="0" stopIfTrue="1">
      <formula>AND(OR(AND(IF($D8="",INDEX(primary_jama_2024_6063_disposition,MATCH($A8,primary_jama_2024_6063_key,0)),$D8)&lt;&gt;"",IF($D8="",INDEX(primary_jama_2024_6063_disposition,MATCH($A8,primary_jama_2024_6063_key,0)),$D8)&lt;&gt;"retain"),NOT(OR(IF($E8="",INDEX(primary_jama_2024_6063_domain,MATCH($A8,primary_jama_2024_6063_key,0)),$E8)="internal_nonstatistical",IF($E8="",INDEX(primary_jama_2024_6063_domain,MATCH($A8,primary_jama_2024_6063_key,0)),$E8)="plan_material"))),K8&lt;&gt;"",K8&lt;&gt;"not_applicable")</formula>
    </cfRule>
    <cfRule type="expression" priority="110" dxfId="1">
      <formula>OR(AND(IF($D8="",INDEX(primary_jama_2024_6063_disposition,MATCH($A8,primary_jama_2024_6063_key,0)),$D8)&lt;&gt;"",IF($D8="",INDEX(primary_jama_2024_6063_disposition,MATCH($A8,primary_jama_2024_6063_key,0)),$D8)&lt;&gt;"retain"),NOT(OR(IF($E8="",INDEX(primary_jama_2024_6063_domain,MATCH($A8,primary_jama_2024_6063_key,0)),$E8)="internal_nonstatistical",IF($E8="",INDEX(primary_jama_2024_6063_domain,MATCH($A8,primary_jama_2024_6063_key,0)),$E8)="plan_material")))</formula>
    </cfRule>
  </conditionalFormatting>
  <conditionalFormatting sqref="K9">
    <cfRule type="expression" priority="111" dxfId="0" stopIfTrue="1">
      <formula>AND(OR(AND(IF($D9="",INDEX(primary_jama_2024_6063_disposition,MATCH($A9,primary_jama_2024_6063_key,0)),$D9)&lt;&gt;"",IF($D9="",INDEX(primary_jama_2024_6063_disposition,MATCH($A9,primary_jama_2024_6063_key,0)),$D9)&lt;&gt;"retain"),NOT(OR(IF($E9="",INDEX(primary_jama_2024_6063_domain,MATCH($A9,primary_jama_2024_6063_key,0)),$E9)="internal_nonstatistical",IF($E9="",INDEX(primary_jama_2024_6063_domain,MATCH($A9,primary_jama_2024_6063_key,0)),$E9)="plan_material"))),K9&lt;&gt;"",K9&lt;&gt;"not_applicable")</formula>
    </cfRule>
    <cfRule type="expression" priority="112" dxfId="1">
      <formula>OR(AND(IF($D9="",INDEX(primary_jama_2024_6063_disposition,MATCH($A9,primary_jama_2024_6063_key,0)),$D9)&lt;&gt;"",IF($D9="",INDEX(primary_jama_2024_6063_disposition,MATCH($A9,primary_jama_2024_6063_key,0)),$D9)&lt;&gt;"retain"),NOT(OR(IF($E9="",INDEX(primary_jama_2024_6063_domain,MATCH($A9,primary_jama_2024_6063_key,0)),$E9)="internal_nonstatistical",IF($E9="",INDEX(primary_jama_2024_6063_domain,MATCH($A9,primary_jama_2024_6063_key,0)),$E9)="plan_material")))</formula>
    </cfRule>
  </conditionalFormatting>
  <conditionalFormatting sqref="K10">
    <cfRule type="expression" priority="113" dxfId="0" stopIfTrue="1">
      <formula>AND(OR(AND(IF($D10="",INDEX(primary_jama_2024_6063_disposition,MATCH($A10,primary_jama_2024_6063_key,0)),$D10)&lt;&gt;"",IF($D10="",INDEX(primary_jama_2024_6063_disposition,MATCH($A10,primary_jama_2024_6063_key,0)),$D10)&lt;&gt;"retain"),NOT(OR(IF($E10="",INDEX(primary_jama_2024_6063_domain,MATCH($A10,primary_jama_2024_6063_key,0)),$E10)="internal_nonstatistical",IF($E10="",INDEX(primary_jama_2024_6063_domain,MATCH($A10,primary_jama_2024_6063_key,0)),$E10)="plan_material"))),K10&lt;&gt;"",K10&lt;&gt;"not_applicable")</formula>
    </cfRule>
    <cfRule type="expression" priority="114" dxfId="1">
      <formula>OR(AND(IF($D10="",INDEX(primary_jama_2024_6063_disposition,MATCH($A10,primary_jama_2024_6063_key,0)),$D10)&lt;&gt;"",IF($D10="",INDEX(primary_jama_2024_6063_disposition,MATCH($A10,primary_jama_2024_6063_key,0)),$D10)&lt;&gt;"retain"),NOT(OR(IF($E10="",INDEX(primary_jama_2024_6063_domain,MATCH($A10,primary_jama_2024_6063_key,0)),$E10)="internal_nonstatistical",IF($E10="",INDEX(primary_jama_2024_6063_domain,MATCH($A10,primary_jama_2024_6063_key,0)),$E10)="plan_material")))</formula>
    </cfRule>
  </conditionalFormatting>
  <conditionalFormatting sqref="K11">
    <cfRule type="expression" priority="115" dxfId="0" stopIfTrue="1">
      <formula>AND(OR(AND(IF($D11="",INDEX(primary_jama_2024_6063_disposition,MATCH($A11,primary_jama_2024_6063_key,0)),$D11)&lt;&gt;"",IF($D11="",INDEX(primary_jama_2024_6063_disposition,MATCH($A11,primary_jama_2024_6063_key,0)),$D11)&lt;&gt;"retain"),NOT(OR(IF($E11="",INDEX(primary_jama_2024_6063_domain,MATCH($A11,primary_jama_2024_6063_key,0)),$E11)="internal_nonstatistical",IF($E11="",INDEX(primary_jama_2024_6063_domain,MATCH($A11,primary_jama_2024_6063_key,0)),$E11)="plan_material"))),K11&lt;&gt;"",K11&lt;&gt;"not_applicable")</formula>
    </cfRule>
    <cfRule type="expression" priority="116" dxfId="1">
      <formula>OR(AND(IF($D11="",INDEX(primary_jama_2024_6063_disposition,MATCH($A11,primary_jama_2024_6063_key,0)),$D11)&lt;&gt;"",IF($D11="",INDEX(primary_jama_2024_6063_disposition,MATCH($A11,primary_jama_2024_6063_key,0)),$D11)&lt;&gt;"retain"),NOT(OR(IF($E11="",INDEX(primary_jama_2024_6063_domain,MATCH($A11,primary_jama_2024_6063_key,0)),$E11)="internal_nonstatistical",IF($E11="",INDEX(primary_jama_2024_6063_domain,MATCH($A11,primary_jama_2024_6063_key,0)),$E11)="plan_material")))</formula>
    </cfRule>
  </conditionalFormatting>
  <conditionalFormatting sqref="K12">
    <cfRule type="expression" priority="117" dxfId="0" stopIfTrue="1">
      <formula>AND(OR(AND(IF($D12="",INDEX(primary_jama_2024_6063_disposition,MATCH($A12,primary_jama_2024_6063_key,0)),$D12)&lt;&gt;"",IF($D12="",INDEX(primary_jama_2024_6063_disposition,MATCH($A12,primary_jama_2024_6063_key,0)),$D12)&lt;&gt;"retain"),NOT(OR(IF($E12="",INDEX(primary_jama_2024_6063_domain,MATCH($A12,primary_jama_2024_6063_key,0)),$E12)="internal_nonstatistical",IF($E12="",INDEX(primary_jama_2024_6063_domain,MATCH($A12,primary_jama_2024_6063_key,0)),$E12)="plan_material"))),K12&lt;&gt;"",K12&lt;&gt;"not_applicable")</formula>
    </cfRule>
    <cfRule type="expression" priority="118" dxfId="1">
      <formula>OR(AND(IF($D12="",INDEX(primary_jama_2024_6063_disposition,MATCH($A12,primary_jama_2024_6063_key,0)),$D12)&lt;&gt;"",IF($D12="",INDEX(primary_jama_2024_6063_disposition,MATCH($A12,primary_jama_2024_6063_key,0)),$D12)&lt;&gt;"retain"),NOT(OR(IF($E12="",INDEX(primary_jama_2024_6063_domain,MATCH($A12,primary_jama_2024_6063_key,0)),$E12)="internal_nonstatistical",IF($E12="",INDEX(primary_jama_2024_6063_domain,MATCH($A12,primary_jama_2024_6063_key,0)),$E12)="plan_material")))</formula>
    </cfRule>
  </conditionalFormatting>
  <conditionalFormatting sqref="K13">
    <cfRule type="expression" priority="119" dxfId="0" stopIfTrue="1">
      <formula>AND(OR(AND(IF($D13="",INDEX(primary_jama_2024_6063_disposition,MATCH($A13,primary_jama_2024_6063_key,0)),$D13)&lt;&gt;"",IF($D13="",INDEX(primary_jama_2024_6063_disposition,MATCH($A13,primary_jama_2024_6063_key,0)),$D13)&lt;&gt;"retain"),NOT(OR(IF($E13="",INDEX(primary_jama_2024_6063_domain,MATCH($A13,primary_jama_2024_6063_key,0)),$E13)="internal_nonstatistical",IF($E13="",INDEX(primary_jama_2024_6063_domain,MATCH($A13,primary_jama_2024_6063_key,0)),$E13)="plan_material"))),K13&lt;&gt;"",K13&lt;&gt;"not_applicable")</formula>
    </cfRule>
    <cfRule type="expression" priority="120" dxfId="1">
      <formula>OR(AND(IF($D13="",INDEX(primary_jama_2024_6063_disposition,MATCH($A13,primary_jama_2024_6063_key,0)),$D13)&lt;&gt;"",IF($D13="",INDEX(primary_jama_2024_6063_disposition,MATCH($A13,primary_jama_2024_6063_key,0)),$D13)&lt;&gt;"retain"),NOT(OR(IF($E13="",INDEX(primary_jama_2024_6063_domain,MATCH($A13,primary_jama_2024_6063_key,0)),$E13)="internal_nonstatistical",IF($E13="",INDEX(primary_jama_2024_6063_domain,MATCH($A13,primary_jama_2024_6063_key,0)),$E13)="plan_material")))</formula>
    </cfRule>
  </conditionalFormatting>
  <conditionalFormatting sqref="K14">
    <cfRule type="expression" priority="121" dxfId="0" stopIfTrue="1">
      <formula>AND(OR(AND(IF($D14="",INDEX(primary_jama_2024_6063_disposition,MATCH($A14,primary_jama_2024_6063_key,0)),$D14)&lt;&gt;"",IF($D14="",INDEX(primary_jama_2024_6063_disposition,MATCH($A14,primary_jama_2024_6063_key,0)),$D14)&lt;&gt;"retain"),NOT(OR(IF($E14="",INDEX(primary_jama_2024_6063_domain,MATCH($A14,primary_jama_2024_6063_key,0)),$E14)="internal_nonstatistical",IF($E14="",INDEX(primary_jama_2024_6063_domain,MATCH($A14,primary_jama_2024_6063_key,0)),$E14)="plan_material"))),K14&lt;&gt;"",K14&lt;&gt;"not_applicable")</formula>
    </cfRule>
    <cfRule type="expression" priority="122" dxfId="1">
      <formula>OR(AND(IF($D14="",INDEX(primary_jama_2024_6063_disposition,MATCH($A14,primary_jama_2024_6063_key,0)),$D14)&lt;&gt;"",IF($D14="",INDEX(primary_jama_2024_6063_disposition,MATCH($A14,primary_jama_2024_6063_key,0)),$D14)&lt;&gt;"retain"),NOT(OR(IF($E14="",INDEX(primary_jama_2024_6063_domain,MATCH($A14,primary_jama_2024_6063_key,0)),$E14)="internal_nonstatistical",IF($E14="",INDEX(primary_jama_2024_6063_domain,MATCH($A14,primary_jama_2024_6063_key,0)),$E14)="plan_material")))</formula>
    </cfRule>
  </conditionalFormatting>
  <conditionalFormatting sqref="K15">
    <cfRule type="expression" priority="123" dxfId="0" stopIfTrue="1">
      <formula>AND(OR(AND(IF($D15="",INDEX(primary_jama_2024_6063_disposition,MATCH($A15,primary_jama_2024_6063_key,0)),$D15)&lt;&gt;"",IF($D15="",INDEX(primary_jama_2024_6063_disposition,MATCH($A15,primary_jama_2024_6063_key,0)),$D15)&lt;&gt;"retain"),NOT(OR(IF($E15="",INDEX(primary_jama_2024_6063_domain,MATCH($A15,primary_jama_2024_6063_key,0)),$E15)="internal_nonstatistical",IF($E15="",INDEX(primary_jama_2024_6063_domain,MATCH($A15,primary_jama_2024_6063_key,0)),$E15)="plan_material"))),K15&lt;&gt;"",K15&lt;&gt;"not_applicable")</formula>
    </cfRule>
    <cfRule type="expression" priority="124" dxfId="1">
      <formula>OR(AND(IF($D15="",INDEX(primary_jama_2024_6063_disposition,MATCH($A15,primary_jama_2024_6063_key,0)),$D15)&lt;&gt;"",IF($D15="",INDEX(primary_jama_2024_6063_disposition,MATCH($A15,primary_jama_2024_6063_key,0)),$D15)&lt;&gt;"retain"),NOT(OR(IF($E15="",INDEX(primary_jama_2024_6063_domain,MATCH($A15,primary_jama_2024_6063_key,0)),$E15)="internal_nonstatistical",IF($E15="",INDEX(primary_jama_2024_6063_domain,MATCH($A15,primary_jama_2024_6063_key,0)),$E15)="plan_material")))</formula>
    </cfRule>
  </conditionalFormatting>
  <conditionalFormatting sqref="K16">
    <cfRule type="expression" priority="125" dxfId="0" stopIfTrue="1">
      <formula>AND(OR(AND(IF($D16="",INDEX(primary_jama_2024_6063_disposition,MATCH($A16,primary_jama_2024_6063_key,0)),$D16)&lt;&gt;"",IF($D16="",INDEX(primary_jama_2024_6063_disposition,MATCH($A16,primary_jama_2024_6063_key,0)),$D16)&lt;&gt;"retain"),NOT(OR(IF($E16="",INDEX(primary_jama_2024_6063_domain,MATCH($A16,primary_jama_2024_6063_key,0)),$E16)="internal_nonstatistical",IF($E16="",INDEX(primary_jama_2024_6063_domain,MATCH($A16,primary_jama_2024_6063_key,0)),$E16)="plan_material"))),K16&lt;&gt;"",K16&lt;&gt;"not_applicable")</formula>
    </cfRule>
    <cfRule type="expression" priority="126" dxfId="1">
      <formula>OR(AND(IF($D16="",INDEX(primary_jama_2024_6063_disposition,MATCH($A16,primary_jama_2024_6063_key,0)),$D16)&lt;&gt;"",IF($D16="",INDEX(primary_jama_2024_6063_disposition,MATCH($A16,primary_jama_2024_6063_key,0)),$D16)&lt;&gt;"retain"),NOT(OR(IF($E16="",INDEX(primary_jama_2024_6063_domain,MATCH($A16,primary_jama_2024_6063_key,0)),$E16)="internal_nonstatistical",IF($E16="",INDEX(primary_jama_2024_6063_domain,MATCH($A16,primary_jama_2024_6063_key,0)),$E16)="plan_material")))</formula>
    </cfRule>
  </conditionalFormatting>
  <conditionalFormatting sqref="K17">
    <cfRule type="expression" priority="127" dxfId="0" stopIfTrue="1">
      <formula>AND(OR(AND(IF($D17="",INDEX(primary_jama_2024_6063_disposition,MATCH($A17,primary_jama_2024_6063_key,0)),$D17)&lt;&gt;"",IF($D17="",INDEX(primary_jama_2024_6063_disposition,MATCH($A17,primary_jama_2024_6063_key,0)),$D17)&lt;&gt;"retain"),NOT(OR(IF($E17="",INDEX(primary_jama_2024_6063_domain,MATCH($A17,primary_jama_2024_6063_key,0)),$E17)="internal_nonstatistical",IF($E17="",INDEX(primary_jama_2024_6063_domain,MATCH($A17,primary_jama_2024_6063_key,0)),$E17)="plan_material"))),K17&lt;&gt;"",K17&lt;&gt;"not_applicable")</formula>
    </cfRule>
    <cfRule type="expression" priority="128" dxfId="1">
      <formula>OR(AND(IF($D17="",INDEX(primary_jama_2024_6063_disposition,MATCH($A17,primary_jama_2024_6063_key,0)),$D17)&lt;&gt;"",IF($D17="",INDEX(primary_jama_2024_6063_disposition,MATCH($A17,primary_jama_2024_6063_key,0)),$D17)&lt;&gt;"retain"),NOT(OR(IF($E17="",INDEX(primary_jama_2024_6063_domain,MATCH($A17,primary_jama_2024_6063_key,0)),$E17)="internal_nonstatistical",IF($E17="",INDEX(primary_jama_2024_6063_domain,MATCH($A17,primary_jama_2024_6063_key,0)),$E17)="plan_material")))</formula>
    </cfRule>
  </conditionalFormatting>
  <conditionalFormatting sqref="L2">
    <cfRule type="expression" priority="129" dxfId="0" stopIfTrue="1">
      <formula>AND(OR(AND(IF($D2="",INDEX(primary_jama_2024_6063_disposition,MATCH($A2,primary_jama_2024_6063_key,0)),$D2)&lt;&gt;"",IF($D2="",INDEX(primary_jama_2024_6063_disposition,MATCH($A2,primary_jama_2024_6063_key,0)),$D2)&lt;&gt;"retain"),NOT(OR(IF($E2="",INDEX(primary_jama_2024_6063_domain,MATCH($A2,primary_jama_2024_6063_key,0)),$E2)="protocol_report"))),L2&lt;&gt;"",L2&lt;&gt;"not_applicable")</formula>
    </cfRule>
    <cfRule type="expression" priority="130" dxfId="1">
      <formula>OR(AND(IF($D2="",INDEX(primary_jama_2024_6063_disposition,MATCH($A2,primary_jama_2024_6063_key,0)),$D2)&lt;&gt;"",IF($D2="",INDEX(primary_jama_2024_6063_disposition,MATCH($A2,primary_jama_2024_6063_key,0)),$D2)&lt;&gt;"retain"),NOT(OR(IF($E2="",INDEX(primary_jama_2024_6063_domain,MATCH($A2,primary_jama_2024_6063_key,0)),$E2)="protocol_report")))</formula>
    </cfRule>
  </conditionalFormatting>
  <conditionalFormatting sqref="L3">
    <cfRule type="expression" priority="131" dxfId="0" stopIfTrue="1">
      <formula>AND(OR(AND(IF($D3="",INDEX(primary_jama_2024_6063_disposition,MATCH($A3,primary_jama_2024_6063_key,0)),$D3)&lt;&gt;"",IF($D3="",INDEX(primary_jama_2024_6063_disposition,MATCH($A3,primary_jama_2024_6063_key,0)),$D3)&lt;&gt;"retain"),NOT(OR(IF($E3="",INDEX(primary_jama_2024_6063_domain,MATCH($A3,primary_jama_2024_6063_key,0)),$E3)="protocol_report"))),L3&lt;&gt;"",L3&lt;&gt;"not_applicable")</formula>
    </cfRule>
    <cfRule type="expression" priority="132" dxfId="1">
      <formula>OR(AND(IF($D3="",INDEX(primary_jama_2024_6063_disposition,MATCH($A3,primary_jama_2024_6063_key,0)),$D3)&lt;&gt;"",IF($D3="",INDEX(primary_jama_2024_6063_disposition,MATCH($A3,primary_jama_2024_6063_key,0)),$D3)&lt;&gt;"retain"),NOT(OR(IF($E3="",INDEX(primary_jama_2024_6063_domain,MATCH($A3,primary_jama_2024_6063_key,0)),$E3)="protocol_report")))</formula>
    </cfRule>
  </conditionalFormatting>
  <conditionalFormatting sqref="L4">
    <cfRule type="expression" priority="133" dxfId="0" stopIfTrue="1">
      <formula>AND(OR(AND(IF($D4="",INDEX(primary_jama_2024_6063_disposition,MATCH($A4,primary_jama_2024_6063_key,0)),$D4)&lt;&gt;"",IF($D4="",INDEX(primary_jama_2024_6063_disposition,MATCH($A4,primary_jama_2024_6063_key,0)),$D4)&lt;&gt;"retain"),NOT(OR(IF($E4="",INDEX(primary_jama_2024_6063_domain,MATCH($A4,primary_jama_2024_6063_key,0)),$E4)="protocol_report"))),L4&lt;&gt;"",L4&lt;&gt;"not_applicable")</formula>
    </cfRule>
    <cfRule type="expression" priority="134" dxfId="1">
      <formula>OR(AND(IF($D4="",INDEX(primary_jama_2024_6063_disposition,MATCH($A4,primary_jama_2024_6063_key,0)),$D4)&lt;&gt;"",IF($D4="",INDEX(primary_jama_2024_6063_disposition,MATCH($A4,primary_jama_2024_6063_key,0)),$D4)&lt;&gt;"retain"),NOT(OR(IF($E4="",INDEX(primary_jama_2024_6063_domain,MATCH($A4,primary_jama_2024_6063_key,0)),$E4)="protocol_report")))</formula>
    </cfRule>
  </conditionalFormatting>
  <conditionalFormatting sqref="L5">
    <cfRule type="expression" priority="135" dxfId="0" stopIfTrue="1">
      <formula>AND(OR(AND(IF($D5="",INDEX(primary_jama_2024_6063_disposition,MATCH($A5,primary_jama_2024_6063_key,0)),$D5)&lt;&gt;"",IF($D5="",INDEX(primary_jama_2024_6063_disposition,MATCH($A5,primary_jama_2024_6063_key,0)),$D5)&lt;&gt;"retain"),NOT(OR(IF($E5="",INDEX(primary_jama_2024_6063_domain,MATCH($A5,primary_jama_2024_6063_key,0)),$E5)="protocol_report"))),L5&lt;&gt;"",L5&lt;&gt;"not_applicable")</formula>
    </cfRule>
    <cfRule type="expression" priority="136" dxfId="1">
      <formula>OR(AND(IF($D5="",INDEX(primary_jama_2024_6063_disposition,MATCH($A5,primary_jama_2024_6063_key,0)),$D5)&lt;&gt;"",IF($D5="",INDEX(primary_jama_2024_6063_disposition,MATCH($A5,primary_jama_2024_6063_key,0)),$D5)&lt;&gt;"retain"),NOT(OR(IF($E5="",INDEX(primary_jama_2024_6063_domain,MATCH($A5,primary_jama_2024_6063_key,0)),$E5)="protocol_report")))</formula>
    </cfRule>
  </conditionalFormatting>
  <conditionalFormatting sqref="L6">
    <cfRule type="expression" priority="137" dxfId="0" stopIfTrue="1">
      <formula>AND(OR(AND(IF($D6="",INDEX(primary_jama_2024_6063_disposition,MATCH($A6,primary_jama_2024_6063_key,0)),$D6)&lt;&gt;"",IF($D6="",INDEX(primary_jama_2024_6063_disposition,MATCH($A6,primary_jama_2024_6063_key,0)),$D6)&lt;&gt;"retain"),NOT(OR(IF($E6="",INDEX(primary_jama_2024_6063_domain,MATCH($A6,primary_jama_2024_6063_key,0)),$E6)="protocol_report"))),L6&lt;&gt;"",L6&lt;&gt;"not_applicable")</formula>
    </cfRule>
    <cfRule type="expression" priority="138" dxfId="1">
      <formula>OR(AND(IF($D6="",INDEX(primary_jama_2024_6063_disposition,MATCH($A6,primary_jama_2024_6063_key,0)),$D6)&lt;&gt;"",IF($D6="",INDEX(primary_jama_2024_6063_disposition,MATCH($A6,primary_jama_2024_6063_key,0)),$D6)&lt;&gt;"retain"),NOT(OR(IF($E6="",INDEX(primary_jama_2024_6063_domain,MATCH($A6,primary_jama_2024_6063_key,0)),$E6)="protocol_report")))</formula>
    </cfRule>
  </conditionalFormatting>
  <conditionalFormatting sqref="L7">
    <cfRule type="expression" priority="139" dxfId="0" stopIfTrue="1">
      <formula>AND(OR(AND(IF($D7="",INDEX(primary_jama_2024_6063_disposition,MATCH($A7,primary_jama_2024_6063_key,0)),$D7)&lt;&gt;"",IF($D7="",INDEX(primary_jama_2024_6063_disposition,MATCH($A7,primary_jama_2024_6063_key,0)),$D7)&lt;&gt;"retain"),NOT(OR(IF($E7="",INDEX(primary_jama_2024_6063_domain,MATCH($A7,primary_jama_2024_6063_key,0)),$E7)="protocol_report"))),L7&lt;&gt;"",L7&lt;&gt;"not_applicable")</formula>
    </cfRule>
    <cfRule type="expression" priority="140" dxfId="1">
      <formula>OR(AND(IF($D7="",INDEX(primary_jama_2024_6063_disposition,MATCH($A7,primary_jama_2024_6063_key,0)),$D7)&lt;&gt;"",IF($D7="",INDEX(primary_jama_2024_6063_disposition,MATCH($A7,primary_jama_2024_6063_key,0)),$D7)&lt;&gt;"retain"),NOT(OR(IF($E7="",INDEX(primary_jama_2024_6063_domain,MATCH($A7,primary_jama_2024_6063_key,0)),$E7)="protocol_report")))</formula>
    </cfRule>
  </conditionalFormatting>
  <conditionalFormatting sqref="L8">
    <cfRule type="expression" priority="141" dxfId="0" stopIfTrue="1">
      <formula>AND(OR(AND(IF($D8="",INDEX(primary_jama_2024_6063_disposition,MATCH($A8,primary_jama_2024_6063_key,0)),$D8)&lt;&gt;"",IF($D8="",INDEX(primary_jama_2024_6063_disposition,MATCH($A8,primary_jama_2024_6063_key,0)),$D8)&lt;&gt;"retain"),NOT(OR(IF($E8="",INDEX(primary_jama_2024_6063_domain,MATCH($A8,primary_jama_2024_6063_key,0)),$E8)="protocol_report"))),L8&lt;&gt;"",L8&lt;&gt;"not_applicable")</formula>
    </cfRule>
    <cfRule type="expression" priority="142" dxfId="1">
      <formula>OR(AND(IF($D8="",INDEX(primary_jama_2024_6063_disposition,MATCH($A8,primary_jama_2024_6063_key,0)),$D8)&lt;&gt;"",IF($D8="",INDEX(primary_jama_2024_6063_disposition,MATCH($A8,primary_jama_2024_6063_key,0)),$D8)&lt;&gt;"retain"),NOT(OR(IF($E8="",INDEX(primary_jama_2024_6063_domain,MATCH($A8,primary_jama_2024_6063_key,0)),$E8)="protocol_report")))</formula>
    </cfRule>
  </conditionalFormatting>
  <conditionalFormatting sqref="L9">
    <cfRule type="expression" priority="143" dxfId="0" stopIfTrue="1">
      <formula>AND(OR(AND(IF($D9="",INDEX(primary_jama_2024_6063_disposition,MATCH($A9,primary_jama_2024_6063_key,0)),$D9)&lt;&gt;"",IF($D9="",INDEX(primary_jama_2024_6063_disposition,MATCH($A9,primary_jama_2024_6063_key,0)),$D9)&lt;&gt;"retain"),NOT(OR(IF($E9="",INDEX(primary_jama_2024_6063_domain,MATCH($A9,primary_jama_2024_6063_key,0)),$E9)="protocol_report"))),L9&lt;&gt;"",L9&lt;&gt;"not_applicable")</formula>
    </cfRule>
    <cfRule type="expression" priority="144" dxfId="1">
      <formula>OR(AND(IF($D9="",INDEX(primary_jama_2024_6063_disposition,MATCH($A9,primary_jama_2024_6063_key,0)),$D9)&lt;&gt;"",IF($D9="",INDEX(primary_jama_2024_6063_disposition,MATCH($A9,primary_jama_2024_6063_key,0)),$D9)&lt;&gt;"retain"),NOT(OR(IF($E9="",INDEX(primary_jama_2024_6063_domain,MATCH($A9,primary_jama_2024_6063_key,0)),$E9)="protocol_report")))</formula>
    </cfRule>
  </conditionalFormatting>
  <conditionalFormatting sqref="L10">
    <cfRule type="expression" priority="145" dxfId="0" stopIfTrue="1">
      <formula>AND(OR(AND(IF($D10="",INDEX(primary_jama_2024_6063_disposition,MATCH($A10,primary_jama_2024_6063_key,0)),$D10)&lt;&gt;"",IF($D10="",INDEX(primary_jama_2024_6063_disposition,MATCH($A10,primary_jama_2024_6063_key,0)),$D10)&lt;&gt;"retain"),NOT(OR(IF($E10="",INDEX(primary_jama_2024_6063_domain,MATCH($A10,primary_jama_2024_6063_key,0)),$E10)="protocol_report"))),L10&lt;&gt;"",L10&lt;&gt;"not_applicable")</formula>
    </cfRule>
    <cfRule type="expression" priority="146" dxfId="1">
      <formula>OR(AND(IF($D10="",INDEX(primary_jama_2024_6063_disposition,MATCH($A10,primary_jama_2024_6063_key,0)),$D10)&lt;&gt;"",IF($D10="",INDEX(primary_jama_2024_6063_disposition,MATCH($A10,primary_jama_2024_6063_key,0)),$D10)&lt;&gt;"retain"),NOT(OR(IF($E10="",INDEX(primary_jama_2024_6063_domain,MATCH($A10,primary_jama_2024_6063_key,0)),$E10)="protocol_report")))</formula>
    </cfRule>
  </conditionalFormatting>
  <conditionalFormatting sqref="L11">
    <cfRule type="expression" priority="147" dxfId="0" stopIfTrue="1">
      <formula>AND(OR(AND(IF($D11="",INDEX(primary_jama_2024_6063_disposition,MATCH($A11,primary_jama_2024_6063_key,0)),$D11)&lt;&gt;"",IF($D11="",INDEX(primary_jama_2024_6063_disposition,MATCH($A11,primary_jama_2024_6063_key,0)),$D11)&lt;&gt;"retain"),NOT(OR(IF($E11="",INDEX(primary_jama_2024_6063_domain,MATCH($A11,primary_jama_2024_6063_key,0)),$E11)="protocol_report"))),L11&lt;&gt;"",L11&lt;&gt;"not_applicable")</formula>
    </cfRule>
    <cfRule type="expression" priority="148" dxfId="1">
      <formula>OR(AND(IF($D11="",INDEX(primary_jama_2024_6063_disposition,MATCH($A11,primary_jama_2024_6063_key,0)),$D11)&lt;&gt;"",IF($D11="",INDEX(primary_jama_2024_6063_disposition,MATCH($A11,primary_jama_2024_6063_key,0)),$D11)&lt;&gt;"retain"),NOT(OR(IF($E11="",INDEX(primary_jama_2024_6063_domain,MATCH($A11,primary_jama_2024_6063_key,0)),$E11)="protocol_report")))</formula>
    </cfRule>
  </conditionalFormatting>
  <conditionalFormatting sqref="L12">
    <cfRule type="expression" priority="149" dxfId="0" stopIfTrue="1">
      <formula>AND(OR(AND(IF($D12="",INDEX(primary_jama_2024_6063_disposition,MATCH($A12,primary_jama_2024_6063_key,0)),$D12)&lt;&gt;"",IF($D12="",INDEX(primary_jama_2024_6063_disposition,MATCH($A12,primary_jama_2024_6063_key,0)),$D12)&lt;&gt;"retain"),NOT(OR(IF($E12="",INDEX(primary_jama_2024_6063_domain,MATCH($A12,primary_jama_2024_6063_key,0)),$E12)="protocol_report"))),L12&lt;&gt;"",L12&lt;&gt;"not_applicable")</formula>
    </cfRule>
    <cfRule type="expression" priority="150" dxfId="1">
      <formula>OR(AND(IF($D12="",INDEX(primary_jama_2024_6063_disposition,MATCH($A12,primary_jama_2024_6063_key,0)),$D12)&lt;&gt;"",IF($D12="",INDEX(primary_jama_2024_6063_disposition,MATCH($A12,primary_jama_2024_6063_key,0)),$D12)&lt;&gt;"retain"),NOT(OR(IF($E12="",INDEX(primary_jama_2024_6063_domain,MATCH($A12,primary_jama_2024_6063_key,0)),$E12)="protocol_report")))</formula>
    </cfRule>
  </conditionalFormatting>
  <conditionalFormatting sqref="L13">
    <cfRule type="expression" priority="151" dxfId="0" stopIfTrue="1">
      <formula>AND(OR(AND(IF($D13="",INDEX(primary_jama_2024_6063_disposition,MATCH($A13,primary_jama_2024_6063_key,0)),$D13)&lt;&gt;"",IF($D13="",INDEX(primary_jama_2024_6063_disposition,MATCH($A13,primary_jama_2024_6063_key,0)),$D13)&lt;&gt;"retain"),NOT(OR(IF($E13="",INDEX(primary_jama_2024_6063_domain,MATCH($A13,primary_jama_2024_6063_key,0)),$E13)="protocol_report"))),L13&lt;&gt;"",L13&lt;&gt;"not_applicable")</formula>
    </cfRule>
    <cfRule type="expression" priority="152" dxfId="1">
      <formula>OR(AND(IF($D13="",INDEX(primary_jama_2024_6063_disposition,MATCH($A13,primary_jama_2024_6063_key,0)),$D13)&lt;&gt;"",IF($D13="",INDEX(primary_jama_2024_6063_disposition,MATCH($A13,primary_jama_2024_6063_key,0)),$D13)&lt;&gt;"retain"),NOT(OR(IF($E13="",INDEX(primary_jama_2024_6063_domain,MATCH($A13,primary_jama_2024_6063_key,0)),$E13)="protocol_report")))</formula>
    </cfRule>
  </conditionalFormatting>
  <conditionalFormatting sqref="L14">
    <cfRule type="expression" priority="153" dxfId="0" stopIfTrue="1">
      <formula>AND(OR(AND(IF($D14="",INDEX(primary_jama_2024_6063_disposition,MATCH($A14,primary_jama_2024_6063_key,0)),$D14)&lt;&gt;"",IF($D14="",INDEX(primary_jama_2024_6063_disposition,MATCH($A14,primary_jama_2024_6063_key,0)),$D14)&lt;&gt;"retain"),NOT(OR(IF($E14="",INDEX(primary_jama_2024_6063_domain,MATCH($A14,primary_jama_2024_6063_key,0)),$E14)="protocol_report"))),L14&lt;&gt;"",L14&lt;&gt;"not_applicable")</formula>
    </cfRule>
    <cfRule type="expression" priority="154" dxfId="1">
      <formula>OR(AND(IF($D14="",INDEX(primary_jama_2024_6063_disposition,MATCH($A14,primary_jama_2024_6063_key,0)),$D14)&lt;&gt;"",IF($D14="",INDEX(primary_jama_2024_6063_disposition,MATCH($A14,primary_jama_2024_6063_key,0)),$D14)&lt;&gt;"retain"),NOT(OR(IF($E14="",INDEX(primary_jama_2024_6063_domain,MATCH($A14,primary_jama_2024_6063_key,0)),$E14)="protocol_report")))</formula>
    </cfRule>
  </conditionalFormatting>
  <conditionalFormatting sqref="L15">
    <cfRule type="expression" priority="155" dxfId="0" stopIfTrue="1">
      <formula>AND(OR(AND(IF($D15="",INDEX(primary_jama_2024_6063_disposition,MATCH($A15,primary_jama_2024_6063_key,0)),$D15)&lt;&gt;"",IF($D15="",INDEX(primary_jama_2024_6063_disposition,MATCH($A15,primary_jama_2024_6063_key,0)),$D15)&lt;&gt;"retain"),NOT(OR(IF($E15="",INDEX(primary_jama_2024_6063_domain,MATCH($A15,primary_jama_2024_6063_key,0)),$E15)="protocol_report"))),L15&lt;&gt;"",L15&lt;&gt;"not_applicable")</formula>
    </cfRule>
    <cfRule type="expression" priority="156" dxfId="1">
      <formula>OR(AND(IF($D15="",INDEX(primary_jama_2024_6063_disposition,MATCH($A15,primary_jama_2024_6063_key,0)),$D15)&lt;&gt;"",IF($D15="",INDEX(primary_jama_2024_6063_disposition,MATCH($A15,primary_jama_2024_6063_key,0)),$D15)&lt;&gt;"retain"),NOT(OR(IF($E15="",INDEX(primary_jama_2024_6063_domain,MATCH($A15,primary_jama_2024_6063_key,0)),$E15)="protocol_report")))</formula>
    </cfRule>
  </conditionalFormatting>
  <conditionalFormatting sqref="L16">
    <cfRule type="expression" priority="157" dxfId="0" stopIfTrue="1">
      <formula>AND(OR(AND(IF($D16="",INDEX(primary_jama_2024_6063_disposition,MATCH($A16,primary_jama_2024_6063_key,0)),$D16)&lt;&gt;"",IF($D16="",INDEX(primary_jama_2024_6063_disposition,MATCH($A16,primary_jama_2024_6063_key,0)),$D16)&lt;&gt;"retain"),NOT(OR(IF($E16="",INDEX(primary_jama_2024_6063_domain,MATCH($A16,primary_jama_2024_6063_key,0)),$E16)="protocol_report"))),L16&lt;&gt;"",L16&lt;&gt;"not_applicable")</formula>
    </cfRule>
    <cfRule type="expression" priority="158" dxfId="1">
      <formula>OR(AND(IF($D16="",INDEX(primary_jama_2024_6063_disposition,MATCH($A16,primary_jama_2024_6063_key,0)),$D16)&lt;&gt;"",IF($D16="",INDEX(primary_jama_2024_6063_disposition,MATCH($A16,primary_jama_2024_6063_key,0)),$D16)&lt;&gt;"retain"),NOT(OR(IF($E16="",INDEX(primary_jama_2024_6063_domain,MATCH($A16,primary_jama_2024_6063_key,0)),$E16)="protocol_report")))</formula>
    </cfRule>
  </conditionalFormatting>
  <conditionalFormatting sqref="L17">
    <cfRule type="expression" priority="159" dxfId="0" stopIfTrue="1">
      <formula>AND(OR(AND(IF($D17="",INDEX(primary_jama_2024_6063_disposition,MATCH($A17,primary_jama_2024_6063_key,0)),$D17)&lt;&gt;"",IF($D17="",INDEX(primary_jama_2024_6063_disposition,MATCH($A17,primary_jama_2024_6063_key,0)),$D17)&lt;&gt;"retain"),NOT(OR(IF($E17="",INDEX(primary_jama_2024_6063_domain,MATCH($A17,primary_jama_2024_6063_key,0)),$E17)="protocol_report"))),L17&lt;&gt;"",L17&lt;&gt;"not_applicable")</formula>
    </cfRule>
    <cfRule type="expression" priority="160" dxfId="1">
      <formula>OR(AND(IF($D17="",INDEX(primary_jama_2024_6063_disposition,MATCH($A17,primary_jama_2024_6063_key,0)),$D17)&lt;&gt;"",IF($D17="",INDEX(primary_jama_2024_6063_disposition,MATCH($A17,primary_jama_2024_6063_key,0)),$D17)&lt;&gt;"retain"),NOT(OR(IF($E17="",INDEX(primary_jama_2024_6063_domain,MATCH($A17,primary_jama_2024_6063_key,0)),$E17)="protocol_report")))</formula>
    </cfRule>
  </conditionalFormatting>
  <dataValidations count="10">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7" showDropDown="0" showInputMessage="1" showErrorMessage="1" allowBlank="1" errorTitle="Invalid option" error="Choose a listed value." promptTitle="Checker result" prompt="See Codebook for meanings." type="list" errorStyle="stop">
      <formula1>opt_checkStatus</formula1>
    </dataValidation>
    <dataValidation sqref="Q2:Q1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internal_nonstatistical</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internal_nonstatistical</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internal_nonstatistical</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internal_nonstatistical</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internal_nonstatistical</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internal_nonstatistical</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internal_nonstatistical</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internal_nonstatistical</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internal_nonstatistical</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internal_nonstatistical</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internal_nonstatistical</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internal_nonstatistical</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internal_nonstatistical</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internal_nonstatistical</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internal_nonstatistical</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internal_nonstatistical</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internal_nonstatistical</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internal_nonstatistical</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internal_nonstatistical</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internal_nonstatistical</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internal_nonstatistical</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internal_nonstatistical</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internal_nonstatistical</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internal_nonstatistical</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internal_nonstatistical</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internal_nonstatistical</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internal_nonstatistical</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internal_nonstatistical</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internal_nonstatistical</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internal_nonstatistical</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internal_nonstatistical</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internal_nonstatistical</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internal_nonstatistical</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internal_nonstatistical</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internal_nonstatistical</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internal_nonstatistical</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internal_nonstatistical</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internal_nonstatistical</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internal_nonstatistical</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internal_nonstatistical</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internal_nonstatistical</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internal_nonstatistical</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internal_nonstatistical</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internal_nonstatistical</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internal_nonstatistical</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internal_nonstatistical</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internal_nonstatistical</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internal_nonstatistical</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internal_nonstatistical</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Candidate title</t>
        </is>
      </c>
      <c r="B74" s="47" t="inlineStr">
        <is>
          <t>FIELD</t>
        </is>
      </c>
      <c r="C74" s="47" t="inlineStr">
        <is>
          <t>Read only</t>
        </is>
      </c>
      <c r="D74" s="48" t="inlineStr">
        <is>
          <t>Short candidate title. A candidate is an AI flag for human assessment, not a confirmed error.</t>
        </is>
      </c>
      <c r="E74" s="47" t="inlineStr">
        <is>
          <t>title</t>
        </is>
      </c>
    </row>
    <row r="75" ht="90" customHeight="1">
      <c r="A75" s="47" t="inlineStr">
        <is>
          <t>Source location</t>
        </is>
      </c>
      <c r="B75" s="47" t="inlineStr">
        <is>
          <t>FIELD</t>
        </is>
      </c>
      <c r="C75" s="47" t="inlineStr">
        <is>
          <t>Read only; both roles</t>
        </is>
      </c>
      <c r="D75" s="48" t="inlineStr">
        <is>
          <t>Where to check the source claim. Both Primary and Checker show this column in the same position. Use Candidates and Evidence for context and the shared paper folders for originals.</t>
        </is>
      </c>
      <c r="E75" s="47" t="inlineStr">
        <is>
          <t>locations</t>
        </is>
      </c>
    </row>
    <row r="76" ht="90" customHeight="1">
      <c r="A76" s="47" t="inlineStr">
        <is>
          <t>Primary assessment (read only)</t>
        </is>
      </c>
      <c r="B76" s="47" t="inlineStr">
        <is>
          <t>FIELD</t>
        </is>
      </c>
      <c r="C76" s="47" t="inlineStr">
        <is>
          <t>Read only; Checker</t>
        </is>
      </c>
      <c r="D76" s="48"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checker_template</t>
        </is>
      </c>
    </row>
    <row r="5" ht="30" customHeight="1">
      <c r="A5" s="3" t="inlineStr">
        <is>
          <t>year</t>
        </is>
      </c>
      <c r="B5" s="3" t="inlineStr">
        <is>
          <t>2024</t>
        </is>
      </c>
    </row>
    <row r="6" ht="30" customHeight="1">
      <c r="A6" s="2" t="inlineStr">
        <is>
          <t>createdAt</t>
        </is>
      </c>
      <c r="B6" s="2" t="inlineStr">
        <is>
          <t>2026-09-13T23:51:56+00:00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a0a4ef543b31b76fc0e34ffbd0f71c3d40bca2760c4b4f087f004c788961d2d5</t>
        </is>
      </c>
    </row>
    <row r="9" ht="30" customHeight="1">
      <c r="A9" s="3" t="inlineStr">
        <is>
          <t>primarySignature</t>
        </is>
      </c>
      <c r="B9" s="3" t="inlineStr">
        <is>
          <t>28930200556ef224547622f06e528261db8da1045c9d3e3f8718dc2be62ac30f</t>
        </is>
      </c>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K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ht="40" customHeight="1">
      <c r="A1" s="1" t="inlineStr">
        <is>
          <t>key</t>
        </is>
      </c>
      <c r="B1" s="1" t="inlineStr">
        <is>
          <t>disposition</t>
        </is>
      </c>
      <c r="C1" s="1" t="inlineStr">
        <is>
          <t>domain</t>
        </is>
      </c>
      <c r="D1" s="1" t="inlineStr">
        <is>
          <t>statisticalErrorStatus</t>
        </is>
      </c>
      <c r="E1" s="1" t="inlineStr">
        <is>
          <t>substantiveStatus</t>
        </is>
      </c>
      <c r="F1" s="1" t="inlineStr">
        <is>
          <t>downstreamImpact</t>
        </is>
      </c>
      <c r="G1" s="1" t="inlineStr">
        <is>
          <t>internalStatus</t>
        </is>
      </c>
      <c r="H1" s="1" t="inlineStr">
        <is>
          <t>protocolInterpretation</t>
        </is>
      </c>
      <c r="I1" s="1" t="inlineStr">
        <is>
          <t>relatedClusterId</t>
        </is>
      </c>
      <c r="J1" s="1" t="inlineStr">
        <is>
          <t>notes</t>
        </is>
      </c>
      <c r="K1" s="1" t="inlineStr">
        <is>
          <t>reviewComplete</t>
        </is>
      </c>
    </row>
    <row r="2" ht="40" customHeight="1">
      <c r="A2" s="2" t="inlineStr">
        <is>
          <t>2024::jama.2024.0318::C001</t>
        </is>
      </c>
      <c r="B2" s="2" t="inlineStr"/>
      <c r="C2" s="2" t="inlineStr">
        <is>
          <t>statistical_results</t>
        </is>
      </c>
      <c r="D2" s="2" t="inlineStr"/>
      <c r="E2" s="2" t="inlineStr"/>
      <c r="F2" s="2" t="inlineStr"/>
      <c r="G2" s="2" t="inlineStr"/>
      <c r="H2" s="2" t="inlineStr"/>
      <c r="I2" s="2" t="inlineStr"/>
      <c r="J2" s="2" t="inlineStr"/>
      <c r="K2" s="2" t="inlineStr">
        <is>
          <t>no</t>
        </is>
      </c>
    </row>
    <row r="3" ht="40" customHeight="1">
      <c r="A3" s="3" t="inlineStr">
        <is>
          <t>2024::jama.2024.0318::C002</t>
        </is>
      </c>
      <c r="B3" s="3" t="inlineStr"/>
      <c r="C3" s="3" t="inlineStr">
        <is>
          <t>internal_nonstatistical</t>
        </is>
      </c>
      <c r="D3" s="3" t="inlineStr"/>
      <c r="E3" s="3" t="inlineStr"/>
      <c r="F3" s="3" t="inlineStr"/>
      <c r="G3" s="3" t="inlineStr"/>
      <c r="H3" s="3" t="inlineStr"/>
      <c r="I3" s="3" t="inlineStr"/>
      <c r="J3" s="3" t="inlineStr"/>
      <c r="K3" s="3" t="inlineStr">
        <is>
          <t>no</t>
        </is>
      </c>
    </row>
    <row r="4" ht="40" customHeight="1">
      <c r="A4" s="2" t="inlineStr">
        <is>
          <t>2024::jama.2024.0318::C003</t>
        </is>
      </c>
      <c r="B4" s="2" t="inlineStr"/>
      <c r="C4" s="2" t="inlineStr">
        <is>
          <t>internal_nonstatistical</t>
        </is>
      </c>
      <c r="D4" s="2" t="inlineStr"/>
      <c r="E4" s="2" t="inlineStr"/>
      <c r="F4" s="2" t="inlineStr"/>
      <c r="G4" s="2" t="inlineStr"/>
      <c r="H4" s="2" t="inlineStr"/>
      <c r="I4" s="2" t="inlineStr"/>
      <c r="J4" s="2" t="inlineStr"/>
      <c r="K4" s="2" t="inlineStr">
        <is>
          <t>no</t>
        </is>
      </c>
    </row>
    <row r="5" ht="40" customHeight="1">
      <c r="A5" s="3" t="inlineStr">
        <is>
          <t>2024::jama.2024.0318::C004</t>
        </is>
      </c>
      <c r="B5" s="3" t="inlineStr"/>
      <c r="C5" s="3" t="inlineStr">
        <is>
          <t>internal_nonstatistical</t>
        </is>
      </c>
      <c r="D5" s="3" t="inlineStr"/>
      <c r="E5" s="3" t="inlineStr"/>
      <c r="F5" s="3" t="inlineStr"/>
      <c r="G5" s="3" t="inlineStr"/>
      <c r="H5" s="3" t="inlineStr"/>
      <c r="I5" s="3" t="inlineStr"/>
      <c r="J5" s="3" t="inlineStr"/>
      <c r="K5" s="3" t="inlineStr">
        <is>
          <t>no</t>
        </is>
      </c>
    </row>
    <row r="6" ht="40" customHeight="1">
      <c r="A6" s="2" t="inlineStr">
        <is>
          <t>2024::jama.2024.0318::C005</t>
        </is>
      </c>
      <c r="B6" s="2" t="inlineStr"/>
      <c r="C6" s="2" t="inlineStr">
        <is>
          <t>statistical_results</t>
        </is>
      </c>
      <c r="D6" s="2" t="inlineStr"/>
      <c r="E6" s="2" t="inlineStr"/>
      <c r="F6" s="2" t="inlineStr"/>
      <c r="G6" s="2" t="inlineStr"/>
      <c r="H6" s="2" t="inlineStr"/>
      <c r="I6" s="2" t="inlineStr"/>
      <c r="J6" s="2" t="inlineStr"/>
      <c r="K6" s="2" t="inlineStr">
        <is>
          <t>no</t>
        </is>
      </c>
    </row>
    <row r="7" ht="40" customHeight="1">
      <c r="A7" s="3" t="inlineStr">
        <is>
          <t>2024::jama.2024.0318::C006</t>
        </is>
      </c>
      <c r="B7" s="3" t="inlineStr"/>
      <c r="C7" s="3" t="inlineStr">
        <is>
          <t>internal_nonstatistical</t>
        </is>
      </c>
      <c r="D7" s="3" t="inlineStr"/>
      <c r="E7" s="3" t="inlineStr"/>
      <c r="F7" s="3" t="inlineStr"/>
      <c r="G7" s="3" t="inlineStr"/>
      <c r="H7" s="3" t="inlineStr"/>
      <c r="I7" s="3" t="inlineStr"/>
      <c r="J7" s="3" t="inlineStr"/>
      <c r="K7" s="3" t="inlineStr">
        <is>
          <t>no</t>
        </is>
      </c>
    </row>
    <row r="8" ht="40" customHeight="1">
      <c r="A8" s="2" t="inlineStr">
        <is>
          <t>2024::jama.2024.0572::C001</t>
        </is>
      </c>
      <c r="B8" s="2" t="inlineStr"/>
      <c r="C8" s="2" t="inlineStr">
        <is>
          <t>internal_nonstatistical</t>
        </is>
      </c>
      <c r="D8" s="2" t="inlineStr"/>
      <c r="E8" s="2" t="inlineStr"/>
      <c r="F8" s="2" t="inlineStr"/>
      <c r="G8" s="2" t="inlineStr"/>
      <c r="H8" s="2" t="inlineStr"/>
      <c r="I8" s="2" t="inlineStr"/>
      <c r="J8" s="2" t="inlineStr"/>
      <c r="K8" s="2" t="inlineStr">
        <is>
          <t>no</t>
        </is>
      </c>
    </row>
    <row r="9" ht="40" customHeight="1">
      <c r="A9" s="3" t="inlineStr">
        <is>
          <t>2024::jama.2024.0572::C002</t>
        </is>
      </c>
      <c r="B9" s="3" t="inlineStr"/>
      <c r="C9" s="3" t="inlineStr">
        <is>
          <t>internal_nonstatistical</t>
        </is>
      </c>
      <c r="D9" s="3" t="inlineStr"/>
      <c r="E9" s="3" t="inlineStr"/>
      <c r="F9" s="3" t="inlineStr"/>
      <c r="G9" s="3" t="inlineStr"/>
      <c r="H9" s="3" t="inlineStr"/>
      <c r="I9" s="3" t="inlineStr"/>
      <c r="J9" s="3" t="inlineStr"/>
      <c r="K9" s="3" t="inlineStr">
        <is>
          <t>no</t>
        </is>
      </c>
    </row>
    <row r="10" ht="40" customHeight="1">
      <c r="A10" s="2" t="inlineStr">
        <is>
          <t>2024::jama.2024.11057::C001</t>
        </is>
      </c>
      <c r="B10" s="2" t="inlineStr"/>
      <c r="C10" s="2" t="inlineStr">
        <is>
          <t>protocol_report</t>
        </is>
      </c>
      <c r="D10" s="2" t="inlineStr"/>
      <c r="E10" s="2" t="inlineStr"/>
      <c r="F10" s="2" t="inlineStr"/>
      <c r="G10" s="2" t="inlineStr"/>
      <c r="H10" s="2" t="inlineStr"/>
      <c r="I10" s="2" t="inlineStr"/>
      <c r="J10" s="2" t="inlineStr"/>
      <c r="K10" s="2" t="inlineStr">
        <is>
          <t>no</t>
        </is>
      </c>
    </row>
    <row r="11" ht="40" customHeight="1">
      <c r="A11" s="3" t="inlineStr">
        <is>
          <t>2024::jama.2024.11057::C002</t>
        </is>
      </c>
      <c r="B11" s="3" t="inlineStr"/>
      <c r="C11" s="3" t="inlineStr">
        <is>
          <t>internal_nonstatistical</t>
        </is>
      </c>
      <c r="D11" s="3" t="inlineStr"/>
      <c r="E11" s="3" t="inlineStr"/>
      <c r="F11" s="3" t="inlineStr"/>
      <c r="G11" s="3" t="inlineStr"/>
      <c r="H11" s="3" t="inlineStr"/>
      <c r="I11" s="3" t="inlineStr"/>
      <c r="J11" s="3" t="inlineStr"/>
      <c r="K11" s="3" t="inlineStr">
        <is>
          <t>no</t>
        </is>
      </c>
    </row>
    <row r="12" ht="40" customHeight="1">
      <c r="A12" s="2" t="inlineStr">
        <is>
          <t>2024::jama.2024.11057::C003</t>
        </is>
      </c>
      <c r="B12" s="2" t="inlineStr"/>
      <c r="C12" s="2" t="inlineStr">
        <is>
          <t>internal_nonstatistical</t>
        </is>
      </c>
      <c r="D12" s="2" t="inlineStr"/>
      <c r="E12" s="2" t="inlineStr"/>
      <c r="F12" s="2" t="inlineStr"/>
      <c r="G12" s="2" t="inlineStr"/>
      <c r="H12" s="2" t="inlineStr"/>
      <c r="I12" s="2" t="inlineStr"/>
      <c r="J12" s="2" t="inlineStr"/>
      <c r="K12" s="2" t="inlineStr">
        <is>
          <t>no</t>
        </is>
      </c>
    </row>
    <row r="13" ht="40" customHeight="1">
      <c r="A13" s="3" t="inlineStr">
        <is>
          <t>2024::jama.2024.12829::C001</t>
        </is>
      </c>
      <c r="B13" s="3" t="inlineStr"/>
      <c r="C13" s="3" t="inlineStr">
        <is>
          <t>statistical_results</t>
        </is>
      </c>
      <c r="D13" s="3" t="inlineStr"/>
      <c r="E13" s="3" t="inlineStr"/>
      <c r="F13" s="3" t="inlineStr"/>
      <c r="G13" s="3" t="inlineStr"/>
      <c r="H13" s="3" t="inlineStr"/>
      <c r="I13" s="3" t="inlineStr"/>
      <c r="J13" s="3" t="inlineStr"/>
      <c r="K13" s="3" t="inlineStr">
        <is>
          <t>no</t>
        </is>
      </c>
    </row>
    <row r="14" ht="40" customHeight="1">
      <c r="A14" s="2" t="inlineStr">
        <is>
          <t>2024::jama.2024.12829::C002</t>
        </is>
      </c>
      <c r="B14" s="2" t="inlineStr"/>
      <c r="C14" s="2" t="inlineStr">
        <is>
          <t>statistical_results</t>
        </is>
      </c>
      <c r="D14" s="2" t="inlineStr"/>
      <c r="E14" s="2" t="inlineStr"/>
      <c r="F14" s="2" t="inlineStr"/>
      <c r="G14" s="2" t="inlineStr"/>
      <c r="H14" s="2" t="inlineStr"/>
      <c r="I14" s="2" t="inlineStr"/>
      <c r="J14" s="2" t="inlineStr"/>
      <c r="K14" s="2" t="inlineStr">
        <is>
          <t>no</t>
        </is>
      </c>
    </row>
    <row r="15" ht="40" customHeight="1">
      <c r="A15" s="3" t="inlineStr">
        <is>
          <t>2024::jama.2024.12829::C003</t>
        </is>
      </c>
      <c r="B15" s="3" t="inlineStr"/>
      <c r="C15" s="3" t="inlineStr">
        <is>
          <t>statistical_results</t>
        </is>
      </c>
      <c r="D15" s="3" t="inlineStr"/>
      <c r="E15" s="3" t="inlineStr"/>
      <c r="F15" s="3" t="inlineStr"/>
      <c r="G15" s="3" t="inlineStr"/>
      <c r="H15" s="3" t="inlineStr"/>
      <c r="I15" s="3" t="inlineStr"/>
      <c r="J15" s="3" t="inlineStr"/>
      <c r="K15" s="3" t="inlineStr">
        <is>
          <t>no</t>
        </is>
      </c>
    </row>
    <row r="16" ht="40" customHeight="1">
      <c r="A16" s="2" t="inlineStr">
        <is>
          <t>2024::jama.2024.12829::C004</t>
        </is>
      </c>
      <c r="B16" s="2" t="inlineStr"/>
      <c r="C16" s="2" t="inlineStr">
        <is>
          <t>statistical_results</t>
        </is>
      </c>
      <c r="D16" s="2" t="inlineStr"/>
      <c r="E16" s="2" t="inlineStr"/>
      <c r="F16" s="2" t="inlineStr"/>
      <c r="G16" s="2" t="inlineStr"/>
      <c r="H16" s="2" t="inlineStr"/>
      <c r="I16" s="2" t="inlineStr"/>
      <c r="J16" s="2" t="inlineStr"/>
      <c r="K16" s="2" t="inlineStr">
        <is>
          <t>no</t>
        </is>
      </c>
    </row>
    <row r="17" ht="40" customHeight="1">
      <c r="A17" s="3" t="inlineStr">
        <is>
          <t>2024::jama.2024.12829::C005</t>
        </is>
      </c>
      <c r="B17" s="3" t="inlineStr"/>
      <c r="C17" s="3" t="inlineStr">
        <is>
          <t>statistical_results</t>
        </is>
      </c>
      <c r="D17" s="3" t="inlineStr"/>
      <c r="E17" s="3" t="inlineStr"/>
      <c r="F17" s="3" t="inlineStr"/>
      <c r="G17" s="3" t="inlineStr"/>
      <c r="H17" s="3" t="inlineStr"/>
      <c r="I17" s="3" t="inlineStr"/>
      <c r="J17" s="3" t="inlineStr"/>
      <c r="K17" s="3" t="inlineStr">
        <is>
          <t>no</t>
        </is>
      </c>
    </row>
    <row r="18" ht="40" customHeight="1">
      <c r="A18" s="2" t="inlineStr">
        <is>
          <t>2024::jama.2024.12829::C006</t>
        </is>
      </c>
      <c r="B18" s="2" t="inlineStr"/>
      <c r="C18" s="2" t="inlineStr">
        <is>
          <t>statistical_results</t>
        </is>
      </c>
      <c r="D18" s="2" t="inlineStr"/>
      <c r="E18" s="2" t="inlineStr"/>
      <c r="F18" s="2" t="inlineStr"/>
      <c r="G18" s="2" t="inlineStr"/>
      <c r="H18" s="2" t="inlineStr"/>
      <c r="I18" s="2" t="inlineStr"/>
      <c r="J18" s="2" t="inlineStr"/>
      <c r="K18" s="2" t="inlineStr">
        <is>
          <t>no</t>
        </is>
      </c>
    </row>
    <row r="19" ht="40" customHeight="1">
      <c r="A19" s="3" t="inlineStr">
        <is>
          <t>2024::jama.2024.12829::C007</t>
        </is>
      </c>
      <c r="B19" s="3" t="inlineStr"/>
      <c r="C19" s="3" t="inlineStr">
        <is>
          <t>statistical_results</t>
        </is>
      </c>
      <c r="D19" s="3" t="inlineStr"/>
      <c r="E19" s="3" t="inlineStr"/>
      <c r="F19" s="3" t="inlineStr"/>
      <c r="G19" s="3" t="inlineStr"/>
      <c r="H19" s="3" t="inlineStr"/>
      <c r="I19" s="3" t="inlineStr"/>
      <c r="J19" s="3" t="inlineStr"/>
      <c r="K19" s="3" t="inlineStr">
        <is>
          <t>no</t>
        </is>
      </c>
    </row>
    <row r="20" ht="40" customHeight="1">
      <c r="A20" s="2" t="inlineStr">
        <is>
          <t>2024::jama.2024.12829::C008</t>
        </is>
      </c>
      <c r="B20" s="2" t="inlineStr"/>
      <c r="C20" s="2" t="inlineStr">
        <is>
          <t>statistical_results</t>
        </is>
      </c>
      <c r="D20" s="2" t="inlineStr"/>
      <c r="E20" s="2" t="inlineStr"/>
      <c r="F20" s="2" t="inlineStr"/>
      <c r="G20" s="2" t="inlineStr"/>
      <c r="H20" s="2" t="inlineStr"/>
      <c r="I20" s="2" t="inlineStr"/>
      <c r="J20" s="2" t="inlineStr"/>
      <c r="K20" s="2" t="inlineStr">
        <is>
          <t>no</t>
        </is>
      </c>
    </row>
    <row r="21" ht="40" customHeight="1">
      <c r="A21" s="3" t="inlineStr">
        <is>
          <t>2024::jama.2024.12829::C009</t>
        </is>
      </c>
      <c r="B21" s="3" t="inlineStr"/>
      <c r="C21" s="3" t="inlineStr">
        <is>
          <t>protocol_report</t>
        </is>
      </c>
      <c r="D21" s="3" t="inlineStr"/>
      <c r="E21" s="3" t="inlineStr"/>
      <c r="F21" s="3" t="inlineStr"/>
      <c r="G21" s="3" t="inlineStr"/>
      <c r="H21" s="3" t="inlineStr"/>
      <c r="I21" s="3" t="inlineStr"/>
      <c r="J21" s="3" t="inlineStr"/>
      <c r="K21" s="3" t="inlineStr">
        <is>
          <t>no</t>
        </is>
      </c>
    </row>
    <row r="22" ht="40" customHeight="1">
      <c r="A22" s="2" t="inlineStr">
        <is>
          <t>2024::jama.2024.12829::C010</t>
        </is>
      </c>
      <c r="B22" s="2" t="inlineStr"/>
      <c r="C22" s="2" t="inlineStr">
        <is>
          <t>plan_material</t>
        </is>
      </c>
      <c r="D22" s="2" t="inlineStr"/>
      <c r="E22" s="2" t="inlineStr"/>
      <c r="F22" s="2" t="inlineStr"/>
      <c r="G22" s="2" t="inlineStr"/>
      <c r="H22" s="2" t="inlineStr"/>
      <c r="I22" s="2" t="inlineStr"/>
      <c r="J22" s="2" t="inlineStr"/>
      <c r="K22" s="2" t="inlineStr">
        <is>
          <t>no</t>
        </is>
      </c>
    </row>
    <row r="23" ht="40" customHeight="1">
      <c r="A23" s="3" t="inlineStr">
        <is>
          <t>2024::jama.2024.12829::C011</t>
        </is>
      </c>
      <c r="B23" s="3" t="inlineStr"/>
      <c r="C23" s="3" t="inlineStr">
        <is>
          <t>statistical_results</t>
        </is>
      </c>
      <c r="D23" s="3" t="inlineStr"/>
      <c r="E23" s="3" t="inlineStr"/>
      <c r="F23" s="3" t="inlineStr"/>
      <c r="G23" s="3" t="inlineStr"/>
      <c r="H23" s="3" t="inlineStr"/>
      <c r="I23" s="3" t="inlineStr"/>
      <c r="J23" s="3" t="inlineStr"/>
      <c r="K23" s="3" t="inlineStr">
        <is>
          <t>no</t>
        </is>
      </c>
    </row>
    <row r="24" ht="40" customHeight="1">
      <c r="A24" s="2" t="inlineStr">
        <is>
          <t>2024::jama.2024.12829::C012</t>
        </is>
      </c>
      <c r="B24" s="2" t="inlineStr"/>
      <c r="C24" s="2" t="inlineStr">
        <is>
          <t>internal_nonstatistical</t>
        </is>
      </c>
      <c r="D24" s="2" t="inlineStr"/>
      <c r="E24" s="2" t="inlineStr"/>
      <c r="F24" s="2" t="inlineStr"/>
      <c r="G24" s="2" t="inlineStr"/>
      <c r="H24" s="2" t="inlineStr"/>
      <c r="I24" s="2" t="inlineStr"/>
      <c r="J24" s="2" t="inlineStr"/>
      <c r="K24" s="2" t="inlineStr">
        <is>
          <t>no</t>
        </is>
      </c>
    </row>
    <row r="25" ht="40" customHeight="1">
      <c r="A25" s="3" t="inlineStr">
        <is>
          <t>2024::jama.2024.12829::C013</t>
        </is>
      </c>
      <c r="B25" s="3" t="inlineStr"/>
      <c r="C25" s="3" t="inlineStr">
        <is>
          <t>plan_material</t>
        </is>
      </c>
      <c r="D25" s="3" t="inlineStr"/>
      <c r="E25" s="3" t="inlineStr"/>
      <c r="F25" s="3" t="inlineStr"/>
      <c r="G25" s="3" t="inlineStr"/>
      <c r="H25" s="3" t="inlineStr"/>
      <c r="I25" s="3" t="inlineStr"/>
      <c r="J25" s="3" t="inlineStr"/>
      <c r="K25" s="3" t="inlineStr">
        <is>
          <t>no</t>
        </is>
      </c>
    </row>
    <row r="26" ht="40" customHeight="1">
      <c r="A26" s="2" t="inlineStr">
        <is>
          <t>2024::jama.2024.12829::C014</t>
        </is>
      </c>
      <c r="B26" s="2" t="inlineStr"/>
      <c r="C26" s="2" t="inlineStr">
        <is>
          <t>statistical_results</t>
        </is>
      </c>
      <c r="D26" s="2" t="inlineStr"/>
      <c r="E26" s="2" t="inlineStr"/>
      <c r="F26" s="2" t="inlineStr"/>
      <c r="G26" s="2" t="inlineStr"/>
      <c r="H26" s="2" t="inlineStr"/>
      <c r="I26" s="2" t="inlineStr"/>
      <c r="J26" s="2" t="inlineStr"/>
      <c r="K26" s="2" t="inlineStr">
        <is>
          <t>no</t>
        </is>
      </c>
    </row>
    <row r="27" ht="40" customHeight="1">
      <c r="A27" s="3" t="inlineStr">
        <is>
          <t>2024::jama.2024.12829::C015</t>
        </is>
      </c>
      <c r="B27" s="3" t="inlineStr"/>
      <c r="C27" s="3" t="inlineStr">
        <is>
          <t>internal_nonstatistical</t>
        </is>
      </c>
      <c r="D27" s="3" t="inlineStr"/>
      <c r="E27" s="3" t="inlineStr"/>
      <c r="F27" s="3" t="inlineStr"/>
      <c r="G27" s="3" t="inlineStr"/>
      <c r="H27" s="3" t="inlineStr"/>
      <c r="I27" s="3" t="inlineStr"/>
      <c r="J27" s="3" t="inlineStr"/>
      <c r="K27" s="3" t="inlineStr">
        <is>
          <t>no</t>
        </is>
      </c>
    </row>
    <row r="28" ht="40" customHeight="1">
      <c r="A28" s="2" t="inlineStr">
        <is>
          <t>2024::jama.2024.12829::C016</t>
        </is>
      </c>
      <c r="B28" s="2" t="inlineStr"/>
      <c r="C28" s="2" t="inlineStr">
        <is>
          <t>internal_nonstatistical</t>
        </is>
      </c>
      <c r="D28" s="2" t="inlineStr"/>
      <c r="E28" s="2" t="inlineStr"/>
      <c r="F28" s="2" t="inlineStr"/>
      <c r="G28" s="2" t="inlineStr"/>
      <c r="H28" s="2" t="inlineStr"/>
      <c r="I28" s="2" t="inlineStr"/>
      <c r="J28" s="2" t="inlineStr"/>
      <c r="K28" s="2" t="inlineStr">
        <is>
          <t>no</t>
        </is>
      </c>
    </row>
    <row r="29" ht="40" customHeight="1">
      <c r="A29" s="3" t="inlineStr">
        <is>
          <t>2024::jama.2024.12829::C017</t>
        </is>
      </c>
      <c r="B29" s="3" t="inlineStr"/>
      <c r="C29" s="3" t="inlineStr">
        <is>
          <t>statistical_results</t>
        </is>
      </c>
      <c r="D29" s="3" t="inlineStr"/>
      <c r="E29" s="3" t="inlineStr"/>
      <c r="F29" s="3" t="inlineStr"/>
      <c r="G29" s="3" t="inlineStr"/>
      <c r="H29" s="3" t="inlineStr"/>
      <c r="I29" s="3" t="inlineStr"/>
      <c r="J29" s="3" t="inlineStr"/>
      <c r="K29" s="3" t="inlineStr">
        <is>
          <t>no</t>
        </is>
      </c>
    </row>
    <row r="30" ht="40" customHeight="1">
      <c r="A30" s="2" t="inlineStr">
        <is>
          <t>2024::jama.2024.19585::C001</t>
        </is>
      </c>
      <c r="B30" s="2" t="inlineStr"/>
      <c r="C30" s="2" t="inlineStr">
        <is>
          <t>statistical_results</t>
        </is>
      </c>
      <c r="D30" s="2" t="inlineStr"/>
      <c r="E30" s="2" t="inlineStr"/>
      <c r="F30" s="2" t="inlineStr"/>
      <c r="G30" s="2" t="inlineStr"/>
      <c r="H30" s="2" t="inlineStr"/>
      <c r="I30" s="2" t="inlineStr"/>
      <c r="J30" s="2" t="inlineStr"/>
      <c r="K30" s="2" t="inlineStr">
        <is>
          <t>no</t>
        </is>
      </c>
    </row>
    <row r="31" ht="40" customHeight="1">
      <c r="A31" s="3" t="inlineStr">
        <is>
          <t>2024::jama.2024.19585::C002</t>
        </is>
      </c>
      <c r="B31" s="3" t="inlineStr"/>
      <c r="C31" s="3" t="inlineStr">
        <is>
          <t>internal_nonstatistical</t>
        </is>
      </c>
      <c r="D31" s="3" t="inlineStr"/>
      <c r="E31" s="3" t="inlineStr"/>
      <c r="F31" s="3" t="inlineStr"/>
      <c r="G31" s="3" t="inlineStr"/>
      <c r="H31" s="3" t="inlineStr"/>
      <c r="I31" s="3" t="inlineStr"/>
      <c r="J31" s="3" t="inlineStr"/>
      <c r="K31" s="3" t="inlineStr">
        <is>
          <t>no</t>
        </is>
      </c>
    </row>
    <row r="32" ht="40" customHeight="1">
      <c r="A32" s="2" t="inlineStr">
        <is>
          <t>2024::jama.2024.19585::C003</t>
        </is>
      </c>
      <c r="B32" s="2" t="inlineStr"/>
      <c r="C32" s="2" t="inlineStr">
        <is>
          <t>internal_nonstatistical</t>
        </is>
      </c>
      <c r="D32" s="2" t="inlineStr"/>
      <c r="E32" s="2" t="inlineStr"/>
      <c r="F32" s="2" t="inlineStr"/>
      <c r="G32" s="2" t="inlineStr"/>
      <c r="H32" s="2" t="inlineStr"/>
      <c r="I32" s="2" t="inlineStr"/>
      <c r="J32" s="2" t="inlineStr"/>
      <c r="K32" s="2" t="inlineStr">
        <is>
          <t>no</t>
        </is>
      </c>
    </row>
    <row r="33" ht="40" customHeight="1">
      <c r="A33" s="3" t="inlineStr">
        <is>
          <t>2024::jama.2024.2302::C001</t>
        </is>
      </c>
      <c r="B33" s="3" t="inlineStr"/>
      <c r="C33" s="3" t="inlineStr">
        <is>
          <t>protocol_report</t>
        </is>
      </c>
      <c r="D33" s="3" t="inlineStr"/>
      <c r="E33" s="3" t="inlineStr"/>
      <c r="F33" s="3" t="inlineStr"/>
      <c r="G33" s="3" t="inlineStr"/>
      <c r="H33" s="3" t="inlineStr"/>
      <c r="I33" s="3" t="inlineStr"/>
      <c r="J33" s="3" t="inlineStr"/>
      <c r="K33" s="3" t="inlineStr">
        <is>
          <t>no</t>
        </is>
      </c>
    </row>
    <row r="34" ht="40" customHeight="1">
      <c r="A34" s="2" t="inlineStr">
        <is>
          <t>2024::jama.2024.2302::C002</t>
        </is>
      </c>
      <c r="B34" s="2" t="inlineStr"/>
      <c r="C34" s="2" t="inlineStr">
        <is>
          <t>plan_material</t>
        </is>
      </c>
      <c r="D34" s="2" t="inlineStr"/>
      <c r="E34" s="2" t="inlineStr"/>
      <c r="F34" s="2" t="inlineStr"/>
      <c r="G34" s="2" t="inlineStr"/>
      <c r="H34" s="2" t="inlineStr"/>
      <c r="I34" s="2" t="inlineStr"/>
      <c r="J34" s="2" t="inlineStr"/>
      <c r="K34" s="2" t="inlineStr">
        <is>
          <t>no</t>
        </is>
      </c>
    </row>
    <row r="35" ht="40" customHeight="1">
      <c r="A35" s="3" t="inlineStr">
        <is>
          <t>2024::jama.2024.2302::C003</t>
        </is>
      </c>
      <c r="B35" s="3" t="inlineStr"/>
      <c r="C35" s="3" t="inlineStr">
        <is>
          <t>protocol_report</t>
        </is>
      </c>
      <c r="D35" s="3" t="inlineStr"/>
      <c r="E35" s="3" t="inlineStr"/>
      <c r="F35" s="3" t="inlineStr"/>
      <c r="G35" s="3" t="inlineStr"/>
      <c r="H35" s="3" t="inlineStr"/>
      <c r="I35" s="3" t="inlineStr"/>
      <c r="J35" s="3" t="inlineStr"/>
      <c r="K35" s="3" t="inlineStr">
        <is>
          <t>no</t>
        </is>
      </c>
    </row>
    <row r="36" ht="40" customHeight="1">
      <c r="A36" s="2" t="inlineStr">
        <is>
          <t>2024::jama.2024.2302::C004</t>
        </is>
      </c>
      <c r="B36" s="2" t="inlineStr"/>
      <c r="C36" s="2" t="inlineStr">
        <is>
          <t>protocol_report</t>
        </is>
      </c>
      <c r="D36" s="2" t="inlineStr"/>
      <c r="E36" s="2" t="inlineStr"/>
      <c r="F36" s="2" t="inlineStr"/>
      <c r="G36" s="2" t="inlineStr"/>
      <c r="H36" s="2" t="inlineStr"/>
      <c r="I36" s="2" t="inlineStr"/>
      <c r="J36" s="2" t="inlineStr"/>
      <c r="K36" s="2" t="inlineStr">
        <is>
          <t>no</t>
        </is>
      </c>
    </row>
    <row r="37" ht="40" customHeight="1">
      <c r="A37" s="3" t="inlineStr">
        <is>
          <t>2024::jama.2024.2302::C005</t>
        </is>
      </c>
      <c r="B37" s="3" t="inlineStr"/>
      <c r="C37" s="3" t="inlineStr">
        <is>
          <t>protocol_report</t>
        </is>
      </c>
      <c r="D37" s="3" t="inlineStr"/>
      <c r="E37" s="3" t="inlineStr"/>
      <c r="F37" s="3" t="inlineStr"/>
      <c r="G37" s="3" t="inlineStr"/>
      <c r="H37" s="3" t="inlineStr"/>
      <c r="I37" s="3" t="inlineStr"/>
      <c r="J37" s="3" t="inlineStr"/>
      <c r="K37" s="3" t="inlineStr">
        <is>
          <t>no</t>
        </is>
      </c>
    </row>
    <row r="38" ht="40" customHeight="1">
      <c r="A38" s="2" t="inlineStr">
        <is>
          <t>2024::jama.2024.23898::C001</t>
        </is>
      </c>
      <c r="B38" s="2" t="inlineStr"/>
      <c r="C38" s="2" t="inlineStr">
        <is>
          <t>protocol_report</t>
        </is>
      </c>
      <c r="D38" s="2" t="inlineStr"/>
      <c r="E38" s="2" t="inlineStr"/>
      <c r="F38" s="2" t="inlineStr"/>
      <c r="G38" s="2" t="inlineStr"/>
      <c r="H38" s="2" t="inlineStr"/>
      <c r="I38" s="2" t="inlineStr"/>
      <c r="J38" s="2" t="inlineStr"/>
      <c r="K38" s="2" t="inlineStr">
        <is>
          <t>no</t>
        </is>
      </c>
    </row>
    <row r="39" ht="40" customHeight="1">
      <c r="A39" s="3" t="inlineStr">
        <is>
          <t>2024::jama.2024.23898::C002</t>
        </is>
      </c>
      <c r="B39" s="3" t="inlineStr"/>
      <c r="C39" s="3" t="inlineStr">
        <is>
          <t>protocol_report</t>
        </is>
      </c>
      <c r="D39" s="3" t="inlineStr"/>
      <c r="E39" s="3" t="inlineStr"/>
      <c r="F39" s="3" t="inlineStr"/>
      <c r="G39" s="3" t="inlineStr"/>
      <c r="H39" s="3" t="inlineStr"/>
      <c r="I39" s="3" t="inlineStr"/>
      <c r="J39" s="3" t="inlineStr"/>
      <c r="K39" s="3" t="inlineStr">
        <is>
          <t>no</t>
        </is>
      </c>
    </row>
    <row r="40" ht="40" customHeight="1">
      <c r="A40" s="2" t="inlineStr">
        <is>
          <t>2024::jama.2024.23898::C003</t>
        </is>
      </c>
      <c r="B40" s="2" t="inlineStr"/>
      <c r="C40" s="2" t="inlineStr">
        <is>
          <t>protocol_report</t>
        </is>
      </c>
      <c r="D40" s="2" t="inlineStr"/>
      <c r="E40" s="2" t="inlineStr"/>
      <c r="F40" s="2" t="inlineStr"/>
      <c r="G40" s="2" t="inlineStr"/>
      <c r="H40" s="2" t="inlineStr"/>
      <c r="I40" s="2" t="inlineStr"/>
      <c r="J40" s="2" t="inlineStr"/>
      <c r="K40" s="2" t="inlineStr">
        <is>
          <t>no</t>
        </is>
      </c>
    </row>
    <row r="41" ht="40" customHeight="1">
      <c r="A41" s="3" t="inlineStr">
        <is>
          <t>2024::jama.2024.23898::C004</t>
        </is>
      </c>
      <c r="B41" s="3" t="inlineStr"/>
      <c r="C41" s="3" t="inlineStr">
        <is>
          <t>protocol_report</t>
        </is>
      </c>
      <c r="D41" s="3" t="inlineStr"/>
      <c r="E41" s="3" t="inlineStr"/>
      <c r="F41" s="3" t="inlineStr"/>
      <c r="G41" s="3" t="inlineStr"/>
      <c r="H41" s="3" t="inlineStr"/>
      <c r="I41" s="3" t="inlineStr"/>
      <c r="J41" s="3" t="inlineStr"/>
      <c r="K41" s="3" t="inlineStr">
        <is>
          <t>no</t>
        </is>
      </c>
    </row>
    <row r="42" ht="40" customHeight="1">
      <c r="A42" s="2" t="inlineStr">
        <is>
          <t>2024::jama.2024.23898::C005</t>
        </is>
      </c>
      <c r="B42" s="2" t="inlineStr"/>
      <c r="C42" s="2" t="inlineStr">
        <is>
          <t>statistical_results</t>
        </is>
      </c>
      <c r="D42" s="2" t="inlineStr"/>
      <c r="E42" s="2" t="inlineStr"/>
      <c r="F42" s="2" t="inlineStr"/>
      <c r="G42" s="2" t="inlineStr"/>
      <c r="H42" s="2" t="inlineStr"/>
      <c r="I42" s="2" t="inlineStr"/>
      <c r="J42" s="2" t="inlineStr"/>
      <c r="K42" s="2" t="inlineStr">
        <is>
          <t>no</t>
        </is>
      </c>
    </row>
    <row r="43" ht="40" customHeight="1">
      <c r="A43" s="3" t="inlineStr">
        <is>
          <t>2024::jama.2024.23898::C006</t>
        </is>
      </c>
      <c r="B43" s="3" t="inlineStr"/>
      <c r="C43" s="3" t="inlineStr">
        <is>
          <t>statistical_results</t>
        </is>
      </c>
      <c r="D43" s="3" t="inlineStr"/>
      <c r="E43" s="3" t="inlineStr"/>
      <c r="F43" s="3" t="inlineStr"/>
      <c r="G43" s="3" t="inlineStr"/>
      <c r="H43" s="3" t="inlineStr"/>
      <c r="I43" s="3" t="inlineStr"/>
      <c r="J43" s="3" t="inlineStr"/>
      <c r="K43" s="3" t="inlineStr">
        <is>
          <t>no</t>
        </is>
      </c>
    </row>
    <row r="44" ht="40" customHeight="1">
      <c r="A44" s="2" t="inlineStr">
        <is>
          <t>2024::jama.2024.23898::C007</t>
        </is>
      </c>
      <c r="B44" s="2" t="inlineStr"/>
      <c r="C44" s="2" t="inlineStr">
        <is>
          <t>protocol_report</t>
        </is>
      </c>
      <c r="D44" s="2" t="inlineStr"/>
      <c r="E44" s="2" t="inlineStr"/>
      <c r="F44" s="2" t="inlineStr"/>
      <c r="G44" s="2" t="inlineStr"/>
      <c r="H44" s="2" t="inlineStr"/>
      <c r="I44" s="2" t="inlineStr"/>
      <c r="J44" s="2" t="inlineStr"/>
      <c r="K44" s="2" t="inlineStr">
        <is>
          <t>no</t>
        </is>
      </c>
    </row>
    <row r="45" ht="40" customHeight="1">
      <c r="A45" s="3" t="inlineStr">
        <is>
          <t>2024::jama.2024.25786::C001</t>
        </is>
      </c>
      <c r="B45" s="3" t="inlineStr"/>
      <c r="C45" s="3" t="inlineStr">
        <is>
          <t>statistical_results</t>
        </is>
      </c>
      <c r="D45" s="3" t="inlineStr"/>
      <c r="E45" s="3" t="inlineStr"/>
      <c r="F45" s="3" t="inlineStr"/>
      <c r="G45" s="3" t="inlineStr"/>
      <c r="H45" s="3" t="inlineStr"/>
      <c r="I45" s="3" t="inlineStr"/>
      <c r="J45" s="3" t="inlineStr"/>
      <c r="K45" s="3" t="inlineStr">
        <is>
          <t>no</t>
        </is>
      </c>
    </row>
    <row r="46" ht="40" customHeight="1">
      <c r="A46" s="2" t="inlineStr">
        <is>
          <t>2024::jama.2024.25786::C002</t>
        </is>
      </c>
      <c r="B46" s="2" t="inlineStr"/>
      <c r="C46" s="2" t="inlineStr">
        <is>
          <t>statistical_results</t>
        </is>
      </c>
      <c r="D46" s="2" t="inlineStr"/>
      <c r="E46" s="2" t="inlineStr"/>
      <c r="F46" s="2" t="inlineStr"/>
      <c r="G46" s="2" t="inlineStr"/>
      <c r="H46" s="2" t="inlineStr"/>
      <c r="I46" s="2" t="inlineStr"/>
      <c r="J46" s="2" t="inlineStr"/>
      <c r="K46" s="2" t="inlineStr">
        <is>
          <t>no</t>
        </is>
      </c>
    </row>
    <row r="47" ht="40" customHeight="1">
      <c r="A47" s="3" t="inlineStr">
        <is>
          <t>2024::jama.2024.25786::C003</t>
        </is>
      </c>
      <c r="B47" s="3" t="inlineStr"/>
      <c r="C47" s="3" t="inlineStr">
        <is>
          <t>internal_nonstatistical</t>
        </is>
      </c>
      <c r="D47" s="3" t="inlineStr"/>
      <c r="E47" s="3" t="inlineStr"/>
      <c r="F47" s="3" t="inlineStr"/>
      <c r="G47" s="3" t="inlineStr"/>
      <c r="H47" s="3" t="inlineStr"/>
      <c r="I47" s="3" t="inlineStr"/>
      <c r="J47" s="3" t="inlineStr"/>
      <c r="K47" s="3" t="inlineStr">
        <is>
          <t>no</t>
        </is>
      </c>
    </row>
    <row r="48" ht="40" customHeight="1">
      <c r="A48" s="2" t="inlineStr">
        <is>
          <t>2024::jama.2024.25786::C004</t>
        </is>
      </c>
      <c r="B48" s="2" t="inlineStr"/>
      <c r="C48" s="2" t="inlineStr">
        <is>
          <t>internal_nonstatistical</t>
        </is>
      </c>
      <c r="D48" s="2" t="inlineStr"/>
      <c r="E48" s="2" t="inlineStr"/>
      <c r="F48" s="2" t="inlineStr"/>
      <c r="G48" s="2" t="inlineStr"/>
      <c r="H48" s="2" t="inlineStr"/>
      <c r="I48" s="2" t="inlineStr"/>
      <c r="J48" s="2" t="inlineStr"/>
      <c r="K48" s="2" t="inlineStr">
        <is>
          <t>no</t>
        </is>
      </c>
    </row>
    <row r="49" ht="40" customHeight="1">
      <c r="A49" s="3" t="inlineStr">
        <is>
          <t>2024::jama.2024.25786::C005</t>
        </is>
      </c>
      <c r="B49" s="3" t="inlineStr"/>
      <c r="C49" s="3" t="inlineStr">
        <is>
          <t>internal_nonstatistical</t>
        </is>
      </c>
      <c r="D49" s="3" t="inlineStr"/>
      <c r="E49" s="3" t="inlineStr"/>
      <c r="F49" s="3" t="inlineStr"/>
      <c r="G49" s="3" t="inlineStr"/>
      <c r="H49" s="3" t="inlineStr"/>
      <c r="I49" s="3" t="inlineStr"/>
      <c r="J49" s="3" t="inlineStr"/>
      <c r="K49" s="3" t="inlineStr">
        <is>
          <t>no</t>
        </is>
      </c>
    </row>
    <row r="50" ht="40" customHeight="1">
      <c r="A50" s="2" t="inlineStr">
        <is>
          <t>2024::jama.2024.25786::C006</t>
        </is>
      </c>
      <c r="B50" s="2" t="inlineStr"/>
      <c r="C50" s="2" t="inlineStr">
        <is>
          <t>internal_nonstatistical</t>
        </is>
      </c>
      <c r="D50" s="2" t="inlineStr"/>
      <c r="E50" s="2" t="inlineStr"/>
      <c r="F50" s="2" t="inlineStr"/>
      <c r="G50" s="2" t="inlineStr"/>
      <c r="H50" s="2" t="inlineStr"/>
      <c r="I50" s="2" t="inlineStr"/>
      <c r="J50" s="2" t="inlineStr"/>
      <c r="K50" s="2" t="inlineStr">
        <is>
          <t>no</t>
        </is>
      </c>
    </row>
    <row r="51" ht="40" customHeight="1">
      <c r="A51" s="3" t="inlineStr">
        <is>
          <t>2024::jama.2024.25786::C007</t>
        </is>
      </c>
      <c r="B51" s="3" t="inlineStr"/>
      <c r="C51" s="3" t="inlineStr">
        <is>
          <t>statistical_results</t>
        </is>
      </c>
      <c r="D51" s="3" t="inlineStr"/>
      <c r="E51" s="3" t="inlineStr"/>
      <c r="F51" s="3" t="inlineStr"/>
      <c r="G51" s="3" t="inlineStr"/>
      <c r="H51" s="3" t="inlineStr"/>
      <c r="I51" s="3" t="inlineStr"/>
      <c r="J51" s="3" t="inlineStr"/>
      <c r="K51" s="3" t="inlineStr">
        <is>
          <t>no</t>
        </is>
      </c>
    </row>
    <row r="52" ht="40" customHeight="1">
      <c r="A52" s="2" t="inlineStr">
        <is>
          <t>2024::jama.2024.25786::C008</t>
        </is>
      </c>
      <c r="B52" s="2" t="inlineStr"/>
      <c r="C52" s="2" t="inlineStr">
        <is>
          <t>internal_nonstatistical</t>
        </is>
      </c>
      <c r="D52" s="2" t="inlineStr"/>
      <c r="E52" s="2" t="inlineStr"/>
      <c r="F52" s="2" t="inlineStr"/>
      <c r="G52" s="2" t="inlineStr"/>
      <c r="H52" s="2" t="inlineStr"/>
      <c r="I52" s="2" t="inlineStr"/>
      <c r="J52" s="2" t="inlineStr"/>
      <c r="K52" s="2" t="inlineStr">
        <is>
          <t>no</t>
        </is>
      </c>
    </row>
    <row r="53" ht="40" customHeight="1">
      <c r="A53" s="3" t="inlineStr">
        <is>
          <t>2024::jama.2024.4183::C001</t>
        </is>
      </c>
      <c r="B53" s="3" t="inlineStr"/>
      <c r="C53" s="3" t="inlineStr">
        <is>
          <t>statistical_results</t>
        </is>
      </c>
      <c r="D53" s="3" t="inlineStr"/>
      <c r="E53" s="3" t="inlineStr"/>
      <c r="F53" s="3" t="inlineStr"/>
      <c r="G53" s="3" t="inlineStr"/>
      <c r="H53" s="3" t="inlineStr"/>
      <c r="I53" s="3" t="inlineStr"/>
      <c r="J53" s="3" t="inlineStr"/>
      <c r="K53" s="3" t="inlineStr">
        <is>
          <t>no</t>
        </is>
      </c>
    </row>
    <row r="54" ht="40" customHeight="1">
      <c r="A54" s="2" t="inlineStr">
        <is>
          <t>2024::jama.2024.4183::C002</t>
        </is>
      </c>
      <c r="B54" s="2" t="inlineStr"/>
      <c r="C54" s="2" t="inlineStr">
        <is>
          <t>statistical_results</t>
        </is>
      </c>
      <c r="D54" s="2" t="inlineStr"/>
      <c r="E54" s="2" t="inlineStr"/>
      <c r="F54" s="2" t="inlineStr"/>
      <c r="G54" s="2" t="inlineStr"/>
      <c r="H54" s="2" t="inlineStr"/>
      <c r="I54" s="2" t="inlineStr"/>
      <c r="J54" s="2" t="inlineStr"/>
      <c r="K54" s="2" t="inlineStr">
        <is>
          <t>no</t>
        </is>
      </c>
    </row>
    <row r="55" ht="40" customHeight="1">
      <c r="A55" s="3" t="inlineStr">
        <is>
          <t>2024::jama.2024.4183::C003</t>
        </is>
      </c>
      <c r="B55" s="3" t="inlineStr"/>
      <c r="C55" s="3" t="inlineStr">
        <is>
          <t>statistical_results</t>
        </is>
      </c>
      <c r="D55" s="3" t="inlineStr"/>
      <c r="E55" s="3" t="inlineStr"/>
      <c r="F55" s="3" t="inlineStr"/>
      <c r="G55" s="3" t="inlineStr"/>
      <c r="H55" s="3" t="inlineStr"/>
      <c r="I55" s="3" t="inlineStr"/>
      <c r="J55" s="3" t="inlineStr"/>
      <c r="K55" s="3" t="inlineStr">
        <is>
          <t>no</t>
        </is>
      </c>
    </row>
    <row r="56" ht="40" customHeight="1">
      <c r="A56" s="2" t="inlineStr">
        <is>
          <t>2024::jama.2024.4183::C004</t>
        </is>
      </c>
      <c r="B56" s="2" t="inlineStr"/>
      <c r="C56" s="2" t="inlineStr">
        <is>
          <t>statistical_results</t>
        </is>
      </c>
      <c r="D56" s="2" t="inlineStr"/>
      <c r="E56" s="2" t="inlineStr"/>
      <c r="F56" s="2" t="inlineStr"/>
      <c r="G56" s="2" t="inlineStr"/>
      <c r="H56" s="2" t="inlineStr"/>
      <c r="I56" s="2" t="inlineStr"/>
      <c r="J56" s="2" t="inlineStr"/>
      <c r="K56" s="2" t="inlineStr">
        <is>
          <t>no</t>
        </is>
      </c>
    </row>
    <row r="57" ht="40" customHeight="1">
      <c r="A57" s="3" t="inlineStr">
        <is>
          <t>2024::jama.2024.4183::C005</t>
        </is>
      </c>
      <c r="B57" s="3" t="inlineStr"/>
      <c r="C57" s="3" t="inlineStr">
        <is>
          <t>statistical_results</t>
        </is>
      </c>
      <c r="D57" s="3" t="inlineStr"/>
      <c r="E57" s="3" t="inlineStr"/>
      <c r="F57" s="3" t="inlineStr"/>
      <c r="G57" s="3" t="inlineStr"/>
      <c r="H57" s="3" t="inlineStr"/>
      <c r="I57" s="3" t="inlineStr"/>
      <c r="J57" s="3" t="inlineStr"/>
      <c r="K57" s="3" t="inlineStr">
        <is>
          <t>no</t>
        </is>
      </c>
    </row>
    <row r="58" ht="40" customHeight="1">
      <c r="A58" s="2" t="inlineStr">
        <is>
          <t>2024::jama.2024.4183::C006</t>
        </is>
      </c>
      <c r="B58" s="2" t="inlineStr"/>
      <c r="C58" s="2" t="inlineStr">
        <is>
          <t>statistical_results</t>
        </is>
      </c>
      <c r="D58" s="2" t="inlineStr"/>
      <c r="E58" s="2" t="inlineStr"/>
      <c r="F58" s="2" t="inlineStr"/>
      <c r="G58" s="2" t="inlineStr"/>
      <c r="H58" s="2" t="inlineStr"/>
      <c r="I58" s="2" t="inlineStr"/>
      <c r="J58" s="2" t="inlineStr"/>
      <c r="K58" s="2" t="inlineStr">
        <is>
          <t>no</t>
        </is>
      </c>
    </row>
    <row r="59" ht="40" customHeight="1">
      <c r="A59" s="3" t="inlineStr">
        <is>
          <t>2024::jama.2024.4183::C007</t>
        </is>
      </c>
      <c r="B59" s="3" t="inlineStr"/>
      <c r="C59" s="3" t="inlineStr">
        <is>
          <t>internal_nonstatistical</t>
        </is>
      </c>
      <c r="D59" s="3" t="inlineStr"/>
      <c r="E59" s="3" t="inlineStr"/>
      <c r="F59" s="3" t="inlineStr"/>
      <c r="G59" s="3" t="inlineStr"/>
      <c r="H59" s="3" t="inlineStr"/>
      <c r="I59" s="3" t="inlineStr"/>
      <c r="J59" s="3" t="inlineStr"/>
      <c r="K59" s="3" t="inlineStr">
        <is>
          <t>no</t>
        </is>
      </c>
    </row>
    <row r="60" ht="40" customHeight="1">
      <c r="A60" s="2" t="inlineStr">
        <is>
          <t>2024::jama.2024.4183::C008</t>
        </is>
      </c>
      <c r="B60" s="2" t="inlineStr"/>
      <c r="C60" s="2" t="inlineStr">
        <is>
          <t>statistical_results</t>
        </is>
      </c>
      <c r="D60" s="2" t="inlineStr"/>
      <c r="E60" s="2" t="inlineStr"/>
      <c r="F60" s="2" t="inlineStr"/>
      <c r="G60" s="2" t="inlineStr"/>
      <c r="H60" s="2" t="inlineStr"/>
      <c r="I60" s="2" t="inlineStr"/>
      <c r="J60" s="2" t="inlineStr"/>
      <c r="K60" s="2" t="inlineStr">
        <is>
          <t>no</t>
        </is>
      </c>
    </row>
    <row r="61" ht="40" customHeight="1">
      <c r="A61" s="3" t="inlineStr">
        <is>
          <t>2024::jama.2024.4183::C009</t>
        </is>
      </c>
      <c r="B61" s="3" t="inlineStr"/>
      <c r="C61" s="3" t="inlineStr">
        <is>
          <t>statistical_results</t>
        </is>
      </c>
      <c r="D61" s="3" t="inlineStr"/>
      <c r="E61" s="3" t="inlineStr"/>
      <c r="F61" s="3" t="inlineStr"/>
      <c r="G61" s="3" t="inlineStr"/>
      <c r="H61" s="3" t="inlineStr"/>
      <c r="I61" s="3" t="inlineStr"/>
      <c r="J61" s="3" t="inlineStr"/>
      <c r="K61" s="3" t="inlineStr">
        <is>
          <t>no</t>
        </is>
      </c>
    </row>
    <row r="62" ht="40" customHeight="1">
      <c r="A62" s="2" t="inlineStr">
        <is>
          <t>2024::jama.2024.4183::C010</t>
        </is>
      </c>
      <c r="B62" s="2" t="inlineStr"/>
      <c r="C62" s="2" t="inlineStr">
        <is>
          <t>plan_material</t>
        </is>
      </c>
      <c r="D62" s="2" t="inlineStr"/>
      <c r="E62" s="2" t="inlineStr"/>
      <c r="F62" s="2" t="inlineStr"/>
      <c r="G62" s="2" t="inlineStr"/>
      <c r="H62" s="2" t="inlineStr"/>
      <c r="I62" s="2" t="inlineStr"/>
      <c r="J62" s="2" t="inlineStr"/>
      <c r="K62" s="2" t="inlineStr">
        <is>
          <t>no</t>
        </is>
      </c>
    </row>
    <row r="63" ht="40" customHeight="1">
      <c r="A63" s="3" t="inlineStr">
        <is>
          <t>2024::jama.2024.4183::C011</t>
        </is>
      </c>
      <c r="B63" s="3" t="inlineStr"/>
      <c r="C63" s="3" t="inlineStr">
        <is>
          <t>plan_material</t>
        </is>
      </c>
      <c r="D63" s="3" t="inlineStr"/>
      <c r="E63" s="3" t="inlineStr"/>
      <c r="F63" s="3" t="inlineStr"/>
      <c r="G63" s="3" t="inlineStr"/>
      <c r="H63" s="3" t="inlineStr"/>
      <c r="I63" s="3" t="inlineStr"/>
      <c r="J63" s="3" t="inlineStr"/>
      <c r="K63" s="3" t="inlineStr">
        <is>
          <t>no</t>
        </is>
      </c>
    </row>
    <row r="64" ht="40" customHeight="1">
      <c r="A64" s="2" t="inlineStr">
        <is>
          <t>2024::jama.2024.4183::C012</t>
        </is>
      </c>
      <c r="B64" s="2" t="inlineStr"/>
      <c r="C64" s="2" t="inlineStr">
        <is>
          <t>plan_material</t>
        </is>
      </c>
      <c r="D64" s="2" t="inlineStr"/>
      <c r="E64" s="2" t="inlineStr"/>
      <c r="F64" s="2" t="inlineStr"/>
      <c r="G64" s="2" t="inlineStr"/>
      <c r="H64" s="2" t="inlineStr"/>
      <c r="I64" s="2" t="inlineStr"/>
      <c r="J64" s="2" t="inlineStr"/>
      <c r="K64" s="2" t="inlineStr">
        <is>
          <t>no</t>
        </is>
      </c>
    </row>
    <row r="65" ht="40" customHeight="1">
      <c r="A65" s="3" t="inlineStr">
        <is>
          <t>2024::jama.2024.4183::C013</t>
        </is>
      </c>
      <c r="B65" s="3" t="inlineStr"/>
      <c r="C65" s="3" t="inlineStr">
        <is>
          <t>internal_nonstatistical</t>
        </is>
      </c>
      <c r="D65" s="3" t="inlineStr"/>
      <c r="E65" s="3" t="inlineStr"/>
      <c r="F65" s="3" t="inlineStr"/>
      <c r="G65" s="3" t="inlineStr"/>
      <c r="H65" s="3" t="inlineStr"/>
      <c r="I65" s="3" t="inlineStr"/>
      <c r="J65" s="3" t="inlineStr"/>
      <c r="K65" s="3" t="inlineStr">
        <is>
          <t>no</t>
        </is>
      </c>
    </row>
    <row r="66" ht="40" customHeight="1">
      <c r="A66" s="2" t="inlineStr">
        <is>
          <t>2024::jama.2024.4183::C014</t>
        </is>
      </c>
      <c r="B66" s="2" t="inlineStr"/>
      <c r="C66" s="2" t="inlineStr">
        <is>
          <t>statistical_results</t>
        </is>
      </c>
      <c r="D66" s="2" t="inlineStr"/>
      <c r="E66" s="2" t="inlineStr"/>
      <c r="F66" s="2" t="inlineStr"/>
      <c r="G66" s="2" t="inlineStr"/>
      <c r="H66" s="2" t="inlineStr"/>
      <c r="I66" s="2" t="inlineStr"/>
      <c r="J66" s="2" t="inlineStr"/>
      <c r="K66" s="2" t="inlineStr">
        <is>
          <t>no</t>
        </is>
      </c>
    </row>
    <row r="67" ht="40" customHeight="1">
      <c r="A67" s="3" t="inlineStr">
        <is>
          <t>2024::jama.2024.4183::C015</t>
        </is>
      </c>
      <c r="B67" s="3" t="inlineStr"/>
      <c r="C67" s="3" t="inlineStr">
        <is>
          <t>statistical_results</t>
        </is>
      </c>
      <c r="D67" s="3" t="inlineStr"/>
      <c r="E67" s="3" t="inlineStr"/>
      <c r="F67" s="3" t="inlineStr"/>
      <c r="G67" s="3" t="inlineStr"/>
      <c r="H67" s="3" t="inlineStr"/>
      <c r="I67" s="3" t="inlineStr"/>
      <c r="J67" s="3" t="inlineStr"/>
      <c r="K67" s="3" t="inlineStr">
        <is>
          <t>no</t>
        </is>
      </c>
    </row>
    <row r="68" ht="40" customHeight="1">
      <c r="A68" s="2" t="inlineStr">
        <is>
          <t>2024::jama.2024.4183::C016</t>
        </is>
      </c>
      <c r="B68" s="2" t="inlineStr"/>
      <c r="C68" s="2" t="inlineStr">
        <is>
          <t>statistical_results</t>
        </is>
      </c>
      <c r="D68" s="2" t="inlineStr"/>
      <c r="E68" s="2" t="inlineStr"/>
      <c r="F68" s="2" t="inlineStr"/>
      <c r="G68" s="2" t="inlineStr"/>
      <c r="H68" s="2" t="inlineStr"/>
      <c r="I68" s="2" t="inlineStr"/>
      <c r="J68" s="2" t="inlineStr"/>
      <c r="K68" s="2" t="inlineStr">
        <is>
          <t>no</t>
        </is>
      </c>
    </row>
    <row r="69" ht="40" customHeight="1">
      <c r="A69" s="3" t="inlineStr">
        <is>
          <t>2024::jama.2024.4183::C017</t>
        </is>
      </c>
      <c r="B69" s="3" t="inlineStr"/>
      <c r="C69" s="3" t="inlineStr">
        <is>
          <t>statistical_results</t>
        </is>
      </c>
      <c r="D69" s="3" t="inlineStr"/>
      <c r="E69" s="3" t="inlineStr"/>
      <c r="F69" s="3" t="inlineStr"/>
      <c r="G69" s="3" t="inlineStr"/>
      <c r="H69" s="3" t="inlineStr"/>
      <c r="I69" s="3" t="inlineStr"/>
      <c r="J69" s="3" t="inlineStr"/>
      <c r="K69" s="3" t="inlineStr">
        <is>
          <t>no</t>
        </is>
      </c>
    </row>
    <row r="70" ht="40" customHeight="1">
      <c r="A70" s="2" t="inlineStr">
        <is>
          <t>2024::jama.2024.4183::C018</t>
        </is>
      </c>
      <c r="B70" s="2" t="inlineStr"/>
      <c r="C70" s="2" t="inlineStr">
        <is>
          <t>statistical_results</t>
        </is>
      </c>
      <c r="D70" s="2" t="inlineStr"/>
      <c r="E70" s="2" t="inlineStr"/>
      <c r="F70" s="2" t="inlineStr"/>
      <c r="G70" s="2" t="inlineStr"/>
      <c r="H70" s="2" t="inlineStr"/>
      <c r="I70" s="2" t="inlineStr"/>
      <c r="J70" s="2" t="inlineStr"/>
      <c r="K70" s="2" t="inlineStr">
        <is>
          <t>no</t>
        </is>
      </c>
    </row>
    <row r="71" ht="40" customHeight="1">
      <c r="A71" s="3" t="inlineStr">
        <is>
          <t>2024::jama.2024.4183::C019</t>
        </is>
      </c>
      <c r="B71" s="3" t="inlineStr"/>
      <c r="C71" s="3" t="inlineStr">
        <is>
          <t>internal_nonstatistical</t>
        </is>
      </c>
      <c r="D71" s="3" t="inlineStr"/>
      <c r="E71" s="3" t="inlineStr"/>
      <c r="F71" s="3" t="inlineStr"/>
      <c r="G71" s="3" t="inlineStr"/>
      <c r="H71" s="3" t="inlineStr"/>
      <c r="I71" s="3" t="inlineStr"/>
      <c r="J71" s="3" t="inlineStr"/>
      <c r="K71" s="3" t="inlineStr">
        <is>
          <t>no</t>
        </is>
      </c>
    </row>
    <row r="72" ht="40" customHeight="1">
      <c r="A72" s="2" t="inlineStr">
        <is>
          <t>2024::jama.2024.4183::C020</t>
        </is>
      </c>
      <c r="B72" s="2" t="inlineStr"/>
      <c r="C72" s="2" t="inlineStr">
        <is>
          <t>statistical_results</t>
        </is>
      </c>
      <c r="D72" s="2" t="inlineStr"/>
      <c r="E72" s="2" t="inlineStr"/>
      <c r="F72" s="2" t="inlineStr"/>
      <c r="G72" s="2" t="inlineStr"/>
      <c r="H72" s="2" t="inlineStr"/>
      <c r="I72" s="2" t="inlineStr"/>
      <c r="J72" s="2" t="inlineStr"/>
      <c r="K72" s="2" t="inlineStr">
        <is>
          <t>no</t>
        </is>
      </c>
    </row>
    <row r="73" ht="40" customHeight="1">
      <c r="A73" s="3" t="inlineStr">
        <is>
          <t>2024::jama.2024.4183::C021</t>
        </is>
      </c>
      <c r="B73" s="3" t="inlineStr"/>
      <c r="C73" s="3" t="inlineStr">
        <is>
          <t>internal_nonstatistical</t>
        </is>
      </c>
      <c r="D73" s="3" t="inlineStr"/>
      <c r="E73" s="3" t="inlineStr"/>
      <c r="F73" s="3" t="inlineStr"/>
      <c r="G73" s="3" t="inlineStr"/>
      <c r="H73" s="3" t="inlineStr"/>
      <c r="I73" s="3" t="inlineStr"/>
      <c r="J73" s="3" t="inlineStr"/>
      <c r="K73" s="3" t="inlineStr">
        <is>
          <t>no</t>
        </is>
      </c>
    </row>
    <row r="74" ht="40" customHeight="1">
      <c r="A74" s="2" t="inlineStr">
        <is>
          <t>2024::jama.2024.4183::C022</t>
        </is>
      </c>
      <c r="B74" s="2" t="inlineStr"/>
      <c r="C74" s="2" t="inlineStr">
        <is>
          <t>internal_nonstatistical</t>
        </is>
      </c>
      <c r="D74" s="2" t="inlineStr"/>
      <c r="E74" s="2" t="inlineStr"/>
      <c r="F74" s="2" t="inlineStr"/>
      <c r="G74" s="2" t="inlineStr"/>
      <c r="H74" s="2" t="inlineStr"/>
      <c r="I74" s="2" t="inlineStr"/>
      <c r="J74" s="2" t="inlineStr"/>
      <c r="K74" s="2" t="inlineStr">
        <is>
          <t>no</t>
        </is>
      </c>
    </row>
    <row r="75" ht="40" customHeight="1">
      <c r="A75" s="3" t="inlineStr">
        <is>
          <t>2024::jama.2024.4183::C023</t>
        </is>
      </c>
      <c r="B75" s="3" t="inlineStr"/>
      <c r="C75" s="3" t="inlineStr">
        <is>
          <t>internal_nonstatistical</t>
        </is>
      </c>
      <c r="D75" s="3" t="inlineStr"/>
      <c r="E75" s="3" t="inlineStr"/>
      <c r="F75" s="3" t="inlineStr"/>
      <c r="G75" s="3" t="inlineStr"/>
      <c r="H75" s="3" t="inlineStr"/>
      <c r="I75" s="3" t="inlineStr"/>
      <c r="J75" s="3" t="inlineStr"/>
      <c r="K75" s="3" t="inlineStr">
        <is>
          <t>no</t>
        </is>
      </c>
    </row>
    <row r="76" ht="40" customHeight="1">
      <c r="A76" s="2" t="inlineStr">
        <is>
          <t>2024::jama.2024.4183::C024</t>
        </is>
      </c>
      <c r="B76" s="2" t="inlineStr"/>
      <c r="C76" s="2" t="inlineStr">
        <is>
          <t>statistical_results</t>
        </is>
      </c>
      <c r="D76" s="2" t="inlineStr"/>
      <c r="E76" s="2" t="inlineStr"/>
      <c r="F76" s="2" t="inlineStr"/>
      <c r="G76" s="2" t="inlineStr"/>
      <c r="H76" s="2" t="inlineStr"/>
      <c r="I76" s="2" t="inlineStr"/>
      <c r="J76" s="2" t="inlineStr"/>
      <c r="K76" s="2" t="inlineStr">
        <is>
          <t>no</t>
        </is>
      </c>
    </row>
    <row r="77" ht="40" customHeight="1">
      <c r="A77" s="3" t="inlineStr">
        <is>
          <t>2024::jama.2024.6063::C001</t>
        </is>
      </c>
      <c r="B77" s="3" t="inlineStr"/>
      <c r="C77" s="3" t="inlineStr">
        <is>
          <t>statistical_results</t>
        </is>
      </c>
      <c r="D77" s="3" t="inlineStr"/>
      <c r="E77" s="3" t="inlineStr"/>
      <c r="F77" s="3" t="inlineStr"/>
      <c r="G77" s="3" t="inlineStr"/>
      <c r="H77" s="3" t="inlineStr"/>
      <c r="I77" s="3" t="inlineStr"/>
      <c r="J77" s="3" t="inlineStr"/>
      <c r="K77" s="3" t="inlineStr">
        <is>
          <t>no</t>
        </is>
      </c>
    </row>
    <row r="78" ht="40" customHeight="1">
      <c r="A78" s="2" t="inlineStr">
        <is>
          <t>2024::jama.2024.6063::C002</t>
        </is>
      </c>
      <c r="B78" s="2" t="inlineStr"/>
      <c r="C78" s="2" t="inlineStr">
        <is>
          <t>statistical_results</t>
        </is>
      </c>
      <c r="D78" s="2" t="inlineStr"/>
      <c r="E78" s="2" t="inlineStr"/>
      <c r="F78" s="2" t="inlineStr"/>
      <c r="G78" s="2" t="inlineStr"/>
      <c r="H78" s="2" t="inlineStr"/>
      <c r="I78" s="2" t="inlineStr"/>
      <c r="J78" s="2" t="inlineStr"/>
      <c r="K78" s="2" t="inlineStr">
        <is>
          <t>no</t>
        </is>
      </c>
    </row>
    <row r="79" ht="40" customHeight="1">
      <c r="A79" s="3" t="inlineStr">
        <is>
          <t>2024::jama.2024.6063::C003</t>
        </is>
      </c>
      <c r="B79" s="3" t="inlineStr"/>
      <c r="C79" s="3" t="inlineStr">
        <is>
          <t>statistical_results</t>
        </is>
      </c>
      <c r="D79" s="3" t="inlineStr"/>
      <c r="E79" s="3" t="inlineStr"/>
      <c r="F79" s="3" t="inlineStr"/>
      <c r="G79" s="3" t="inlineStr"/>
      <c r="H79" s="3" t="inlineStr"/>
      <c r="I79" s="3" t="inlineStr"/>
      <c r="J79" s="3" t="inlineStr"/>
      <c r="K79" s="3" t="inlineStr">
        <is>
          <t>no</t>
        </is>
      </c>
    </row>
    <row r="80" ht="40" customHeight="1">
      <c r="A80" s="2" t="inlineStr">
        <is>
          <t>2024::jama.2024.6063::C004</t>
        </is>
      </c>
      <c r="B80" s="2" t="inlineStr"/>
      <c r="C80" s="2" t="inlineStr">
        <is>
          <t>statistical_results</t>
        </is>
      </c>
      <c r="D80" s="2" t="inlineStr"/>
      <c r="E80" s="2" t="inlineStr"/>
      <c r="F80" s="2" t="inlineStr"/>
      <c r="G80" s="2" t="inlineStr"/>
      <c r="H80" s="2" t="inlineStr"/>
      <c r="I80" s="2" t="inlineStr"/>
      <c r="J80" s="2" t="inlineStr"/>
      <c r="K80" s="2" t="inlineStr">
        <is>
          <t>no</t>
        </is>
      </c>
    </row>
    <row r="81" ht="40" customHeight="1">
      <c r="A81" s="3" t="inlineStr">
        <is>
          <t>2024::jama.2024.6063::C005</t>
        </is>
      </c>
      <c r="B81" s="3" t="inlineStr"/>
      <c r="C81" s="3" t="inlineStr">
        <is>
          <t>statistical_results</t>
        </is>
      </c>
      <c r="D81" s="3" t="inlineStr"/>
      <c r="E81" s="3" t="inlineStr"/>
      <c r="F81" s="3" t="inlineStr"/>
      <c r="G81" s="3" t="inlineStr"/>
      <c r="H81" s="3" t="inlineStr"/>
      <c r="I81" s="3" t="inlineStr"/>
      <c r="J81" s="3" t="inlineStr"/>
      <c r="K81" s="3" t="inlineStr">
        <is>
          <t>no</t>
        </is>
      </c>
    </row>
    <row r="82" ht="40" customHeight="1">
      <c r="A82" s="2" t="inlineStr">
        <is>
          <t>2024::jama.2024.6063::C006</t>
        </is>
      </c>
      <c r="B82" s="2" t="inlineStr"/>
      <c r="C82" s="2" t="inlineStr">
        <is>
          <t>statistical_results</t>
        </is>
      </c>
      <c r="D82" s="2" t="inlineStr"/>
      <c r="E82" s="2" t="inlineStr"/>
      <c r="F82" s="2" t="inlineStr"/>
      <c r="G82" s="2" t="inlineStr"/>
      <c r="H82" s="2" t="inlineStr"/>
      <c r="I82" s="2" t="inlineStr"/>
      <c r="J82" s="2" t="inlineStr"/>
      <c r="K82" s="2" t="inlineStr">
        <is>
          <t>no</t>
        </is>
      </c>
    </row>
    <row r="83" ht="40" customHeight="1">
      <c r="A83" s="3" t="inlineStr">
        <is>
          <t>2024::jama.2024.6063::C007</t>
        </is>
      </c>
      <c r="B83" s="3" t="inlineStr"/>
      <c r="C83" s="3" t="inlineStr">
        <is>
          <t>statistical_results</t>
        </is>
      </c>
      <c r="D83" s="3" t="inlineStr"/>
      <c r="E83" s="3" t="inlineStr"/>
      <c r="F83" s="3" t="inlineStr"/>
      <c r="G83" s="3" t="inlineStr"/>
      <c r="H83" s="3" t="inlineStr"/>
      <c r="I83" s="3" t="inlineStr"/>
      <c r="J83" s="3" t="inlineStr"/>
      <c r="K83" s="3" t="inlineStr">
        <is>
          <t>no</t>
        </is>
      </c>
    </row>
    <row r="84" ht="40" customHeight="1">
      <c r="A84" s="2" t="inlineStr">
        <is>
          <t>2024::jama.2024.6063::C008</t>
        </is>
      </c>
      <c r="B84" s="2" t="inlineStr"/>
      <c r="C84" s="2" t="inlineStr">
        <is>
          <t>statistical_results</t>
        </is>
      </c>
      <c r="D84" s="2" t="inlineStr"/>
      <c r="E84" s="2" t="inlineStr"/>
      <c r="F84" s="2" t="inlineStr"/>
      <c r="G84" s="2" t="inlineStr"/>
      <c r="H84" s="2" t="inlineStr"/>
      <c r="I84" s="2" t="inlineStr"/>
      <c r="J84" s="2" t="inlineStr"/>
      <c r="K84" s="2" t="inlineStr">
        <is>
          <t>no</t>
        </is>
      </c>
    </row>
    <row r="85" ht="40" customHeight="1">
      <c r="A85" s="3" t="inlineStr">
        <is>
          <t>2024::jama.2024.6063::C009</t>
        </is>
      </c>
      <c r="B85" s="3" t="inlineStr"/>
      <c r="C85" s="3" t="inlineStr">
        <is>
          <t>statistical_results</t>
        </is>
      </c>
      <c r="D85" s="3" t="inlineStr"/>
      <c r="E85" s="3" t="inlineStr"/>
      <c r="F85" s="3" t="inlineStr"/>
      <c r="G85" s="3" t="inlineStr"/>
      <c r="H85" s="3" t="inlineStr"/>
      <c r="I85" s="3" t="inlineStr"/>
      <c r="J85" s="3" t="inlineStr"/>
      <c r="K85" s="3" t="inlineStr">
        <is>
          <t>no</t>
        </is>
      </c>
    </row>
    <row r="86" ht="40" customHeight="1">
      <c r="A86" s="2" t="inlineStr">
        <is>
          <t>2024::jama.2024.6063::C010</t>
        </is>
      </c>
      <c r="B86" s="2" t="inlineStr"/>
      <c r="C86" s="2" t="inlineStr">
        <is>
          <t>statistical_results</t>
        </is>
      </c>
      <c r="D86" s="2" t="inlineStr"/>
      <c r="E86" s="2" t="inlineStr"/>
      <c r="F86" s="2" t="inlineStr"/>
      <c r="G86" s="2" t="inlineStr"/>
      <c r="H86" s="2" t="inlineStr"/>
      <c r="I86" s="2" t="inlineStr"/>
      <c r="J86" s="2" t="inlineStr"/>
      <c r="K86" s="2" t="inlineStr">
        <is>
          <t>no</t>
        </is>
      </c>
    </row>
    <row r="87" ht="40" customHeight="1">
      <c r="A87" s="3" t="inlineStr">
        <is>
          <t>2024::jama.2024.6063::C011</t>
        </is>
      </c>
      <c r="B87" s="3" t="inlineStr"/>
      <c r="C87" s="3" t="inlineStr">
        <is>
          <t>statistical_results</t>
        </is>
      </c>
      <c r="D87" s="3" t="inlineStr"/>
      <c r="E87" s="3" t="inlineStr"/>
      <c r="F87" s="3" t="inlineStr"/>
      <c r="G87" s="3" t="inlineStr"/>
      <c r="H87" s="3" t="inlineStr"/>
      <c r="I87" s="3" t="inlineStr"/>
      <c r="J87" s="3" t="inlineStr"/>
      <c r="K87" s="3" t="inlineStr">
        <is>
          <t>no</t>
        </is>
      </c>
    </row>
    <row r="88" ht="40" customHeight="1">
      <c r="A88" s="2" t="inlineStr">
        <is>
          <t>2024::jama.2024.6063::C012</t>
        </is>
      </c>
      <c r="B88" s="2" t="inlineStr"/>
      <c r="C88" s="2" t="inlineStr">
        <is>
          <t>internal_nonstatistical</t>
        </is>
      </c>
      <c r="D88" s="2" t="inlineStr"/>
      <c r="E88" s="2" t="inlineStr"/>
      <c r="F88" s="2" t="inlineStr"/>
      <c r="G88" s="2" t="inlineStr"/>
      <c r="H88" s="2" t="inlineStr"/>
      <c r="I88" s="2" t="inlineStr"/>
      <c r="J88" s="2" t="inlineStr"/>
      <c r="K88" s="2" t="inlineStr">
        <is>
          <t>no</t>
        </is>
      </c>
    </row>
    <row r="89" ht="40" customHeight="1">
      <c r="A89" s="3" t="inlineStr">
        <is>
          <t>2024::jama.2024.6063::C013</t>
        </is>
      </c>
      <c r="B89" s="3" t="inlineStr"/>
      <c r="C89" s="3" t="inlineStr">
        <is>
          <t>internal_nonstatistical</t>
        </is>
      </c>
      <c r="D89" s="3" t="inlineStr"/>
      <c r="E89" s="3" t="inlineStr"/>
      <c r="F89" s="3" t="inlineStr"/>
      <c r="G89" s="3" t="inlineStr"/>
      <c r="H89" s="3" t="inlineStr"/>
      <c r="I89" s="3" t="inlineStr"/>
      <c r="J89" s="3" t="inlineStr"/>
      <c r="K89" s="3" t="inlineStr">
        <is>
          <t>no</t>
        </is>
      </c>
    </row>
    <row r="90" ht="40" customHeight="1">
      <c r="A90" s="2" t="inlineStr">
        <is>
          <t>2024::jama.2024.6063::C014</t>
        </is>
      </c>
      <c r="B90" s="2" t="inlineStr"/>
      <c r="C90" s="2" t="inlineStr">
        <is>
          <t>internal_nonstatistical</t>
        </is>
      </c>
      <c r="D90" s="2" t="inlineStr"/>
      <c r="E90" s="2" t="inlineStr"/>
      <c r="F90" s="2" t="inlineStr"/>
      <c r="G90" s="2" t="inlineStr"/>
      <c r="H90" s="2" t="inlineStr"/>
      <c r="I90" s="2" t="inlineStr"/>
      <c r="J90" s="2" t="inlineStr"/>
      <c r="K90" s="2" t="inlineStr">
        <is>
          <t>no</t>
        </is>
      </c>
    </row>
    <row r="91" ht="40" customHeight="1">
      <c r="A91" s="3" t="inlineStr">
        <is>
          <t>2024::jama.2024.6063::C015</t>
        </is>
      </c>
      <c r="B91" s="3" t="inlineStr"/>
      <c r="C91" s="3" t="inlineStr">
        <is>
          <t>internal_nonstatistical</t>
        </is>
      </c>
      <c r="D91" s="3" t="inlineStr"/>
      <c r="E91" s="3" t="inlineStr"/>
      <c r="F91" s="3" t="inlineStr"/>
      <c r="G91" s="3" t="inlineStr"/>
      <c r="H91" s="3" t="inlineStr"/>
      <c r="I91" s="3" t="inlineStr"/>
      <c r="J91" s="3" t="inlineStr"/>
      <c r="K91" s="3" t="inlineStr">
        <is>
          <t>no</t>
        </is>
      </c>
    </row>
    <row r="92" ht="40" customHeight="1">
      <c r="A92" s="2" t="inlineStr">
        <is>
          <t>2024::jama.2024.6063::C016</t>
        </is>
      </c>
      <c r="B92" s="2" t="inlineStr"/>
      <c r="C92" s="2" t="inlineStr">
        <is>
          <t>internal_nonstatistical</t>
        </is>
      </c>
      <c r="D92" s="2" t="inlineStr"/>
      <c r="E92" s="2" t="inlineStr"/>
      <c r="F92" s="2" t="inlineStr"/>
      <c r="G92" s="2" t="inlineStr"/>
      <c r="H92" s="2" t="inlineStr"/>
      <c r="I92" s="2" t="inlineStr"/>
      <c r="J92" s="2" t="inlineStr"/>
      <c r="K92" s="2" t="inlineStr">
        <is>
          <t>no</t>
        </is>
      </c>
    </row>
  </sheetData>
  <sheetProtection selectLockedCells="0" selectUnlockedCells="0" sheet="1" objects="0" insertRows="1" insertHyperlinks="1" autoFilter="0" scenarios="0" formatColumns="1" deleteColumns="1" insertColumns="1" pivotTables="1" deleteRows="1" formatCells="1" formatRows="1" sort="1"/>
  <autoFilter ref="A1:K9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2026-09-13T23:51:55Z</dcterms:created>
  <dcterms:modified xsi:type="dcterms:W3CDTF">2026-09-13T23:51:56Z</dcterms:modified>
</cp:coreProperties>
</file>