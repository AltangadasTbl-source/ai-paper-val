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P_jama.2024.24764" sheetId="4" state="visible" r:id="rId4"/>
    <sheet name="P_jama.2024.27643" sheetId="5" state="visible" r:id="rId5"/>
    <sheet name="P_jama.2025.11178" sheetId="6" state="visible" r:id="rId6"/>
    <sheet name="P_jama.2025.15185" sheetId="7" state="visible" r:id="rId7"/>
    <sheet name="P_jama.2025.15440" sheetId="8" state="visible" r:id="rId8"/>
    <sheet name="P_jama.2025.16450" sheetId="9" state="visible" r:id="rId9"/>
    <sheet name="P_jama.2025.19563" sheetId="10" state="visible" r:id="rId10"/>
    <sheet name="P_jama.2025.19843" sheetId="11" state="visible" r:id="rId11"/>
    <sheet name="P_jama.2025.20765" sheetId="12" state="visible" r:id="rId12"/>
    <sheet name="P_jama.2025.24175" sheetId="13" state="visible" r:id="rId13"/>
    <sheet name="P_jama.2025.4390" sheetId="14" state="visible" r:id="rId14"/>
    <sheet name="P_jama.2025.7583" sheetId="15" state="visible" r:id="rId15"/>
    <sheet name="P_jama.2025.7710" sheetId="16" state="visible" r:id="rId16"/>
    <sheet name="P_jama.2025.9110" sheetId="17" state="visible" r:id="rId17"/>
    <sheet name="P_jama.2025.9663" sheetId="18" state="visible" r:id="rId18"/>
    <sheet name="Candidates" sheetId="19" state="visible" r:id="rId19"/>
    <sheet name="Evidence" sheetId="20" state="visible" r:id="rId20"/>
    <sheet name="Codebook" sheetId="21" state="visible" r:id="rId21"/>
    <sheet name="Manifest" sheetId="22" state="hidden" r:id="rId22"/>
    <sheet name="Links" sheetId="23" state="hidden" r:id="rId23"/>
    <sheet name="Relations" sheetId="24" state="hidden" r:id="rId24"/>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'Papers'!$A$1:$C$16</definedName>
    <definedName name="_xlnm.Print_Titles" localSheetId="2">'Papers'!$1:$1</definedName>
    <definedName name="_xlnm._FilterDatabase" localSheetId="3" hidden="1">'P_jama.2024.24764'!$A$1:$N$9</definedName>
    <definedName name="_xlnm.Print_Titles" localSheetId="3">'P_jama.2024.24764'!$1:$1</definedName>
    <definedName name="_xlnm._FilterDatabase" localSheetId="4" hidden="1">'P_jama.2024.27643'!$A$1:$N$9</definedName>
    <definedName name="_xlnm.Print_Titles" localSheetId="4">'P_jama.2024.27643'!$1:$1</definedName>
    <definedName name="_xlnm._FilterDatabase" localSheetId="5" hidden="1">'P_jama.2025.11178'!$A$1:$N$38</definedName>
    <definedName name="_xlnm.Print_Titles" localSheetId="5">'P_jama.2025.11178'!$1:$1</definedName>
    <definedName name="_xlnm._FilterDatabase" localSheetId="6" hidden="1">'P_jama.2025.15185'!$A$1:$N$13</definedName>
    <definedName name="_xlnm.Print_Titles" localSheetId="6">'P_jama.2025.15185'!$1:$1</definedName>
    <definedName name="_xlnm._FilterDatabase" localSheetId="7" hidden="1">'P_jama.2025.15440'!$A$1:$N$3</definedName>
    <definedName name="_xlnm.Print_Titles" localSheetId="7">'P_jama.2025.15440'!$1:$1</definedName>
    <definedName name="_xlnm._FilterDatabase" localSheetId="8" hidden="1">'P_jama.2025.16450'!$A$1:$N$11</definedName>
    <definedName name="_xlnm.Print_Titles" localSheetId="8">'P_jama.2025.16450'!$1:$1</definedName>
    <definedName name="_xlnm._FilterDatabase" localSheetId="9" hidden="1">'P_jama.2025.19563'!$A$1:$N$8</definedName>
    <definedName name="_xlnm.Print_Titles" localSheetId="9">'P_jama.2025.19563'!$1:$1</definedName>
    <definedName name="_xlnm._FilterDatabase" localSheetId="10" hidden="1">'P_jama.2025.19843'!$A$1:$N$2</definedName>
    <definedName name="_xlnm.Print_Titles" localSheetId="10">'P_jama.2025.19843'!$1:$1</definedName>
    <definedName name="_xlnm._FilterDatabase" localSheetId="11" hidden="1">'P_jama.2025.20765'!$A$1:$N$14</definedName>
    <definedName name="_xlnm.Print_Titles" localSheetId="11">'P_jama.2025.20765'!$1:$1</definedName>
    <definedName name="_xlnm._FilterDatabase" localSheetId="12" hidden="1">'P_jama.2025.24175'!$A$1:$N$15</definedName>
    <definedName name="_xlnm.Print_Titles" localSheetId="12">'P_jama.2025.24175'!$1:$1</definedName>
    <definedName name="_xlnm._FilterDatabase" localSheetId="13" hidden="1">'P_jama.2025.4390'!$A$1:$N$4</definedName>
    <definedName name="_xlnm.Print_Titles" localSheetId="13">'P_jama.2025.4390'!$1:$1</definedName>
    <definedName name="_xlnm._FilterDatabase" localSheetId="14" hidden="1">'P_jama.2025.7583'!$A$1:$N$4</definedName>
    <definedName name="_xlnm.Print_Titles" localSheetId="14">'P_jama.2025.7583'!$1:$1</definedName>
    <definedName name="_xlnm._FilterDatabase" localSheetId="15" hidden="1">'P_jama.2025.7710'!$A$1:$N$5</definedName>
    <definedName name="_xlnm.Print_Titles" localSheetId="15">'P_jama.2025.7710'!$1:$1</definedName>
    <definedName name="_xlnm._FilterDatabase" localSheetId="16" hidden="1">'P_jama.2025.9110'!$A$1:$N$7</definedName>
    <definedName name="_xlnm.Print_Titles" localSheetId="16">'P_jama.2025.9110'!$1:$1</definedName>
    <definedName name="_xlnm._FilterDatabase" localSheetId="17" hidden="1">'P_jama.2025.9663'!$A$1:$N$4</definedName>
    <definedName name="_xlnm.Print_Titles" localSheetId="17">'P_jama.2025.9663'!$1:$1</definedName>
    <definedName name="_xlnm._FilterDatabase" localSheetId="18" hidden="1">'Candidates'!$A$1:$AB$132</definedName>
    <definedName name="_xlnm.Print_Titles" localSheetId="18">'Candidates'!$1:$1</definedName>
    <definedName name="_xlnm._FilterDatabase" localSheetId="19" hidden="1">'Evidence'!$A$1:$D$525</definedName>
    <definedName name="_xlnm.Print_Titles" localSheetId="19">'Evidence'!$1:$1</definedName>
    <definedName name="_xlnm.Print_Titles" localSheetId="20">'Codebook'!$1:$1</definedName>
    <definedName name="_xlnm._FilterDatabase" localSheetId="21" hidden="1">'Manifest'!$A$1:$B$11</definedName>
    <definedName name="_xlnm.Print_Titles" localSheetId="21">'Manifest'!$1:$1</definedName>
    <definedName name="_xlnm._FilterDatabase" localSheetId="22" hidden="1">'Links'!$A$1:$E$337</definedName>
    <definedName name="_xlnm.Print_Titles" localSheetId="22">'Links'!$1:$1</definedName>
    <definedName name="_xlnm._FilterDatabase" localSheetId="23" hidden="1">'Relations'!$A$1:$D$146</definedName>
    <definedName name="_xlnm.Print_Titles" localSheetId="23">'Relations'!$1:$1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8">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2.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3.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4.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5.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6.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7.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8.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9.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0.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1.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2.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3.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4.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5.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5.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6.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7.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8.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v.2.1.3 | 2025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Each file has one review worksheet per paper: P_&lt;paper&gt; in a Primary file and C_&lt;paper&gt; in a Checker file. The common columns, widths, colors and freeze panes match. Both files contain Papers, Candidates, Evidence and Codebook.</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Keep the completed Primary file. The manager runs prepare-checker to create a separate ready Checker file containing its frozen primary snapshot. The eight release files include four blank Checker layout templates; these must be prepared before review.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Primary review file.</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jama.2024.24764</t>
        </is>
      </c>
      <c r="B2" s="2" t="inlineStr">
        <is>
          <t>P_jama.2024.24764</t>
        </is>
      </c>
      <c r="C2" s="2" t="n">
        <v>8</v>
      </c>
    </row>
    <row r="3" ht="30" customHeight="1">
      <c r="A3" s="3" t="inlineStr">
        <is>
          <t>jama.2024.27643</t>
        </is>
      </c>
      <c r="B3" s="3" t="inlineStr">
        <is>
          <t>P_jama.2024.27643</t>
        </is>
      </c>
      <c r="C3" s="3" t="n">
        <v>8</v>
      </c>
    </row>
    <row r="4" ht="30" customHeight="1">
      <c r="A4" s="2" t="inlineStr">
        <is>
          <t>jama.2025.11178</t>
        </is>
      </c>
      <c r="B4" s="2" t="inlineStr">
        <is>
          <t>P_jama.2025.11178</t>
        </is>
      </c>
      <c r="C4" s="2" t="n">
        <v>37</v>
      </c>
    </row>
    <row r="5" ht="30" customHeight="1">
      <c r="A5" s="3" t="inlineStr">
        <is>
          <t>jama.2025.15185</t>
        </is>
      </c>
      <c r="B5" s="3" t="inlineStr">
        <is>
          <t>P_jama.2025.15185</t>
        </is>
      </c>
      <c r="C5" s="3" t="n">
        <v>12</v>
      </c>
    </row>
    <row r="6" ht="30" customHeight="1">
      <c r="A6" s="2" t="inlineStr">
        <is>
          <t>jama.2025.15440</t>
        </is>
      </c>
      <c r="B6" s="2" t="inlineStr">
        <is>
          <t>P_jama.2025.15440</t>
        </is>
      </c>
      <c r="C6" s="2" t="n">
        <v>2</v>
      </c>
    </row>
    <row r="7" ht="30" customHeight="1">
      <c r="A7" s="3" t="inlineStr">
        <is>
          <t>jama.2025.16450</t>
        </is>
      </c>
      <c r="B7" s="3" t="inlineStr">
        <is>
          <t>P_jama.2025.16450</t>
        </is>
      </c>
      <c r="C7" s="3" t="n">
        <v>10</v>
      </c>
    </row>
    <row r="8" ht="30" customHeight="1">
      <c r="A8" s="2" t="inlineStr">
        <is>
          <t>jama.2025.19563</t>
        </is>
      </c>
      <c r="B8" s="2" t="inlineStr">
        <is>
          <t>P_jama.2025.19563</t>
        </is>
      </c>
      <c r="C8" s="2" t="n">
        <v>7</v>
      </c>
    </row>
    <row r="9" ht="30" customHeight="1">
      <c r="A9" s="3" t="inlineStr">
        <is>
          <t>jama.2025.19843</t>
        </is>
      </c>
      <c r="B9" s="3" t="inlineStr">
        <is>
          <t>P_jama.2025.19843</t>
        </is>
      </c>
      <c r="C9" s="3" t="n">
        <v>1</v>
      </c>
    </row>
    <row r="10" ht="30" customHeight="1">
      <c r="A10" s="2" t="inlineStr">
        <is>
          <t>jama.2025.20765</t>
        </is>
      </c>
      <c r="B10" s="2" t="inlineStr">
        <is>
          <t>P_jama.2025.20765</t>
        </is>
      </c>
      <c r="C10" s="2" t="n">
        <v>13</v>
      </c>
    </row>
    <row r="11" ht="30" customHeight="1">
      <c r="A11" s="3" t="inlineStr">
        <is>
          <t>jama.2025.24175</t>
        </is>
      </c>
      <c r="B11" s="3" t="inlineStr">
        <is>
          <t>P_jama.2025.24175</t>
        </is>
      </c>
      <c r="C11" s="3" t="n">
        <v>14</v>
      </c>
    </row>
    <row r="12" ht="30" customHeight="1">
      <c r="A12" s="2" t="inlineStr">
        <is>
          <t>jama.2025.4390</t>
        </is>
      </c>
      <c r="B12" s="2" t="inlineStr">
        <is>
          <t>P_jama.2025.4390</t>
        </is>
      </c>
      <c r="C12" s="2" t="n">
        <v>3</v>
      </c>
    </row>
    <row r="13" ht="30" customHeight="1">
      <c r="A13" s="3" t="inlineStr">
        <is>
          <t>jama.2025.7583</t>
        </is>
      </c>
      <c r="B13" s="3" t="inlineStr">
        <is>
          <t>P_jama.2025.7583</t>
        </is>
      </c>
      <c r="C13" s="3" t="n">
        <v>3</v>
      </c>
    </row>
    <row r="14" ht="30" customHeight="1">
      <c r="A14" s="2" t="inlineStr">
        <is>
          <t>jama.2025.7710</t>
        </is>
      </c>
      <c r="B14" s="2" t="inlineStr">
        <is>
          <t>P_jama.2025.7710</t>
        </is>
      </c>
      <c r="C14" s="2" t="n">
        <v>4</v>
      </c>
    </row>
    <row r="15" ht="30" customHeight="1">
      <c r="A15" s="3" t="inlineStr">
        <is>
          <t>jama.2025.9110</t>
        </is>
      </c>
      <c r="B15" s="3" t="inlineStr">
        <is>
          <t>P_jama.2025.9110</t>
        </is>
      </c>
      <c r="C15" s="3" t="n">
        <v>6</v>
      </c>
    </row>
    <row r="16" ht="30" customHeight="1">
      <c r="A16" s="2" t="inlineStr">
        <is>
          <t>jama.2025.9663</t>
        </is>
      </c>
      <c r="B16" s="2" t="inlineStr">
        <is>
          <t>P_jama.2025.9663</t>
        </is>
      </c>
      <c r="C16" s="2" t="n">
        <v>3</v>
      </c>
    </row>
  </sheetData>
  <sheetProtection selectLockedCells="0" selectUnlockedCells="0" sheet="1" objects="0" insertRows="1" insertHyperlinks="1" autoFilter="0" scenarios="0" formatColumns="1" deleteColumns="1" insertColumns="1" pivotTables="1" deleteRows="1" formatCells="1" formatRows="1" sort="1"/>
  <autoFilter ref="A1:C16"/>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N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2025::jama.2024.24764::C001</t>
        </is>
      </c>
      <c r="B2" s="2" t="inlineStr">
        <is>
          <t>Smoking percentages use a different denominator from the printed smoking totals</t>
        </is>
      </c>
      <c r="C2" s="2" t="inlineStr">
        <is>
          <t>jama_atherton_2025_oi_240145_1741627844.85412.pdf — PDF p. 5, Table 1</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2025::jama.2024.24764::C002</t>
        </is>
      </c>
      <c r="B3" s="3" t="inlineStr">
        <is>
          <t>Operating-surgeon level totals exceed participant denominators without a multi-response qualifier</t>
        </is>
      </c>
      <c r="C3" s="3" t="inlineStr">
        <is>
          <t>jama_atherton_2025_oi_240145_1741627844.85412.pdf — PDF p. 7, Table 2</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2025::jama.2024.24764::C003</t>
        </is>
      </c>
      <c r="B4" s="2" t="inlineStr">
        <is>
          <t>Fascia-closing surgeon level totals exceed participant denominators without a multi-response qualifier</t>
        </is>
      </c>
      <c r="C4" s="2" t="inlineStr">
        <is>
          <t>jama_atherton_2025_oi_240145_1741627844.85412.pdf — PDF p. 7, Table 2 continuation</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2025::jama.2024.24764::C004</t>
        </is>
      </c>
      <c r="B5" s="3" t="inlineStr">
        <is>
          <t>Skin-closing surgeon level totals exceed participant denominators without a multi-response qualifier</t>
        </is>
      </c>
      <c r="C5" s="3" t="inlineStr">
        <is>
          <t>jama_atherton_2025_oi_240145_1741627844.85412.pdf — PDF p. 7, Table 2 continuation</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2025::jama.2024.24764::C005</t>
        </is>
      </c>
      <c r="B6" s="2" t="inlineStr">
        <is>
          <t>Control-arm mortality differs between participant flow and 30-day safety reporting</t>
        </is>
      </c>
      <c r="C6" s="2" t="inlineStr">
        <is>
          <t>jama_atherton_2025_oi_240145_1741627844.85412.pdf — PDF p. 3, Figure 1; PDF p. 6, safety narrative; PDF p. 8, Table 3</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2025::jama.2024.24764::C006</t>
        </is>
      </c>
      <c r="B7" s="3" t="inlineStr">
        <is>
          <t>Longitudinal quality-of-life covariance specification differs between SAP and final article</t>
        </is>
      </c>
      <c r="C7" s="3" t="inlineStr">
        <is>
          <t>joi240145supp1_prod_1741627844.87412.pdf — PDF p. 26, SAP; jama_atherton_2025_oi_240145_1741627844.85412.pdf — PDF p. 4, Statistical Analysis</t>
        </is>
      </c>
      <c r="D7" s="8" t="inlineStr"/>
      <c r="E7" s="8" t="inlineStr">
        <is>
          <t>protocol_report</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2025::jama.2024.24764::C007</t>
        </is>
      </c>
      <c r="B8" s="2" t="inlineStr">
        <is>
          <t>Length-of-stay effect measure and model differ between SAP/protocol and final article</t>
        </is>
      </c>
      <c r="C8" s="2" t="inlineStr">
        <is>
          <t>joi240145supp1_prod_1741627844.87412.pdf — PDF p. 25, SAP; joi240145supp4_prod_1741627844.90412.pdf — PDF p. 39, protocol; jama_atherton_2025_oi_240145_1741627844.85412.pdf — PDF p. 4; PDF p. 8, Table 3</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2025::jama.2024.24764::C008</t>
        </is>
      </c>
      <c r="B9" s="3" t="inlineStr">
        <is>
          <t>Australia-inclusive length-of-stay result differs from the stated UK-only analysis population</t>
        </is>
      </c>
      <c r="C9" s="3" t="inlineStr">
        <is>
          <t>joi240145supp1_prod_1741627844.87412.pdf — PDF p. 18, SAP endpoint; PDF p. 25, SAP population; joi240145supp4_prod_1741627844.90412.pdf — PDF p. 24, protocol; jama_atherton_2025_oi_240145_1741627844.85412.pdf — PDF p. 1, abstract; PDF p. 8, Table 3</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sheetData>
  <sheetProtection selectLockedCells="0" selectUnlockedCells="0" sheet="1" objects="0" insertRows="1" insertHyperlinks="1" autoFilter="0" scenarios="0" formatColumns="1" deleteColumns="1" insertColumns="1" pivotTables="1" deleteRows="1" formatCells="1" formatRows="1" sort="1"/>
  <autoFilter ref="A1:N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N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2025::jama.2024.27643::C001</t>
        </is>
      </c>
      <c r="B2" s="2" t="inlineStr">
        <is>
          <t>Shared-placebo race missingness does not reconcile with the printed denominator</t>
        </is>
      </c>
      <c r="C2" s="2" t="inlineStr">
        <is>
          <t>jama_berry_2025_oi_240158_1742927563.7361.pdf — Table 1 and footnote b, PDF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2025::jama.2024.27643::C002</t>
        </is>
      </c>
      <c r="B3" s="3" t="inlineStr">
        <is>
          <t>SVC values have incompatible monthly-rate and 24-week-change labels</t>
        </is>
      </c>
      <c r="C3" s="3" t="inlineStr">
        <is>
          <t>jama_berry_2025_oi_240158_1742927563.7361.pdf — Secondary Efficacy Outcomes, PDF p. 4; joi240158supp3_prod_1742927563.7911.pdf — eTable 3A, PDF p. 16</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2025::jama.2024.27643::C003</t>
        </is>
      </c>
      <c r="B4" s="2" t="inlineStr">
        <is>
          <t>Shared-placebo ALSFRS-R credible-interval endpoints differ for the cited primary model</t>
        </is>
      </c>
      <c r="C4" s="2" t="inlineStr">
        <is>
          <t>jama_berry_2025_oi_240158_1742927563.7361.pdf — Primary Efficacy Outcome, PDF p. 4; joi240158supp3_prod_1742927563.7911.pdf — eTable 2, PDF p. 15</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2025::jama.2024.27643::C004</t>
        </is>
      </c>
      <c r="B5" s="3" t="inlineStr">
        <is>
          <t>Pooled-active ALSFRS-R credible-interval endpoints differ for the cited primary model</t>
        </is>
      </c>
      <c r="C5" s="3" t="inlineStr">
        <is>
          <t>jama_berry_2025_oi_240158_1742927563.7361.pdf — Primary Efficacy Outcome, PDF p. 4; joi240158supp3_prod_1742927563.7911.pdf — eTable 2, PDF p. 15</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2025::jama.2024.27643::C005</t>
        </is>
      </c>
      <c r="B6" s="2" t="inlineStr">
        <is>
          <t>Bayesian mortality event rates differ between article text and cited eTable 2</t>
        </is>
      </c>
      <c r="C6" s="2" t="inlineStr">
        <is>
          <t>jama_berry_2025_oi_240158_1742927563.7361.pdf — Primary Efficacy Outcome, PDF p. 4; joi240158supp3_prod_1742927563.7911.pdf — eTable 2, PDF p. 15</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2025::jama.2024.27643::C006</t>
        </is>
      </c>
      <c r="B7" s="3" t="inlineStr">
        <is>
          <t>Plasma NfL confidence intervals differ across Figure 3, narrative, and eTable 3B</t>
        </is>
      </c>
      <c r="C7" s="3" t="inlineStr">
        <is>
          <t>jama_berry_2025_oi_240158_1742927563.7361.pdf — Figure 3 and Biomarker Analyses, PDF p. 8; joi240158supp3_prod_1742927563.7911.pdf — eTable 3B, PDF p. 17</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2025::jama.2024.27643::C007</t>
        </is>
      </c>
      <c r="B8" s="2" t="inlineStr">
        <is>
          <t>Serum NfL regimen-only values and contrast differ across displays</t>
        </is>
      </c>
      <c r="C8" s="2" t="inlineStr">
        <is>
          <t>jama_berry_2025_oi_240158_1742927563.7361.pdf — Figure 3 and Biomarker Analyses, PDF p. 8; joi240158supp3_prod_1742927563.7911.pdf — eTable 3B, PDF p. 17</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2025::jama.2024.27643::C008</t>
        </is>
      </c>
      <c r="B9" s="3" t="inlineStr">
        <is>
          <t>Discussion total of 13 events conflicts with the 14 events displayed in Table 2</t>
        </is>
      </c>
      <c r="C9" s="3" t="inlineStr">
        <is>
          <t>jama_berry_2025_oi_240158_1742927563.7361.pdf — Table 2, PDF p. 7; jama_berry_2025_oi_240158_1742927563.7361.pdf — Discussion, PDF p. 9</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sheetData>
  <sheetProtection selectLockedCells="0" selectUnlockedCells="0" sheet="1" objects="0" insertRows="1" insertHyperlinks="1" autoFilter="0" scenarios="0" formatColumns="1" deleteColumns="1" insertColumns="1" pivotTables="1" deleteRows="1" formatCells="1" formatRows="1" sort="1"/>
  <autoFilter ref="A1:N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N3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2025::jama.2025.11178::C001</t>
        </is>
      </c>
      <c r="B2" s="2" t="inlineStr">
        <is>
          <t>Conditional Figure 1 further-ineligibility component subtotal gap</t>
        </is>
      </c>
      <c r="C2" s="2" t="inlineStr">
        <is>
          <t>main article — PDF p. 5, Figure 1, “4481 Ineligible.”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2025::jama.2025.11178::C002</t>
        </is>
      </c>
      <c r="B3" s="3" t="inlineStr">
        <is>
          <t>Overall eTable 1 follow-up-pattern partition</t>
        </is>
      </c>
      <c r="C3" s="3" t="inlineStr">
        <is>
          <t>results supplement — PDF p. 7, eTable 1, Overall column.</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2025::jama.2025.11178::C003</t>
        </is>
      </c>
      <c r="B4" s="2" t="inlineStr">
        <is>
          <t>painTRAINER eTable 1 follow-up-pattern partition</t>
        </is>
      </c>
      <c r="C4" s="2" t="inlineStr">
        <is>
          <t>results supplement — PDF p. 7, eTable 1, painTRAINER column.</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2025::jama.2025.11178::C004</t>
        </is>
      </c>
      <c r="B5" s="3" t="inlineStr">
        <is>
          <t>Health Coach eTable 1 follow-up-pattern partition</t>
        </is>
      </c>
      <c r="C5" s="3" t="inlineStr">
        <is>
          <t>results supplement — PDF p. 7, eTable 1, Health Coach column.</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2025::jama.2025.11178::C005</t>
        </is>
      </c>
      <c r="B6" s="2" t="inlineStr">
        <is>
          <t>Workbook current-depression percentage incompatible with its count</t>
        </is>
      </c>
      <c r="C6" s="2" t="inlineStr">
        <is>
          <t>workbook, worksheet eTable 3, cells A82:E83 and E2:E3.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2025::jama.2025.11178::C006</t>
        </is>
      </c>
      <c r="B7" s="3" t="inlineStr">
        <is>
          <t>Workbook social-role cutoff labeled as mean (SD)</t>
        </is>
      </c>
      <c r="C7" s="3" t="inlineStr">
        <is>
          <t>workbook, worksheet eTable 3, cells A103:E104.</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2025::jama.2025.11178::C007</t>
        </is>
      </c>
      <c r="B8" s="2" t="inlineStr">
        <is>
          <t>Workbook physical-function cutoff labeled as mean (SD)</t>
        </is>
      </c>
      <c r="C8" s="2" t="inlineStr">
        <is>
          <t>workbook, worksheet eTable 3, cells A106:E107.</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2025::jama.2025.11178::C008</t>
        </is>
      </c>
      <c r="B9" s="3" t="inlineStr">
        <is>
          <t>Pain-severity 12-month painTRAINER SMD outside printed CI</t>
        </is>
      </c>
      <c r="C9" s="3" t="inlineStr">
        <is>
          <t>main article — PDF p. 10, Table 3, pain severity 12 months, painTRAINER vs usual care plus SMD.</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2025::jama.2025.11178::C009</t>
        </is>
      </c>
      <c r="B10" s="2" t="inlineStr">
        <is>
          <t>Pain-severity 12-month Health Coach SMD outside printed CI</t>
        </is>
      </c>
      <c r="C10" s="2" t="inlineStr">
        <is>
          <t>main article — PDF p. 10, Table 3, pain severity 12 months, Health Coach vs usual care plus SMD.</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2025::jama.2025.11178::C010</t>
        </is>
      </c>
      <c r="B11" s="3" t="inlineStr">
        <is>
          <t>Pain-intensity 12-month Health Coach SMD outside printed CI</t>
        </is>
      </c>
      <c r="C11" s="3" t="inlineStr">
        <is>
          <t>main article — PDF p. 10, Table 3, pain intensity 12 months, Health Coach vs usual care plus SMD.</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2025::jama.2025.11178::C011</t>
        </is>
      </c>
      <c r="B12" s="2" t="inlineStr">
        <is>
          <t>Pain-interference 12-month painTRAINER SMD outside printed CI</t>
        </is>
      </c>
      <c r="C12" s="2" t="inlineStr">
        <is>
          <t>main article — PDF p. 10, Table 3, interference 12 months, painTRAINER vs usual care plus SMD.</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2025::jama.2025.11178::C012</t>
        </is>
      </c>
      <c r="B13" s="3" t="inlineStr">
        <is>
          <t>Pain-interference 12-month Health Coach SMD outside printed CI</t>
        </is>
      </c>
      <c r="C13" s="3" t="inlineStr">
        <is>
          <t>main article — PDF p. 10, Table 3, interference 12 months, Health Coach vs usual care plus SMD.</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2025::jama.2025.11178::C013</t>
        </is>
      </c>
      <c r="B14" s="2" t="inlineStr">
        <is>
          <t>Social-role 3-month painTRAINER SMD endpoints reversed</t>
        </is>
      </c>
      <c r="C14" s="2" t="inlineStr">
        <is>
          <t>main article — PDF p. 10, Table 3, social role, 3 months, painTRAINER vs usual care plus SMD.</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row r="15" ht="76" customHeight="1">
      <c r="A15" s="3" t="inlineStr">
        <is>
          <t>2025::jama.2025.11178::C014</t>
        </is>
      </c>
      <c r="B15" s="3" t="inlineStr">
        <is>
          <t>Social-role 3-month Health Coach SMD endpoints reversed</t>
        </is>
      </c>
      <c r="C15" s="3" t="inlineStr">
        <is>
          <t>main article — PDF p. 10, Table 3, social role, 3 months, Health Coach vs usual care plus SMD.</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row>
    <row r="16" ht="76" customHeight="1">
      <c r="A16" s="2" t="inlineStr">
        <is>
          <t>2025::jama.2025.11178::C015</t>
        </is>
      </c>
      <c r="B16" s="2" t="inlineStr">
        <is>
          <t>Social-role 3-month Health Coach versus painTRAINER SMD endpoints reversed</t>
        </is>
      </c>
      <c r="C16" s="2" t="inlineStr">
        <is>
          <t>main article — PDF p. 10, Table 3, social role, 3 months, Health Coach vs painTRAINER SMD.</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row>
    <row r="17" ht="76" customHeight="1">
      <c r="A17" s="3" t="inlineStr">
        <is>
          <t>2025::jama.2025.11178::C016</t>
        </is>
      </c>
      <c r="B17" s="3" t="inlineStr">
        <is>
          <t>Social-role 6-month painTRAINER SMD endpoints reversed</t>
        </is>
      </c>
      <c r="C17" s="3" t="inlineStr">
        <is>
          <t>main article — PDF p. 10, Table 3, social role, 6 months, painTRAINER vs usual care plus SMD.</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row>
    <row r="18" ht="76" customHeight="1">
      <c r="A18" s="2" t="inlineStr">
        <is>
          <t>2025::jama.2025.11178::C017</t>
        </is>
      </c>
      <c r="B18" s="2" t="inlineStr">
        <is>
          <t>Social-role 6-month Health Coach SMD endpoints reversed</t>
        </is>
      </c>
      <c r="C18" s="2" t="inlineStr">
        <is>
          <t>main article — PDF p. 10, Table 3, social role, 6 months, Health Coach vs usual care plus SMD.</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internal_nonstatistical",$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internal_nonstatistical",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IF(OR(AND($D18&lt;&gt;"",$D18&lt;&gt;"retain"),NOT(OR($E18="internal_nonstatistical",$E18="plan_material"))),"not_applicable","")</f>
        <v/>
      </c>
      <c r="L18" s="9">
        <f>IF(OR(AND($D18&lt;&gt;"",$D18&lt;&gt;"retain"),NOT(OR($E18="protocol_report"))),"not_applicable","")</f>
        <v/>
      </c>
      <c r="M18" s="10" t="inlineStr"/>
      <c r="N18" s="10" t="inlineStr"/>
    </row>
    <row r="19" ht="76" customHeight="1">
      <c r="A19" s="3" t="inlineStr">
        <is>
          <t>2025::jama.2025.11178::C018</t>
        </is>
      </c>
      <c r="B19" s="3" t="inlineStr">
        <is>
          <t>Social-role 6-month Health Coach versus painTRAINER SMD endpoints reversed</t>
        </is>
      </c>
      <c r="C19" s="3" t="inlineStr">
        <is>
          <t>main article — PDF p. 10, Table 3, social role, 6 months, Health Coach vs painTRAINER SMD.</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internal_nonstatistical",$E19="plan_material"))),K19&lt;&gt;"",K19&lt;&gt;"not_applicable"),AND(OR(AND($D19&lt;&gt;"",$D19&lt;&gt;"retain"),NOT(OR($E19="protocol_report"))),L19&lt;&gt;"",L19&lt;&gt;"not_applicable")),"CLEAR INACTIVE VALUES",IF(OR(COUNTIF(opt_disposition,D19)&lt;&gt;1,COUNTIF(opt_domain,E19)&lt;&gt;1,AND(D19="retain",E19="statistical_results",OR(OR(COUNTIF(opt_statisticalErrorStatus,H19)&lt;&gt;1,H19="not_applicable"),OR(COUNTIF(opt_substantiveStatus,I19)&lt;&gt;1,I19="not_applicable"))),AND(D19="retain",E19="internal_nonstatistical",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IF(OR(AND($D19&lt;&gt;"",$D19&lt;&gt;"retain"),NOT(OR($E19="internal_nonstatistical",$E19="plan_material"))),"not_applicable","")</f>
        <v/>
      </c>
      <c r="L19" s="9">
        <f>IF(OR(AND($D19&lt;&gt;"",$D19&lt;&gt;"retain"),NOT(OR($E19="protocol_report"))),"not_applicable","")</f>
        <v/>
      </c>
      <c r="M19" s="10" t="inlineStr"/>
      <c r="N19" s="10" t="inlineStr"/>
    </row>
    <row r="20" ht="76" customHeight="1">
      <c r="A20" s="2" t="inlineStr">
        <is>
          <t>2025::jama.2025.11178::C019</t>
        </is>
      </c>
      <c r="B20" s="2" t="inlineStr">
        <is>
          <t>Social-role 12-month painTRAINER SMD endpoints reversed</t>
        </is>
      </c>
      <c r="C20" s="2" t="inlineStr">
        <is>
          <t>main article — PDF p. 10, Table 3, social role, 12 months, painTRAINER vs usual care plus SMD.</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internal_nonstatistical",$E20="plan_material"))),K20&lt;&gt;"",K20&lt;&gt;"not_applicable"),AND(OR(AND($D20&lt;&gt;"",$D20&lt;&gt;"retain"),NOT(OR($E20="protocol_report"))),L20&lt;&gt;"",L20&lt;&gt;"not_applicable")),"CLEAR INACTIVE VALUES",IF(OR(COUNTIF(opt_disposition,D20)&lt;&gt;1,COUNTIF(opt_domain,E20)&lt;&gt;1,AND(D20="retain",E20="statistical_results",OR(OR(COUNTIF(opt_statisticalErrorStatus,H20)&lt;&gt;1,H20="not_applicable"),OR(COUNTIF(opt_substantiveStatus,I20)&lt;&gt;1,I20="not_applicable"))),AND(D20="retain",E20="internal_nonstatistical",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IF(OR(AND($D20&lt;&gt;"",$D20&lt;&gt;"retain"),NOT(OR($E20="internal_nonstatistical",$E20="plan_material"))),"not_applicable","")</f>
        <v/>
      </c>
      <c r="L20" s="9">
        <f>IF(OR(AND($D20&lt;&gt;"",$D20&lt;&gt;"retain"),NOT(OR($E20="protocol_report"))),"not_applicable","")</f>
        <v/>
      </c>
      <c r="M20" s="10" t="inlineStr"/>
      <c r="N20" s="10" t="inlineStr"/>
    </row>
    <row r="21" ht="76" customHeight="1">
      <c r="A21" s="3" t="inlineStr">
        <is>
          <t>2025::jama.2025.11178::C020</t>
        </is>
      </c>
      <c r="B21" s="3" t="inlineStr">
        <is>
          <t>Social-role 12-month Health Coach SMD endpoints reversed</t>
        </is>
      </c>
      <c r="C21" s="3" t="inlineStr">
        <is>
          <t>main article — PDF p. 10, Table 3, social role, 12 months, Health Coach vs usual care plus SMD.</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internal_nonstatistical",$E21="plan_material"))),K21&lt;&gt;"",K21&lt;&gt;"not_applicable"),AND(OR(AND($D21&lt;&gt;"",$D21&lt;&gt;"retain"),NOT(OR($E21="protocol_report"))),L21&lt;&gt;"",L21&lt;&gt;"not_applicable")),"CLEAR INACTIVE VALUES",IF(OR(COUNTIF(opt_disposition,D21)&lt;&gt;1,COUNTIF(opt_domain,E21)&lt;&gt;1,AND(D21="retain",E21="statistical_results",OR(OR(COUNTIF(opt_statisticalErrorStatus,H21)&lt;&gt;1,H21="not_applicable"),OR(COUNTIF(opt_substantiveStatus,I21)&lt;&gt;1,I21="not_applicable"))),AND(D21="retain",E21="internal_nonstatistical",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IF(OR(AND($D21&lt;&gt;"",$D21&lt;&gt;"retain"),NOT(OR($E21="internal_nonstatistical",$E21="plan_material"))),"not_applicable","")</f>
        <v/>
      </c>
      <c r="L21" s="9">
        <f>IF(OR(AND($D21&lt;&gt;"",$D21&lt;&gt;"retain"),NOT(OR($E21="protocol_report"))),"not_applicable","")</f>
        <v/>
      </c>
      <c r="M21" s="10" t="inlineStr"/>
      <c r="N21" s="10" t="inlineStr"/>
    </row>
    <row r="22" ht="76" customHeight="1">
      <c r="A22" s="2" t="inlineStr">
        <is>
          <t>2025::jama.2025.11178::C021</t>
        </is>
      </c>
      <c r="B22" s="2" t="inlineStr">
        <is>
          <t>Social-role 12-month Health Coach versus painTRAINER SMD endpoints reversed</t>
        </is>
      </c>
      <c r="C22" s="2" t="inlineStr">
        <is>
          <t>main article — PDF p. 10, Table 3, social role, 12 months, Health Coach vs painTRAINER SMD.</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internal_nonstatistical",$E22="plan_material"))),K22&lt;&gt;"",K22&lt;&gt;"not_applicable"),AND(OR(AND($D22&lt;&gt;"",$D22&lt;&gt;"retain"),NOT(OR($E22="protocol_report"))),L22&lt;&gt;"",L22&lt;&gt;"not_applicable")),"CLEAR INACTIVE VALUES",IF(OR(COUNTIF(opt_disposition,D22)&lt;&gt;1,COUNTIF(opt_domain,E22)&lt;&gt;1,AND(D22="retain",E22="statistical_results",OR(OR(COUNTIF(opt_statisticalErrorStatus,H22)&lt;&gt;1,H22="not_applicable"),OR(COUNTIF(opt_substantiveStatus,I22)&lt;&gt;1,I22="not_applicable"))),AND(D22="retain",E22="internal_nonstatistical",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IF(OR(AND($D22&lt;&gt;"",$D22&lt;&gt;"retain"),NOT(OR($E22="internal_nonstatistical",$E22="plan_material"))),"not_applicable","")</f>
        <v/>
      </c>
      <c r="L22" s="9">
        <f>IF(OR(AND($D22&lt;&gt;"",$D22&lt;&gt;"retain"),NOT(OR($E22="protocol_report"))),"not_applicable","")</f>
        <v/>
      </c>
      <c r="M22" s="10" t="inlineStr"/>
      <c r="N22" s="10" t="inlineStr"/>
    </row>
    <row r="23" ht="76" customHeight="1">
      <c r="A23" s="3" t="inlineStr">
        <is>
          <t>2025::jama.2025.11178::C022</t>
        </is>
      </c>
      <c r="B23" s="3" t="inlineStr">
        <is>
          <t>Physical-function 3-month painTRAINER SMD endpoints reversed</t>
        </is>
      </c>
      <c r="C23" s="3" t="inlineStr">
        <is>
          <t>main article — PDF p. 10, Table 3, physical function, 3 months, painTRAINER vs usual care plus SMD.</t>
        </is>
      </c>
      <c r="D23" s="8" t="inlineStr"/>
      <c r="E23" s="8" t="inlineStr">
        <is>
          <t>statistical_results</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internal_nonstatistical",$E23="plan_material"))),K23&lt;&gt;"",K23&lt;&gt;"not_applicable"),AND(OR(AND($D23&lt;&gt;"",$D23&lt;&gt;"retain"),NOT(OR($E23="protocol_report"))),L23&lt;&gt;"",L23&lt;&gt;"not_applicable")),"CLEAR INACTIVE VALUES",IF(OR(COUNTIF(opt_disposition,D23)&lt;&gt;1,COUNTIF(opt_domain,E23)&lt;&gt;1,AND(D23="retain",E23="statistical_results",OR(OR(COUNTIF(opt_statisticalErrorStatus,H23)&lt;&gt;1,H23="not_applicable"),OR(COUNTIF(opt_substantiveStatus,I23)&lt;&gt;1,I23="not_applicable"))),AND(D23="retain",E23="internal_nonstatistical",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IF(OR(AND($D23&lt;&gt;"",$D23&lt;&gt;"retain"),NOT(OR($E23="internal_nonstatistical",$E23="plan_material"))),"not_applicable","")</f>
        <v/>
      </c>
      <c r="L23" s="9">
        <f>IF(OR(AND($D23&lt;&gt;"",$D23&lt;&gt;"retain"),NOT(OR($E23="protocol_report"))),"not_applicable","")</f>
        <v/>
      </c>
      <c r="M23" s="10" t="inlineStr"/>
      <c r="N23" s="10" t="inlineStr"/>
    </row>
    <row r="24" ht="76" customHeight="1">
      <c r="A24" s="2" t="inlineStr">
        <is>
          <t>2025::jama.2025.11178::C023</t>
        </is>
      </c>
      <c r="B24" s="2" t="inlineStr">
        <is>
          <t>Physical-function 3-month Health Coach SMD endpoints reversed</t>
        </is>
      </c>
      <c r="C24" s="2" t="inlineStr">
        <is>
          <t>main article — PDF p. 10, Table 3, physical function, 3 months, Health Coach vs usual care plus SMD.</t>
        </is>
      </c>
      <c r="D24" s="8" t="inlineStr"/>
      <c r="E24" s="8" t="inlineStr">
        <is>
          <t>statistical_results</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internal_nonstatistical",$E24="plan_material"))),K24&lt;&gt;"",K24&lt;&gt;"not_applicable"),AND(OR(AND($D24&lt;&gt;"",$D24&lt;&gt;"retain"),NOT(OR($E24="protocol_report"))),L24&lt;&gt;"",L24&lt;&gt;"not_applicable")),"CLEAR INACTIVE VALUES",IF(OR(COUNTIF(opt_disposition,D24)&lt;&gt;1,COUNTIF(opt_domain,E24)&lt;&gt;1,AND(D24="retain",E24="statistical_results",OR(OR(COUNTIF(opt_statisticalErrorStatus,H24)&lt;&gt;1,H24="not_applicable"),OR(COUNTIF(opt_substantiveStatus,I24)&lt;&gt;1,I24="not_applicable"))),AND(D24="retain",E24="internal_nonstatistical",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IF(OR(AND($D24&lt;&gt;"",$D24&lt;&gt;"retain"),NOT(OR($E24="internal_nonstatistical",$E24="plan_material"))),"not_applicable","")</f>
        <v/>
      </c>
      <c r="L24" s="9">
        <f>IF(OR(AND($D24&lt;&gt;"",$D24&lt;&gt;"retain"),NOT(OR($E24="protocol_report"))),"not_applicable","")</f>
        <v/>
      </c>
      <c r="M24" s="10" t="inlineStr"/>
      <c r="N24" s="10" t="inlineStr"/>
    </row>
    <row r="25" ht="76" customHeight="1">
      <c r="A25" s="3" t="inlineStr">
        <is>
          <t>2025::jama.2025.11178::C024</t>
        </is>
      </c>
      <c r="B25" s="3" t="inlineStr">
        <is>
          <t>Physical-function 3-month Health Coach versus painTRAINER SMD endpoints reversed</t>
        </is>
      </c>
      <c r="C25" s="3" t="inlineStr">
        <is>
          <t>main article — PDF p. 10, Table 3, physical function, 3 months, Health Coach vs painTRAINER SMD.</t>
        </is>
      </c>
      <c r="D25" s="8" t="inlineStr"/>
      <c r="E25" s="8" t="inlineStr">
        <is>
          <t>statistical_results</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internal_nonstatistical",$E25="plan_material"))),K25&lt;&gt;"",K25&lt;&gt;"not_applicable"),AND(OR(AND($D25&lt;&gt;"",$D25&lt;&gt;"retain"),NOT(OR($E25="protocol_report"))),L25&lt;&gt;"",L25&lt;&gt;"not_applicable")),"CLEAR INACTIVE VALUES",IF(OR(COUNTIF(opt_disposition,D25)&lt;&gt;1,COUNTIF(opt_domain,E25)&lt;&gt;1,AND(D25="retain",E25="statistical_results",OR(OR(COUNTIF(opt_statisticalErrorStatus,H25)&lt;&gt;1,H25="not_applicable"),OR(COUNTIF(opt_substantiveStatus,I25)&lt;&gt;1,I25="not_applicable"))),AND(D25="retain",E25="internal_nonstatistical",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IF(OR(AND($D25&lt;&gt;"",$D25&lt;&gt;"retain"),NOT(OR($E25="internal_nonstatistical",$E25="plan_material"))),"not_applicable","")</f>
        <v/>
      </c>
      <c r="L25" s="9">
        <f>IF(OR(AND($D25&lt;&gt;"",$D25&lt;&gt;"retain"),NOT(OR($E25="protocol_report"))),"not_applicable","")</f>
        <v/>
      </c>
      <c r="M25" s="10" t="inlineStr"/>
      <c r="N25" s="10" t="inlineStr"/>
    </row>
    <row r="26" ht="76" customHeight="1">
      <c r="A26" s="2" t="inlineStr">
        <is>
          <t>2025::jama.2025.11178::C025</t>
        </is>
      </c>
      <c r="B26" s="2" t="inlineStr">
        <is>
          <t>Physical-function 6-month painTRAINER SMD endpoints reversed and exclude estimate</t>
        </is>
      </c>
      <c r="C26" s="2" t="inlineStr">
        <is>
          <t>main article — PDF p. 10, Table 3, physical function, 6 months, painTRAINER vs usual care plus SMD.</t>
        </is>
      </c>
      <c r="D26" s="8" t="inlineStr"/>
      <c r="E26" s="8" t="inlineStr">
        <is>
          <t>statistical_results</t>
        </is>
      </c>
      <c r="F26" s="8" t="inlineStr">
        <is>
          <t>no</t>
        </is>
      </c>
      <c r="G26" s="2">
        <f>IF(OR(AND(OR(AND($D26&lt;&gt;"",$D26&lt;&gt;"retain"),NOT(OR($E26="statistical_results"))),H26&lt;&gt;"",H26&lt;&gt;"not_applicable"),AND(OR(AND($D26&lt;&gt;"",$D26&lt;&gt;"retain"),NOT(OR($E26="statistical_results"))),I26&lt;&gt;"",I26&lt;&gt;"not_applicable"),AND(OR(AND($D26&lt;&gt;"",$D26&lt;&gt;"retain"),NOT(OR($E26="statistical_results"))),J26&lt;&gt;"",J26&lt;&gt;"not_applicable"),AND(OR(AND($D26&lt;&gt;"",$D26&lt;&gt;"retain"),NOT(OR($E26="internal_nonstatistical",$E26="plan_material"))),K26&lt;&gt;"",K26&lt;&gt;"not_applicable"),AND(OR(AND($D26&lt;&gt;"",$D26&lt;&gt;"retain"),NOT(OR($E26="protocol_report"))),L26&lt;&gt;"",L26&lt;&gt;"not_applicable")),"CLEAR INACTIVE VALUES",IF(OR(COUNTIF(opt_disposition,D26)&lt;&gt;1,COUNTIF(opt_domain,E26)&lt;&gt;1,AND(D26="retain",E26="statistical_results",OR(OR(COUNTIF(opt_statisticalErrorStatus,H26)&lt;&gt;1,H26="not_applicable"),OR(COUNTIF(opt_substantiveStatus,I26)&lt;&gt;1,I26="not_applicable"))),AND(D26="retain",E26="internal_nonstatistical",OR(OR(COUNTIF(opt_internalStatus,K26)&lt;&gt;1,K26="not_applicable"))),AND(D26="retain",E26="plan_material",OR(OR(COUNTIF(opt_internalStatus,K26)&lt;&gt;1,K26="not_applicable")))),"CHECK FIELDS",IF(F26="yes","READY - validate saved file","DRAFT")))</f>
        <v/>
      </c>
      <c r="H26" s="8">
        <f>IF(OR(AND($D26&lt;&gt;"",$D26&lt;&gt;"retain"),NOT(OR($E26="statistical_results"))),"not_applicable","")</f>
        <v/>
      </c>
      <c r="I26" s="8">
        <f>IF(OR(AND($D26&lt;&gt;"",$D26&lt;&gt;"retain"),NOT(OR($E26="statistical_results"))),"not_applicable","")</f>
        <v/>
      </c>
      <c r="J26" s="9">
        <f>IF(OR(AND($D26&lt;&gt;"",$D26&lt;&gt;"retain"),NOT(OR($E26="statistical_results"))),"not_applicable","")</f>
        <v/>
      </c>
      <c r="K26" s="8">
        <f>IF(OR(AND($D26&lt;&gt;"",$D26&lt;&gt;"retain"),NOT(OR($E26="internal_nonstatistical",$E26="plan_material"))),"not_applicable","")</f>
        <v/>
      </c>
      <c r="L26" s="9">
        <f>IF(OR(AND($D26&lt;&gt;"",$D26&lt;&gt;"retain"),NOT(OR($E26="protocol_report"))),"not_applicable","")</f>
        <v/>
      </c>
      <c r="M26" s="10" t="inlineStr"/>
      <c r="N26" s="10" t="inlineStr"/>
    </row>
    <row r="27" ht="76" customHeight="1">
      <c r="A27" s="3" t="inlineStr">
        <is>
          <t>2025::jama.2025.11178::C026</t>
        </is>
      </c>
      <c r="B27" s="3" t="inlineStr">
        <is>
          <t>Physical-function 6-month Health Coach SMD endpoints reversed</t>
        </is>
      </c>
      <c r="C27" s="3" t="inlineStr">
        <is>
          <t>main article — PDF p. 10, Table 3, physical function, 6 months, Health Coach vs usual care plus SMD.</t>
        </is>
      </c>
      <c r="D27" s="8" t="inlineStr"/>
      <c r="E27" s="8" t="inlineStr">
        <is>
          <t>statistical_results</t>
        </is>
      </c>
      <c r="F27" s="8" t="inlineStr">
        <is>
          <t>no</t>
        </is>
      </c>
      <c r="G27" s="3">
        <f>IF(OR(AND(OR(AND($D27&lt;&gt;"",$D27&lt;&gt;"retain"),NOT(OR($E27="statistical_results"))),H27&lt;&gt;"",H27&lt;&gt;"not_applicable"),AND(OR(AND($D27&lt;&gt;"",$D27&lt;&gt;"retain"),NOT(OR($E27="statistical_results"))),I27&lt;&gt;"",I27&lt;&gt;"not_applicable"),AND(OR(AND($D27&lt;&gt;"",$D27&lt;&gt;"retain"),NOT(OR($E27="statistical_results"))),J27&lt;&gt;"",J27&lt;&gt;"not_applicable"),AND(OR(AND($D27&lt;&gt;"",$D27&lt;&gt;"retain"),NOT(OR($E27="internal_nonstatistical",$E27="plan_material"))),K27&lt;&gt;"",K27&lt;&gt;"not_applicable"),AND(OR(AND($D27&lt;&gt;"",$D27&lt;&gt;"retain"),NOT(OR($E27="protocol_report"))),L27&lt;&gt;"",L27&lt;&gt;"not_applicable")),"CLEAR INACTIVE VALUES",IF(OR(COUNTIF(opt_disposition,D27)&lt;&gt;1,COUNTIF(opt_domain,E27)&lt;&gt;1,AND(D27="retain",E27="statistical_results",OR(OR(COUNTIF(opt_statisticalErrorStatus,H27)&lt;&gt;1,H27="not_applicable"),OR(COUNTIF(opt_substantiveStatus,I27)&lt;&gt;1,I27="not_applicable"))),AND(D27="retain",E27="internal_nonstatistical",OR(OR(COUNTIF(opt_internalStatus,K27)&lt;&gt;1,K27="not_applicable"))),AND(D27="retain",E27="plan_material",OR(OR(COUNTIF(opt_internalStatus,K27)&lt;&gt;1,K27="not_applicable")))),"CHECK FIELDS",IF(F27="yes","READY - validate saved file","DRAFT")))</f>
        <v/>
      </c>
      <c r="H27" s="8">
        <f>IF(OR(AND($D27&lt;&gt;"",$D27&lt;&gt;"retain"),NOT(OR($E27="statistical_results"))),"not_applicable","")</f>
        <v/>
      </c>
      <c r="I27" s="8">
        <f>IF(OR(AND($D27&lt;&gt;"",$D27&lt;&gt;"retain"),NOT(OR($E27="statistical_results"))),"not_applicable","")</f>
        <v/>
      </c>
      <c r="J27" s="9">
        <f>IF(OR(AND($D27&lt;&gt;"",$D27&lt;&gt;"retain"),NOT(OR($E27="statistical_results"))),"not_applicable","")</f>
        <v/>
      </c>
      <c r="K27" s="8">
        <f>IF(OR(AND($D27&lt;&gt;"",$D27&lt;&gt;"retain"),NOT(OR($E27="internal_nonstatistical",$E27="plan_material"))),"not_applicable","")</f>
        <v/>
      </c>
      <c r="L27" s="9">
        <f>IF(OR(AND($D27&lt;&gt;"",$D27&lt;&gt;"retain"),NOT(OR($E27="protocol_report"))),"not_applicable","")</f>
        <v/>
      </c>
      <c r="M27" s="10" t="inlineStr"/>
      <c r="N27" s="10" t="inlineStr"/>
    </row>
    <row r="28" ht="76" customHeight="1">
      <c r="A28" s="2" t="inlineStr">
        <is>
          <t>2025::jama.2025.11178::C027</t>
        </is>
      </c>
      <c r="B28" s="2" t="inlineStr">
        <is>
          <t>Physical-function 6-month Health Coach versus painTRAINER SMD endpoints reversed and exclude estimate</t>
        </is>
      </c>
      <c r="C28" s="2" t="inlineStr">
        <is>
          <t>main article — PDF p. 10, Table 3, physical function, 6 months, Health Coach vs painTRAINER SMD.</t>
        </is>
      </c>
      <c r="D28" s="8" t="inlineStr"/>
      <c r="E28" s="8" t="inlineStr">
        <is>
          <t>statistical_results</t>
        </is>
      </c>
      <c r="F28" s="8" t="inlineStr">
        <is>
          <t>no</t>
        </is>
      </c>
      <c r="G28" s="2">
        <f>IF(OR(AND(OR(AND($D28&lt;&gt;"",$D28&lt;&gt;"retain"),NOT(OR($E28="statistical_results"))),H28&lt;&gt;"",H28&lt;&gt;"not_applicable"),AND(OR(AND($D28&lt;&gt;"",$D28&lt;&gt;"retain"),NOT(OR($E28="statistical_results"))),I28&lt;&gt;"",I28&lt;&gt;"not_applicable"),AND(OR(AND($D28&lt;&gt;"",$D28&lt;&gt;"retain"),NOT(OR($E28="statistical_results"))),J28&lt;&gt;"",J28&lt;&gt;"not_applicable"),AND(OR(AND($D28&lt;&gt;"",$D28&lt;&gt;"retain"),NOT(OR($E28="internal_nonstatistical",$E28="plan_material"))),K28&lt;&gt;"",K28&lt;&gt;"not_applicable"),AND(OR(AND($D28&lt;&gt;"",$D28&lt;&gt;"retain"),NOT(OR($E28="protocol_report"))),L28&lt;&gt;"",L28&lt;&gt;"not_applicable")),"CLEAR INACTIVE VALUES",IF(OR(COUNTIF(opt_disposition,D28)&lt;&gt;1,COUNTIF(opt_domain,E28)&lt;&gt;1,AND(D28="retain",E28="statistical_results",OR(OR(COUNTIF(opt_statisticalErrorStatus,H28)&lt;&gt;1,H28="not_applicable"),OR(COUNTIF(opt_substantiveStatus,I28)&lt;&gt;1,I28="not_applicable"))),AND(D28="retain",E28="internal_nonstatistical",OR(OR(COUNTIF(opt_internalStatus,K28)&lt;&gt;1,K28="not_applicable"))),AND(D28="retain",E28="plan_material",OR(OR(COUNTIF(opt_internalStatus,K28)&lt;&gt;1,K28="not_applicable")))),"CHECK FIELDS",IF(F28="yes","READY - validate saved file","DRAFT")))</f>
        <v/>
      </c>
      <c r="H28" s="8">
        <f>IF(OR(AND($D28&lt;&gt;"",$D28&lt;&gt;"retain"),NOT(OR($E28="statistical_results"))),"not_applicable","")</f>
        <v/>
      </c>
      <c r="I28" s="8">
        <f>IF(OR(AND($D28&lt;&gt;"",$D28&lt;&gt;"retain"),NOT(OR($E28="statistical_results"))),"not_applicable","")</f>
        <v/>
      </c>
      <c r="J28" s="9">
        <f>IF(OR(AND($D28&lt;&gt;"",$D28&lt;&gt;"retain"),NOT(OR($E28="statistical_results"))),"not_applicable","")</f>
        <v/>
      </c>
      <c r="K28" s="8">
        <f>IF(OR(AND($D28&lt;&gt;"",$D28&lt;&gt;"retain"),NOT(OR($E28="internal_nonstatistical",$E28="plan_material"))),"not_applicable","")</f>
        <v/>
      </c>
      <c r="L28" s="9">
        <f>IF(OR(AND($D28&lt;&gt;"",$D28&lt;&gt;"retain"),NOT(OR($E28="protocol_report"))),"not_applicable","")</f>
        <v/>
      </c>
      <c r="M28" s="10" t="inlineStr"/>
      <c r="N28" s="10" t="inlineStr"/>
    </row>
    <row r="29" ht="76" customHeight="1">
      <c r="A29" s="3" t="inlineStr">
        <is>
          <t>2025::jama.2025.11178::C028</t>
        </is>
      </c>
      <c r="B29" s="3" t="inlineStr">
        <is>
          <t>Physical-function 12-month painTRAINER SMD endpoints reversed and exclude estimate</t>
        </is>
      </c>
      <c r="C29" s="3" t="inlineStr">
        <is>
          <t>main article — PDF p. 10, Table 3, physical function, 12 months, painTRAINER vs usual care plus SMD.</t>
        </is>
      </c>
      <c r="D29" s="8" t="inlineStr"/>
      <c r="E29" s="8" t="inlineStr">
        <is>
          <t>statistical_results</t>
        </is>
      </c>
      <c r="F29" s="8" t="inlineStr">
        <is>
          <t>no</t>
        </is>
      </c>
      <c r="G29" s="3">
        <f>IF(OR(AND(OR(AND($D29&lt;&gt;"",$D29&lt;&gt;"retain"),NOT(OR($E29="statistical_results"))),H29&lt;&gt;"",H29&lt;&gt;"not_applicable"),AND(OR(AND($D29&lt;&gt;"",$D29&lt;&gt;"retain"),NOT(OR($E29="statistical_results"))),I29&lt;&gt;"",I29&lt;&gt;"not_applicable"),AND(OR(AND($D29&lt;&gt;"",$D29&lt;&gt;"retain"),NOT(OR($E29="statistical_results"))),J29&lt;&gt;"",J29&lt;&gt;"not_applicable"),AND(OR(AND($D29&lt;&gt;"",$D29&lt;&gt;"retain"),NOT(OR($E29="internal_nonstatistical",$E29="plan_material"))),K29&lt;&gt;"",K29&lt;&gt;"not_applicable"),AND(OR(AND($D29&lt;&gt;"",$D29&lt;&gt;"retain"),NOT(OR($E29="protocol_report"))),L29&lt;&gt;"",L29&lt;&gt;"not_applicable")),"CLEAR INACTIVE VALUES",IF(OR(COUNTIF(opt_disposition,D29)&lt;&gt;1,COUNTIF(opt_domain,E29)&lt;&gt;1,AND(D29="retain",E29="statistical_results",OR(OR(COUNTIF(opt_statisticalErrorStatus,H29)&lt;&gt;1,H29="not_applicable"),OR(COUNTIF(opt_substantiveStatus,I29)&lt;&gt;1,I29="not_applicable"))),AND(D29="retain",E29="internal_nonstatistical",OR(OR(COUNTIF(opt_internalStatus,K29)&lt;&gt;1,K29="not_applicable"))),AND(D29="retain",E29="plan_material",OR(OR(COUNTIF(opt_internalStatus,K29)&lt;&gt;1,K29="not_applicable")))),"CHECK FIELDS",IF(F29="yes","READY - validate saved file","DRAFT")))</f>
        <v/>
      </c>
      <c r="H29" s="8">
        <f>IF(OR(AND($D29&lt;&gt;"",$D29&lt;&gt;"retain"),NOT(OR($E29="statistical_results"))),"not_applicable","")</f>
        <v/>
      </c>
      <c r="I29" s="8">
        <f>IF(OR(AND($D29&lt;&gt;"",$D29&lt;&gt;"retain"),NOT(OR($E29="statistical_results"))),"not_applicable","")</f>
        <v/>
      </c>
      <c r="J29" s="9">
        <f>IF(OR(AND($D29&lt;&gt;"",$D29&lt;&gt;"retain"),NOT(OR($E29="statistical_results"))),"not_applicable","")</f>
        <v/>
      </c>
      <c r="K29" s="8">
        <f>IF(OR(AND($D29&lt;&gt;"",$D29&lt;&gt;"retain"),NOT(OR($E29="internal_nonstatistical",$E29="plan_material"))),"not_applicable","")</f>
        <v/>
      </c>
      <c r="L29" s="9">
        <f>IF(OR(AND($D29&lt;&gt;"",$D29&lt;&gt;"retain"),NOT(OR($E29="protocol_report"))),"not_applicable","")</f>
        <v/>
      </c>
      <c r="M29" s="10" t="inlineStr"/>
      <c r="N29" s="10" t="inlineStr"/>
    </row>
    <row r="30" ht="76" customHeight="1">
      <c r="A30" s="2" t="inlineStr">
        <is>
          <t>2025::jama.2025.11178::C029</t>
        </is>
      </c>
      <c r="B30" s="2" t="inlineStr">
        <is>
          <t>Physical-function 12-month Health Coach SMD endpoints reversed and exclude estimate</t>
        </is>
      </c>
      <c r="C30" s="2" t="inlineStr">
        <is>
          <t>main article — PDF p. 10, Table 3, physical function, 12 months, Health Coach vs usual care plus SMD.</t>
        </is>
      </c>
      <c r="D30" s="8" t="inlineStr"/>
      <c r="E30" s="8" t="inlineStr">
        <is>
          <t>statistical_results</t>
        </is>
      </c>
      <c r="F30" s="8" t="inlineStr">
        <is>
          <t>no</t>
        </is>
      </c>
      <c r="G30" s="2">
        <f>IF(OR(AND(OR(AND($D30&lt;&gt;"",$D30&lt;&gt;"retain"),NOT(OR($E30="statistical_results"))),H30&lt;&gt;"",H30&lt;&gt;"not_applicable"),AND(OR(AND($D30&lt;&gt;"",$D30&lt;&gt;"retain"),NOT(OR($E30="statistical_results"))),I30&lt;&gt;"",I30&lt;&gt;"not_applicable"),AND(OR(AND($D30&lt;&gt;"",$D30&lt;&gt;"retain"),NOT(OR($E30="statistical_results"))),J30&lt;&gt;"",J30&lt;&gt;"not_applicable"),AND(OR(AND($D30&lt;&gt;"",$D30&lt;&gt;"retain"),NOT(OR($E30="internal_nonstatistical",$E30="plan_material"))),K30&lt;&gt;"",K30&lt;&gt;"not_applicable"),AND(OR(AND($D30&lt;&gt;"",$D30&lt;&gt;"retain"),NOT(OR($E30="protocol_report"))),L30&lt;&gt;"",L30&lt;&gt;"not_applicable")),"CLEAR INACTIVE VALUES",IF(OR(COUNTIF(opt_disposition,D30)&lt;&gt;1,COUNTIF(opt_domain,E30)&lt;&gt;1,AND(D30="retain",E30="statistical_results",OR(OR(COUNTIF(opt_statisticalErrorStatus,H30)&lt;&gt;1,H30="not_applicable"),OR(COUNTIF(opt_substantiveStatus,I30)&lt;&gt;1,I30="not_applicable"))),AND(D30="retain",E30="internal_nonstatistical",OR(OR(COUNTIF(opt_internalStatus,K30)&lt;&gt;1,K30="not_applicable"))),AND(D30="retain",E30="plan_material",OR(OR(COUNTIF(opt_internalStatus,K30)&lt;&gt;1,K30="not_applicable")))),"CHECK FIELDS",IF(F30="yes","READY - validate saved file","DRAFT")))</f>
        <v/>
      </c>
      <c r="H30" s="8">
        <f>IF(OR(AND($D30&lt;&gt;"",$D30&lt;&gt;"retain"),NOT(OR($E30="statistical_results"))),"not_applicable","")</f>
        <v/>
      </c>
      <c r="I30" s="8">
        <f>IF(OR(AND($D30&lt;&gt;"",$D30&lt;&gt;"retain"),NOT(OR($E30="statistical_results"))),"not_applicable","")</f>
        <v/>
      </c>
      <c r="J30" s="9">
        <f>IF(OR(AND($D30&lt;&gt;"",$D30&lt;&gt;"retain"),NOT(OR($E30="statistical_results"))),"not_applicable","")</f>
        <v/>
      </c>
      <c r="K30" s="8">
        <f>IF(OR(AND($D30&lt;&gt;"",$D30&lt;&gt;"retain"),NOT(OR($E30="internal_nonstatistical",$E30="plan_material"))),"not_applicable","")</f>
        <v/>
      </c>
      <c r="L30" s="9">
        <f>IF(OR(AND($D30&lt;&gt;"",$D30&lt;&gt;"retain"),NOT(OR($E30="protocol_report"))),"not_applicable","")</f>
        <v/>
      </c>
      <c r="M30" s="10" t="inlineStr"/>
      <c r="N30" s="10" t="inlineStr"/>
    </row>
    <row r="31" ht="76" customHeight="1">
      <c r="A31" s="3" t="inlineStr">
        <is>
          <t>2025::jama.2025.11178::C030</t>
        </is>
      </c>
      <c r="B31" s="3" t="inlineStr">
        <is>
          <t>Physical-function 12-month Health Coach versus painTRAINER SMD endpoints reversed and exclude estimate</t>
        </is>
      </c>
      <c r="C31" s="3" t="inlineStr">
        <is>
          <t>main article — PDF p. 10, Table 3, physical function, 12 months, Health Coach vs painTRAINER SMD.</t>
        </is>
      </c>
      <c r="D31" s="8" t="inlineStr"/>
      <c r="E31" s="8" t="inlineStr">
        <is>
          <t>statistical_results</t>
        </is>
      </c>
      <c r="F31" s="8" t="inlineStr">
        <is>
          <t>no</t>
        </is>
      </c>
      <c r="G31" s="3">
        <f>IF(OR(AND(OR(AND($D31&lt;&gt;"",$D31&lt;&gt;"retain"),NOT(OR($E31="statistical_results"))),H31&lt;&gt;"",H31&lt;&gt;"not_applicable"),AND(OR(AND($D31&lt;&gt;"",$D31&lt;&gt;"retain"),NOT(OR($E31="statistical_results"))),I31&lt;&gt;"",I31&lt;&gt;"not_applicable"),AND(OR(AND($D31&lt;&gt;"",$D31&lt;&gt;"retain"),NOT(OR($E31="statistical_results"))),J31&lt;&gt;"",J31&lt;&gt;"not_applicable"),AND(OR(AND($D31&lt;&gt;"",$D31&lt;&gt;"retain"),NOT(OR($E31="internal_nonstatistical",$E31="plan_material"))),K31&lt;&gt;"",K31&lt;&gt;"not_applicable"),AND(OR(AND($D31&lt;&gt;"",$D31&lt;&gt;"retain"),NOT(OR($E31="protocol_report"))),L31&lt;&gt;"",L31&lt;&gt;"not_applicable")),"CLEAR INACTIVE VALUES",IF(OR(COUNTIF(opt_disposition,D31)&lt;&gt;1,COUNTIF(opt_domain,E31)&lt;&gt;1,AND(D31="retain",E31="statistical_results",OR(OR(COUNTIF(opt_statisticalErrorStatus,H31)&lt;&gt;1,H31="not_applicable"),OR(COUNTIF(opt_substantiveStatus,I31)&lt;&gt;1,I31="not_applicable"))),AND(D31="retain",E31="internal_nonstatistical",OR(OR(COUNTIF(opt_internalStatus,K31)&lt;&gt;1,K31="not_applicable"))),AND(D31="retain",E31="plan_material",OR(OR(COUNTIF(opt_internalStatus,K31)&lt;&gt;1,K31="not_applicable")))),"CHECK FIELDS",IF(F31="yes","READY - validate saved file","DRAFT")))</f>
        <v/>
      </c>
      <c r="H31" s="8">
        <f>IF(OR(AND($D31&lt;&gt;"",$D31&lt;&gt;"retain"),NOT(OR($E31="statistical_results"))),"not_applicable","")</f>
        <v/>
      </c>
      <c r="I31" s="8">
        <f>IF(OR(AND($D31&lt;&gt;"",$D31&lt;&gt;"retain"),NOT(OR($E31="statistical_results"))),"not_applicable","")</f>
        <v/>
      </c>
      <c r="J31" s="9">
        <f>IF(OR(AND($D31&lt;&gt;"",$D31&lt;&gt;"retain"),NOT(OR($E31="statistical_results"))),"not_applicable","")</f>
        <v/>
      </c>
      <c r="K31" s="8">
        <f>IF(OR(AND($D31&lt;&gt;"",$D31&lt;&gt;"retain"),NOT(OR($E31="internal_nonstatistical",$E31="plan_material"))),"not_applicable","")</f>
        <v/>
      </c>
      <c r="L31" s="9">
        <f>IF(OR(AND($D31&lt;&gt;"",$D31&lt;&gt;"retain"),NOT(OR($E31="protocol_report"))),"not_applicable","")</f>
        <v/>
      </c>
      <c r="M31" s="10" t="inlineStr"/>
      <c r="N31" s="10" t="inlineStr"/>
    </row>
    <row r="32" ht="76" customHeight="1">
      <c r="A32" s="2" t="inlineStr">
        <is>
          <t>2025::jama.2025.11178::C031</t>
        </is>
      </c>
      <c r="B32" s="2" t="inlineStr">
        <is>
          <t>PGIC-pain 12-month painTRAINER SMD outside printed CI</t>
        </is>
      </c>
      <c r="C32" s="2" t="inlineStr">
        <is>
          <t>main article — PDF p. 11, Table 3, PGIC-pain, 12 months, painTRAINER vs usual care plus SMD.</t>
        </is>
      </c>
      <c r="D32" s="8" t="inlineStr"/>
      <c r="E32" s="8" t="inlineStr">
        <is>
          <t>statistical_results</t>
        </is>
      </c>
      <c r="F32" s="8" t="inlineStr">
        <is>
          <t>no</t>
        </is>
      </c>
      <c r="G32" s="2">
        <f>IF(OR(AND(OR(AND($D32&lt;&gt;"",$D32&lt;&gt;"retain"),NOT(OR($E32="statistical_results"))),H32&lt;&gt;"",H32&lt;&gt;"not_applicable"),AND(OR(AND($D32&lt;&gt;"",$D32&lt;&gt;"retain"),NOT(OR($E32="statistical_results"))),I32&lt;&gt;"",I32&lt;&gt;"not_applicable"),AND(OR(AND($D32&lt;&gt;"",$D32&lt;&gt;"retain"),NOT(OR($E32="statistical_results"))),J32&lt;&gt;"",J32&lt;&gt;"not_applicable"),AND(OR(AND($D32&lt;&gt;"",$D32&lt;&gt;"retain"),NOT(OR($E32="internal_nonstatistical",$E32="plan_material"))),K32&lt;&gt;"",K32&lt;&gt;"not_applicable"),AND(OR(AND($D32&lt;&gt;"",$D32&lt;&gt;"retain"),NOT(OR($E32="protocol_report"))),L32&lt;&gt;"",L32&lt;&gt;"not_applicable")),"CLEAR INACTIVE VALUES",IF(OR(COUNTIF(opt_disposition,D32)&lt;&gt;1,COUNTIF(opt_domain,E32)&lt;&gt;1,AND(D32="retain",E32="statistical_results",OR(OR(COUNTIF(opt_statisticalErrorStatus,H32)&lt;&gt;1,H32="not_applicable"),OR(COUNTIF(opt_substantiveStatus,I32)&lt;&gt;1,I32="not_applicable"))),AND(D32="retain",E32="internal_nonstatistical",OR(OR(COUNTIF(opt_internalStatus,K32)&lt;&gt;1,K32="not_applicable"))),AND(D32="retain",E32="plan_material",OR(OR(COUNTIF(opt_internalStatus,K32)&lt;&gt;1,K32="not_applicable")))),"CHECK FIELDS",IF(F32="yes","READY - validate saved file","DRAFT")))</f>
        <v/>
      </c>
      <c r="H32" s="8">
        <f>IF(OR(AND($D32&lt;&gt;"",$D32&lt;&gt;"retain"),NOT(OR($E32="statistical_results"))),"not_applicable","")</f>
        <v/>
      </c>
      <c r="I32" s="8">
        <f>IF(OR(AND($D32&lt;&gt;"",$D32&lt;&gt;"retain"),NOT(OR($E32="statistical_results"))),"not_applicable","")</f>
        <v/>
      </c>
      <c r="J32" s="9">
        <f>IF(OR(AND($D32&lt;&gt;"",$D32&lt;&gt;"retain"),NOT(OR($E32="statistical_results"))),"not_applicable","")</f>
        <v/>
      </c>
      <c r="K32" s="8">
        <f>IF(OR(AND($D32&lt;&gt;"",$D32&lt;&gt;"retain"),NOT(OR($E32="internal_nonstatistical",$E32="plan_material"))),"not_applicable","")</f>
        <v/>
      </c>
      <c r="L32" s="9">
        <f>IF(OR(AND($D32&lt;&gt;"",$D32&lt;&gt;"retain"),NOT(OR($E32="protocol_report"))),"not_applicable","")</f>
        <v/>
      </c>
      <c r="M32" s="10" t="inlineStr"/>
      <c r="N32" s="10" t="inlineStr"/>
    </row>
    <row r="33" ht="76" customHeight="1">
      <c r="A33" s="3" t="inlineStr">
        <is>
          <t>2025::jama.2025.11178::C032</t>
        </is>
      </c>
      <c r="B33" s="3" t="inlineStr">
        <is>
          <t>PGIC-pain 12-month Health Coach SMD outside printed CI</t>
        </is>
      </c>
      <c r="C33" s="3" t="inlineStr">
        <is>
          <t>main article — PDF p. 11, Table 3, PGIC-pain, 12 months, Health Coach vs usual care plus SMD.</t>
        </is>
      </c>
      <c r="D33" s="8" t="inlineStr"/>
      <c r="E33" s="8" t="inlineStr">
        <is>
          <t>statistical_results</t>
        </is>
      </c>
      <c r="F33" s="8" t="inlineStr">
        <is>
          <t>no</t>
        </is>
      </c>
      <c r="G33" s="3">
        <f>IF(OR(AND(OR(AND($D33&lt;&gt;"",$D33&lt;&gt;"retain"),NOT(OR($E33="statistical_results"))),H33&lt;&gt;"",H33&lt;&gt;"not_applicable"),AND(OR(AND($D33&lt;&gt;"",$D33&lt;&gt;"retain"),NOT(OR($E33="statistical_results"))),I33&lt;&gt;"",I33&lt;&gt;"not_applicable"),AND(OR(AND($D33&lt;&gt;"",$D33&lt;&gt;"retain"),NOT(OR($E33="statistical_results"))),J33&lt;&gt;"",J33&lt;&gt;"not_applicable"),AND(OR(AND($D33&lt;&gt;"",$D33&lt;&gt;"retain"),NOT(OR($E33="internal_nonstatistical",$E33="plan_material"))),K33&lt;&gt;"",K33&lt;&gt;"not_applicable"),AND(OR(AND($D33&lt;&gt;"",$D33&lt;&gt;"retain"),NOT(OR($E33="protocol_report"))),L33&lt;&gt;"",L33&lt;&gt;"not_applicable")),"CLEAR INACTIVE VALUES",IF(OR(COUNTIF(opt_disposition,D33)&lt;&gt;1,COUNTIF(opt_domain,E33)&lt;&gt;1,AND(D33="retain",E33="statistical_results",OR(OR(COUNTIF(opt_statisticalErrorStatus,H33)&lt;&gt;1,H33="not_applicable"),OR(COUNTIF(opt_substantiveStatus,I33)&lt;&gt;1,I33="not_applicable"))),AND(D33="retain",E33="internal_nonstatistical",OR(OR(COUNTIF(opt_internalStatus,K33)&lt;&gt;1,K33="not_applicable"))),AND(D33="retain",E33="plan_material",OR(OR(COUNTIF(opt_internalStatus,K33)&lt;&gt;1,K33="not_applicable")))),"CHECK FIELDS",IF(F33="yes","READY - validate saved file","DRAFT")))</f>
        <v/>
      </c>
      <c r="H33" s="8">
        <f>IF(OR(AND($D33&lt;&gt;"",$D33&lt;&gt;"retain"),NOT(OR($E33="statistical_results"))),"not_applicable","")</f>
        <v/>
      </c>
      <c r="I33" s="8">
        <f>IF(OR(AND($D33&lt;&gt;"",$D33&lt;&gt;"retain"),NOT(OR($E33="statistical_results"))),"not_applicable","")</f>
        <v/>
      </c>
      <c r="J33" s="9">
        <f>IF(OR(AND($D33&lt;&gt;"",$D33&lt;&gt;"retain"),NOT(OR($E33="statistical_results"))),"not_applicable","")</f>
        <v/>
      </c>
      <c r="K33" s="8">
        <f>IF(OR(AND($D33&lt;&gt;"",$D33&lt;&gt;"retain"),NOT(OR($E33="internal_nonstatistical",$E33="plan_material"))),"not_applicable","")</f>
        <v/>
      </c>
      <c r="L33" s="9">
        <f>IF(OR(AND($D33&lt;&gt;"",$D33&lt;&gt;"retain"),NOT(OR($E33="protocol_report"))),"not_applicable","")</f>
        <v/>
      </c>
      <c r="M33" s="10" t="inlineStr"/>
      <c r="N33" s="10" t="inlineStr"/>
    </row>
    <row r="34" ht="76" customHeight="1">
      <c r="A34" s="2" t="inlineStr">
        <is>
          <t>2025::jama.2025.11178::C033</t>
        </is>
      </c>
      <c r="B34" s="2" t="inlineStr">
        <is>
          <t>PGIC-pain 12-month Health Coach versus painTRAINER SMD outside printed CI</t>
        </is>
      </c>
      <c r="C34" s="2" t="inlineStr">
        <is>
          <t>main article — PDF p. 11, Table 3, PGIC-pain, 12 months, Health Coach vs painTRAINER SMD.</t>
        </is>
      </c>
      <c r="D34" s="8" t="inlineStr"/>
      <c r="E34" s="8" t="inlineStr">
        <is>
          <t>statistical_results</t>
        </is>
      </c>
      <c r="F34" s="8" t="inlineStr">
        <is>
          <t>no</t>
        </is>
      </c>
      <c r="G34" s="2">
        <f>IF(OR(AND(OR(AND($D34&lt;&gt;"",$D34&lt;&gt;"retain"),NOT(OR($E34="statistical_results"))),H34&lt;&gt;"",H34&lt;&gt;"not_applicable"),AND(OR(AND($D34&lt;&gt;"",$D34&lt;&gt;"retain"),NOT(OR($E34="statistical_results"))),I34&lt;&gt;"",I34&lt;&gt;"not_applicable"),AND(OR(AND($D34&lt;&gt;"",$D34&lt;&gt;"retain"),NOT(OR($E34="statistical_results"))),J34&lt;&gt;"",J34&lt;&gt;"not_applicable"),AND(OR(AND($D34&lt;&gt;"",$D34&lt;&gt;"retain"),NOT(OR($E34="internal_nonstatistical",$E34="plan_material"))),K34&lt;&gt;"",K34&lt;&gt;"not_applicable"),AND(OR(AND($D34&lt;&gt;"",$D34&lt;&gt;"retain"),NOT(OR($E34="protocol_report"))),L34&lt;&gt;"",L34&lt;&gt;"not_applicable")),"CLEAR INACTIVE VALUES",IF(OR(COUNTIF(opt_disposition,D34)&lt;&gt;1,COUNTIF(opt_domain,E34)&lt;&gt;1,AND(D34="retain",E34="statistical_results",OR(OR(COUNTIF(opt_statisticalErrorStatus,H34)&lt;&gt;1,H34="not_applicable"),OR(COUNTIF(opt_substantiveStatus,I34)&lt;&gt;1,I34="not_applicable"))),AND(D34="retain",E34="internal_nonstatistical",OR(OR(COUNTIF(opt_internalStatus,K34)&lt;&gt;1,K34="not_applicable"))),AND(D34="retain",E34="plan_material",OR(OR(COUNTIF(opt_internalStatus,K34)&lt;&gt;1,K34="not_applicable")))),"CHECK FIELDS",IF(F34="yes","READY - validate saved file","DRAFT")))</f>
        <v/>
      </c>
      <c r="H34" s="8">
        <f>IF(OR(AND($D34&lt;&gt;"",$D34&lt;&gt;"retain"),NOT(OR($E34="statistical_results"))),"not_applicable","")</f>
        <v/>
      </c>
      <c r="I34" s="8">
        <f>IF(OR(AND($D34&lt;&gt;"",$D34&lt;&gt;"retain"),NOT(OR($E34="statistical_results"))),"not_applicable","")</f>
        <v/>
      </c>
      <c r="J34" s="9">
        <f>IF(OR(AND($D34&lt;&gt;"",$D34&lt;&gt;"retain"),NOT(OR($E34="statistical_results"))),"not_applicable","")</f>
        <v/>
      </c>
      <c r="K34" s="8">
        <f>IF(OR(AND($D34&lt;&gt;"",$D34&lt;&gt;"retain"),NOT(OR($E34="internal_nonstatistical",$E34="plan_material"))),"not_applicable","")</f>
        <v/>
      </c>
      <c r="L34" s="9">
        <f>IF(OR(AND($D34&lt;&gt;"",$D34&lt;&gt;"retain"),NOT(OR($E34="protocol_report"))),"not_applicable","")</f>
        <v/>
      </c>
      <c r="M34" s="10" t="inlineStr"/>
      <c r="N34" s="10" t="inlineStr"/>
    </row>
    <row r="35" ht="76" customHeight="1">
      <c r="A35" s="3" t="inlineStr">
        <is>
          <t>2025::jama.2025.11178::C034</t>
        </is>
      </c>
      <c r="B35" s="3" t="inlineStr">
        <is>
          <t>Female total differs across sources if the printed derivations are intended to match</t>
        </is>
      </c>
      <c r="C35" s="3" t="inlineStr">
        <is>
          <t>main article — PDF p. 1, Abstract; main article — PDF p. 6, Table 1; workbook, worksheet eTable 3, cells A11:B11.</t>
        </is>
      </c>
      <c r="D35" s="8" t="inlineStr"/>
      <c r="E35" s="8" t="inlineStr">
        <is>
          <t>internal_nonstatistical</t>
        </is>
      </c>
      <c r="F35" s="8" t="inlineStr">
        <is>
          <t>no</t>
        </is>
      </c>
      <c r="G35" s="3">
        <f>IF(OR(AND(OR(AND($D35&lt;&gt;"",$D35&lt;&gt;"retain"),NOT(OR($E35="statistical_results"))),H35&lt;&gt;"",H35&lt;&gt;"not_applicable"),AND(OR(AND($D35&lt;&gt;"",$D35&lt;&gt;"retain"),NOT(OR($E35="statistical_results"))),I35&lt;&gt;"",I35&lt;&gt;"not_applicable"),AND(OR(AND($D35&lt;&gt;"",$D35&lt;&gt;"retain"),NOT(OR($E35="statistical_results"))),J35&lt;&gt;"",J35&lt;&gt;"not_applicable"),AND(OR(AND($D35&lt;&gt;"",$D35&lt;&gt;"retain"),NOT(OR($E35="internal_nonstatistical",$E35="plan_material"))),K35&lt;&gt;"",K35&lt;&gt;"not_applicable"),AND(OR(AND($D35&lt;&gt;"",$D35&lt;&gt;"retain"),NOT(OR($E35="protocol_report"))),L35&lt;&gt;"",L35&lt;&gt;"not_applicable")),"CLEAR INACTIVE VALUES",IF(OR(COUNTIF(opt_disposition,D35)&lt;&gt;1,COUNTIF(opt_domain,E35)&lt;&gt;1,AND(D35="retain",E35="statistical_results",OR(OR(COUNTIF(opt_statisticalErrorStatus,H35)&lt;&gt;1,H35="not_applicable"),OR(COUNTIF(opt_substantiveStatus,I35)&lt;&gt;1,I35="not_applicable"))),AND(D35="retain",E35="internal_nonstatistical",OR(OR(COUNTIF(opt_internalStatus,K35)&lt;&gt;1,K35="not_applicable"))),AND(D35="retain",E35="plan_material",OR(OR(COUNTIF(opt_internalStatus,K35)&lt;&gt;1,K35="not_applicable")))),"CHECK FIELDS",IF(F35="yes","READY - validate saved file","DRAFT")))</f>
        <v/>
      </c>
      <c r="H35" s="8">
        <f>IF(OR(AND($D35&lt;&gt;"",$D35&lt;&gt;"retain"),NOT(OR($E35="statistical_results"))),"not_applicable","")</f>
        <v/>
      </c>
      <c r="I35" s="8">
        <f>IF(OR(AND($D35&lt;&gt;"",$D35&lt;&gt;"retain"),NOT(OR($E35="statistical_results"))),"not_applicable","")</f>
        <v/>
      </c>
      <c r="J35" s="9">
        <f>IF(OR(AND($D35&lt;&gt;"",$D35&lt;&gt;"retain"),NOT(OR($E35="statistical_results"))),"not_applicable","")</f>
        <v/>
      </c>
      <c r="K35" s="8">
        <f>IF(OR(AND($D35&lt;&gt;"",$D35&lt;&gt;"retain"),NOT(OR($E35="internal_nonstatistical",$E35="plan_material"))),"not_applicable","")</f>
        <v/>
      </c>
      <c r="L35" s="9">
        <f>IF(OR(AND($D35&lt;&gt;"",$D35&lt;&gt;"retain"),NOT(OR($E35="protocol_report"))),"not_applicable","")</f>
        <v/>
      </c>
      <c r="M35" s="10" t="inlineStr"/>
      <c r="N35" s="10" t="inlineStr"/>
    </row>
    <row r="36" ht="76" customHeight="1">
      <c r="A36" s="2" t="inlineStr">
        <is>
          <t>2025::jama.2025.11178::C035</t>
        </is>
      </c>
      <c r="B36" s="2" t="inlineStr">
        <is>
          <t>Narrative current-depression percentage differs from Table 1/workbook record</t>
        </is>
      </c>
      <c r="C36" s="2" t="inlineStr">
        <is>
          <t>main article — PDF p. 4, Results; main article — PDF p. 6, Table 1; workbook, worksheet eTable 3, cells A82:B82.</t>
        </is>
      </c>
      <c r="D36" s="8" t="inlineStr"/>
      <c r="E36" s="8" t="inlineStr">
        <is>
          <t>internal_nonstatistical</t>
        </is>
      </c>
      <c r="F36" s="8" t="inlineStr">
        <is>
          <t>no</t>
        </is>
      </c>
      <c r="G36" s="2">
        <f>IF(OR(AND(OR(AND($D36&lt;&gt;"",$D36&lt;&gt;"retain"),NOT(OR($E36="statistical_results"))),H36&lt;&gt;"",H36&lt;&gt;"not_applicable"),AND(OR(AND($D36&lt;&gt;"",$D36&lt;&gt;"retain"),NOT(OR($E36="statistical_results"))),I36&lt;&gt;"",I36&lt;&gt;"not_applicable"),AND(OR(AND($D36&lt;&gt;"",$D36&lt;&gt;"retain"),NOT(OR($E36="statistical_results"))),J36&lt;&gt;"",J36&lt;&gt;"not_applicable"),AND(OR(AND($D36&lt;&gt;"",$D36&lt;&gt;"retain"),NOT(OR($E36="internal_nonstatistical",$E36="plan_material"))),K36&lt;&gt;"",K36&lt;&gt;"not_applicable"),AND(OR(AND($D36&lt;&gt;"",$D36&lt;&gt;"retain"),NOT(OR($E36="protocol_report"))),L36&lt;&gt;"",L36&lt;&gt;"not_applicable")),"CLEAR INACTIVE VALUES",IF(OR(COUNTIF(opt_disposition,D36)&lt;&gt;1,COUNTIF(opt_domain,E36)&lt;&gt;1,AND(D36="retain",E36="statistical_results",OR(OR(COUNTIF(opt_statisticalErrorStatus,H36)&lt;&gt;1,H36="not_applicable"),OR(COUNTIF(opt_substantiveStatus,I36)&lt;&gt;1,I36="not_applicable"))),AND(D36="retain",E36="internal_nonstatistical",OR(OR(COUNTIF(opt_internalStatus,K36)&lt;&gt;1,K36="not_applicable"))),AND(D36="retain",E36="plan_material",OR(OR(COUNTIF(opt_internalStatus,K36)&lt;&gt;1,K36="not_applicable")))),"CHECK FIELDS",IF(F36="yes","READY - validate saved file","DRAFT")))</f>
        <v/>
      </c>
      <c r="H36" s="8">
        <f>IF(OR(AND($D36&lt;&gt;"",$D36&lt;&gt;"retain"),NOT(OR($E36="statistical_results"))),"not_applicable","")</f>
        <v/>
      </c>
      <c r="I36" s="8">
        <f>IF(OR(AND($D36&lt;&gt;"",$D36&lt;&gt;"retain"),NOT(OR($E36="statistical_results"))),"not_applicable","")</f>
        <v/>
      </c>
      <c r="J36" s="9">
        <f>IF(OR(AND($D36&lt;&gt;"",$D36&lt;&gt;"retain"),NOT(OR($E36="statistical_results"))),"not_applicable","")</f>
        <v/>
      </c>
      <c r="K36" s="8">
        <f>IF(OR(AND($D36&lt;&gt;"",$D36&lt;&gt;"retain"),NOT(OR($E36="internal_nonstatistical",$E36="plan_material"))),"not_applicable","")</f>
        <v/>
      </c>
      <c r="L36" s="9">
        <f>IF(OR(AND($D36&lt;&gt;"",$D36&lt;&gt;"retain"),NOT(OR($E36="protocol_report"))),"not_applicable","")</f>
        <v/>
      </c>
      <c r="M36" s="10" t="inlineStr"/>
      <c r="N36" s="10" t="inlineStr"/>
    </row>
    <row r="37" ht="76" customHeight="1">
      <c r="A37" s="3" t="inlineStr">
        <is>
          <t>2025::jama.2025.11178::C036</t>
        </is>
      </c>
      <c r="B37" s="3" t="inlineStr">
        <is>
          <t>painTRAINER 3-month pain-severity SMD differs between narrative and Table 3</t>
        </is>
      </c>
      <c r="C37" s="3" t="inlineStr">
        <is>
          <t>main article — PDF p. 7, Secondary Outcomes; main article — PDF p. 10, Table 3.</t>
        </is>
      </c>
      <c r="D37" s="8" t="inlineStr"/>
      <c r="E37" s="8" t="inlineStr">
        <is>
          <t>internal_nonstatistical</t>
        </is>
      </c>
      <c r="F37" s="8" t="inlineStr">
        <is>
          <t>no</t>
        </is>
      </c>
      <c r="G37" s="3">
        <f>IF(OR(AND(OR(AND($D37&lt;&gt;"",$D37&lt;&gt;"retain"),NOT(OR($E37="statistical_results"))),H37&lt;&gt;"",H37&lt;&gt;"not_applicable"),AND(OR(AND($D37&lt;&gt;"",$D37&lt;&gt;"retain"),NOT(OR($E37="statistical_results"))),I37&lt;&gt;"",I37&lt;&gt;"not_applicable"),AND(OR(AND($D37&lt;&gt;"",$D37&lt;&gt;"retain"),NOT(OR($E37="statistical_results"))),J37&lt;&gt;"",J37&lt;&gt;"not_applicable"),AND(OR(AND($D37&lt;&gt;"",$D37&lt;&gt;"retain"),NOT(OR($E37="internal_nonstatistical",$E37="plan_material"))),K37&lt;&gt;"",K37&lt;&gt;"not_applicable"),AND(OR(AND($D37&lt;&gt;"",$D37&lt;&gt;"retain"),NOT(OR($E37="protocol_report"))),L37&lt;&gt;"",L37&lt;&gt;"not_applicable")),"CLEAR INACTIVE VALUES",IF(OR(COUNTIF(opt_disposition,D37)&lt;&gt;1,COUNTIF(opt_domain,E37)&lt;&gt;1,AND(D37="retain",E37="statistical_results",OR(OR(COUNTIF(opt_statisticalErrorStatus,H37)&lt;&gt;1,H37="not_applicable"),OR(COUNTIF(opt_substantiveStatus,I37)&lt;&gt;1,I37="not_applicable"))),AND(D37="retain",E37="internal_nonstatistical",OR(OR(COUNTIF(opt_internalStatus,K37)&lt;&gt;1,K37="not_applicable"))),AND(D37="retain",E37="plan_material",OR(OR(COUNTIF(opt_internalStatus,K37)&lt;&gt;1,K37="not_applicable")))),"CHECK FIELDS",IF(F37="yes","READY - validate saved file","DRAFT")))</f>
        <v/>
      </c>
      <c r="H37" s="8">
        <f>IF(OR(AND($D37&lt;&gt;"",$D37&lt;&gt;"retain"),NOT(OR($E37="statistical_results"))),"not_applicable","")</f>
        <v/>
      </c>
      <c r="I37" s="8">
        <f>IF(OR(AND($D37&lt;&gt;"",$D37&lt;&gt;"retain"),NOT(OR($E37="statistical_results"))),"not_applicable","")</f>
        <v/>
      </c>
      <c r="J37" s="9">
        <f>IF(OR(AND($D37&lt;&gt;"",$D37&lt;&gt;"retain"),NOT(OR($E37="statistical_results"))),"not_applicable","")</f>
        <v/>
      </c>
      <c r="K37" s="8">
        <f>IF(OR(AND($D37&lt;&gt;"",$D37&lt;&gt;"retain"),NOT(OR($E37="internal_nonstatistical",$E37="plan_material"))),"not_applicable","")</f>
        <v/>
      </c>
      <c r="L37" s="9">
        <f>IF(OR(AND($D37&lt;&gt;"",$D37&lt;&gt;"retain"),NOT(OR($E37="protocol_report"))),"not_applicable","")</f>
        <v/>
      </c>
      <c r="M37" s="10" t="inlineStr"/>
      <c r="N37" s="10" t="inlineStr"/>
    </row>
    <row r="38" ht="76" customHeight="1">
      <c r="A38" s="2" t="inlineStr">
        <is>
          <t>2025::jama.2025.11178::C037</t>
        </is>
      </c>
      <c r="B38" s="2" t="inlineStr">
        <is>
          <t>Health Coach 3-month pain-severity SMD differs between narrative and Table 3</t>
        </is>
      </c>
      <c r="C38" s="2" t="inlineStr">
        <is>
          <t>main article — PDF p. 7, Secondary Outcomes; main article — PDF p. 10, Table 3.</t>
        </is>
      </c>
      <c r="D38" s="8" t="inlineStr"/>
      <c r="E38" s="8" t="inlineStr">
        <is>
          <t>internal_nonstatistical</t>
        </is>
      </c>
      <c r="F38" s="8" t="inlineStr">
        <is>
          <t>no</t>
        </is>
      </c>
      <c r="G38" s="2">
        <f>IF(OR(AND(OR(AND($D38&lt;&gt;"",$D38&lt;&gt;"retain"),NOT(OR($E38="statistical_results"))),H38&lt;&gt;"",H38&lt;&gt;"not_applicable"),AND(OR(AND($D38&lt;&gt;"",$D38&lt;&gt;"retain"),NOT(OR($E38="statistical_results"))),I38&lt;&gt;"",I38&lt;&gt;"not_applicable"),AND(OR(AND($D38&lt;&gt;"",$D38&lt;&gt;"retain"),NOT(OR($E38="statistical_results"))),J38&lt;&gt;"",J38&lt;&gt;"not_applicable"),AND(OR(AND($D38&lt;&gt;"",$D38&lt;&gt;"retain"),NOT(OR($E38="internal_nonstatistical",$E38="plan_material"))),K38&lt;&gt;"",K38&lt;&gt;"not_applicable"),AND(OR(AND($D38&lt;&gt;"",$D38&lt;&gt;"retain"),NOT(OR($E38="protocol_report"))),L38&lt;&gt;"",L38&lt;&gt;"not_applicable")),"CLEAR INACTIVE VALUES",IF(OR(COUNTIF(opt_disposition,D38)&lt;&gt;1,COUNTIF(opt_domain,E38)&lt;&gt;1,AND(D38="retain",E38="statistical_results",OR(OR(COUNTIF(opt_statisticalErrorStatus,H38)&lt;&gt;1,H38="not_applicable"),OR(COUNTIF(opt_substantiveStatus,I38)&lt;&gt;1,I38="not_applicable"))),AND(D38="retain",E38="internal_nonstatistical",OR(OR(COUNTIF(opt_internalStatus,K38)&lt;&gt;1,K38="not_applicable"))),AND(D38="retain",E38="plan_material",OR(OR(COUNTIF(opt_internalStatus,K38)&lt;&gt;1,K38="not_applicable")))),"CHECK FIELDS",IF(F38="yes","READY - validate saved file","DRAFT")))</f>
        <v/>
      </c>
      <c r="H38" s="8">
        <f>IF(OR(AND($D38&lt;&gt;"",$D38&lt;&gt;"retain"),NOT(OR($E38="statistical_results"))),"not_applicable","")</f>
        <v/>
      </c>
      <c r="I38" s="8">
        <f>IF(OR(AND($D38&lt;&gt;"",$D38&lt;&gt;"retain"),NOT(OR($E38="statistical_results"))),"not_applicable","")</f>
        <v/>
      </c>
      <c r="J38" s="9">
        <f>IF(OR(AND($D38&lt;&gt;"",$D38&lt;&gt;"retain"),NOT(OR($E38="statistical_results"))),"not_applicable","")</f>
        <v/>
      </c>
      <c r="K38" s="8">
        <f>IF(OR(AND($D38&lt;&gt;"",$D38&lt;&gt;"retain"),NOT(OR($E38="internal_nonstatistical",$E38="plan_material"))),"not_applicable","")</f>
        <v/>
      </c>
      <c r="L38" s="9">
        <f>IF(OR(AND($D38&lt;&gt;"",$D38&lt;&gt;"retain"),NOT(OR($E38="protocol_report"))),"not_applicable","")</f>
        <v/>
      </c>
      <c r="M38" s="10" t="inlineStr"/>
      <c r="N38" s="10" t="inlineStr"/>
    </row>
  </sheetData>
  <sheetProtection selectLockedCells="0" selectUnlockedCells="0" sheet="1" objects="0" insertRows="1" insertHyperlinks="1" autoFilter="0" scenarios="0" formatColumns="1" deleteColumns="1" insertColumns="1" pivotTables="1" deleteRows="1" formatCells="1" formatRows="1" sort="1"/>
  <autoFilter ref="A1:N38"/>
  <conditionalFormatting sqref="H2:H3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3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8" showDropDown="0" showInputMessage="1" showErrorMessage="1" allowBlank="1" errorTitle="Invalid option" error="Choose a listed value." promptTitle="Disposition" prompt="See Codebook for meanings." type="list" errorStyle="stop">
      <formula1>opt_disposition</formula1>
    </dataValidation>
    <dataValidation sqref="E2:E38" showDropDown="0" showInputMessage="1" showErrorMessage="1" allowBlank="1" errorTitle="Invalid option" error="Choose a listed value." promptTitle="Review domain" prompt="See Codebook for meanings." type="list" errorStyle="stop">
      <formula1>opt_domain</formula1>
    </dataValidation>
    <dataValidation sqref="F2:F38" showDropDown="0" showInputMessage="1" showErrorMessage="1" allowBlank="1" errorTitle="Invalid option" error="Choose a listed value." promptTitle="Complete" prompt="See Codebook for meanings." type="list" errorStyle="stop">
      <formula1>opt_reviewComplete</formula1>
    </dataValidation>
    <dataValidation sqref="H2:H3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38" showDropDown="0" showInputMessage="1" showErrorMessage="1" allowBlank="1" errorTitle="Invalid option" error="Choose a listed value." promptTitle="Substantiveness" prompt="See Codebook for meanings." type="list" errorStyle="stop">
      <formula1>opt_substantiveStatus</formula1>
    </dataValidation>
    <dataValidation sqref="J2:J38" showDropDown="0" showInputMessage="1" showErrorMessage="1" allowBlank="1" errorTitle="Invalid option" error="Choose a listed value." promptTitle="Downstream impact" prompt="See Codebook for meanings." type="list" errorStyle="stop">
      <formula1>opt_downstreamImpact</formula1>
    </dataValidation>
    <dataValidation sqref="K2:K3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3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N1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2025::jama.2025.15185::C001</t>
        </is>
      </c>
      <c r="B2" s="2" t="inlineStr">
        <is>
          <t>Baseline index-stroke type counts differ across baseline tables</t>
        </is>
      </c>
      <c r="C2" s="2" t="inlineStr">
        <is>
          <t>DOC-001, main article — PDF p. 4, Table 1; DOC-004, Supplement 3 — PDF p. 10 and PDF p. 11, eTable 1.</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2025::jama.2025.15185::C002</t>
        </is>
      </c>
      <c r="B3" s="3" t="inlineStr">
        <is>
          <t>Baseline NIHSS statistic and label do not reconcile across tables</t>
        </is>
      </c>
      <c r="C3" s="3" t="inlineStr">
        <is>
          <t>DOC-001, main article — PDF p. 4, Table 1, and PDF p. 5, Results; DOC-004, Supplement 3 — PDF p. 11, eTable 1.</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2025::jama.2025.15185::C003</t>
        </is>
      </c>
      <c r="B4" s="2" t="inlineStr">
        <is>
          <t>Time from stroke onset to randomization differs across baseline tables</t>
        </is>
      </c>
      <c r="C4" s="2" t="inlineStr">
        <is>
          <t>DOC-001, main article — PDF p. 4, Table 1; DOC-004, Supplement 3 — PDF p. 11, eTable 1.</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2025::jama.2025.15185::C004</t>
        </is>
      </c>
      <c r="B5" s="3" t="inlineStr">
        <is>
          <t>Estimand 4 confidence-interval upper endpoint differs within eTable 2</t>
        </is>
      </c>
      <c r="C5" s="3" t="inlineStr">
        <is>
          <t>DOC-004, Supplement 3 — PDF p. 12, eTable 2 narrative; PDF p. 13, Estimand 4 row.</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2025::jama.2025.15185::C005</t>
        </is>
      </c>
      <c r="B6" s="2" t="inlineStr">
        <is>
          <t>Levodopa PROMIS-29 descriptive mean differs between main text and eTable 4</t>
        </is>
      </c>
      <c r="C6" s="2" t="inlineStr">
        <is>
          <t>DOC-001, main article — PDF p. 6, Secondary Outcomes; DOC-004, Supplement 3 — PDF p. 15, eTable 4.</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2025::jama.2025.15185::C006</t>
        </is>
      </c>
      <c r="B7" s="3" t="inlineStr">
        <is>
          <t>PROMIS-10 descriptive means differ between main text and eTable 4</t>
        </is>
      </c>
      <c r="C7" s="3" t="inlineStr">
        <is>
          <t>DOC-001, main article — PDF p. 6, Secondary Outcomes; DOC-004, Supplement 3 — PDF p. 15, eTable 4.</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2025::jama.2025.15185::C007</t>
        </is>
      </c>
      <c r="B8" s="2" t="inlineStr">
        <is>
          <t>Placebo five-week FMA standard deviation differs from eTable 4</t>
        </is>
      </c>
      <c r="C8" s="2" t="inlineStr">
        <is>
          <t>DOC-001, main article — PDF p. 6, Secondary Outcomes; DOC-004, Supplement 3 — PDF p. 15, eTable 4.</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2025::jama.2025.15185::C008</t>
        </is>
      </c>
      <c r="B9" s="3" t="inlineStr">
        <is>
          <t>Placebo PRAI no-improvement numerator differs between main text and eTable 4</t>
        </is>
      </c>
      <c r="C9" s="3" t="inlineStr">
        <is>
          <t>DOC-001, main article — PDF p. 6, Secondary Outcomes; DOC-004, Supplement 3 — PDF p. 15, eTable 4.</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2025::jama.2025.15185::C009</t>
        </is>
      </c>
      <c r="B10" s="2" t="inlineStr">
        <is>
          <t>eTable 6 overall adverse-event total is one below arms and category sums</t>
        </is>
      </c>
      <c r="C10" s="2" t="inlineStr">
        <is>
          <t>DOC-001, main article — PDF p. 6, Table 2 and narrative, and PDF p. 7; DOC-004, Supplement 3 — PDF p. 17, eTable 6.</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2025::jama.2025.15185::C010</t>
        </is>
      </c>
      <c r="B11" s="3" t="inlineStr">
        <is>
          <t>eFigure 4 switches locally from FMA to FMMA without qualification</t>
        </is>
      </c>
      <c r="C11" s="3" t="inlineStr">
        <is>
          <t>DOC-004, Supplement 3 — PDF p. 23, eFigure 4; DOC-003, Supplement 2 — PDF p. 2, SAP objective; DOC-001, main article — PDF p. 1, PDF p. 3, and PDF p. 6.</t>
        </is>
      </c>
      <c r="D11" s="8" t="inlineStr"/>
      <c r="E11" s="8" t="inlineStr">
        <is>
          <t>internal_nonstatistical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2025::jama.2025.15185::C011</t>
        </is>
      </c>
      <c r="B12" s="2" t="inlineStr">
        <is>
          <t>Estimand 4 win ratio appears under an FMA mean-difference column heading</t>
        </is>
      </c>
      <c r="C12" s="2" t="inlineStr">
        <is>
          <t>DOC-004, Supplement 3 — PDF p. 13, eTable 2 column heading and Estimand 4 row.</t>
        </is>
      </c>
      <c r="D12" s="8" t="inlineStr"/>
      <c r="E12" s="8" t="inlineStr">
        <is>
          <t>internal_nonstatistical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2025::jama.2025.15185::C012</t>
        </is>
      </c>
      <c r="B13" s="3" t="inlineStr">
        <is>
          <t>Estimand 4 is called an odds ratio in prose and a win ratio in the table</t>
        </is>
      </c>
      <c r="C13" s="3" t="inlineStr">
        <is>
          <t>DOC-004, Supplement 3 — PDF p. 12, eTable 2 narrative; PDF p. 13, Estimand 4 row.</t>
        </is>
      </c>
      <c r="D13" s="8" t="inlineStr"/>
      <c r="E13" s="8" t="inlineStr">
        <is>
          <t>internal_nonstatistical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sheetData>
  <sheetProtection selectLockedCells="0" selectUnlockedCells="0" sheet="1" objects="0" insertRows="1" insertHyperlinks="1" autoFilter="0" scenarios="0" formatColumns="1" deleteColumns="1" insertColumns="1" pivotTables="1" deleteRows="1" formatCells="1" formatRows="1" sort="1"/>
  <autoFilter ref="A1:N13"/>
  <conditionalFormatting sqref="H2:H1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3">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3" showDropDown="0" showInputMessage="1" showErrorMessage="1" allowBlank="1" errorTitle="Invalid option" error="Choose a listed value." promptTitle="Disposition" prompt="See Codebook for meanings." type="list" errorStyle="stop">
      <formula1>opt_disposition</formula1>
    </dataValidation>
    <dataValidation sqref="E2:E13" showDropDown="0" showInputMessage="1" showErrorMessage="1" allowBlank="1" errorTitle="Invalid option" error="Choose a listed value." promptTitle="Review domain" prompt="See Codebook for meanings." type="list" errorStyle="stop">
      <formula1>opt_domain</formula1>
    </dataValidation>
    <dataValidation sqref="F2:F13" showDropDown="0" showInputMessage="1" showErrorMessage="1" allowBlank="1" errorTitle="Invalid option" error="Choose a listed value." promptTitle="Complete" prompt="See Codebook for meanings." type="list" errorStyle="stop">
      <formula1>opt_reviewComplete</formula1>
    </dataValidation>
    <dataValidation sqref="H2:H13"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3" showDropDown="0" showInputMessage="1" showErrorMessage="1" allowBlank="1" errorTitle="Invalid option" error="Choose a listed value." promptTitle="Substantiveness" prompt="See Codebook for meanings." type="list" errorStyle="stop">
      <formula1>opt_substantiveStatus</formula1>
    </dataValidation>
    <dataValidation sqref="J2:J13" showDropDown="0" showInputMessage="1" showErrorMessage="1" allowBlank="1" errorTitle="Invalid option" error="Choose a listed value." promptTitle="Downstream impact" prompt="See Codebook for meanings." type="list" errorStyle="stop">
      <formula1>opt_downstreamImpact</formula1>
    </dataValidation>
    <dataValidation sqref="K2:K13"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N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2025::jama.2025.15440::C001</t>
        </is>
      </c>
      <c r="B2" s="2" t="inlineStr">
        <is>
          <t>Conflicting confidence intervals for the matched any-stroke rate ratio</t>
        </is>
      </c>
      <c r="C2" s="2" t="inlineStr">
        <is>
          <t>DOC-001: jama_wijesurendra_2025_oi_250068_1760999665.28362.pdf — PDF p. 1 (abstract); PDF p. 5 (results narrative); and PDF p. 7 (Figure 4B).</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2025::jama.2025.15440::C002</t>
        </is>
      </c>
      <c r="B3" s="3" t="inlineStr">
        <is>
          <t>Stroke subtype counts do not partition the displayed any-stroke count in the patch group</t>
        </is>
      </c>
      <c r="C3" s="3" t="inlineStr">
        <is>
          <t>DOC-001: jama_wijesurendra_2025_oi_250068_1760999665.28362.pdf — PDF p. 7, Figure 4B rows Presumed ischemic stroke, Hemorrhagic stroke, and Any stroke, including its caption/footnote. The matching any-stroke total also appears on PDF p. 5 and PDF p. 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sheetData>
  <sheetProtection selectLockedCells="0" selectUnlockedCells="0" sheet="1" objects="0" insertRows="1" insertHyperlinks="1" autoFilter="0" scenarios="0" formatColumns="1" deleteColumns="1" insertColumns="1" pivotTables="1" deleteRows="1" formatCells="1" formatRows="1" sort="1"/>
  <autoFilter ref="A1:N3"/>
  <conditionalFormatting sqref="H2:H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Review domain" prompt="See Codebook for meanings." type="list" errorStyle="stop">
      <formula1>opt_domain</formula1>
    </dataValidation>
    <dataValidation sqref="F2:F3" showDropDown="0" showInputMessage="1" showErrorMessage="1" allowBlank="1" errorTitle="Invalid option" error="Choose a listed value." promptTitle="Complete" prompt="See Codebook for meanings." type="list" errorStyle="stop">
      <formula1>opt_reviewComplete</formula1>
    </dataValidation>
    <dataValidation sqref="H2:H3"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3" showDropDown="0" showInputMessage="1" showErrorMessage="1" allowBlank="1" errorTitle="Invalid option" error="Choose a listed value." promptTitle="Substantiveness" prompt="See Codebook for meanings." type="list" errorStyle="stop">
      <formula1>opt_substantiveStatus</formula1>
    </dataValidation>
    <dataValidation sqref="J2:J3" showDropDown="0" showInputMessage="1" showErrorMessage="1" allowBlank="1" errorTitle="Invalid option" error="Choose a listed value." promptTitle="Downstream impact" prompt="See Codebook for meanings." type="list" errorStyle="stop">
      <formula1>opt_downstreamImpact</formula1>
    </dataValidation>
    <dataValidation sqref="K2:K3"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N1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2025::jama.2025.16450::C001</t>
        </is>
      </c>
      <c r="B2" s="2" t="inlineStr">
        <is>
          <t>eTable 4 expands RR as risk difference although the table reports relative risk</t>
        </is>
      </c>
      <c r="C2" s="2" t="inlineStr">
        <is>
          <t>DOC-005 results supplement — PDF p. 7 (eTable 4 header and PDA row); results supplement — PDF p. 8 (abbreviations and binary-outcome model text).</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2025::jama.2025.16450::C002</t>
        </is>
      </c>
      <c r="B3" s="3" t="inlineStr">
        <is>
          <t>Registered eligibility-bound discrepancy is not reproduced on direct-source recheck</t>
        </is>
      </c>
      <c r="C3" s="3" t="inlineStr">
        <is>
          <t>DOC-002 protocol — PDF p. 4; DOC-003 manual — PDF p. 7; DOC-004 SAP — PDF p. 8 and SAP — PDF p. 15; DOC-001 main article — PDF p. 2.</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2025::jama.2025.16450::C003</t>
        </is>
      </c>
      <c r="B4" s="2" t="inlineStr">
        <is>
          <t>Registered first-dose discrepancy is not reproduced on direct-source recheck</t>
        </is>
      </c>
      <c r="C4" s="2" t="inlineStr">
        <is>
          <t>DOC-002 protocol — PDF p. 4; DOC-003 manual — PDF p. 7 and manual — PDF p. 12; DOC-004 SAP — PDF p. 8; DOC-001 main article — PDF p. 2; DOC-005 results supplement — PDF p. 4.</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2025::jama.2025.16450::C004</t>
        </is>
      </c>
      <c r="B5" s="3" t="inlineStr">
        <is>
          <t>Severe-NDI GMFCS cutoff differs between the manual and SAP</t>
        </is>
      </c>
      <c r="C5" s="3" t="inlineStr">
        <is>
          <t>DOC-003 manual — PDF p. 14 and manual — PDF p. 16; DOC-004 SAP — PDF p. 10 and SAP — PDF p. 33.</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2025::jama.2025.16450::C005</t>
        </is>
      </c>
      <c r="B6" s="2" t="inlineStr">
        <is>
          <t>Registered severe-NDI instrument-edition discrepancy is not reproduced on direct-source recheck</t>
        </is>
      </c>
      <c r="C6" s="2" t="inlineStr">
        <is>
          <t>DOC-003 manual — PDF p. 14 and manual — PDF p. 16; DOC-004 SAP — PDF p. 10, SAP — PDF p. 33, and SAP — PDF p. 34.</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2025::jama.2025.16450::C006</t>
        </is>
      </c>
      <c r="B7" s="3" t="inlineStr">
        <is>
          <t>Registered first-interim-alpha discrepancy is not reproduced on direct-source recheck</t>
        </is>
      </c>
      <c r="C7" s="3" t="inlineStr">
        <is>
          <t>DOC-002 protocol — PDF p. 29; DOC-004 SAP — PDF p. 26.</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2025::jama.2025.16450::C007</t>
        </is>
      </c>
      <c r="B8" s="2" t="inlineStr">
        <is>
          <t>Final primary-analysis alpha differs between the article and prospective documents</t>
        </is>
      </c>
      <c r="C8" s="2" t="inlineStr">
        <is>
          <t>DOC-001 main article — PDF p. 3 and main article — PDF p. 7; DOC-002 protocol — PDF p. 29; DOC-004 SAP — PDF p. 26.</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2025::jama.2025.16450::C008</t>
        </is>
      </c>
      <c r="B9" s="3" t="inlineStr">
        <is>
          <t>Trial center count differs between final and prospective documents</t>
        </is>
      </c>
      <c r="C9" s="3" t="inlineStr">
        <is>
          <t>DOC-001 main article — PDF p. 1; DOC-002 protocol — PDF p. 29; DOC-004 SAP — PDF p. 8.</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2025::jama.2025.16450::C009</t>
        </is>
      </c>
      <c r="B10" s="2" t="inlineStr">
        <is>
          <t>Table 3 RR label conflicts with a stated common-OR approximation</t>
        </is>
      </c>
      <c r="C10" s="2" t="inlineStr">
        <is>
          <t>DOC-001 main article — PDF p. 8 (Table 3 additional open-label surfactant row and footnote g).</t>
        </is>
      </c>
      <c r="D10" s="8" t="inlineStr"/>
      <c r="E10" s="8" t="inlineStr">
        <is>
          <t>internal_nonstatistical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2025::jama.2025.16450::C010</t>
        </is>
      </c>
      <c r="B11" s="3" t="inlineStr">
        <is>
          <t>eTable 3 relative-risk header conflicts with odds-ratio approximation footnote</t>
        </is>
      </c>
      <c r="C11" s="3" t="inlineStr">
        <is>
          <t>DOC-005 results supplement — PDF p. 5 and results supplement — PDF p. 6 (eTable 3 header and footnote b).</t>
        </is>
      </c>
      <c r="D11" s="8" t="inlineStr"/>
      <c r="E11" s="8" t="inlineStr">
        <is>
          <t>internal_nonstatistical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sheetData>
  <sheetProtection selectLockedCells="0" selectUnlockedCells="0" sheet="1" objects="0" insertRows="1" insertHyperlinks="1" autoFilter="0" scenarios="0" formatColumns="1" deleteColumns="1" insertColumns="1" pivotTables="1" deleteRows="1" formatCells="1" formatRows="1" sort="1"/>
  <autoFilter ref="A1:N11"/>
  <conditionalFormatting sqref="H2:H11">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1">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1">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1">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1">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1" showDropDown="0" showInputMessage="1" showErrorMessage="1" allowBlank="1" errorTitle="Invalid option" error="Choose a listed value." promptTitle="Disposition" prompt="See Codebook for meanings." type="list" errorStyle="stop">
      <formula1>opt_disposition</formula1>
    </dataValidation>
    <dataValidation sqref="E2:E11" showDropDown="0" showInputMessage="1" showErrorMessage="1" allowBlank="1" errorTitle="Invalid option" error="Choose a listed value." promptTitle="Review domain" prompt="See Codebook for meanings." type="list" errorStyle="stop">
      <formula1>opt_domain</formula1>
    </dataValidation>
    <dataValidation sqref="F2:F11" showDropDown="0" showInputMessage="1" showErrorMessage="1" allowBlank="1" errorTitle="Invalid option" error="Choose a listed value." promptTitle="Complete" prompt="See Codebook for meanings." type="list" errorStyle="stop">
      <formula1>opt_reviewComplete</formula1>
    </dataValidation>
    <dataValidation sqref="H2:H11"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1" showDropDown="0" showInputMessage="1" showErrorMessage="1" allowBlank="1" errorTitle="Invalid option" error="Choose a listed value." promptTitle="Substantiveness" prompt="See Codebook for meanings." type="list" errorStyle="stop">
      <formula1>opt_substantiveStatus</formula1>
    </dataValidation>
    <dataValidation sqref="J2:J11" showDropDown="0" showInputMessage="1" showErrorMessage="1" allowBlank="1" errorTitle="Invalid option" error="Choose a listed value." promptTitle="Downstream impact" prompt="See Codebook for meanings." type="list" errorStyle="stop">
      <formula1>opt_downstreamImpact</formula1>
    </dataValidation>
    <dataValidation sqref="K2:K11"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1"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N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2025::jama.2025.19563::C001</t>
        </is>
      </c>
      <c r="B2" s="2" t="inlineStr">
        <is>
          <t>Protocol and reported primary endpoint differ on the diabetes-range A1C failure condition</t>
        </is>
      </c>
      <c r="C2" s="2" t="inlineStr">
        <is>
          <t>DOC-002 protocol — PDF p. 15; DOC-001 main article — PDF p. 4; DOC-003 supplement — PDF p. 30 (explicit global-failure clause); DOC-003 supplement — PDF p. 56 (15-participant table).</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2025::jama.2025.19563::C002</t>
        </is>
      </c>
      <c r="B3" s="3" t="inlineStr">
        <is>
          <t>312 listed 12-month A1C measurements versus 313 participants with A1C available</t>
        </is>
      </c>
      <c r="C3" s="3" t="inlineStr">
        <is>
          <t>DOC-003 supplement — PDF p. 8; DOC-001 main article — PDF p. 4; DOC-001 main article — PDF p. 5; DOC-003 supplement — PDF p. 50.</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2025::jama.2025.19563::C003</t>
        </is>
      </c>
      <c r="B4" s="2" t="inlineStr">
        <is>
          <t>Figure 3 labels BMI values in kg/m² as “weight”</t>
        </is>
      </c>
      <c r="C4" s="2" t="inlineStr">
        <is>
          <t>DOC-001 main article — PDF p. 8; DOC-001 main article — PDF p. 6; DOC-003 supplement — PDF p. 53.</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2025::jama.2025.19563::C004</t>
        </is>
      </c>
      <c r="B5" s="3" t="inlineStr">
        <is>
          <t>eTables 5-7 leave the comparator scope of a repeated age P value ambiguous</t>
        </is>
      </c>
      <c r="C5" s="3" t="inlineStr">
        <is>
          <t>DOC-003 supplement — PDF p. 39; DOC-003 supplement — PDF p. 43; DOC-003 supplement — PDF p. 45; DOC-003 supplement — PDF p. 47; DOC-001 main article — PDF p. 6.</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2025::jama.2025.19563::C005</t>
        </is>
      </c>
      <c r="B6" s="2" t="inlineStr">
        <is>
          <t>eTable 7 pairs “no statistically significant” with p&lt;0.05</t>
        </is>
      </c>
      <c r="C6" s="2" t="inlineStr">
        <is>
          <t>DOC-003 supplement — PDF p. 46; DOC-003 supplement — PDF p. 47.</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2025::jama.2025.19563::C006</t>
        </is>
      </c>
      <c r="B7" s="3" t="inlineStr">
        <is>
          <t>eTable 10b labels one comparison as both chi-squared and Wilcoxon rank-sum</t>
        </is>
      </c>
      <c r="C7" s="3" t="inlineStr">
        <is>
          <t>DOC-003 supplement — PDF p. 29; DOC-003 supplement — PDF p. 52.</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2025::jama.2025.19563::C007</t>
        </is>
      </c>
      <c r="B8" s="2" t="inlineStr">
        <is>
          <t>MICE pooled percentages and printed risk difference have incompatible signs</t>
        </is>
      </c>
      <c r="C8" s="2" t="inlineStr">
        <is>
          <t>DOC-003 supplement — PDF p. 30; DOC-003 supplement — PDF p. 59.</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sheetData>
  <sheetProtection selectLockedCells="0" selectUnlockedCells="0" sheet="1" objects="0" insertRows="1" insertHyperlinks="1" autoFilter="0" scenarios="0" formatColumns="1" deleteColumns="1" insertColumns="1" pivotTables="1" deleteRows="1" formatCells="1" formatRows="1" sort="1"/>
  <autoFilter ref="A1:N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N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2025::jama.2025.19843::C001</t>
        </is>
      </c>
      <c r="B2" s="2" t="inlineStr">
        <is>
          <t>Conflicting printed P values for matched day-60 mortality result</t>
        </is>
      </c>
      <c r="C2" s="2" t="inlineStr">
        <is>
          <t>DOC-001 — PDF p. 1 (abstract); DOC-001 — PDF p. 3 (statistical methods); DOC-001 — PDF p. 4 (Results and eFigure 2 cross-reference); DOC-003 — PDF p. 7 (planned mortality analysis); and DOC-004 — PDF p. 11 (Supplement 3 eFigure 2).</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sheetData>
  <sheetProtection selectLockedCells="0" selectUnlockedCells="0" sheet="1" objects="0" insertRows="1" insertHyperlinks="1" autoFilter="0" scenarios="0" formatColumns="1" deleteColumns="1" insertColumns="1" pivotTables="1" deleteRows="1" formatCells="1" formatRows="1" sort="1"/>
  <autoFilter ref="A1:N2"/>
  <conditionalFormatting sqref="H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 showDropDown="0" showInputMessage="1" showErrorMessage="1" allowBlank="1" errorTitle="Invalid option" error="Choose a listed value." promptTitle="Disposition" prompt="See Codebook for meanings." type="list" errorStyle="stop">
      <formula1>opt_disposition</formula1>
    </dataValidation>
    <dataValidation sqref="E2" showDropDown="0" showInputMessage="1" showErrorMessage="1" allowBlank="1" errorTitle="Invalid option" error="Choose a listed value." promptTitle="Review domain" prompt="See Codebook for meanings." type="list" errorStyle="stop">
      <formula1>opt_domain</formula1>
    </dataValidation>
    <dataValidation sqref="F2" showDropDown="0" showInputMessage="1" showErrorMessage="1" allowBlank="1" errorTitle="Invalid option" error="Choose a listed value." promptTitle="Complete" prompt="See Codebook for meanings." type="list" errorStyle="stop">
      <formula1>opt_reviewComplete</formula1>
    </dataValidation>
    <dataValidation sqref="H2"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 showDropDown="0" showInputMessage="1" showErrorMessage="1" allowBlank="1" errorTitle="Invalid option" error="Choose a listed value." promptTitle="Substantiveness" prompt="See Codebook for meanings." type="list" errorStyle="stop">
      <formula1>opt_substantiveStatus</formula1>
    </dataValidation>
    <dataValidation sqref="J2" showDropDown="0" showInputMessage="1" showErrorMessage="1" allowBlank="1" errorTitle="Invalid option" error="Choose a listed value." promptTitle="Downstream impact" prompt="See Codebook for meanings." type="list" errorStyle="stop">
      <formula1>opt_downstreamImpact</formula1>
    </dataValidation>
    <dataValidation sqref="K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N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2025::jama.2025.20765::C001</t>
        </is>
      </c>
      <c r="B2" s="2" t="inlineStr">
        <is>
          <t>Adjusted self-reported abstinence interval endpoint printed as 42</t>
        </is>
      </c>
      <c r="C2" s="2" t="inlineStr">
        <is>
          <t>DOC-001 main article — PDF p. 6, Table 2, continuous abstinence, self-reported only (ITT), adjusted RR.</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2025::jama.2025.20765::C002</t>
        </is>
      </c>
      <c r="B3" s="3" t="inlineStr">
        <is>
          <t>Discussion labels the all-cause death percentage as TB deaths</t>
        </is>
      </c>
      <c r="C3" s="3" t="inlineStr">
        <is>
          <t>DOC-001 main article — PDF p. 8, Discussion; PDF p. 5 and PDF p. 6, Results/Table 2; DOC-003 Supplement 2 — PDF p. 6, eTable 4.</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2025::jama.2025.20765::C003</t>
        </is>
      </c>
      <c r="B4" s="2" t="inlineStr">
        <is>
          <t>178-message total conflicts with its printed frequency schedule</t>
        </is>
      </c>
      <c r="C4" s="2" t="inlineStr">
        <is>
          <t>DOC-002 Supplement 1 — PDF p. 16.</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2025::jama.2025.20765::C004</t>
        </is>
      </c>
      <c r="B5" s="3" t="inlineStr">
        <is>
          <t>Repeated 2,384-participant plan names 44 and 48 facilities</t>
        </is>
      </c>
      <c r="C5" s="3" t="inlineStr">
        <is>
          <t>DOC-002 Supplement 1 — PDF p. 10 and PDF p. 26.</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2025::jama.2025.20765::C005</t>
        </is>
      </c>
      <c r="B6" s="2" t="inlineStr">
        <is>
          <t>134-message total conflicts with its printed frequency schedule</t>
        </is>
      </c>
      <c r="C6" s="2" t="inlineStr">
        <is>
          <t>DOC-002 Supplement 1 — PDF p. 53.</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2025::jama.2025.20765::C006</t>
        </is>
      </c>
      <c r="B7" s="3" t="inlineStr">
        <is>
          <t>TAM sampling header conflicts with contemporaneous narrative and equations</t>
        </is>
      </c>
      <c r="C7" s="3" t="inlineStr">
        <is>
          <t>DOC-002 Supplement 1 — PDF p. 55.</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2025::jama.2025.20765::C007</t>
        </is>
      </c>
      <c r="B8" s="2" t="inlineStr">
        <is>
          <t>Later 2,716-participant plan gives 48 clinics versus a 63-site diagram</t>
        </is>
      </c>
      <c r="C8" s="2" t="inlineStr">
        <is>
          <t>DOC-002 Supplement 1 — PDF p. 48, PDF p. 51, PDF p. 52, and PDF p. 62.</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2025::jama.2025.20765::C008</t>
        </is>
      </c>
      <c r="B9" s="3" t="inlineStr">
        <is>
          <t>Phase-4 design-effect equality does not reproduce from printed inputs</t>
        </is>
      </c>
      <c r="C9" s="3" t="inlineStr">
        <is>
          <t>DOC-002 Supplement 1 — PDF p. 64.</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2025::jama.2025.20765::C009</t>
        </is>
      </c>
      <c r="B10" s="2" t="inlineStr">
        <is>
          <t>Phase-4 diagram is labelled Phase 3/Superiority</t>
        </is>
      </c>
      <c r="C10" s="2" t="inlineStr">
        <is>
          <t>DOC-002 Supplement 1 — PDF p. 64.</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2025::jama.2025.20765::C010</t>
        </is>
      </c>
      <c r="B11" s="3" t="inlineStr">
        <is>
          <t>Phase-3 design-effect display gives undocumented 1,080 effective sample size</t>
        </is>
      </c>
      <c r="C11" s="3" t="inlineStr">
        <is>
          <t>DOC-002 Supplement 1 — PDF p. 63 and PDF p. 83.</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2025::jama.2025.20765::C011</t>
        </is>
      </c>
      <c r="B12" s="2" t="inlineStr">
        <is>
          <t>MPSS score range conflicts with stated item scale</t>
        </is>
      </c>
      <c r="C12" s="2" t="inlineStr">
        <is>
          <t>DOC-002 Supplement 1 — PDF p. 85.</t>
        </is>
      </c>
      <c r="D12" s="8" t="inlineStr"/>
      <c r="E12" s="8" t="inlineStr">
        <is>
          <t>plan_material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2025::jama.2025.20765::C012</t>
        </is>
      </c>
      <c r="B13" s="3" t="inlineStr">
        <is>
          <t>Site 2008 death count and percentage lack a compatible supplied denominator</t>
        </is>
      </c>
      <c r="C13" s="3" t="inlineStr">
        <is>
          <t>DOC-003 Supplement 2 — PDF p. 8, eTable 5; PDF p. 9, eTable 6.</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2025::jama.2025.20765::C013</t>
        </is>
      </c>
      <c r="B14" s="2" t="inlineStr">
        <is>
          <t>Protocol message dose changes from 178 to 134 without supplied reconciliation</t>
        </is>
      </c>
      <c r="C14" s="2" t="inlineStr">
        <is>
          <t>DOC-002 Supplement 1 — PDF p. 16, PDF p. 53, PDF p. 80, and PDF p. 101 through PDF p. 109; DOC-001 main article — PDF p. 3.</t>
        </is>
      </c>
      <c r="D14" s="8" t="inlineStr"/>
      <c r="E14" s="8" t="inlineStr">
        <is>
          <t>protocol_report</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sheetData>
  <sheetProtection selectLockedCells="0" selectUnlockedCells="0" sheet="1" objects="0" insertRows="1" insertHyperlinks="1" autoFilter="0" scenarios="0" formatColumns="1" deleteColumns="1" insertColumns="1" pivotTables="1" deleteRows="1" formatCells="1" formatRows="1" sort="1"/>
  <autoFilter ref="A1:N14"/>
  <conditionalFormatting sqref="H2:H1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Review domain" prompt="See Codebook for meanings." type="list" errorStyle="stop">
      <formula1>opt_domain</formula1>
    </dataValidation>
    <dataValidation sqref="F2:F14" showDropDown="0" showInputMessage="1" showErrorMessage="1" allowBlank="1" errorTitle="Invalid option" error="Choose a listed value." promptTitle="Complete" prompt="See Codebook for meanings." type="list" errorStyle="stop">
      <formula1>opt_reviewComplete</formula1>
    </dataValidation>
    <dataValidation sqref="H2:H1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4" showDropDown="0" showInputMessage="1" showErrorMessage="1" allowBlank="1" errorTitle="Invalid option" error="Choose a listed value." promptTitle="Substantiveness" prompt="See Codebook for meanings." type="list" errorStyle="stop">
      <formula1>opt_substantiveStatus</formula1>
    </dataValidation>
    <dataValidation sqref="J2:J14" showDropDown="0" showInputMessage="1" showErrorMessage="1" allowBlank="1" errorTitle="Invalid option" error="Choose a listed value." promptTitle="Downstream impact" prompt="See Codebook for meanings." type="list" errorStyle="stop">
      <formula1>opt_downstreamImpact</formula1>
    </dataValidation>
    <dataValidation sqref="K2:K1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N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2025::jama.2025.24175::C001</t>
        </is>
      </c>
      <c r="B2" s="2" t="inlineStr">
        <is>
          <t>Day-15 SOFA responder numerator differs between Table 2 and narrative</t>
        </is>
      </c>
      <c r="C2" s="2" t="inlineStr">
        <is>
          <t>DOC-001 Table 2, PDF p. 6; DOC-001 Results narrative, PDF p. 7.</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2025::jama.2025.24175::C002</t>
        </is>
      </c>
      <c r="B3" s="3" t="inlineStr">
        <is>
          <t>Protocol and report IFN-gamma dose comparison</t>
        </is>
      </c>
      <c r="C3" s="3" t="inlineStr">
        <is>
          <t>DOC-002 protocol, PDF p. 6; DOC-001 regimen, PDF p. 2.</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2025::jama.2025.24175::C003</t>
        </is>
      </c>
      <c r="B4" s="2" t="inlineStr">
        <is>
          <t>Primary responder cutoff comparison</t>
        </is>
      </c>
      <c r="C4" s="2" t="inlineStr">
        <is>
          <t>DOC-002 protocol, PDF p. 7; DOC-001 report, PDF p. 1; DOC-002 SAP, PDF p. 66.</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2025::jama.2025.24175::C004</t>
        </is>
      </c>
      <c r="B5" s="3" t="inlineStr">
        <is>
          <t>Immunoparalysis entry-classification threshold comparison</t>
        </is>
      </c>
      <c r="C5" s="3" t="inlineStr">
        <is>
          <t>DOC-002 protocol, PDF p. 9; DOC-003 eMethods, PDF p. 13; DOC-002 SAP reversal definition, PDF p. 69.</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2025::jama.2025.24175::C005</t>
        </is>
      </c>
      <c r="B6" s="2" t="inlineStr">
        <is>
          <t>Protocol sample-size, dropout, and total-target arithmetic</t>
        </is>
      </c>
      <c r="C6" s="2" t="inlineStr">
        <is>
          <t>DOC-002 protocol, PDF p. 25 and PDF p. 26.</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2025::jama.2025.24175::C006</t>
        </is>
      </c>
      <c r="B7" s="3" t="inlineStr">
        <is>
          <t>Historical-trial narrative and flow diagram death counts</t>
        </is>
      </c>
      <c r="C7" s="3" t="inlineStr">
        <is>
          <t>DOC-002 narrative, PDF p. 41; DOC-002 Figure 1, PDF p. 50.</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2025::jama.2025.24175::C007</t>
        </is>
      </c>
      <c r="B8" s="2" t="inlineStr">
        <is>
          <t>APACHE II Table 2 P value versus displayed t-test inputs</t>
        </is>
      </c>
      <c r="C8" s="2" t="inlineStr">
        <is>
          <t>DOC-002 Table 2, PDF p. 48.</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2025::jama.2025.24175::C008</t>
        </is>
      </c>
      <c r="B9" s="3" t="inlineStr">
        <is>
          <t>Figure 1 septic-shock classification children exceed their parent total</t>
        </is>
      </c>
      <c r="C9" s="3" t="inlineStr">
        <is>
          <t>DOC-002 Figure 1, PDF p. 50.</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2025::jama.2025.24175::C009</t>
        </is>
      </c>
      <c r="B10" s="2" t="inlineStr">
        <is>
          <t>ImmunoSep study-site totals across report, protocol, and SAP</t>
        </is>
      </c>
      <c r="C10" s="2" t="inlineStr">
        <is>
          <t>DOC-001 report, PDF p. 2; DOC-002 protocol, PDF p. 10; DOC-002 SAP, PDF p. 65; PDF p. 67.</t>
        </is>
      </c>
      <c r="D10" s="8" t="inlineStr"/>
      <c r="E10" s="8" t="inlineStr">
        <is>
          <t>protocol_report</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2025::jama.2025.24175::C010</t>
        </is>
      </c>
      <c r="B11" s="3" t="inlineStr">
        <is>
          <t>Figure 2C relative-risk label versus displayed association</t>
        </is>
      </c>
      <c r="C11" s="3" t="inlineStr">
        <is>
          <t>DOC-002 Figure 2C, PDF p. 51; DOC-002 Figure 3, PDF p. 52.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2025::jama.2025.24175::C011</t>
        </is>
      </c>
      <c r="B12" s="2" t="inlineStr">
        <is>
          <t>eTable 10 SII day-15 OR versus counts, CI, and P value</t>
        </is>
      </c>
      <c r="C12" s="2" t="inlineStr">
        <is>
          <t>DOC-003 eTable 10, PDF p. 22.</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2025::jama.2025.24175::C012</t>
        </is>
      </c>
      <c r="B13" s="3" t="inlineStr">
        <is>
          <t>eFigure 8B repeats eFigure 7B interaction results under a different outcome caption</t>
        </is>
      </c>
      <c r="C13" s="3" t="inlineStr">
        <is>
          <t>DOC-003 eFigure 7B, PDF p. 51; DOC-003 eFigure 8B, PDF p. 52.</t>
        </is>
      </c>
      <c r="D13" s="8" t="inlineStr"/>
      <c r="E13" s="8" t="inlineStr">
        <is>
          <t>internal_nonstatistical</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2025::jama.2025.24175::C013</t>
        </is>
      </c>
      <c r="B14" s="2" t="inlineStr">
        <is>
          <t>eFigure 9B APACHE interaction point estimate outside its CI</t>
        </is>
      </c>
      <c r="C14" s="2" t="inlineStr">
        <is>
          <t>DOC-003 eFigure 9B, PDF p. 53.</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row r="15" ht="76" customHeight="1">
      <c r="A15" s="3" t="inlineStr">
        <is>
          <t>2025::jama.2025.24175::C014</t>
        </is>
      </c>
      <c r="B15" s="3" t="inlineStr">
        <is>
          <t>Historical mortality-pair registration</t>
        </is>
      </c>
      <c r="C15" s="3" t="inlineStr">
        <is>
          <t>DOC-002 actual mortality sentence, PDF p. 41; Discussion, PDF p. 42; Table 2, PDF p. 48; Figure 1, PDF p. 50.</t>
        </is>
      </c>
      <c r="D15" s="8" t="inlineStr"/>
      <c r="E15" s="8" t="inlineStr">
        <is>
          <t>plan_material</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row>
  </sheetData>
  <sheetProtection selectLockedCells="0" selectUnlockedCells="0" sheet="1" objects="0" insertRows="1" insertHyperlinks="1" autoFilter="0" scenarios="0" formatColumns="1" deleteColumns="1" insertColumns="1" pivotTables="1" deleteRows="1" formatCells="1" formatRows="1" sort="1"/>
  <autoFilter ref="A1:N15"/>
  <conditionalFormatting sqref="H2:H1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Review domain" prompt="See Codebook for meanings." type="list" errorStyle="stop">
      <formula1>opt_domain</formula1>
    </dataValidation>
    <dataValidation sqref="F2:F15" showDropDown="0" showInputMessage="1" showErrorMessage="1" allowBlank="1" errorTitle="Invalid option" error="Choose a listed value." promptTitle="Complete" prompt="See Codebook for meanings." type="list" errorStyle="stop">
      <formula1>opt_reviewComplete</formula1>
    </dataValidation>
    <dataValidation sqref="H2:H1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5" showDropDown="0" showInputMessage="1" showErrorMessage="1" allowBlank="1" errorTitle="Invalid option" error="Choose a listed value." promptTitle="Substantiveness" prompt="See Codebook for meanings." type="list" errorStyle="stop">
      <formula1>opt_substantiveStatus</formula1>
    </dataValidation>
    <dataValidation sqref="J2:J15" showDropDown="0" showInputMessage="1" showErrorMessage="1" allowBlank="1" errorTitle="Invalid option" error="Choose a listed value." promptTitle="Downstream impact" prompt="See Codebook for meanings." type="list" errorStyle="stop">
      <formula1>opt_downstreamImpact</formula1>
    </dataValidation>
    <dataValidation sqref="K2:K1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tabColor rgb="00D7B95C"/>
    <outlinePr summaryBelow="1" summaryRight="1"/>
    <pageSetUpPr fitToPage="1"/>
  </sheetPr>
  <dimension ref="A1:N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2025::jama.2025.4390::C001</t>
        </is>
      </c>
      <c r="B2" s="2" t="inlineStr">
        <is>
          <t>Figure 3 all-patient rate-column conflict with the matched primary-outcome rate</t>
        </is>
      </c>
      <c r="C2" s="2" t="inlineStr">
        <is>
          <t>jama_garrison_2025_oi_250019_1749674951.29054.pdf — Figure 3, PDF p. 9; jama_garrison_2025_oi_250019_1749674951.29054.pdf — Table 2, PDF p. 8; main article abstract, PDF p. 1; primary-outcome narrative, PDF p. 6.</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2025::jama.2025.4390::C002</t>
        </is>
      </c>
      <c r="B3" s="3" t="inlineStr">
        <is>
          <t>Bedtime-diuretic six-month timing count triplets differ between eFigure 4 and eTable 6</t>
        </is>
      </c>
      <c r="C3" s="3" t="inlineStr">
        <is>
          <t>joi250019supp3_prod_1749674951.30054.pdf — eFigure 4, PDF p. 26; joi250019supp3_prod_1749674951.30054.pdf — eTable 6, PDF p. 42 (table begins on PDF p. 41).</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2025::jama.2025.4390::C003</t>
        </is>
      </c>
      <c r="B4" s="2" t="inlineStr">
        <is>
          <t>eTable 5 Other ethnicity row duplicates White/Caucasian values and exceeds randomized Other totals</t>
        </is>
      </c>
      <c r="C4" s="2" t="inlineStr">
        <is>
          <t>joi250019supp3_prod_1749674951.30054.pdf — eTable 5, PDF p. 37; joi250019supp3_prod_1749674951.30054.pdf — eTable 3, PDF p. 29.</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sheetData>
  <sheetProtection selectLockedCells="0" selectUnlockedCells="0" sheet="1" objects="0" insertRows="1" insertHyperlinks="1" autoFilter="0" scenarios="0" formatColumns="1" deleteColumns="1" insertColumns="1" pivotTables="1" deleteRows="1" formatCells="1" formatRows="1" sort="1"/>
  <autoFilter ref="A1:N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tabColor rgb="00D7B95C"/>
    <outlinePr summaryBelow="1" summaryRight="1"/>
    <pageSetUpPr fitToPage="1"/>
  </sheetPr>
  <dimension ref="A1:N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2025::jama.2025.7583::C001</t>
        </is>
      </c>
      <c r="B2" s="2" t="inlineStr">
        <is>
          <t>Primary-endpoint midline-shift boundary differs across matched supplied sources</t>
        </is>
      </c>
      <c r="C2" s="2" t="inlineStr">
        <is>
          <t>Main article — PDF p. 3; protocol — PDF p. 7; protocol — PDF p. 16; results supplement — PDF p. 15; SAP — PDF p. 3.</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2025::jama.2025.7583::C002</t>
        </is>
      </c>
      <c r="B3" s="3" t="inlineStr">
        <is>
          <t>Printed sample-size attrition allowance does not reconcile with the printed target</t>
        </is>
      </c>
      <c r="C3" s="3" t="inlineStr">
        <is>
          <t>Protocol — PDF p. 50; SAP — PDF p. 4; SAP — PDF p. 5; main article — PDF p. 3.</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2025::jama.2025.7583::C003</t>
        </is>
      </c>
      <c r="B4" s="2" t="inlineStr">
        <is>
          <t>Standard-care surgery-type counts exceed their shared printed denominator</t>
        </is>
      </c>
      <c r="C4" s="2" t="inlineStr">
        <is>
          <t>Main article — PDF p. 5, Table 1, Treatment rows.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sheetData>
  <sheetProtection selectLockedCells="0" selectUnlockedCells="0" sheet="1" objects="0" insertRows="1" insertHyperlinks="1" autoFilter="0" scenarios="0" formatColumns="1" deleteColumns="1" insertColumns="1" pivotTables="1" deleteRows="1" formatCells="1" formatRows="1" sort="1"/>
  <autoFilter ref="A1:N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6.xml><?xml version="1.0" encoding="utf-8"?>
<worksheet xmlns="http://schemas.openxmlformats.org/spreadsheetml/2006/main">
  <sheetPr>
    <tabColor rgb="00D7B95C"/>
    <outlinePr summaryBelow="1" summaryRight="1"/>
    <pageSetUpPr fitToPage="1"/>
  </sheetPr>
  <dimension ref="A1:N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2025::jama.2025.7710::C001</t>
        </is>
      </c>
      <c r="B2" s="2" t="inlineStr">
        <is>
          <t>Conflicting economic price-year labels within the protocol</t>
        </is>
      </c>
      <c r="C2" s="2" t="inlineStr">
        <is>
          <t>joi250034supp1_prod_1750956984.09018.pdf — PDF p. 16, section 7.2.3; joi250034supp1_prod_1750956984.09018.pdf — PDF p. 17, section 8.2.</t>
        </is>
      </c>
      <c r="D2" s="8" t="inlineStr"/>
      <c r="E2" s="8" t="inlineStr">
        <is>
          <t>plan_material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2025::jama.2025.7710::C002</t>
        </is>
      </c>
      <c r="B3" s="3" t="inlineStr">
        <is>
          <t>Primary-composite counting rationale does not reconcile with the displayed endpoint list</t>
        </is>
      </c>
      <c r="C3" s="3" t="inlineStr">
        <is>
          <t>joi250034supp1_prod_1750956984.09018.pdf — PDF p. 15, section 7.1; joi250034supp1_prod_1750956984.09018.pdf — PDF p. 16, section 7.2.1.</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2025::jama.2025.7710::C003</t>
        </is>
      </c>
      <c r="B4" s="2" t="inlineStr">
        <is>
          <t>Economic comparator label conflicts with the detailed trial comparison</t>
        </is>
      </c>
      <c r="C4" s="2" t="inlineStr">
        <is>
          <t>joi250034supp1_prod_1750956984.09018.pdf — PDF p. 5, synopsis and schema; joi250034supp1_prod_1750956984.09018.pdf — PDF p. 16, section 7.2.3; joi250034supp1_prod_1750956984.09018.pdf — PDF p. 17, section 8.2.</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2025::jama.2025.7710::C004</t>
        </is>
      </c>
      <c r="B5" s="3" t="inlineStr">
        <is>
          <t>Reported no-adjustment statement conflicts with the supplied multiplicity plan</t>
        </is>
      </c>
      <c r="C5"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sheetData>
  <sheetProtection selectLockedCells="0" selectUnlockedCells="0" sheet="1" objects="0" insertRows="1" insertHyperlinks="1" autoFilter="0" scenarios="0" formatColumns="1" deleteColumns="1" insertColumns="1" pivotTables="1" deleteRows="1" formatCells="1" formatRows="1" sort="1"/>
  <autoFilter ref="A1:N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7.xml><?xml version="1.0" encoding="utf-8"?>
<worksheet xmlns="http://schemas.openxmlformats.org/spreadsheetml/2006/main">
  <sheetPr>
    <tabColor rgb="00D7B95C"/>
    <outlinePr summaryBelow="1" summaryRight="1"/>
    <pageSetUpPr fitToPage="1"/>
  </sheetPr>
  <dimension ref="A1:N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2025::jama.2025.9110::C001</t>
        </is>
      </c>
      <c r="B2" s="2" t="inlineStr">
        <is>
          <t>Invasive-ventilation descriptive summary is labeled mean (SD) but displays two endpoints</t>
        </is>
      </c>
      <c r="C2" s="2" t="inlineStr">
        <is>
          <t>Main article — PDF p. 7, Table 2, Duration of invasive ventilation, mean (SD), h; main article — PDF p. 1; Results Supplement — PDF p. 18, eTable 10.</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2025::jama.2025.9110::C002</t>
        </is>
      </c>
      <c r="B3" s="3" t="inlineStr">
        <is>
          <t>eTable 10 uses a comma in one one-decimal survival percentage</t>
        </is>
      </c>
      <c r="C3" s="3" t="inlineStr">
        <is>
          <t>Results Supplement — PDF p. 18, eTable 10, Alive at day 90 [n (%)], Period 2 usual protein (4 units, n = 530).</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2025::jama.2025.9110::C003</t>
        </is>
      </c>
      <c r="B4" s="2" t="inlineStr">
        <is>
          <t>Bayesian quantile row is labeled mean (SD) despite its associated median estimand and two-endpoint group displays</t>
        </is>
      </c>
      <c r="C4" s="2" t="inlineStr">
        <is>
          <t>Main article — PDF p. 7, Table 2; Results Supplement — PDF p. 5, secondary analyses; Results Supplement — PDF p. 27, eFigure 6.</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2025::jama.2025.9110::C004</t>
        </is>
      </c>
      <c r="B5" s="3" t="inlineStr">
        <is>
          <t>Discussion describes the matched day-10 urea summaries as means while Results reports medians (IQR)</t>
        </is>
      </c>
      <c r="C5" s="3" t="inlineStr">
        <is>
          <t>Main article Results — PDF p. 5, Biochemical Outcomes; main article Discussion — PDF p. 8.</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2025::jama.2025.9110::C005</t>
        </is>
      </c>
      <c r="B6" s="2" t="inlineStr">
        <is>
          <t>eTable 10 tracheostomy row switches percent-sign notation across period cells</t>
        </is>
      </c>
      <c r="C6" s="2" t="inlineStr">
        <is>
          <t>Results Supplement — PDF p. 18, eTable 10, Tracheostomy in ICU [n (%)].</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2025::jama.2025.9110::C006</t>
        </is>
      </c>
      <c r="B7" s="3" t="inlineStr">
        <is>
          <t>eTable 10 new-KRT row switches percent-sign notation across period cells</t>
        </is>
      </c>
      <c r="C7" s="3" t="inlineStr">
        <is>
          <t>Results Supplement — PDF p. 18, eTable 10, New kidney replacement therapy commenced during index ICU admission after commencing trial enteral nutrition [n (%)].</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sheetData>
  <sheetProtection selectLockedCells="0" selectUnlockedCells="0" sheet="1" objects="0" insertRows="1" insertHyperlinks="1" autoFilter="0" scenarios="0" formatColumns="1" deleteColumns="1" insertColumns="1" pivotTables="1" deleteRows="1" formatCells="1" formatRows="1" sort="1"/>
  <autoFilter ref="A1:N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8.xml><?xml version="1.0" encoding="utf-8"?>
<worksheet xmlns="http://schemas.openxmlformats.org/spreadsheetml/2006/main">
  <sheetPr>
    <tabColor rgb="00D7B95C"/>
    <outlinePr summaryBelow="1" summaryRight="1"/>
    <pageSetUpPr fitToPage="1"/>
  </sheetPr>
  <dimension ref="A1:N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2025::jama.2025.9663::C001</t>
        </is>
      </c>
      <c r="B2" s="2" t="inlineStr">
        <is>
          <t>Extraneous pressure unit after the usual-group SpO2 summary</t>
        </is>
      </c>
      <c r="C2" s="2" t="inlineStr">
        <is>
          <t>DOC-001, jama_martin_2025_oi_250042_1753377747.91025.pdf — PDF p. 6 (printed article p. 403), Oxygen Exposure paragraph; comparator DOC-003, joi250042supp2_prod_1753377747.93025.pdf — PDF p. 21, eTable 5.</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2025::jama.2025.9663::C002</t>
        </is>
      </c>
      <c r="B3" s="3" t="inlineStr">
        <is>
          <t>Results-supplement contents page does not identify actual eTables 1-4</t>
        </is>
      </c>
      <c r="C3" s="3" t="inlineStr">
        <is>
          <t>DOC-003, joi250042supp2_prod_1753377747.93025.pdf — PDF p. 1, contents; actual eTable 1 — PDF p. 15, eTable 2 — PDF p. 17, eTable 3 — PDF p. 18, and eTable 4 — PDF p. 19.</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2025::jama.2025.9663::C003</t>
        </is>
      </c>
      <c r="B4" s="2" t="inlineStr">
        <is>
          <t>Final SAP contains an unresolved reference after quantitative separation/adherence rules</t>
        </is>
      </c>
      <c r="C4" s="2" t="inlineStr">
        <is>
          <t>DOC-002, joi250042supp1_prod_1753377747.92525.pdf — PDF p. 118 (SAP p. 8), section 2.5 and Table 1, immediately after the separation/adherence definition.</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sheetData>
  <sheetProtection selectLockedCells="0" selectUnlockedCells="0" sheet="1" objects="0" insertRows="1" insertHyperlinks="1" autoFilter="0" scenarios="0" formatColumns="1" deleteColumns="1" insertColumns="1" pivotTables="1" deleteRows="1" formatCells="1" formatRows="1" sort="1"/>
  <autoFilter ref="A1:N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AB1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Denominator, proportion, or total inconsistency</t>
        </is>
      </c>
      <c r="E2" s="2" t="b">
        <v>0</v>
      </c>
      <c r="F2" s="2" t="inlineStr">
        <is>
          <t>C001</t>
        </is>
      </c>
      <c r="G2" s="2" t="inlineStr">
        <is>
          <t>2025::jama.2024.24764::C001</t>
        </is>
      </c>
      <c r="H2" s="2" t="inlineStr"/>
      <c r="I2" s="2" t="inlineStr">
        <is>
          <t>jama_atherton_2025_oi_240145_1741627844.85412.pdf — PDF p. 5, Table 1</t>
        </is>
      </c>
      <c r="J2" s="2" t="b">
        <v>0</v>
      </c>
      <c r="K2" s="2" t="inlineStr">
        <is>
          <t>jama.2024.24764</t>
        </is>
      </c>
      <c r="L2" s="2" t="inlineStr"/>
      <c r="M2" s="2" t="inlineStr">
        <is>
          <t>S_W</t>
        </is>
      </c>
      <c r="N2" s="2" t="inlineStr">
        <is>
          <t>Target is within one main article or one non-plan results supplement/workbook; no substantive plan comparison. Reported percentages are 53.5/23.1/21.9 and 54.4/17.1/26.6; comparator denominators are printed smoking totals 405/402 versus group headers 411/410.</t>
        </is>
      </c>
      <c r="O2" s="2" t="inlineStr">
        <is>
          <t>../../2025/jama.2024.24764/.ai_paper_validation/final_report_1_5_3.html</t>
        </is>
      </c>
      <c r="P2" s="2" t="inlineStr">
        <is>
          <t>2025/jama.2024.24764/.ai_paper_validation/final_report_1_5_3.md</t>
        </is>
      </c>
      <c r="Q2" s="2" t="inlineStr">
        <is>
          <t>C001</t>
        </is>
      </c>
      <c r="R2" s="2" t="inlineStr">
        <is>
          <t>Pending Human Adjudication</t>
        </is>
      </c>
      <c r="S2" s="2" t="inlineStr">
        <is>
          <t>The smoking rows print variable-specific totals of 405 and 402, while all six percentages reproduce the group-header denominators 411 and 410 without an explanatory convention.</t>
        </is>
      </c>
      <c r="T2" s="2" t="b">
        <v>1</v>
      </c>
      <c r="U2" s="2" t="inlineStr">
        <is>
          <t>Smoking percentages use a different denominator from the printed smoking totals</t>
        </is>
      </c>
      <c r="V2" s="2" t="inlineStr">
        <is>
          <t>statistical_results</t>
        </is>
      </c>
      <c r="W2" s="2" t="inlineStr">
        <is>
          <t>Smoking percentages use a different denominator from the printed smoking totals</t>
        </is>
      </c>
      <c r="X2" s="2" t="inlineStr">
        <is>
          <t>2025</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Denominator, proportion, or total inconsistency</t>
        </is>
      </c>
      <c r="E3" s="3" t="b">
        <v>0</v>
      </c>
      <c r="F3" s="3" t="inlineStr">
        <is>
          <t>C002</t>
        </is>
      </c>
      <c r="G3" s="3" t="inlineStr">
        <is>
          <t>2025::jama.2024.24764::C002</t>
        </is>
      </c>
      <c r="H3" s="3" t="inlineStr"/>
      <c r="I3" s="3" t="inlineStr">
        <is>
          <t>jama_atherton_2025_oi_240145_1741627844.85412.pdf — PDF p. 7, Table 2</t>
        </is>
      </c>
      <c r="J3" s="3" t="b">
        <v>0</v>
      </c>
      <c r="K3" s="3" t="inlineStr">
        <is>
          <t>jama.2024.24764</t>
        </is>
      </c>
      <c r="L3" s="3" t="inlineStr"/>
      <c r="M3" s="3" t="inlineStr">
        <is>
          <t>S_W</t>
        </is>
      </c>
      <c r="N3" s="3" t="inlineStr">
        <is>
          <t>Target is within one main article or one non-plan results supplement/workbook; no substantive plan comparison. Category totals 446 and 429 are compared with participant denominators 411 and 410; percentage totals are 108.5% and 104.6%.</t>
        </is>
      </c>
      <c r="O3" s="3" t="inlineStr">
        <is>
          <t>../../2025/jama.2024.24764/.ai_paper_validation/final_report_1_5_3.html</t>
        </is>
      </c>
      <c r="P3" s="3" t="inlineStr">
        <is>
          <t>2025/jama.2024.24764/.ai_paper_validation/final_report_1_5_3.md</t>
        </is>
      </c>
      <c r="Q3" s="3" t="inlineStr">
        <is>
          <t>C002</t>
        </is>
      </c>
      <c r="R3" s="3" t="inlineStr">
        <is>
          <t>Pending Human Adjudication</t>
        </is>
      </c>
      <c r="S3" s="3" t="inlineStr">
        <is>
          <t>Operating-surgeon category totals exceed the printed participant denominators without a statement that the rows permit multiple responses.</t>
        </is>
      </c>
      <c r="T3" s="3" t="b">
        <v>1</v>
      </c>
      <c r="U3" s="3" t="inlineStr">
        <is>
          <t>Operating-surgeon level totals exceed participant denominators without a multi-response qualifier</t>
        </is>
      </c>
      <c r="V3" s="3" t="inlineStr">
        <is>
          <t>statistical_results</t>
        </is>
      </c>
      <c r="W3" s="3" t="inlineStr">
        <is>
          <t>Operating-surgeon level totals exceed participant denominators without a multi-response qualifier</t>
        </is>
      </c>
      <c r="X3" s="3" t="inlineStr">
        <is>
          <t>2025</t>
        </is>
      </c>
      <c r="Y3" s="3" t="inlineStr">
        <is>
          <t>meta_report/consistency_reclassification_2026-09-04/reclassified_candidates.json</t>
        </is>
      </c>
      <c r="Z3" s="3" t="inlineStr">
        <is>
          <t>S_W</t>
        </is>
      </c>
      <c r="AA3" s="3" t="inlineStr">
        <is>
          <t>statistical_results</t>
        </is>
      </c>
      <c r="AB3" s="3" t="inlineStr">
        <is>
          <t>retain</t>
        </is>
      </c>
    </row>
    <row r="4" ht="95" customHeight="1">
      <c r="A4" s="2" t="b">
        <v>0</v>
      </c>
      <c r="B4" s="2" t="inlineStr"/>
      <c r="C4" s="2" t="b">
        <v>0</v>
      </c>
      <c r="D4" s="2" t="inlineStr">
        <is>
          <t>Denominator, proportion, or total inconsistency</t>
        </is>
      </c>
      <c r="E4" s="2" t="b">
        <v>0</v>
      </c>
      <c r="F4" s="2" t="inlineStr">
        <is>
          <t>C003</t>
        </is>
      </c>
      <c r="G4" s="2" t="inlineStr">
        <is>
          <t>2025::jama.2024.24764::C003</t>
        </is>
      </c>
      <c r="H4" s="2" t="inlineStr"/>
      <c r="I4" s="2" t="inlineStr">
        <is>
          <t>jama_atherton_2025_oi_240145_1741627844.85412.pdf — PDF p. 7, Table 2 continuation</t>
        </is>
      </c>
      <c r="J4" s="2" t="b">
        <v>0</v>
      </c>
      <c r="K4" s="2" t="inlineStr">
        <is>
          <t>jama.2024.24764</t>
        </is>
      </c>
      <c r="L4" s="2" t="inlineStr"/>
      <c r="M4" s="2" t="inlineStr">
        <is>
          <t>S_W</t>
        </is>
      </c>
      <c r="N4" s="2" t="inlineStr">
        <is>
          <t>Target is within one main article or one non-plan results supplement/workbook; no substantive plan comparison. Totals 445 and 433 are compared with 411 and 410; percentage totals are 108.2% and 105.7%.</t>
        </is>
      </c>
      <c r="O4" s="2" t="inlineStr">
        <is>
          <t>../../2025/jama.2024.24764/.ai_paper_validation/final_report_1_5_3.html</t>
        </is>
      </c>
      <c r="P4" s="2" t="inlineStr">
        <is>
          <t>2025/jama.2024.24764/.ai_paper_validation/final_report_1_5_3.md</t>
        </is>
      </c>
      <c r="Q4" s="2" t="inlineStr">
        <is>
          <t>C003</t>
        </is>
      </c>
      <c r="R4" s="2" t="inlineStr">
        <is>
          <t>Pending Human Adjudication</t>
        </is>
      </c>
      <c r="S4" s="2" t="inlineStr">
        <is>
          <t>Fascia-closing surgeon-level totals exceed participant denominators without a stated multi-response rule.</t>
        </is>
      </c>
      <c r="T4" s="2" t="b">
        <v>1</v>
      </c>
      <c r="U4" s="2" t="inlineStr">
        <is>
          <t>Fascia-closing surgeon level totals exceed participant denominators without a multi-response qualifier</t>
        </is>
      </c>
      <c r="V4" s="2" t="inlineStr">
        <is>
          <t>statistical_results</t>
        </is>
      </c>
      <c r="W4" s="2" t="inlineStr">
        <is>
          <t>Fascia-closing surgeon level totals exceed participant denominators without a multi-response qualifier</t>
        </is>
      </c>
      <c r="X4" s="2" t="inlineStr">
        <is>
          <t>2025</t>
        </is>
      </c>
      <c r="Y4" s="2" t="inlineStr">
        <is>
          <t>meta_report/consistency_reclassification_2026-09-04/reclassified_candidates.json</t>
        </is>
      </c>
      <c r="Z4" s="2" t="inlineStr">
        <is>
          <t>S_W</t>
        </is>
      </c>
      <c r="AA4" s="2" t="inlineStr">
        <is>
          <t>statistical_results</t>
        </is>
      </c>
      <c r="AB4" s="2" t="inlineStr">
        <is>
          <t>retain</t>
        </is>
      </c>
    </row>
    <row r="5" ht="95" customHeight="1">
      <c r="A5" s="3" t="b">
        <v>0</v>
      </c>
      <c r="B5" s="3" t="inlineStr"/>
      <c r="C5" s="3" t="b">
        <v>0</v>
      </c>
      <c r="D5" s="3" t="inlineStr">
        <is>
          <t>Denominator, proportion, or total inconsistency</t>
        </is>
      </c>
      <c r="E5" s="3" t="b">
        <v>0</v>
      </c>
      <c r="F5" s="3" t="inlineStr">
        <is>
          <t>C004</t>
        </is>
      </c>
      <c r="G5" s="3" t="inlineStr">
        <is>
          <t>2025::jama.2024.24764::C004</t>
        </is>
      </c>
      <c r="H5" s="3" t="inlineStr"/>
      <c r="I5" s="3" t="inlineStr">
        <is>
          <t>jama_atherton_2025_oi_240145_1741627844.85412.pdf — PDF p. 7, Table 2 continuation</t>
        </is>
      </c>
      <c r="J5" s="3" t="b">
        <v>0</v>
      </c>
      <c r="K5" s="3" t="inlineStr">
        <is>
          <t>jama.2024.24764</t>
        </is>
      </c>
      <c r="L5" s="3" t="inlineStr"/>
      <c r="M5" s="3" t="inlineStr">
        <is>
          <t>S_W</t>
        </is>
      </c>
      <c r="N5" s="3" t="inlineStr">
        <is>
          <t>Target is within one main article or one non-plan results supplement/workbook; no substantive plan comparison. Totals 425 and 416 are compared with 411 and 410; percentage totals are 103.5% and 101.5%.</t>
        </is>
      </c>
      <c r="O5" s="3" t="inlineStr">
        <is>
          <t>../../2025/jama.2024.24764/.ai_paper_validation/final_report_1_5_3.html</t>
        </is>
      </c>
      <c r="P5" s="3" t="inlineStr">
        <is>
          <t>2025/jama.2024.24764/.ai_paper_validation/final_report_1_5_3.md</t>
        </is>
      </c>
      <c r="Q5" s="3" t="inlineStr">
        <is>
          <t>C004</t>
        </is>
      </c>
      <c r="R5" s="3" t="inlineStr">
        <is>
          <t>Pending Human Adjudication</t>
        </is>
      </c>
      <c r="S5" s="3" t="inlineStr">
        <is>
          <t>Skin-closing surgeon-level totals exceed participant denominators without a stated multi-response rule.</t>
        </is>
      </c>
      <c r="T5" s="3" t="b">
        <v>1</v>
      </c>
      <c r="U5" s="3" t="inlineStr">
        <is>
          <t>Skin-closing surgeon level totals exceed participant denominators without a multi-response qualifier</t>
        </is>
      </c>
      <c r="V5" s="3" t="inlineStr">
        <is>
          <t>statistical_results</t>
        </is>
      </c>
      <c r="W5" s="3" t="inlineStr">
        <is>
          <t>Skin-closing surgeon level totals exceed participant denominators without a multi-response qualifier</t>
        </is>
      </c>
      <c r="X5" s="3" t="inlineStr">
        <is>
          <t>2025</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Figure mortality window is unspecified; count discrepancy may be a time-window difference. All locations are in the main article despite original cross-document category.</t>
        </is>
      </c>
      <c r="C6" s="2" t="b">
        <v>0</v>
      </c>
      <c r="D6" s="2" t="inlineStr">
        <is>
          <t>Cross-document numeric inconsistency</t>
        </is>
      </c>
      <c r="E6" s="2" t="b">
        <v>0</v>
      </c>
      <c r="F6" s="2" t="inlineStr">
        <is>
          <t>C005</t>
        </is>
      </c>
      <c r="G6" s="2" t="inlineStr">
        <is>
          <t>2025::jama.2024.24764::C005</t>
        </is>
      </c>
      <c r="H6" s="2" t="inlineStr"/>
      <c r="I6" s="2" t="inlineStr">
        <is>
          <t>jama_atherton_2025_oi_240145_1741627844.85412.pdf — PDF p. 3, Figure 1; PDF p. 6, safety narrative; PDF p. 8, Table 3</t>
        </is>
      </c>
      <c r="J6" s="2" t="b">
        <v>1</v>
      </c>
      <c r="K6" s="2" t="inlineStr">
        <is>
          <t>jama.2024.24764</t>
        </is>
      </c>
      <c r="L6" s="2" t="inlineStr"/>
      <c r="M6" s="2" t="inlineStr">
        <is>
          <t>S_W</t>
        </is>
      </c>
      <c r="N6" s="2" t="inlineStr">
        <is>
          <t>Target is within one main article or one non-plan results supplement/workbook; no substantive plan comparison. Figure 1 total 25 and control count 15 are compared with the explicitly 30-day total 24 and control count 14.</t>
        </is>
      </c>
      <c r="O6" s="2" t="inlineStr">
        <is>
          <t>../../2025/jama.2024.24764/.ai_paper_validation/final_report_1_5_3.html</t>
        </is>
      </c>
      <c r="P6" s="2" t="inlineStr">
        <is>
          <t>2025/jama.2024.24764/.ai_paper_validation/final_report_1_5_3.md</t>
        </is>
      </c>
      <c r="Q6" s="2" t="inlineStr">
        <is>
          <t>C005</t>
        </is>
      </c>
      <c r="R6" s="2" t="inlineStr">
        <is>
          <t>Pending Human Adjudication</t>
        </is>
      </c>
      <c r="S6" s="2" t="inlineStr">
        <is>
          <t>Participant flow reports 25 deaths (10 intervention, 15 control), whereas Table 3 and the safety narrative report 24 deaths within 30 days (10 intervention, 14 control).</t>
        </is>
      </c>
      <c r="T6" s="2" t="b">
        <v>1</v>
      </c>
      <c r="U6" s="2" t="inlineStr">
        <is>
          <t>Control-arm mortality differs between participant flow and 30-day safety reporting</t>
        </is>
      </c>
      <c r="V6" s="2" t="inlineStr">
        <is>
          <t>internal_nonstatistical</t>
        </is>
      </c>
      <c r="W6" s="2" t="inlineStr">
        <is>
          <t>Control-arm mortality differs between participant flow and 30-day safety reporting</t>
        </is>
      </c>
      <c r="X6" s="2" t="inlineStr">
        <is>
          <t>2025</t>
        </is>
      </c>
      <c r="Y6" s="2" t="inlineStr">
        <is>
          <t>meta_report/consistency_reclassification_2026-09-04/reclassified_candidates.json</t>
        </is>
      </c>
      <c r="Z6" s="2" t="inlineStr">
        <is>
          <t>S_W</t>
        </is>
      </c>
      <c r="AA6" s="2" t="inlineStr">
        <is>
          <t>internal_nonstatistical</t>
        </is>
      </c>
      <c r="AB6" s="2" t="inlineStr">
        <is>
          <t>retain</t>
        </is>
      </c>
    </row>
    <row r="7" ht="95" customHeight="1">
      <c r="A7" s="3" t="b">
        <v>0</v>
      </c>
      <c r="B7" s="3" t="inlineStr">
        <is>
          <t>Covariance specifications differ; article silence about sandwich SE does not prove it was absent. Amendment/output unavailable.</t>
        </is>
      </c>
      <c r="C7" s="3" t="b">
        <v>1</v>
      </c>
      <c r="D7" s="3" t="inlineStr">
        <is>
          <t>Statistical reporting inconsistency</t>
        </is>
      </c>
      <c r="E7" s="3" t="b">
        <v>1</v>
      </c>
      <c r="F7" s="3" t="inlineStr">
        <is>
          <t>C006</t>
        </is>
      </c>
      <c r="G7" s="3" t="inlineStr">
        <is>
          <t>2025::jama.2024.24764::C006</t>
        </is>
      </c>
      <c r="H7" s="3" t="inlineStr"/>
      <c r="I7" s="3" t="inlineStr">
        <is>
          <t>joi240145supp1_prod_1741627844.87412.pdf — PDF p. 26, SAP; jama_atherton_2025_oi_240145_1741627844.85412.pdf — PDF p. 4, Statistical Analysis</t>
        </is>
      </c>
      <c r="J7" s="3" t="b">
        <v>0</v>
      </c>
      <c r="K7" s="3" t="inlineStr">
        <is>
          <t>jama.2024.24764</t>
        </is>
      </c>
      <c r="L7" s="3" t="inlineStr">
        <is>
          <t>analysis_specification</t>
        </is>
      </c>
      <c r="M7" s="3" t="inlineStr">
        <is>
          <t>P_R</t>
        </is>
      </c>
      <c r="N7" s="3" t="inlineStr">
        <is>
          <t>Target compares reported current-study content with supplied protocol/SAP specification. Final-article independent covariance is compared with SAP unstructured covariance and robust sandwich variance estimation.</t>
        </is>
      </c>
      <c r="O7" s="3" t="inlineStr">
        <is>
          <t>../../2025/jama.2024.24764/.ai_paper_validation/final_report_1_5_3.html</t>
        </is>
      </c>
      <c r="P7" s="3" t="inlineStr">
        <is>
          <t>2025/jama.2024.24764/.ai_paper_validation/final_report_1_5_3.md</t>
        </is>
      </c>
      <c r="Q7" s="3" t="inlineStr">
        <is>
          <t>C006</t>
        </is>
      </c>
      <c r="R7" s="3" t="inlineStr">
        <is>
          <t>Pending Human Adjudication</t>
        </is>
      </c>
      <c r="S7" s="3" t="inlineStr">
        <is>
          <t>The SAP specifies unstructured covariance with robust sandwich standard errors for the QoL model family, while the final article specifies independent covariance.</t>
        </is>
      </c>
      <c r="T7" s="3" t="b">
        <v>0</v>
      </c>
      <c r="U7" s="3" t="inlineStr">
        <is>
          <t>Longitudinal quality-of-life covariance specification differs between SAP and final article</t>
        </is>
      </c>
      <c r="V7" s="3" t="inlineStr">
        <is>
          <t>protocol_report</t>
        </is>
      </c>
      <c r="W7" s="3" t="inlineStr">
        <is>
          <t>Longitudinal quality-of-life covariance specification differs between SAP and final article</t>
        </is>
      </c>
      <c r="X7" s="3" t="inlineStr">
        <is>
          <t>2025</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is>
          <t>UK-only comparison isolates effect measure from C008 population issue; skewness anticipated but planned median difference differs from geometric-mean ratio.</t>
        </is>
      </c>
      <c r="C8" s="2" t="b">
        <v>1</v>
      </c>
      <c r="D8" s="2" t="inlineStr">
        <is>
          <t>Measure, label, or scale inconsistency</t>
        </is>
      </c>
      <c r="E8" s="2" t="b">
        <v>1</v>
      </c>
      <c r="F8" s="2" t="inlineStr">
        <is>
          <t>C007</t>
        </is>
      </c>
      <c r="G8" s="2" t="inlineStr">
        <is>
          <t>2025::jama.2024.24764::C007</t>
        </is>
      </c>
      <c r="H8" s="2" t="inlineStr"/>
      <c r="I8" s="2" t="inlineStr">
        <is>
          <t>joi240145supp1_prod_1741627844.87412.pdf — PDF p. 25, SAP; joi240145supp4_prod_1741627844.90412.pdf — PDF p. 39, protocol; jama_atherton_2025_oi_240145_1741627844.85412.pdf — PDF p. 4; PDF p. 8, Table 3</t>
        </is>
      </c>
      <c r="J8" s="2" t="b">
        <v>0</v>
      </c>
      <c r="K8" s="2" t="inlineStr">
        <is>
          <t>jama.2024.24764</t>
        </is>
      </c>
      <c r="L8" s="2" t="inlineStr">
        <is>
          <t>analysis_specification</t>
        </is>
      </c>
      <c r="M8" s="2" t="inlineStr">
        <is>
          <t>P_R</t>
        </is>
      </c>
      <c r="N8" s="2" t="inlineStr">
        <is>
          <t>Target compares reported current-study content with supplied protocol/SAP specification. Multiplicative, dimensionless ratios of geometric means are compared with additive differences in days for the same endpoint.</t>
        </is>
      </c>
      <c r="O8" s="2" t="inlineStr">
        <is>
          <t>../../2025/jama.2024.24764/.ai_paper_validation/final_report_1_5_3.html</t>
        </is>
      </c>
      <c r="P8" s="2" t="inlineStr">
        <is>
          <t>2025/jama.2024.24764/.ai_paper_validation/final_report_1_5_3.md</t>
        </is>
      </c>
      <c r="Q8" s="2" t="inlineStr">
        <is>
          <t>C007</t>
        </is>
      </c>
      <c r="R8" s="2" t="inlineStr">
        <is>
          <t>Pending Human Adjudication</t>
        </is>
      </c>
      <c r="S8" s="2" t="inlineStr">
        <is>
          <t>SAP/protocol describe adjusted mean difference, or skewed-data unadjusted median difference, whereas the final article reports log-transformed adjusted ratios of geometric means for length of stay.</t>
        </is>
      </c>
      <c r="T8" s="2" t="b">
        <v>0</v>
      </c>
      <c r="U8" s="2" t="inlineStr">
        <is>
          <t>Length-of-stay effect measure and model differ between SAP/protocol and final article</t>
        </is>
      </c>
      <c r="V8" s="2" t="inlineStr">
        <is>
          <t>protocol_report</t>
        </is>
      </c>
      <c r="W8" s="2" t="inlineStr">
        <is>
          <t>Length-of-stay effect measure and model differ between SAP/protocol and final article</t>
        </is>
      </c>
      <c r="X8" s="2" t="inlineStr">
        <is>
          <t>2025</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UK-only result remains reported; all-country result is additional and status is unclear, not proven substitution.</t>
        </is>
      </c>
      <c r="C9" s="3" t="b">
        <v>1</v>
      </c>
      <c r="D9" s="3" t="inlineStr">
        <is>
          <t>Analysis-unit or population inconsistency</t>
        </is>
      </c>
      <c r="E9" s="3" t="b">
        <v>1</v>
      </c>
      <c r="F9" s="3" t="inlineStr">
        <is>
          <t>C008</t>
        </is>
      </c>
      <c r="G9" s="3" t="inlineStr">
        <is>
          <t>2025::jama.2024.24764::C008</t>
        </is>
      </c>
      <c r="H9" s="3" t="inlineStr"/>
      <c r="I9" s="3" t="inlineStr">
        <is>
          <t>joi240145supp1_prod_1741627844.87412.pdf — PDF p. 18, SAP endpoint; PDF p. 25, SAP population; joi240145supp4_prod_1741627844.90412.pdf — PDF p. 24, protocol; jama_atherton_2025_oi_240145_1741627844.85412.pdf — PDF p. 1, abstract; PDF p. 8, Table 3</t>
        </is>
      </c>
      <c r="J9" s="3" t="b">
        <v>0</v>
      </c>
      <c r="K9" s="3" t="inlineStr">
        <is>
          <t>jama.2024.24764</t>
        </is>
      </c>
      <c r="L9" s="3" t="inlineStr">
        <is>
          <t>population_recruitment_sites</t>
        </is>
      </c>
      <c r="M9" s="3" t="inlineStr">
        <is>
          <t>P_R</t>
        </is>
      </c>
      <c r="N9" s="3" t="inlineStr">
        <is>
          <t>Target compares reported current-study content with supplied protocol/SAP specification. A UK-and-Australia analysis population is compared with the planned UK-only endpoint population.</t>
        </is>
      </c>
      <c r="O9" s="3" t="inlineStr">
        <is>
          <t>../../2025/jama.2024.24764/.ai_paper_validation/final_report_1_5_3.html</t>
        </is>
      </c>
      <c r="P9" s="3" t="inlineStr">
        <is>
          <t>2025/jama.2024.24764/.ai_paper_validation/final_report_1_5_3.md</t>
        </is>
      </c>
      <c r="Q9" s="3" t="inlineStr">
        <is>
          <t>C008</t>
        </is>
      </c>
      <c r="R9" s="3" t="inlineStr">
        <is>
          <t>Pending Human Adjudication</t>
        </is>
      </c>
      <c r="S9" s="3" t="inlineStr">
        <is>
          <t>SAP and protocol specify UK-only length-of-stay reporting, while the final article additionally reports a UK-and-Australia result.</t>
        </is>
      </c>
      <c r="T9" s="3" t="b">
        <v>0</v>
      </c>
      <c r="U9" s="3" t="inlineStr">
        <is>
          <t>Australia-inclusive length-of-stay result differs from the stated UK-only analysis population</t>
        </is>
      </c>
      <c r="V9" s="3" t="inlineStr">
        <is>
          <t>protocol_report</t>
        </is>
      </c>
      <c r="W9" s="3" t="inlineStr">
        <is>
          <t>Australia-inclusive length-of-stay result differs from the stated UK-only analysis population</t>
        </is>
      </c>
      <c r="X9" s="3" t="inlineStr">
        <is>
          <t>2025</t>
        </is>
      </c>
      <c r="Y9" s="3" t="inlineStr">
        <is>
          <t>meta_report/consistency_reclassification_2026-09-04/reclassified_candidates.json</t>
        </is>
      </c>
      <c r="Z9" s="3" t="inlineStr">
        <is>
          <t>P_R</t>
        </is>
      </c>
      <c r="AA9" s="3" t="inlineStr">
        <is>
          <t>protocol_report</t>
        </is>
      </c>
      <c r="AB9" s="3" t="inlineStr">
        <is>
          <t>retain</t>
        </is>
      </c>
    </row>
    <row r="10" ht="95" customHeight="1">
      <c r="A10" s="2" t="b">
        <v>0</v>
      </c>
      <c r="B10" s="2" t="inlineStr"/>
      <c r="C10" s="2" t="b">
        <v>0</v>
      </c>
      <c r="D10" s="2" t="inlineStr">
        <is>
          <t>Denominator, proportion, or total inconsistency</t>
        </is>
      </c>
      <c r="E10" s="2" t="b">
        <v>0</v>
      </c>
      <c r="F10" s="2" t="inlineStr">
        <is>
          <t>C001</t>
        </is>
      </c>
      <c r="G10" s="2" t="inlineStr">
        <is>
          <t>2025::jama.2024.27643::C001</t>
        </is>
      </c>
      <c r="H10" s="2" t="inlineStr"/>
      <c r="I10" s="2" t="inlineStr">
        <is>
          <t>jama_berry_2025_oi_240158_1742927563.7361.pdf — Table 1 and footnote b, PDF p. 6</t>
        </is>
      </c>
      <c r="J10" s="2" t="b">
        <v>0</v>
      </c>
      <c r="K10" s="2" t="inlineStr">
        <is>
          <t>jama.2024.27643</t>
        </is>
      </c>
      <c r="L10" s="2" t="inlineStr"/>
      <c r="M10" s="2" t="inlineStr">
        <is>
          <t>S_W</t>
        </is>
      </c>
      <c r="N10" s="2"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10" s="2" t="inlineStr">
        <is>
          <t>../../2025/jama.2024.27643/.ai_paper_validation/final_report_1_5_3.html</t>
        </is>
      </c>
      <c r="P10" s="2" t="inlineStr">
        <is>
          <t>2025/jama.2024.27643/.ai_paper_validation/final_report_1_5_3.md</t>
        </is>
      </c>
      <c r="Q10" s="2" t="inlineStr">
        <is>
          <t>C001</t>
        </is>
      </c>
      <c r="R10" s="2" t="inlineStr">
        <is>
          <t>Pending Human Adjudication</t>
        </is>
      </c>
      <c r="S10" s="2" t="inlineStr">
        <is>
          <t>The displayed shared-placebo race accounting has a one-participant mismatch.</t>
        </is>
      </c>
      <c r="T10" s="2" t="b">
        <v>1</v>
      </c>
      <c r="U10" s="2" t="inlineStr">
        <is>
          <t>Shared-placebo race missingness does not reconcile with the printed denominator</t>
        </is>
      </c>
      <c r="V10" s="2" t="inlineStr">
        <is>
          <t>statistical_results</t>
        </is>
      </c>
      <c r="W10" s="2" t="inlineStr">
        <is>
          <t>Shared-placebo race missingness does not reconcile with the printed denominator</t>
        </is>
      </c>
      <c r="X10" s="2" t="inlineStr">
        <is>
          <t>2025</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c r="C11" s="3" t="b">
        <v>0</v>
      </c>
      <c r="D11" s="3" t="inlineStr">
        <is>
          <t>Measure, label, or scale inconsistency</t>
        </is>
      </c>
      <c r="E11" s="3" t="b">
        <v>1</v>
      </c>
      <c r="F11" s="3" t="inlineStr">
        <is>
          <t>C002</t>
        </is>
      </c>
      <c r="G11" s="3" t="inlineStr">
        <is>
          <t>2025::jama.2024.27643::C002</t>
        </is>
      </c>
      <c r="H11" s="3" t="inlineStr"/>
      <c r="I11" s="3" t="inlineStr">
        <is>
          <t>jama_berry_2025_oi_240158_1742927563.7361.pdf — Secondary Efficacy Outcomes, PDF p. 4; joi240158supp3_prod_1742927563.7911.pdf — eTable 3A, PDF p. 16</t>
        </is>
      </c>
      <c r="J11" s="3" t="b">
        <v>0</v>
      </c>
      <c r="K11" s="3" t="inlineStr">
        <is>
          <t>jama.2024.27643</t>
        </is>
      </c>
      <c r="L11" s="3" t="inlineStr"/>
      <c r="M11" s="3" t="inlineStr">
        <is>
          <t>S_C</t>
        </is>
      </c>
      <c r="N11" s="3" t="inlineStr">
        <is>
          <t>Target explicitly compares current main article and non-plan results supplement/workbook. A monthly rate is printed in the article; a cumulative 24-week change label is printed for the same values in the cited table.</t>
        </is>
      </c>
      <c r="O11" s="3" t="inlineStr">
        <is>
          <t>../../2025/jama.2024.27643/.ai_paper_validation/final_report_1_5_3.html</t>
        </is>
      </c>
      <c r="P11" s="3" t="inlineStr">
        <is>
          <t>2025/jama.2024.27643/.ai_paper_validation/final_report_1_5_3.md</t>
        </is>
      </c>
      <c r="Q11" s="3" t="inlineStr">
        <is>
          <t>C002</t>
        </is>
      </c>
      <c r="R11" s="3" t="inlineStr">
        <is>
          <t>Pending Human Adjudication</t>
        </is>
      </c>
      <c r="S11" s="3" t="inlineStr">
        <is>
          <t>Identical SVC values are labelled as monthly rates in the article and as 24-week change estimates in eTable 3A.</t>
        </is>
      </c>
      <c r="T11" s="3" t="b">
        <v>1</v>
      </c>
      <c r="U11" s="3" t="inlineStr">
        <is>
          <t>SVC values have incompatible monthly-rate and 24-week-change labels</t>
        </is>
      </c>
      <c r="V11" s="3" t="inlineStr">
        <is>
          <t>internal_nonstatistical</t>
        </is>
      </c>
      <c r="W11" s="3" t="inlineStr">
        <is>
          <t>SVC values have incompatible monthly-rate and 24-week-change labels</t>
        </is>
      </c>
      <c r="X11" s="3" t="inlineStr">
        <is>
          <t>2025</t>
        </is>
      </c>
      <c r="Y11" s="3" t="inlineStr">
        <is>
          <t>meta_report/consistency_reclassification_2026-09-04/reclassified_candidates.json</t>
        </is>
      </c>
      <c r="Z11" s="3" t="inlineStr">
        <is>
          <t>S_C</t>
        </is>
      </c>
      <c r="AA11" s="3" t="inlineStr">
        <is>
          <t>internal_nonstatistical</t>
        </is>
      </c>
      <c r="AB11" s="3" t="inlineStr">
        <is>
          <t>retain</t>
        </is>
      </c>
    </row>
    <row r="12" ht="95" customHeight="1">
      <c r="A12" s="2" t="b">
        <v>0</v>
      </c>
      <c r="B12" s="2" t="inlineStr"/>
      <c r="C12" s="2" t="b">
        <v>0</v>
      </c>
      <c r="D12" s="2" t="inlineStr">
        <is>
          <t>Cross-document numeric inconsistency</t>
        </is>
      </c>
      <c r="E12" s="2" t="b">
        <v>1</v>
      </c>
      <c r="F12" s="2" t="inlineStr">
        <is>
          <t>C003</t>
        </is>
      </c>
      <c r="G12" s="2" t="inlineStr">
        <is>
          <t>2025::jama.2024.27643::C003</t>
        </is>
      </c>
      <c r="H12" s="2" t="inlineStr"/>
      <c r="I12" s="2" t="inlineStr">
        <is>
          <t>jama_berry_2025_oi_240158_1742927563.7361.pdf — Primary Efficacy Outcome, PDF p. 4; joi240158supp3_prod_1742927563.7911.pdf — eTable 2, PDF p. 15</t>
        </is>
      </c>
      <c r="J12" s="2" t="b">
        <v>1</v>
      </c>
      <c r="K12" s="2" t="inlineStr">
        <is>
          <t>jama.2024.27643</t>
        </is>
      </c>
      <c r="L12" s="2" t="inlineStr"/>
      <c r="M12" s="2" t="inlineStr">
        <is>
          <t>S_C</t>
        </is>
      </c>
      <c r="N12" s="2" t="inlineStr">
        <is>
          <t>Target explicitly compares current main article and non-plan results supplement/workbook. Matched Bayesian shared-parameter-model, group, endpoint, and unit labels accompany different three-decimal interval endpoints.</t>
        </is>
      </c>
      <c r="O12" s="2" t="inlineStr">
        <is>
          <t>../../2025/jama.2024.27643/.ai_paper_validation/final_report_1_5_3.html</t>
        </is>
      </c>
      <c r="P12" s="2" t="inlineStr">
        <is>
          <t>2025/jama.2024.27643/.ai_paper_validation/final_report_1_5_3.md</t>
        </is>
      </c>
      <c r="Q12" s="2" t="inlineStr">
        <is>
          <t>C003</t>
        </is>
      </c>
      <c r="R12" s="2" t="inlineStr">
        <is>
          <t>Pending Human Adjudication</t>
        </is>
      </c>
      <c r="S12" s="2" t="inlineStr">
        <is>
          <t>The shared-placebo ALSFRS-R interval endpoints differ between the article and its cited eTable 2.</t>
        </is>
      </c>
      <c r="T12" s="2" t="b">
        <v>1</v>
      </c>
      <c r="U12" s="2" t="inlineStr">
        <is>
          <t>Shared-placebo ALSFRS-R credible-interval endpoints differ for the cited primary model</t>
        </is>
      </c>
      <c r="V12" s="2" t="inlineStr">
        <is>
          <t>internal_nonstatistical</t>
        </is>
      </c>
      <c r="W12" s="2" t="inlineStr">
        <is>
          <t>Shared-placebo ALSFRS-R credible-interval endpoints differ for the cited primary model</t>
        </is>
      </c>
      <c r="X12" s="2" t="inlineStr">
        <is>
          <t>2025</t>
        </is>
      </c>
      <c r="Y12" s="2" t="inlineStr">
        <is>
          <t>meta_report/consistency_reclassification_2026-09-04/reclassified_candidates.json</t>
        </is>
      </c>
      <c r="Z12" s="2" t="inlineStr">
        <is>
          <t>S_C</t>
        </is>
      </c>
      <c r="AA12" s="2" t="inlineStr">
        <is>
          <t>internal_nonstatistical</t>
        </is>
      </c>
      <c r="AB12" s="2" t="inlineStr">
        <is>
          <t>retain</t>
        </is>
      </c>
    </row>
    <row r="13" ht="95" customHeight="1">
      <c r="A13" s="3" t="b">
        <v>0</v>
      </c>
      <c r="B13" s="3" t="inlineStr"/>
      <c r="C13" s="3" t="b">
        <v>0</v>
      </c>
      <c r="D13" s="3" t="inlineStr">
        <is>
          <t>Cross-document numeric inconsistency</t>
        </is>
      </c>
      <c r="E13" s="3" t="b">
        <v>1</v>
      </c>
      <c r="F13" s="3" t="inlineStr">
        <is>
          <t>C004</t>
        </is>
      </c>
      <c r="G13" s="3" t="inlineStr">
        <is>
          <t>2025::jama.2024.27643::C004</t>
        </is>
      </c>
      <c r="H13" s="3" t="inlineStr"/>
      <c r="I13" s="3" t="inlineStr">
        <is>
          <t>jama_berry_2025_oi_240158_1742927563.7361.pdf — Primary Efficacy Outcome, PDF p. 4; joi240158supp3_prod_1742927563.7911.pdf — eTable 2, PDF p. 15</t>
        </is>
      </c>
      <c r="J13" s="3" t="b">
        <v>1</v>
      </c>
      <c r="K13" s="3" t="inlineStr">
        <is>
          <t>jama.2024.27643</t>
        </is>
      </c>
      <c r="L13" s="3" t="inlineStr"/>
      <c r="M13" s="3" t="inlineStr">
        <is>
          <t>S_C</t>
        </is>
      </c>
      <c r="N13" s="3" t="inlineStr">
        <is>
          <t>Target explicitly compares current main article and non-plan results supplement/workbook. The point estimate and named model match, while both printed interval endpoints differ.</t>
        </is>
      </c>
      <c r="O13" s="3" t="inlineStr">
        <is>
          <t>../../2025/jama.2024.27643/.ai_paper_validation/final_report_1_5_3.html</t>
        </is>
      </c>
      <c r="P13" s="3" t="inlineStr">
        <is>
          <t>2025/jama.2024.27643/.ai_paper_validation/final_report_1_5_3.md</t>
        </is>
      </c>
      <c r="Q13" s="3" t="inlineStr">
        <is>
          <t>C004</t>
        </is>
      </c>
      <c r="R13" s="3" t="inlineStr">
        <is>
          <t>Pending Human Adjudication</t>
        </is>
      </c>
      <c r="S13" s="3" t="inlineStr">
        <is>
          <t>The pooled-active ALSFRS-R interval endpoints differ between the article and cited eTable 2.</t>
        </is>
      </c>
      <c r="T13" s="3" t="b">
        <v>1</v>
      </c>
      <c r="U13" s="3" t="inlineStr">
        <is>
          <t>Pooled-active ALSFRS-R credible-interval endpoints differ for the cited primary model</t>
        </is>
      </c>
      <c r="V13" s="3" t="inlineStr">
        <is>
          <t>internal_nonstatistical</t>
        </is>
      </c>
      <c r="W13" s="3" t="inlineStr">
        <is>
          <t>Pooled-active ALSFRS-R credible-interval endpoints differ for the cited primary model</t>
        </is>
      </c>
      <c r="X13" s="3" t="inlineStr">
        <is>
          <t>2025</t>
        </is>
      </c>
      <c r="Y13" s="3" t="inlineStr">
        <is>
          <t>meta_report/consistency_reclassification_2026-09-04/reclassified_candidates.json</t>
        </is>
      </c>
      <c r="Z13" s="3" t="inlineStr">
        <is>
          <t>S_C</t>
        </is>
      </c>
      <c r="AA13" s="3" t="inlineStr">
        <is>
          <t>internal_nonstatistical</t>
        </is>
      </c>
      <c r="AB13" s="3" t="inlineStr">
        <is>
          <t>retain</t>
        </is>
      </c>
    </row>
    <row r="14" ht="95" customHeight="1">
      <c r="A14" s="2" t="b">
        <v>0</v>
      </c>
      <c r="B14" s="2" t="inlineStr"/>
      <c r="C14" s="2" t="b">
        <v>0</v>
      </c>
      <c r="D14" s="2" t="inlineStr">
        <is>
          <t>Cross-document numeric inconsistency</t>
        </is>
      </c>
      <c r="E14" s="2" t="b">
        <v>1</v>
      </c>
      <c r="F14" s="2" t="inlineStr">
        <is>
          <t>C005</t>
        </is>
      </c>
      <c r="G14" s="2" t="inlineStr">
        <is>
          <t>2025::jama.2024.27643::C005</t>
        </is>
      </c>
      <c r="H14" s="2" t="inlineStr"/>
      <c r="I14" s="2" t="inlineStr">
        <is>
          <t>jama_berry_2025_oi_240158_1742927563.7361.pdf — Primary Efficacy Outcome, PDF p. 4; joi240158supp3_prod_1742927563.7911.pdf — eTable 2, PDF p. 15</t>
        </is>
      </c>
      <c r="J14" s="2" t="b">
        <v>1</v>
      </c>
      <c r="K14" s="2" t="inlineStr">
        <is>
          <t>jama.2024.27643</t>
        </is>
      </c>
      <c r="L14" s="2" t="inlineStr"/>
      <c r="M14" s="2" t="inlineStr">
        <is>
          <t>S_C</t>
        </is>
      </c>
      <c r="N14" s="2" t="inlineStr">
        <is>
          <t>Target explicitly compares current main article and non-plan results supplement/workbook. Each matched group has a different three-decimal displayed mortality event rate.</t>
        </is>
      </c>
      <c r="O14" s="2" t="inlineStr">
        <is>
          <t>../../2025/jama.2024.27643/.ai_paper_validation/final_report_1_5_3.html</t>
        </is>
      </c>
      <c r="P14" s="2" t="inlineStr">
        <is>
          <t>2025/jama.2024.27643/.ai_paper_validation/final_report_1_5_3.md</t>
        </is>
      </c>
      <c r="Q14" s="2" t="inlineStr">
        <is>
          <t>C005</t>
        </is>
      </c>
      <c r="R14" s="2" t="inlineStr">
        <is>
          <t>Pending Human Adjudication</t>
        </is>
      </c>
      <c r="S14" s="2" t="inlineStr">
        <is>
          <t>Article and eTable 2 event rates differ for the matched Bayesian shared-parameter-model components.</t>
        </is>
      </c>
      <c r="T14" s="2" t="b">
        <v>1</v>
      </c>
      <c r="U14" s="2" t="inlineStr">
        <is>
          <t>Bayesian mortality event rates differ between article text and cited eTable 2</t>
        </is>
      </c>
      <c r="V14" s="2" t="inlineStr">
        <is>
          <t>internal_nonstatistical</t>
        </is>
      </c>
      <c r="W14" s="2" t="inlineStr">
        <is>
          <t>Bayesian mortality event rates differ between article text and cited eTable 2</t>
        </is>
      </c>
      <c r="X14" s="2" t="inlineStr">
        <is>
          <t>2025</t>
        </is>
      </c>
      <c r="Y14" s="2" t="inlineStr">
        <is>
          <t>meta_report/consistency_reclassification_2026-09-04/reclassified_candidates.json</t>
        </is>
      </c>
      <c r="Z14" s="2" t="inlineStr">
        <is>
          <t>S_C</t>
        </is>
      </c>
      <c r="AA14" s="2" t="inlineStr">
        <is>
          <t>internal_nonstatistical</t>
        </is>
      </c>
      <c r="AB14" s="2" t="inlineStr">
        <is>
          <t>retain</t>
        </is>
      </c>
    </row>
    <row r="15" ht="95" customHeight="1">
      <c r="A15" s="3" t="b">
        <v>0</v>
      </c>
      <c r="B15" s="3" t="inlineStr">
        <is>
          <t>Both article-internal Figure/narrative and article/results-supp interval differences are explicitly targeted.</t>
        </is>
      </c>
      <c r="C15" s="3" t="b">
        <v>0</v>
      </c>
      <c r="D15" s="3" t="inlineStr">
        <is>
          <t>Cross-document numeric inconsistency</t>
        </is>
      </c>
      <c r="E15" s="3" t="b">
        <v>1</v>
      </c>
      <c r="F15" s="3" t="inlineStr">
        <is>
          <t>C006</t>
        </is>
      </c>
      <c r="G15" s="3" t="inlineStr">
        <is>
          <t>2025::jama.2024.27643::C006</t>
        </is>
      </c>
      <c r="H15" s="3" t="inlineStr"/>
      <c r="I15" s="3" t="inlineStr">
        <is>
          <t>jama_berry_2025_oi_240158_1742927563.7361.pdf — Figure 3 and Biomarker Analyses, PDF p. 8; joi240158supp3_prod_1742927563.7911.pdf — eTable 3B, PDF p. 17</t>
        </is>
      </c>
      <c r="J15" s="3" t="b">
        <v>1</v>
      </c>
      <c r="K15" s="3" t="inlineStr">
        <is>
          <t>jama.2024.27643</t>
        </is>
      </c>
      <c r="L15" s="3" t="inlineStr"/>
      <c r="M15" s="3" t="inlineStr">
        <is>
          <t>S_C</t>
        </is>
      </c>
      <c r="N15" s="3" t="inlineStr">
        <is>
          <t>Target explicitly compares current main article and non-plan results supplement/workbook. The matched point estimate and P value are repeated with different printed interval endpoints.</t>
        </is>
      </c>
      <c r="O15" s="3" t="inlineStr">
        <is>
          <t>../../2025/jama.2024.27643/.ai_paper_validation/final_report_1_5_3.html</t>
        </is>
      </c>
      <c r="P15" s="3" t="inlineStr">
        <is>
          <t>2025/jama.2024.27643/.ai_paper_validation/final_report_1_5_3.md</t>
        </is>
      </c>
      <c r="Q15" s="3" t="inlineStr">
        <is>
          <t>C006</t>
        </is>
      </c>
      <c r="R15" s="3" t="inlineStr">
        <is>
          <t>Pending Human Adjudication</t>
        </is>
      </c>
      <c r="S15" s="3" t="inlineStr">
        <is>
          <t>The repeated plasma-NfL result has differing printed confidence-interval endpoints across three displays.</t>
        </is>
      </c>
      <c r="T15" s="3" t="b">
        <v>1</v>
      </c>
      <c r="U15" s="3" t="inlineStr">
        <is>
          <t>Plasma NfL confidence intervals differ across Figure 3, narrative, and eTable 3B</t>
        </is>
      </c>
      <c r="V15" s="3" t="inlineStr">
        <is>
          <t>internal_nonstatistical</t>
        </is>
      </c>
      <c r="W15" s="3" t="inlineStr">
        <is>
          <t>Plasma NfL confidence intervals differ across Figure 3, narrative, and eTable 3B</t>
        </is>
      </c>
      <c r="X15" s="3" t="inlineStr">
        <is>
          <t>2025</t>
        </is>
      </c>
      <c r="Y15" s="3" t="inlineStr">
        <is>
          <t>meta_report/consistency_reclassification_2026-09-04/reclassified_candidates.json</t>
        </is>
      </c>
      <c r="Z15" s="3" t="inlineStr">
        <is>
          <t>S_C</t>
        </is>
      </c>
      <c r="AA15" s="3" t="inlineStr">
        <is>
          <t>internal_nonstatistical</t>
        </is>
      </c>
      <c r="AB15" s="3" t="inlineStr">
        <is>
          <t>retain</t>
        </is>
      </c>
    </row>
    <row r="16" ht="95" customHeight="1">
      <c r="A16" s="2" t="b">
        <v>0</v>
      </c>
      <c r="B16" s="2" t="inlineStr"/>
      <c r="C16" s="2" t="b">
        <v>0</v>
      </c>
      <c r="D16" s="2" t="inlineStr">
        <is>
          <t>Cross-document numeric inconsistency</t>
        </is>
      </c>
      <c r="E16" s="2" t="b">
        <v>1</v>
      </c>
      <c r="F16" s="2" t="inlineStr">
        <is>
          <t>C007</t>
        </is>
      </c>
      <c r="G16" s="2" t="inlineStr">
        <is>
          <t>2025::jama.2024.27643::C007</t>
        </is>
      </c>
      <c r="H16" s="2" t="inlineStr"/>
      <c r="I16" s="2" t="inlineStr">
        <is>
          <t>jama_berry_2025_oi_240158_1742927563.7361.pdf — Figure 3 and Biomarker Analyses, PDF p. 8; joi240158supp3_prod_1742927563.7911.pdf — eTable 3B, PDF p. 17</t>
        </is>
      </c>
      <c r="J16" s="2" t="b">
        <v>1</v>
      </c>
      <c r="K16" s="2" t="inlineStr">
        <is>
          <t>jama.2024.27643</t>
        </is>
      </c>
      <c r="L16" s="2" t="inlineStr"/>
      <c r="M16" s="2" t="inlineStr">
        <is>
          <t>S_C</t>
        </is>
      </c>
      <c r="N16" s="2" t="inlineStr">
        <is>
          <t>Target explicitly compares current main article and non-plan results supplement/workbook. The active change and P value agree, but placebo changes differ by 4.0 percentage points, treatment contrasts differ by 3.2 points, and both interval endpoints differ.</t>
        </is>
      </c>
      <c r="O16" s="2" t="inlineStr">
        <is>
          <t>../../2025/jama.2024.27643/.ai_paper_validation/final_report_1_5_3.html</t>
        </is>
      </c>
      <c r="P16" s="2" t="inlineStr">
        <is>
          <t>2025/jama.2024.27643/.ai_paper_validation/final_report_1_5_3.md</t>
        </is>
      </c>
      <c r="Q16" s="2" t="inlineStr">
        <is>
          <t>C007</t>
        </is>
      </c>
      <c r="R16" s="2" t="inlineStr">
        <is>
          <t>Pending Human Adjudication</t>
        </is>
      </c>
      <c r="S16" s="2" t="inlineStr">
        <is>
          <t>Matched article and eTable 3B serum-NfL displays report different placebo changes, contrasts, and interval endpoints.</t>
        </is>
      </c>
      <c r="T16" s="2" t="b">
        <v>1</v>
      </c>
      <c r="U16" s="2" t="inlineStr">
        <is>
          <t>Serum NfL regimen-only values and contrast differ across displays</t>
        </is>
      </c>
      <c r="V16" s="2" t="inlineStr">
        <is>
          <t>internal_nonstatistical</t>
        </is>
      </c>
      <c r="W16" s="2" t="inlineStr">
        <is>
          <t>Serum NfL regimen-only values and contrast differ across displays</t>
        </is>
      </c>
      <c r="X16" s="2" t="inlineStr">
        <is>
          <t>2025</t>
        </is>
      </c>
      <c r="Y16" s="2" t="inlineStr">
        <is>
          <t>meta_report/consistency_reclassification_2026-09-04/reclassified_candidates.json</t>
        </is>
      </c>
      <c r="Z16" s="2" t="inlineStr">
        <is>
          <t>S_C</t>
        </is>
      </c>
      <c r="AA16" s="2" t="inlineStr">
        <is>
          <t>internal_nonstatistical</t>
        </is>
      </c>
      <c r="AB16" s="2" t="inlineStr">
        <is>
          <t>retain</t>
        </is>
      </c>
    </row>
    <row r="17" ht="95" customHeight="1">
      <c r="A17" s="3" t="b">
        <v>0</v>
      </c>
      <c r="B17" s="3" t="inlineStr"/>
      <c r="C17" s="3" t="b">
        <v>0</v>
      </c>
      <c r="D17" s="3" t="inlineStr">
        <is>
          <t>Denominator, proportion, or total inconsistency</t>
        </is>
      </c>
      <c r="E17" s="3" t="b">
        <v>0</v>
      </c>
      <c r="F17" s="3" t="inlineStr">
        <is>
          <t>C008</t>
        </is>
      </c>
      <c r="G17" s="3" t="inlineStr">
        <is>
          <t>2025::jama.2024.27643::C008</t>
        </is>
      </c>
      <c r="H17" s="3" t="inlineStr"/>
      <c r="I17" s="3" t="inlineStr">
        <is>
          <t>jama_berry_2025_oi_240158_1742927563.7361.pdf — Table 2, PDF p. 7; jama_berry_2025_oi_240158_1742927563.7361.pdf — Discussion, PDF p. 9</t>
        </is>
      </c>
      <c r="J17" s="3" t="b">
        <v>0</v>
      </c>
      <c r="K17" s="3" t="inlineStr">
        <is>
          <t>jama.2024.27643</t>
        </is>
      </c>
      <c r="L17" s="3" t="inlineStr"/>
      <c r="M17" s="3" t="inlineStr">
        <is>
          <t>S_W</t>
        </is>
      </c>
      <c r="N17" s="3" t="inlineStr">
        <is>
          <t>Target is within one main article or one non-plan results supplement/workbook; no substantive plan comparison. Table 2's two printed numerators total 14, while the Discussion prints 13.</t>
        </is>
      </c>
      <c r="O17" s="3" t="inlineStr">
        <is>
          <t>../../2025/jama.2024.27643/.ai_paper_validation/final_report_1_5_3.html</t>
        </is>
      </c>
      <c r="P17" s="3" t="inlineStr">
        <is>
          <t>2025/jama.2024.27643/.ai_paper_validation/final_report_1_5_3.md</t>
        </is>
      </c>
      <c r="Q17" s="3" t="inlineStr">
        <is>
          <t>C008</t>
        </is>
      </c>
      <c r="R17" s="3" t="inlineStr">
        <is>
          <t>Pending Human Adjudication</t>
        </is>
      </c>
      <c r="S17" s="3" t="inlineStr">
        <is>
          <t>The Discussion's 13-event total does not match the 14 events obtained from the cited Table 2 group numerators if the endpoint and cutoff are the same.</t>
        </is>
      </c>
      <c r="T17" s="3" t="b">
        <v>1</v>
      </c>
      <c r="U17" s="3" t="inlineStr">
        <is>
          <t>Discussion total of 13 events conflicts with the 14 events displayed in Table 2</t>
        </is>
      </c>
      <c r="V17" s="3" t="inlineStr">
        <is>
          <t>statistical_results</t>
        </is>
      </c>
      <c r="W17" s="3" t="inlineStr">
        <is>
          <t>Discussion total of 13 events conflicts with the 14 events displayed in Table 2</t>
        </is>
      </c>
      <c r="X17" s="3" t="inlineStr">
        <is>
          <t>2025</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c r="C18" s="2" t="b">
        <v>0</v>
      </c>
      <c r="D18" s="2" t="inlineStr">
        <is>
          <t>Numeric or arithmetic inconsistency</t>
        </is>
      </c>
      <c r="E18" s="2" t="b">
        <v>0</v>
      </c>
      <c r="F18" s="2" t="inlineStr">
        <is>
          <t>C001</t>
        </is>
      </c>
      <c r="G18" s="2" t="inlineStr">
        <is>
          <t>2025::jama.2025.11178::C001</t>
        </is>
      </c>
      <c r="H18" s="2" t="inlineStr"/>
      <c r="I18" s="2" t="inlineStr">
        <is>
          <t>main article — PDF p. 5, Figure 1, “4481 Ineligible.”</t>
        </is>
      </c>
      <c r="J18" s="2" t="b">
        <v>0</v>
      </c>
      <c r="K18" s="2" t="inlineStr">
        <is>
          <t>jama.2025.11178</t>
        </is>
      </c>
      <c r="L18" s="2" t="inlineStr"/>
      <c r="M18" s="2" t="inlineStr">
        <is>
          <t>S_W</t>
        </is>
      </c>
      <c r="N18" s="2" t="inlineStr">
        <is>
          <t>Target is within one main article or one non-plan results supplement/workbook; no substantive plan comparison. If the displayed six reasons exhaust the “one or more of” subtotal, their sum must be at least its union: `411+273+189+121+95+34=1123`, 120 below 1243.</t>
        </is>
      </c>
      <c r="O18" s="2" t="inlineStr">
        <is>
          <t>../../2025/jama.2025.11178/.ai_paper_validation/final_report_1_5_1.html</t>
        </is>
      </c>
      <c r="P18" s="2" t="inlineStr">
        <is>
          <t>2025/jama.2025.11178/.ai_paper_validation/final_report_1_5_1.md</t>
        </is>
      </c>
      <c r="Q18" s="2" t="inlineStr">
        <is>
          <t>C001</t>
        </is>
      </c>
      <c r="R18" s="2" t="inlineStr">
        <is>
          <t>Pending Human Adjudication</t>
        </is>
      </c>
      <c r="S18" s="2" t="inlineStr">
        <is>
          <t>Pending Human Adjudication. The printed values identify a candidate consistency issue: Conditional Figure 1 further-ineligibility component subtotal gap.</t>
        </is>
      </c>
      <c r="T18" s="2" t="b">
        <v>1</v>
      </c>
      <c r="U18" s="2" t="inlineStr">
        <is>
          <t>Conditional Figure 1 further-ineligibility component subtotal gap</t>
        </is>
      </c>
      <c r="V18" s="2" t="inlineStr">
        <is>
          <t>statistical_results</t>
        </is>
      </c>
      <c r="W18" s="2" t="inlineStr">
        <is>
          <t>Conditional Figure 1 further-ineligibility component subtotal gap</t>
        </is>
      </c>
      <c r="X18" s="2" t="inlineStr">
        <is>
          <t>2025</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c r="C19" s="3" t="b">
        <v>0</v>
      </c>
      <c r="D19" s="3" t="inlineStr">
        <is>
          <t>Denominator, proportion, or total inconsistency</t>
        </is>
      </c>
      <c r="E19" s="3" t="b">
        <v>0</v>
      </c>
      <c r="F19" s="3" t="inlineStr">
        <is>
          <t>C002</t>
        </is>
      </c>
      <c r="G19" s="3" t="inlineStr">
        <is>
          <t>2025::jama.2025.11178::C002</t>
        </is>
      </c>
      <c r="H19" s="3" t="inlineStr"/>
      <c r="I19" s="3" t="inlineStr">
        <is>
          <t>results supplement — PDF p. 7, eTable 1, Overall column.</t>
        </is>
      </c>
      <c r="J19" s="3" t="b">
        <v>0</v>
      </c>
      <c r="K19" s="3" t="inlineStr">
        <is>
          <t>jama.2025.11178</t>
        </is>
      </c>
      <c r="L19" s="3" t="inlineStr"/>
      <c r="M19" s="3" t="inlineStr">
        <is>
          <t>S_W</t>
        </is>
      </c>
      <c r="N19" s="3" t="inlineStr">
        <is>
          <t>Target is within one main article or one non-plan results supplement/workbook; no substantive plan comparison. Mutually exclusive follow-up patterns should partition the total: `188+283+1568=2039`, not 2036 (difference 3; integer tolerance 0).</t>
        </is>
      </c>
      <c r="O19" s="3" t="inlineStr">
        <is>
          <t>../../2025/jama.2025.11178/.ai_paper_validation/final_report_1_5_1.html</t>
        </is>
      </c>
      <c r="P19" s="3" t="inlineStr">
        <is>
          <t>2025/jama.2025.11178/.ai_paper_validation/final_report_1_5_1.md</t>
        </is>
      </c>
      <c r="Q19" s="3" t="inlineStr">
        <is>
          <t>C002</t>
        </is>
      </c>
      <c r="R19" s="3" t="inlineStr">
        <is>
          <t>Pending Human Adjudication</t>
        </is>
      </c>
      <c r="S19" s="3" t="inlineStr">
        <is>
          <t>Pending Human Adjudication. The printed values identify a candidate consistency issue: Overall eTable 1 follow-up-pattern partition.</t>
        </is>
      </c>
      <c r="T19" s="3" t="b">
        <v>1</v>
      </c>
      <c r="U19" s="3" t="inlineStr">
        <is>
          <t>Overall eTable 1 follow-up-pattern partition</t>
        </is>
      </c>
      <c r="V19" s="3" t="inlineStr">
        <is>
          <t>statistical_results</t>
        </is>
      </c>
      <c r="W19" s="3" t="inlineStr">
        <is>
          <t>Overall eTable 1 follow-up-pattern partition</t>
        </is>
      </c>
      <c r="X19" s="3" t="inlineStr">
        <is>
          <t>2025</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c r="C20" s="2" t="b">
        <v>0</v>
      </c>
      <c r="D20" s="2" t="inlineStr">
        <is>
          <t>Denominator, proportion, or total inconsistency</t>
        </is>
      </c>
      <c r="E20" s="2" t="b">
        <v>0</v>
      </c>
      <c r="F20" s="2" t="inlineStr">
        <is>
          <t>C003</t>
        </is>
      </c>
      <c r="G20" s="2" t="inlineStr">
        <is>
          <t>2025::jama.2025.11178::C003</t>
        </is>
      </c>
      <c r="H20" s="2" t="inlineStr"/>
      <c r="I20" s="2" t="inlineStr">
        <is>
          <t>results supplement — PDF p. 7, eTable 1, painTRAINER column.</t>
        </is>
      </c>
      <c r="J20" s="2" t="b">
        <v>0</v>
      </c>
      <c r="K20" s="2" t="inlineStr">
        <is>
          <t>jama.2025.11178</t>
        </is>
      </c>
      <c r="L20" s="2" t="inlineStr"/>
      <c r="M20" s="2" t="inlineStr">
        <is>
          <t>S_W</t>
        </is>
      </c>
      <c r="N20" s="2" t="inlineStr">
        <is>
          <t>Target is within one main article or one non-plan results supplement/workbook; no substantive plan comparison. `77+103+464=644`, one above 643 (integer tolerance 0).</t>
        </is>
      </c>
      <c r="O20" s="2" t="inlineStr">
        <is>
          <t>../../2025/jama.2025.11178/.ai_paper_validation/final_report_1_5_1.html</t>
        </is>
      </c>
      <c r="P20" s="2" t="inlineStr">
        <is>
          <t>2025/jama.2025.11178/.ai_paper_validation/final_report_1_5_1.md</t>
        </is>
      </c>
      <c r="Q20" s="2" t="inlineStr">
        <is>
          <t>C003</t>
        </is>
      </c>
      <c r="R20" s="2" t="inlineStr">
        <is>
          <t>Pending Human Adjudication</t>
        </is>
      </c>
      <c r="S20" s="2" t="inlineStr">
        <is>
          <t>Pending Human Adjudication. The printed values identify a candidate consistency issue: painTRAINER eTable 1 follow-up-pattern partition.</t>
        </is>
      </c>
      <c r="T20" s="2" t="b">
        <v>1</v>
      </c>
      <c r="U20" s="2" t="inlineStr">
        <is>
          <t>painTRAINER eTable 1 follow-up-pattern partition</t>
        </is>
      </c>
      <c r="V20" s="2" t="inlineStr">
        <is>
          <t>statistical_results</t>
        </is>
      </c>
      <c r="W20" s="2" t="inlineStr">
        <is>
          <t>painTRAINER eTable 1 follow-up-pattern partition</t>
        </is>
      </c>
      <c r="X20" s="2" t="inlineStr">
        <is>
          <t>2025</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c r="C21" s="3" t="b">
        <v>0</v>
      </c>
      <c r="D21" s="3" t="inlineStr">
        <is>
          <t>Denominator, proportion, or total inconsistency</t>
        </is>
      </c>
      <c r="E21" s="3" t="b">
        <v>0</v>
      </c>
      <c r="F21" s="3" t="inlineStr">
        <is>
          <t>C004</t>
        </is>
      </c>
      <c r="G21" s="3" t="inlineStr">
        <is>
          <t>2025::jama.2025.11178::C004</t>
        </is>
      </c>
      <c r="H21" s="3" t="inlineStr"/>
      <c r="I21" s="3" t="inlineStr">
        <is>
          <t>results supplement — PDF p. 7, eTable 1, Health Coach column.</t>
        </is>
      </c>
      <c r="J21" s="3" t="b">
        <v>0</v>
      </c>
      <c r="K21" s="3" t="inlineStr">
        <is>
          <t>jama.2025.11178</t>
        </is>
      </c>
      <c r="L21" s="3" t="inlineStr"/>
      <c r="M21" s="3" t="inlineStr">
        <is>
          <t>S_W</t>
        </is>
      </c>
      <c r="N21" s="3" t="inlineStr">
        <is>
          <t>Target is within one main article or one non-plan results supplement/workbook; no substantive plan comparison. `47+81+564=692`, two above 690 (integer tolerance 0).</t>
        </is>
      </c>
      <c r="O21" s="3" t="inlineStr">
        <is>
          <t>../../2025/jama.2025.11178/.ai_paper_validation/final_report_1_5_1.html</t>
        </is>
      </c>
      <c r="P21" s="3" t="inlineStr">
        <is>
          <t>2025/jama.2025.11178/.ai_paper_validation/final_report_1_5_1.md</t>
        </is>
      </c>
      <c r="Q21" s="3" t="inlineStr">
        <is>
          <t>C004</t>
        </is>
      </c>
      <c r="R21" s="3" t="inlineStr">
        <is>
          <t>Pending Human Adjudication</t>
        </is>
      </c>
      <c r="S21" s="3" t="inlineStr">
        <is>
          <t>Pending Human Adjudication. The printed values identify a candidate consistency issue: Health Coach eTable 1 follow-up-pattern partition.</t>
        </is>
      </c>
      <c r="T21" s="3" t="b">
        <v>1</v>
      </c>
      <c r="U21" s="3" t="inlineStr">
        <is>
          <t>Health Coach eTable 1 follow-up-pattern partition</t>
        </is>
      </c>
      <c r="V21" s="3" t="inlineStr">
        <is>
          <t>statistical_results</t>
        </is>
      </c>
      <c r="W21" s="3" t="inlineStr">
        <is>
          <t>Health Coach eTable 1 follow-up-pattern partition</t>
        </is>
      </c>
      <c r="X21" s="3" t="inlineStr">
        <is>
          <t>2025</t>
        </is>
      </c>
      <c r="Y21" s="3" t="inlineStr">
        <is>
          <t>meta_report/consistency_reclassification_2026-09-04/reclassified_candidates.json</t>
        </is>
      </c>
      <c r="Z21" s="3" t="inlineStr">
        <is>
          <t>S_W</t>
        </is>
      </c>
      <c r="AA21" s="3" t="inlineStr">
        <is>
          <t>statistical_results</t>
        </is>
      </c>
      <c r="AB21" s="3" t="inlineStr">
        <is>
          <t>retain</t>
        </is>
      </c>
    </row>
    <row r="22" ht="95" customHeight="1">
      <c r="A22" s="2" t="b">
        <v>0</v>
      </c>
      <c r="B22" s="2" t="inlineStr"/>
      <c r="C22" s="2" t="b">
        <v>0</v>
      </c>
      <c r="D22" s="2" t="inlineStr">
        <is>
          <t>Denominator, proportion, or total inconsistency</t>
        </is>
      </c>
      <c r="E22" s="2" t="b">
        <v>0</v>
      </c>
      <c r="F22" s="2" t="inlineStr">
        <is>
          <t>C005</t>
        </is>
      </c>
      <c r="G22" s="2" t="inlineStr">
        <is>
          <t>2025::jama.2025.11178::C005</t>
        </is>
      </c>
      <c r="H22" s="2" t="inlineStr"/>
      <c r="I22" s="2" t="inlineStr">
        <is>
          <t>workbook, worksheet eTable 3, cells A82:E83 and E2:E3.</t>
        </is>
      </c>
      <c r="J22" s="2" t="b">
        <v>0</v>
      </c>
      <c r="K22" s="2" t="inlineStr">
        <is>
          <t>jama.2025.11178</t>
        </is>
      </c>
      <c r="L22" s="2" t="inlineStr"/>
      <c r="M22" s="2" t="inlineStr">
        <is>
          <t>S_W</t>
        </is>
      </c>
      <c r="N22" s="2" t="inlineStr">
        <is>
          <t>Target is within one main article or one non-plan results supplement/workbook; no substantive plan comparison. Missing-excluded denominator is `1566`; `711/1566=45.4%`, not 73.2% (and `711/1568=45.3%`).</t>
        </is>
      </c>
      <c r="O22" s="2" t="inlineStr">
        <is>
          <t>../../2025/jama.2025.11178/.ai_paper_validation/final_report_1_5_1.html</t>
        </is>
      </c>
      <c r="P22" s="2" t="inlineStr">
        <is>
          <t>2025/jama.2025.11178/.ai_paper_validation/final_report_1_5_1.md</t>
        </is>
      </c>
      <c r="Q22" s="2" t="inlineStr">
        <is>
          <t>C005</t>
        </is>
      </c>
      <c r="R22" s="2" t="inlineStr">
        <is>
          <t>Pending Human Adjudication</t>
        </is>
      </c>
      <c r="S22" s="2" t="inlineStr">
        <is>
          <t>Pending Human Adjudication. The printed values identify a candidate consistency issue: Workbook current-depression percentage incompatible with its count.</t>
        </is>
      </c>
      <c r="T22" s="2" t="b">
        <v>1</v>
      </c>
      <c r="U22" s="2" t="inlineStr">
        <is>
          <t>Workbook current-depression percentage incompatible with its count</t>
        </is>
      </c>
      <c r="V22" s="2" t="inlineStr">
        <is>
          <t>statistical_results</t>
        </is>
      </c>
      <c r="W22" s="2" t="inlineStr">
        <is>
          <t>Workbook current-depression percentage incompatible with its count</t>
        </is>
      </c>
      <c r="X22" s="2" t="inlineStr">
        <is>
          <t>2025</t>
        </is>
      </c>
      <c r="Y22" s="2" t="inlineStr">
        <is>
          <t>meta_report/consistency_reclassification_2026-09-04/reclassified_candidates.json</t>
        </is>
      </c>
      <c r="Z22" s="2" t="inlineStr">
        <is>
          <t>S_W</t>
        </is>
      </c>
      <c r="AA22" s="2" t="inlineStr">
        <is>
          <t>statistical_results</t>
        </is>
      </c>
      <c r="AB22" s="2" t="inlineStr">
        <is>
          <t>retain</t>
        </is>
      </c>
    </row>
    <row r="23" ht="95" customHeight="1">
      <c r="A23" s="3" t="b">
        <v>0</v>
      </c>
      <c r="B23" s="3" t="inlineStr"/>
      <c r="C23" s="3" t="b">
        <v>0</v>
      </c>
      <c r="D23" s="3" t="inlineStr">
        <is>
          <t>Measure, label, or scale inconsistency</t>
        </is>
      </c>
      <c r="E23" s="3" t="b">
        <v>0</v>
      </c>
      <c r="F23" s="3" t="inlineStr">
        <is>
          <t>C006</t>
        </is>
      </c>
      <c r="G23" s="3" t="inlineStr">
        <is>
          <t>2025::jama.2025.11178::C006</t>
        </is>
      </c>
      <c r="H23" s="3" t="inlineStr"/>
      <c r="I23" s="3" t="inlineStr">
        <is>
          <t>workbook, worksheet eTable 3, cells A103:E104.</t>
        </is>
      </c>
      <c r="J23" s="3" t="b">
        <v>0</v>
      </c>
      <c r="K23" s="3" t="inlineStr">
        <is>
          <t>jama.2025.11178</t>
        </is>
      </c>
      <c r="L23" s="3" t="inlineStr"/>
      <c r="M23" s="3" t="inlineStr">
        <is>
          <t>S_W</t>
        </is>
      </c>
      <c r="N23" s="3" t="inlineStr">
        <is>
          <t>Target is within one main article or one non-plan results supplement/workbook; no substantive plan comparison. Entries are count/percentages: `525/(1568-31)=34.2%`; they are not mean/SD values.</t>
        </is>
      </c>
      <c r="O23" s="3" t="inlineStr">
        <is>
          <t>../../2025/jama.2025.11178/.ai_paper_validation/final_report_1_5_1.html</t>
        </is>
      </c>
      <c r="P23" s="3" t="inlineStr">
        <is>
          <t>2025/jama.2025.11178/.ai_paper_validation/final_report_1_5_1.md</t>
        </is>
      </c>
      <c r="Q23" s="3" t="inlineStr">
        <is>
          <t>C006</t>
        </is>
      </c>
      <c r="R23" s="3" t="inlineStr">
        <is>
          <t>Pending Human Adjudication</t>
        </is>
      </c>
      <c r="S23" s="3" t="inlineStr">
        <is>
          <t>Pending Human Adjudication. The printed values identify a candidate consistency issue: Workbook social-role cutoff labeled as mean (SD).</t>
        </is>
      </c>
      <c r="T23" s="3" t="b">
        <v>1</v>
      </c>
      <c r="U23" s="3" t="inlineStr">
        <is>
          <t>Workbook social-role cutoff labeled as mean (SD)</t>
        </is>
      </c>
      <c r="V23" s="3" t="inlineStr">
        <is>
          <t>internal_nonstatistical</t>
        </is>
      </c>
      <c r="W23" s="3" t="inlineStr">
        <is>
          <t>Workbook social-role cutoff labeled as mean (SD)</t>
        </is>
      </c>
      <c r="X23" s="3" t="inlineStr">
        <is>
          <t>2025</t>
        </is>
      </c>
      <c r="Y23" s="3" t="inlineStr">
        <is>
          <t>meta_report/consistency_reclassification_2026-09-04/reclassified_candidates.json</t>
        </is>
      </c>
      <c r="Z23" s="3" t="inlineStr">
        <is>
          <t>S_W</t>
        </is>
      </c>
      <c r="AA23" s="3" t="inlineStr">
        <is>
          <t>internal_nonstatistical</t>
        </is>
      </c>
      <c r="AB23" s="3" t="inlineStr">
        <is>
          <t>retain</t>
        </is>
      </c>
    </row>
    <row r="24" ht="95" customHeight="1">
      <c r="A24" s="2" t="b">
        <v>0</v>
      </c>
      <c r="B24" s="2" t="inlineStr"/>
      <c r="C24" s="2" t="b">
        <v>0</v>
      </c>
      <c r="D24" s="2" t="inlineStr">
        <is>
          <t>Measure, label, or scale inconsistency</t>
        </is>
      </c>
      <c r="E24" s="2" t="b">
        <v>0</v>
      </c>
      <c r="F24" s="2" t="inlineStr">
        <is>
          <t>C007</t>
        </is>
      </c>
      <c r="G24" s="2" t="inlineStr">
        <is>
          <t>2025::jama.2025.11178::C007</t>
        </is>
      </c>
      <c r="H24" s="2" t="inlineStr"/>
      <c r="I24" s="2" t="inlineStr">
        <is>
          <t>workbook, worksheet eTable 3, cells A106:E107.</t>
        </is>
      </c>
      <c r="J24" s="2" t="b">
        <v>0</v>
      </c>
      <c r="K24" s="2" t="inlineStr">
        <is>
          <t>jama.2025.11178</t>
        </is>
      </c>
      <c r="L24" s="2" t="inlineStr"/>
      <c r="M24" s="2" t="inlineStr">
        <is>
          <t>S_W</t>
        </is>
      </c>
      <c r="N24" s="2" t="inlineStr">
        <is>
          <t>Target is within one main article or one non-plan results supplement/workbook; no substantive plan comparison. `1143/(1568-14)=73.6%`; displayed cells are N(%), not mean(SD).</t>
        </is>
      </c>
      <c r="O24" s="2" t="inlineStr">
        <is>
          <t>../../2025/jama.2025.11178/.ai_paper_validation/final_report_1_5_1.html</t>
        </is>
      </c>
      <c r="P24" s="2" t="inlineStr">
        <is>
          <t>2025/jama.2025.11178/.ai_paper_validation/final_report_1_5_1.md</t>
        </is>
      </c>
      <c r="Q24" s="2" t="inlineStr">
        <is>
          <t>C007</t>
        </is>
      </c>
      <c r="R24" s="2" t="inlineStr">
        <is>
          <t>Pending Human Adjudication</t>
        </is>
      </c>
      <c r="S24" s="2" t="inlineStr">
        <is>
          <t>Pending Human Adjudication. The printed values identify a candidate consistency issue: Workbook physical-function cutoff labeled as mean (SD).</t>
        </is>
      </c>
      <c r="T24" s="2" t="b">
        <v>1</v>
      </c>
      <c r="U24" s="2" t="inlineStr">
        <is>
          <t>Workbook physical-function cutoff labeled as mean (SD)</t>
        </is>
      </c>
      <c r="V24" s="2" t="inlineStr">
        <is>
          <t>internal_nonstatistical</t>
        </is>
      </c>
      <c r="W24" s="2" t="inlineStr">
        <is>
          <t>Workbook physical-function cutoff labeled as mean (SD)</t>
        </is>
      </c>
      <c r="X24" s="2" t="inlineStr">
        <is>
          <t>2025</t>
        </is>
      </c>
      <c r="Y24" s="2" t="inlineStr">
        <is>
          <t>meta_report/consistency_reclassification_2026-09-04/reclassified_candidates.json</t>
        </is>
      </c>
      <c r="Z24" s="2" t="inlineStr">
        <is>
          <t>S_W</t>
        </is>
      </c>
      <c r="AA24" s="2" t="inlineStr">
        <is>
          <t>internal_nonstatistical</t>
        </is>
      </c>
      <c r="AB24" s="2" t="inlineStr">
        <is>
          <t>retain</t>
        </is>
      </c>
    </row>
    <row r="25" ht="95" customHeight="1">
      <c r="A25" s="3" t="b">
        <v>0</v>
      </c>
      <c r="B25" s="3" t="inlineStr"/>
      <c r="C25" s="3" t="b">
        <v>0</v>
      </c>
      <c r="D25" s="3" t="inlineStr">
        <is>
          <t>Statistical reporting inconsistency</t>
        </is>
      </c>
      <c r="E25" s="3" t="b">
        <v>0</v>
      </c>
      <c r="F25" s="3" t="inlineStr">
        <is>
          <t>C008</t>
        </is>
      </c>
      <c r="G25" s="3" t="inlineStr">
        <is>
          <t>2025::jama.2025.11178::C008</t>
        </is>
      </c>
      <c r="H25" s="3" t="inlineStr"/>
      <c r="I25" s="3" t="inlineStr">
        <is>
          <t>main article — PDF p. 10, Table 3, pain severity 12 months, painTRAINER vs usual care plus SMD.</t>
        </is>
      </c>
      <c r="J25" s="3" t="b">
        <v>0</v>
      </c>
      <c r="K25" s="3" t="inlineStr">
        <is>
          <t>jama.2025.11178</t>
        </is>
      </c>
      <c r="L25" s="3" t="inlineStr"/>
      <c r="M25" s="3" t="inlineStr">
        <is>
          <t>S_W</t>
        </is>
      </c>
      <c r="N25" s="3" t="inlineStr">
        <is>
          <t>Target is within one main article or one non-plan results supplement/workbook; no substantive plan comparison. Point estimate must lie within its interval; `-0.25 &lt; -0.24`.</t>
        </is>
      </c>
      <c r="O25" s="3" t="inlineStr">
        <is>
          <t>../../2025/jama.2025.11178/.ai_paper_validation/final_report_1_5_1.html</t>
        </is>
      </c>
      <c r="P25" s="3" t="inlineStr">
        <is>
          <t>2025/jama.2025.11178/.ai_paper_validation/final_report_1_5_1.md</t>
        </is>
      </c>
      <c r="Q25" s="3" t="inlineStr">
        <is>
          <t>C008</t>
        </is>
      </c>
      <c r="R25" s="3" t="inlineStr">
        <is>
          <t>Pending Human Adjudication</t>
        </is>
      </c>
      <c r="S25" s="3" t="inlineStr">
        <is>
          <t>Pending Human Adjudication. The printed values identify a candidate consistency issue: Pain-severity 12-month painTRAINER SMD outside printed CI.</t>
        </is>
      </c>
      <c r="T25" s="3" t="b">
        <v>1</v>
      </c>
      <c r="U25" s="3" t="inlineStr">
        <is>
          <t>Pain-severity 12-month painTRAINER SMD outside printed CI</t>
        </is>
      </c>
      <c r="V25" s="3" t="inlineStr">
        <is>
          <t>statistical_results</t>
        </is>
      </c>
      <c r="W25" s="3" t="inlineStr">
        <is>
          <t>Pain-severity 12-month painTRAINER SMD outside printed CI</t>
        </is>
      </c>
      <c r="X25" s="3" t="inlineStr">
        <is>
          <t>2025</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Statistical reporting inconsistency</t>
        </is>
      </c>
      <c r="E26" s="2" t="b">
        <v>0</v>
      </c>
      <c r="F26" s="2" t="inlineStr">
        <is>
          <t>C009</t>
        </is>
      </c>
      <c r="G26" s="2" t="inlineStr">
        <is>
          <t>2025::jama.2025.11178::C009</t>
        </is>
      </c>
      <c r="H26" s="2" t="inlineStr"/>
      <c r="I26" s="2" t="inlineStr">
        <is>
          <t>main article — PDF p. 10, Table 3, pain severity 12 months, Health Coach vs usual care plus SMD.</t>
        </is>
      </c>
      <c r="J26" s="2" t="b">
        <v>0</v>
      </c>
      <c r="K26" s="2" t="inlineStr">
        <is>
          <t>jama.2025.11178</t>
        </is>
      </c>
      <c r="L26" s="2" t="inlineStr"/>
      <c r="M26" s="2" t="inlineStr">
        <is>
          <t>S_W</t>
        </is>
      </c>
      <c r="N26" s="2" t="inlineStr">
        <is>
          <t>Target is within one main article or one non-plan results supplement/workbook; no substantive plan comparison. `-0.36 &lt; -0.35`, so estimate is outside CI.</t>
        </is>
      </c>
      <c r="O26" s="2" t="inlineStr">
        <is>
          <t>../../2025/jama.2025.11178/.ai_paper_validation/final_report_1_5_1.html</t>
        </is>
      </c>
      <c r="P26" s="2" t="inlineStr">
        <is>
          <t>2025/jama.2025.11178/.ai_paper_validation/final_report_1_5_1.md</t>
        </is>
      </c>
      <c r="Q26" s="2" t="inlineStr">
        <is>
          <t>C009</t>
        </is>
      </c>
      <c r="R26" s="2" t="inlineStr">
        <is>
          <t>Pending Human Adjudication</t>
        </is>
      </c>
      <c r="S26" s="2" t="inlineStr">
        <is>
          <t>Pending Human Adjudication. The printed values identify a candidate consistency issue: Pain-severity 12-month Health Coach SMD outside printed CI.</t>
        </is>
      </c>
      <c r="T26" s="2" t="b">
        <v>1</v>
      </c>
      <c r="U26" s="2" t="inlineStr">
        <is>
          <t>Pain-severity 12-month Health Coach SMD outside printed CI</t>
        </is>
      </c>
      <c r="V26" s="2" t="inlineStr">
        <is>
          <t>statistical_results</t>
        </is>
      </c>
      <c r="W26" s="2" t="inlineStr">
        <is>
          <t>Pain-severity 12-month Health Coach SMD outside printed CI</t>
        </is>
      </c>
      <c r="X26" s="2" t="inlineStr">
        <is>
          <t>2025</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Statistical reporting inconsistency</t>
        </is>
      </c>
      <c r="E27" s="3" t="b">
        <v>0</v>
      </c>
      <c r="F27" s="3" t="inlineStr">
        <is>
          <t>C010</t>
        </is>
      </c>
      <c r="G27" s="3" t="inlineStr">
        <is>
          <t>2025::jama.2025.11178::C010</t>
        </is>
      </c>
      <c r="H27" s="3" t="inlineStr"/>
      <c r="I27" s="3" t="inlineStr">
        <is>
          <t>main article — PDF p. 10, Table 3, pain intensity 12 months, Health Coach vs usual care plus SMD.</t>
        </is>
      </c>
      <c r="J27" s="3" t="b">
        <v>0</v>
      </c>
      <c r="K27" s="3" t="inlineStr">
        <is>
          <t>jama.2025.11178</t>
        </is>
      </c>
      <c r="L27" s="3" t="inlineStr"/>
      <c r="M27" s="3" t="inlineStr">
        <is>
          <t>S_W</t>
        </is>
      </c>
      <c r="N27" s="3" t="inlineStr">
        <is>
          <t>Target is within one main article or one non-plan results supplement/workbook; no substantive plan comparison. `-0.27 &lt; -0.26`, outside CI.</t>
        </is>
      </c>
      <c r="O27" s="3" t="inlineStr">
        <is>
          <t>../../2025/jama.2025.11178/.ai_paper_validation/final_report_1_5_1.html</t>
        </is>
      </c>
      <c r="P27" s="3" t="inlineStr">
        <is>
          <t>2025/jama.2025.11178/.ai_paper_validation/final_report_1_5_1.md</t>
        </is>
      </c>
      <c r="Q27" s="3" t="inlineStr">
        <is>
          <t>C010</t>
        </is>
      </c>
      <c r="R27" s="3" t="inlineStr">
        <is>
          <t>Pending Human Adjudication</t>
        </is>
      </c>
      <c r="S27" s="3" t="inlineStr">
        <is>
          <t>Pending Human Adjudication. The printed values identify a candidate consistency issue: Pain-intensity 12-month Health Coach SMD outside printed CI.</t>
        </is>
      </c>
      <c r="T27" s="3" t="b">
        <v>1</v>
      </c>
      <c r="U27" s="3" t="inlineStr">
        <is>
          <t>Pain-intensity 12-month Health Coach SMD outside printed CI</t>
        </is>
      </c>
      <c r="V27" s="3" t="inlineStr">
        <is>
          <t>statistical_results</t>
        </is>
      </c>
      <c r="W27" s="3" t="inlineStr">
        <is>
          <t>Pain-intensity 12-month Health Coach SMD outside printed CI</t>
        </is>
      </c>
      <c r="X27" s="3" t="inlineStr">
        <is>
          <t>2025</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Statistical reporting inconsistency</t>
        </is>
      </c>
      <c r="E28" s="2" t="b">
        <v>0</v>
      </c>
      <c r="F28" s="2" t="inlineStr">
        <is>
          <t>C011</t>
        </is>
      </c>
      <c r="G28" s="2" t="inlineStr">
        <is>
          <t>2025::jama.2025.11178::C011</t>
        </is>
      </c>
      <c r="H28" s="2" t="inlineStr"/>
      <c r="I28" s="2" t="inlineStr">
        <is>
          <t>main article — PDF p. 10, Table 3, interference 12 months, painTRAINER vs usual care plus SMD.</t>
        </is>
      </c>
      <c r="J28" s="2" t="b">
        <v>0</v>
      </c>
      <c r="K28" s="2" t="inlineStr">
        <is>
          <t>jama.2025.11178</t>
        </is>
      </c>
      <c r="L28" s="2" t="inlineStr"/>
      <c r="M28" s="2" t="inlineStr">
        <is>
          <t>S_W</t>
        </is>
      </c>
      <c r="N28" s="2" t="inlineStr">
        <is>
          <t>Target is within one main article or one non-plan results supplement/workbook; no substantive plan comparison. `-0.26 &lt; -0.25`, outside CI.</t>
        </is>
      </c>
      <c r="O28" s="2" t="inlineStr">
        <is>
          <t>../../2025/jama.2025.11178/.ai_paper_validation/final_report_1_5_1.html</t>
        </is>
      </c>
      <c r="P28" s="2" t="inlineStr">
        <is>
          <t>2025/jama.2025.11178/.ai_paper_validation/final_report_1_5_1.md</t>
        </is>
      </c>
      <c r="Q28" s="2" t="inlineStr">
        <is>
          <t>C011</t>
        </is>
      </c>
      <c r="R28" s="2" t="inlineStr">
        <is>
          <t>Pending Human Adjudication</t>
        </is>
      </c>
      <c r="S28" s="2" t="inlineStr">
        <is>
          <t>Pending Human Adjudication. The printed values identify a candidate consistency issue: Pain-interference 12-month painTRAINER SMD outside printed CI.</t>
        </is>
      </c>
      <c r="T28" s="2" t="b">
        <v>1</v>
      </c>
      <c r="U28" s="2" t="inlineStr">
        <is>
          <t>Pain-interference 12-month painTRAINER SMD outside printed CI</t>
        </is>
      </c>
      <c r="V28" s="2" t="inlineStr">
        <is>
          <t>statistical_results</t>
        </is>
      </c>
      <c r="W28" s="2" t="inlineStr">
        <is>
          <t>Pain-interference 12-month painTRAINER SMD outside printed CI</t>
        </is>
      </c>
      <c r="X28" s="2" t="inlineStr">
        <is>
          <t>2025</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Statistical reporting inconsistency</t>
        </is>
      </c>
      <c r="E29" s="3" t="b">
        <v>0</v>
      </c>
      <c r="F29" s="3" t="inlineStr">
        <is>
          <t>C012</t>
        </is>
      </c>
      <c r="G29" s="3" t="inlineStr">
        <is>
          <t>2025::jama.2025.11178::C012</t>
        </is>
      </c>
      <c r="H29" s="3" t="inlineStr"/>
      <c r="I29" s="3" t="inlineStr">
        <is>
          <t>main article — PDF p. 10, Table 3, interference 12 months, Health Coach vs usual care plus SMD.</t>
        </is>
      </c>
      <c r="J29" s="3" t="b">
        <v>0</v>
      </c>
      <c r="K29" s="3" t="inlineStr">
        <is>
          <t>jama.2025.11178</t>
        </is>
      </c>
      <c r="L29" s="3" t="inlineStr"/>
      <c r="M29" s="3" t="inlineStr">
        <is>
          <t>S_W</t>
        </is>
      </c>
      <c r="N29" s="3" t="inlineStr">
        <is>
          <t>Target is within one main article or one non-plan results supplement/workbook; no substantive plan comparison. `-0.37 &lt; -0.36`, outside CI.</t>
        </is>
      </c>
      <c r="O29" s="3" t="inlineStr">
        <is>
          <t>../../2025/jama.2025.11178/.ai_paper_validation/final_report_1_5_1.html</t>
        </is>
      </c>
      <c r="P29" s="3" t="inlineStr">
        <is>
          <t>2025/jama.2025.11178/.ai_paper_validation/final_report_1_5_1.md</t>
        </is>
      </c>
      <c r="Q29" s="3" t="inlineStr">
        <is>
          <t>C012</t>
        </is>
      </c>
      <c r="R29" s="3" t="inlineStr">
        <is>
          <t>Pending Human Adjudication</t>
        </is>
      </c>
      <c r="S29" s="3" t="inlineStr">
        <is>
          <t>Pending Human Adjudication. The printed values identify a candidate consistency issue: Pain-interference 12-month Health Coach SMD outside printed CI.</t>
        </is>
      </c>
      <c r="T29" s="3" t="b">
        <v>1</v>
      </c>
      <c r="U29" s="3" t="inlineStr">
        <is>
          <t>Pain-interference 12-month Health Coach SMD outside printed CI</t>
        </is>
      </c>
      <c r="V29" s="3" t="inlineStr">
        <is>
          <t>statistical_results</t>
        </is>
      </c>
      <c r="W29" s="3" t="inlineStr">
        <is>
          <t>Pain-interference 12-month Health Coach SMD outside printed CI</t>
        </is>
      </c>
      <c r="X29" s="3" t="inlineStr">
        <is>
          <t>2025</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Statistical reporting inconsistency</t>
        </is>
      </c>
      <c r="E30" s="2" t="b">
        <v>0</v>
      </c>
      <c r="F30" s="2" t="inlineStr">
        <is>
          <t>C013</t>
        </is>
      </c>
      <c r="G30" s="2" t="inlineStr">
        <is>
          <t>2025::jama.2025.11178::C013</t>
        </is>
      </c>
      <c r="H30" s="2" t="inlineStr"/>
      <c r="I30" s="2" t="inlineStr">
        <is>
          <t>main article — PDF p. 10, Table 3, social role, 3 months, painTRAINER vs usual care plus SMD.</t>
        </is>
      </c>
      <c r="J30" s="2" t="b">
        <v>0</v>
      </c>
      <c r="K30" s="2" t="inlineStr">
        <is>
          <t>jama.2025.11178</t>
        </is>
      </c>
      <c r="L30" s="2" t="inlineStr"/>
      <c r="M30" s="2" t="inlineStr">
        <is>
          <t>S_W</t>
        </is>
      </c>
      <c r="N30" s="2" t="inlineStr">
        <is>
          <t>Target is within one main article or one non-plan results supplement/workbook; no substantive plan comparison. Interval endpoints must be low-to-high; `0.23 &gt; 0.11`.</t>
        </is>
      </c>
      <c r="O30" s="2" t="inlineStr">
        <is>
          <t>../../2025/jama.2025.11178/.ai_paper_validation/final_report_1_5_1.html</t>
        </is>
      </c>
      <c r="P30" s="2" t="inlineStr">
        <is>
          <t>2025/jama.2025.11178/.ai_paper_validation/final_report_1_5_1.md</t>
        </is>
      </c>
      <c r="Q30" s="2" t="inlineStr">
        <is>
          <t>C013</t>
        </is>
      </c>
      <c r="R30" s="2" t="inlineStr">
        <is>
          <t>Pending Human Adjudication</t>
        </is>
      </c>
      <c r="S30" s="2" t="inlineStr">
        <is>
          <t>Pending Human Adjudication. The printed values identify a candidate consistency issue: Social-role 3-month painTRAINER SMD endpoints reversed.</t>
        </is>
      </c>
      <c r="T30" s="2" t="b">
        <v>1</v>
      </c>
      <c r="U30" s="2" t="inlineStr">
        <is>
          <t>Social-role 3-month painTRAINER SMD endpoints reversed</t>
        </is>
      </c>
      <c r="V30" s="2" t="inlineStr">
        <is>
          <t>statistical_results</t>
        </is>
      </c>
      <c r="W30" s="2" t="inlineStr">
        <is>
          <t>Social-role 3-month painTRAINER SMD endpoints reversed</t>
        </is>
      </c>
      <c r="X30" s="2" t="inlineStr">
        <is>
          <t>2025</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Statistical reporting inconsistency</t>
        </is>
      </c>
      <c r="E31" s="3" t="b">
        <v>0</v>
      </c>
      <c r="F31" s="3" t="inlineStr">
        <is>
          <t>C014</t>
        </is>
      </c>
      <c r="G31" s="3" t="inlineStr">
        <is>
          <t>2025::jama.2025.11178::C014</t>
        </is>
      </c>
      <c r="H31" s="3" t="inlineStr"/>
      <c r="I31" s="3" t="inlineStr">
        <is>
          <t>main article — PDF p. 10, Table 3, social role, 3 months, Health Coach vs usual care plus SMD.</t>
        </is>
      </c>
      <c r="J31" s="3" t="b">
        <v>0</v>
      </c>
      <c r="K31" s="3" t="inlineStr">
        <is>
          <t>jama.2025.11178</t>
        </is>
      </c>
      <c r="L31" s="3" t="inlineStr"/>
      <c r="M31" s="3" t="inlineStr">
        <is>
          <t>S_W</t>
        </is>
      </c>
      <c r="N31" s="3" t="inlineStr">
        <is>
          <t>Target is within one main article or one non-plan results supplement/workbook; no substantive plan comparison. `0.12 &gt; -0.00`; endpoints are reversed.</t>
        </is>
      </c>
      <c r="O31" s="3" t="inlineStr">
        <is>
          <t>../../2025/jama.2025.11178/.ai_paper_validation/final_report_1_5_1.html</t>
        </is>
      </c>
      <c r="P31" s="3" t="inlineStr">
        <is>
          <t>2025/jama.2025.11178/.ai_paper_validation/final_report_1_5_1.md</t>
        </is>
      </c>
      <c r="Q31" s="3" t="inlineStr">
        <is>
          <t>C014</t>
        </is>
      </c>
      <c r="R31" s="3" t="inlineStr">
        <is>
          <t>Pending Human Adjudication</t>
        </is>
      </c>
      <c r="S31" s="3" t="inlineStr">
        <is>
          <t>Pending Human Adjudication. The printed values identify a candidate consistency issue: Social-role 3-month Health Coach SMD endpoints reversed.</t>
        </is>
      </c>
      <c r="T31" s="3" t="b">
        <v>1</v>
      </c>
      <c r="U31" s="3" t="inlineStr">
        <is>
          <t>Social-role 3-month Health Coach SMD endpoints reversed</t>
        </is>
      </c>
      <c r="V31" s="3" t="inlineStr">
        <is>
          <t>statistical_results</t>
        </is>
      </c>
      <c r="W31" s="3" t="inlineStr">
        <is>
          <t>Social-role 3-month Health Coach SMD endpoints reversed</t>
        </is>
      </c>
      <c r="X31" s="3" t="inlineStr">
        <is>
          <t>2025</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Statistical reporting inconsistency</t>
        </is>
      </c>
      <c r="E32" s="2" t="b">
        <v>0</v>
      </c>
      <c r="F32" s="2" t="inlineStr">
        <is>
          <t>C015</t>
        </is>
      </c>
      <c r="G32" s="2" t="inlineStr">
        <is>
          <t>2025::jama.2025.11178::C015</t>
        </is>
      </c>
      <c r="H32" s="2" t="inlineStr"/>
      <c r="I32" s="2" t="inlineStr">
        <is>
          <t>main article — PDF p. 10, Table 3, social role, 3 months, Health Coach vs painTRAINER SMD.</t>
        </is>
      </c>
      <c r="J32" s="2" t="b">
        <v>0</v>
      </c>
      <c r="K32" s="2" t="inlineStr">
        <is>
          <t>jama.2025.11178</t>
        </is>
      </c>
      <c r="L32" s="2" t="inlineStr"/>
      <c r="M32" s="2" t="inlineStr">
        <is>
          <t>S_W</t>
        </is>
      </c>
      <c r="N32" s="2" t="inlineStr">
        <is>
          <t>Target is within one main article or one non-plan results supplement/workbook; no substantive plan comparison. `0.29 &gt; 0.19`; endpoints are reversed.</t>
        </is>
      </c>
      <c r="O32" s="2" t="inlineStr">
        <is>
          <t>../../2025/jama.2025.11178/.ai_paper_validation/final_report_1_5_1.html</t>
        </is>
      </c>
      <c r="P32" s="2" t="inlineStr">
        <is>
          <t>2025/jama.2025.11178/.ai_paper_validation/final_report_1_5_1.md</t>
        </is>
      </c>
      <c r="Q32" s="2" t="inlineStr">
        <is>
          <t>C015</t>
        </is>
      </c>
      <c r="R32" s="2" t="inlineStr">
        <is>
          <t>Pending Human Adjudication</t>
        </is>
      </c>
      <c r="S32" s="2" t="inlineStr">
        <is>
          <t>Pending Human Adjudication. The printed values identify a candidate consistency issue: Social-role 3-month Health Coach versus painTRAINER SMD endpoints reversed.</t>
        </is>
      </c>
      <c r="T32" s="2" t="b">
        <v>1</v>
      </c>
      <c r="U32" s="2" t="inlineStr">
        <is>
          <t>Social-role 3-month Health Coach versus painTRAINER SMD endpoints reversed</t>
        </is>
      </c>
      <c r="V32" s="2" t="inlineStr">
        <is>
          <t>statistical_results</t>
        </is>
      </c>
      <c r="W32" s="2" t="inlineStr">
        <is>
          <t>Social-role 3-month Health Coach versus painTRAINER SMD endpoints reversed</t>
        </is>
      </c>
      <c r="X32" s="2" t="inlineStr">
        <is>
          <t>2025</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c r="C33" s="3" t="b">
        <v>0</v>
      </c>
      <c r="D33" s="3" t="inlineStr">
        <is>
          <t>Statistical reporting inconsistency</t>
        </is>
      </c>
      <c r="E33" s="3" t="b">
        <v>0</v>
      </c>
      <c r="F33" s="3" t="inlineStr">
        <is>
          <t>C016</t>
        </is>
      </c>
      <c r="G33" s="3" t="inlineStr">
        <is>
          <t>2025::jama.2025.11178::C016</t>
        </is>
      </c>
      <c r="H33" s="3" t="inlineStr"/>
      <c r="I33" s="3" t="inlineStr">
        <is>
          <t>main article — PDF p. 10, Table 3, social role, 6 months, painTRAINER vs usual care plus SMD.</t>
        </is>
      </c>
      <c r="J33" s="3" t="b">
        <v>0</v>
      </c>
      <c r="K33" s="3" t="inlineStr">
        <is>
          <t>jama.2025.11178</t>
        </is>
      </c>
      <c r="L33" s="3" t="inlineStr"/>
      <c r="M33" s="3" t="inlineStr">
        <is>
          <t>S_W</t>
        </is>
      </c>
      <c r="N33" s="3" t="inlineStr">
        <is>
          <t>Target is within one main article or one non-plan results supplement/workbook; no substantive plan comparison. `0.23 &gt; 0.05`; endpoints are reversed.</t>
        </is>
      </c>
      <c r="O33" s="3" t="inlineStr">
        <is>
          <t>../../2025/jama.2025.11178/.ai_paper_validation/final_report_1_5_1.html</t>
        </is>
      </c>
      <c r="P33" s="3" t="inlineStr">
        <is>
          <t>2025/jama.2025.11178/.ai_paper_validation/final_report_1_5_1.md</t>
        </is>
      </c>
      <c r="Q33" s="3" t="inlineStr">
        <is>
          <t>C016</t>
        </is>
      </c>
      <c r="R33" s="3" t="inlineStr">
        <is>
          <t>Pending Human Adjudication</t>
        </is>
      </c>
      <c r="S33" s="3" t="inlineStr">
        <is>
          <t>Pending Human Adjudication. The printed values identify a candidate consistency issue: Social-role 6-month painTRAINER SMD endpoints reversed.</t>
        </is>
      </c>
      <c r="T33" s="3" t="b">
        <v>1</v>
      </c>
      <c r="U33" s="3" t="inlineStr">
        <is>
          <t>Social-role 6-month painTRAINER SMD endpoints reversed</t>
        </is>
      </c>
      <c r="V33" s="3" t="inlineStr">
        <is>
          <t>statistical_results</t>
        </is>
      </c>
      <c r="W33" s="3" t="inlineStr">
        <is>
          <t>Social-role 6-month painTRAINER SMD endpoints reversed</t>
        </is>
      </c>
      <c r="X33" s="3" t="inlineStr">
        <is>
          <t>2025</t>
        </is>
      </c>
      <c r="Y33" s="3" t="inlineStr">
        <is>
          <t>meta_report/consistency_reclassification_2026-09-04/reclassified_candidates.json</t>
        </is>
      </c>
      <c r="Z33" s="3" t="inlineStr">
        <is>
          <t>S_W</t>
        </is>
      </c>
      <c r="AA33" s="3" t="inlineStr">
        <is>
          <t>statistical_results</t>
        </is>
      </c>
      <c r="AB33" s="3" t="inlineStr">
        <is>
          <t>retain</t>
        </is>
      </c>
    </row>
    <row r="34" ht="95" customHeight="1">
      <c r="A34" s="2" t="b">
        <v>0</v>
      </c>
      <c r="B34" s="2" t="inlineStr"/>
      <c r="C34" s="2" t="b">
        <v>0</v>
      </c>
      <c r="D34" s="2" t="inlineStr">
        <is>
          <t>Statistical reporting inconsistency</t>
        </is>
      </c>
      <c r="E34" s="2" t="b">
        <v>0</v>
      </c>
      <c r="F34" s="2" t="inlineStr">
        <is>
          <t>C017</t>
        </is>
      </c>
      <c r="G34" s="2" t="inlineStr">
        <is>
          <t>2025::jama.2025.11178::C017</t>
        </is>
      </c>
      <c r="H34" s="2" t="inlineStr"/>
      <c r="I34" s="2" t="inlineStr">
        <is>
          <t>main article — PDF p. 10, Table 3, social role, 6 months, Health Coach vs usual care plus SMD.</t>
        </is>
      </c>
      <c r="J34" s="2" t="b">
        <v>0</v>
      </c>
      <c r="K34" s="2" t="inlineStr">
        <is>
          <t>jama.2025.11178</t>
        </is>
      </c>
      <c r="L34" s="2" t="inlineStr"/>
      <c r="M34" s="2" t="inlineStr">
        <is>
          <t>S_W</t>
        </is>
      </c>
      <c r="N34" s="2" t="inlineStr">
        <is>
          <t>Target is within one main article or one non-plan results supplement/workbook; no substantive plan comparison. `0.11 &gt; -0.06`; endpoints are reversed.</t>
        </is>
      </c>
      <c r="O34" s="2" t="inlineStr">
        <is>
          <t>../../2025/jama.2025.11178/.ai_paper_validation/final_report_1_5_1.html</t>
        </is>
      </c>
      <c r="P34" s="2" t="inlineStr">
        <is>
          <t>2025/jama.2025.11178/.ai_paper_validation/final_report_1_5_1.md</t>
        </is>
      </c>
      <c r="Q34" s="2" t="inlineStr">
        <is>
          <t>C017</t>
        </is>
      </c>
      <c r="R34" s="2" t="inlineStr">
        <is>
          <t>Pending Human Adjudication</t>
        </is>
      </c>
      <c r="S34" s="2" t="inlineStr">
        <is>
          <t>Pending Human Adjudication. The printed values identify a candidate consistency issue: Social-role 6-month Health Coach SMD endpoints reversed.</t>
        </is>
      </c>
      <c r="T34" s="2" t="b">
        <v>1</v>
      </c>
      <c r="U34" s="2" t="inlineStr">
        <is>
          <t>Social-role 6-month Health Coach SMD endpoints reversed</t>
        </is>
      </c>
      <c r="V34" s="2" t="inlineStr">
        <is>
          <t>statistical_results</t>
        </is>
      </c>
      <c r="W34" s="2" t="inlineStr">
        <is>
          <t>Social-role 6-month Health Coach SMD endpoints reversed</t>
        </is>
      </c>
      <c r="X34" s="2" t="inlineStr">
        <is>
          <t>2025</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c r="C35" s="3" t="b">
        <v>0</v>
      </c>
      <c r="D35" s="3" t="inlineStr">
        <is>
          <t>Statistical reporting inconsistency</t>
        </is>
      </c>
      <c r="E35" s="3" t="b">
        <v>0</v>
      </c>
      <c r="F35" s="3" t="inlineStr">
        <is>
          <t>C018</t>
        </is>
      </c>
      <c r="G35" s="3" t="inlineStr">
        <is>
          <t>2025::jama.2025.11178::C018</t>
        </is>
      </c>
      <c r="H35" s="3" t="inlineStr"/>
      <c r="I35" s="3" t="inlineStr">
        <is>
          <t>main article — PDF p. 10, Table 3, social role, 6 months, Health Coach vs painTRAINER SMD.</t>
        </is>
      </c>
      <c r="J35" s="3" t="b">
        <v>0</v>
      </c>
      <c r="K35" s="3" t="inlineStr">
        <is>
          <t>jama.2025.11178</t>
        </is>
      </c>
      <c r="L35" s="3" t="inlineStr"/>
      <c r="M35" s="3" t="inlineStr">
        <is>
          <t>S_W</t>
        </is>
      </c>
      <c r="N35" s="3" t="inlineStr">
        <is>
          <t>Target is within one main article or one non-plan results supplement/workbook; no substantive plan comparison. `0.30 &gt; 0.15`; endpoints are reversed.</t>
        </is>
      </c>
      <c r="O35" s="3" t="inlineStr">
        <is>
          <t>../../2025/jama.2025.11178/.ai_paper_validation/final_report_1_5_1.html</t>
        </is>
      </c>
      <c r="P35" s="3" t="inlineStr">
        <is>
          <t>2025/jama.2025.11178/.ai_paper_validation/final_report_1_5_1.md</t>
        </is>
      </c>
      <c r="Q35" s="3" t="inlineStr">
        <is>
          <t>C018</t>
        </is>
      </c>
      <c r="R35" s="3" t="inlineStr">
        <is>
          <t>Pending Human Adjudication</t>
        </is>
      </c>
      <c r="S35" s="3" t="inlineStr">
        <is>
          <t>Pending Human Adjudication. The printed values identify a candidate consistency issue: Social-role 6-month Health Coach versus painTRAINER SMD endpoints reversed.</t>
        </is>
      </c>
      <c r="T35" s="3" t="b">
        <v>1</v>
      </c>
      <c r="U35" s="3" t="inlineStr">
        <is>
          <t>Social-role 6-month Health Coach versus painTRAINER SMD endpoints reversed</t>
        </is>
      </c>
      <c r="V35" s="3" t="inlineStr">
        <is>
          <t>statistical_results</t>
        </is>
      </c>
      <c r="W35" s="3" t="inlineStr">
        <is>
          <t>Social-role 6-month Health Coach versus painTRAINER SMD endpoints reversed</t>
        </is>
      </c>
      <c r="X35" s="3" t="inlineStr">
        <is>
          <t>2025</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c r="C36" s="2" t="b">
        <v>0</v>
      </c>
      <c r="D36" s="2" t="inlineStr">
        <is>
          <t>Statistical reporting inconsistency</t>
        </is>
      </c>
      <c r="E36" s="2" t="b">
        <v>0</v>
      </c>
      <c r="F36" s="2" t="inlineStr">
        <is>
          <t>C019</t>
        </is>
      </c>
      <c r="G36" s="2" t="inlineStr">
        <is>
          <t>2025::jama.2025.11178::C019</t>
        </is>
      </c>
      <c r="H36" s="2" t="inlineStr"/>
      <c r="I36" s="2" t="inlineStr">
        <is>
          <t>main article — PDF p. 10, Table 3, social role, 12 months, painTRAINER vs usual care plus SMD.</t>
        </is>
      </c>
      <c r="J36" s="2" t="b">
        <v>0</v>
      </c>
      <c r="K36" s="2" t="inlineStr">
        <is>
          <t>jama.2025.11178</t>
        </is>
      </c>
      <c r="L36" s="2" t="inlineStr"/>
      <c r="M36" s="2" t="inlineStr">
        <is>
          <t>S_W</t>
        </is>
      </c>
      <c r="N36" s="2" t="inlineStr">
        <is>
          <t>Target is within one main article or one non-plan results supplement/workbook; no substantive plan comparison. `0.21 &gt; 0.01`; endpoints are reversed.</t>
        </is>
      </c>
      <c r="O36" s="2" t="inlineStr">
        <is>
          <t>../../2025/jama.2025.11178/.ai_paper_validation/final_report_1_5_1.html</t>
        </is>
      </c>
      <c r="P36" s="2" t="inlineStr">
        <is>
          <t>2025/jama.2025.11178/.ai_paper_validation/final_report_1_5_1.md</t>
        </is>
      </c>
      <c r="Q36" s="2" t="inlineStr">
        <is>
          <t>C019</t>
        </is>
      </c>
      <c r="R36" s="2" t="inlineStr">
        <is>
          <t>Pending Human Adjudication</t>
        </is>
      </c>
      <c r="S36" s="2" t="inlineStr">
        <is>
          <t>Pending Human Adjudication. The printed values identify a candidate consistency issue: Social-role 12-month painTRAINER SMD endpoints reversed.</t>
        </is>
      </c>
      <c r="T36" s="2" t="b">
        <v>1</v>
      </c>
      <c r="U36" s="2" t="inlineStr">
        <is>
          <t>Social-role 12-month painTRAINER SMD endpoints reversed</t>
        </is>
      </c>
      <c r="V36" s="2" t="inlineStr">
        <is>
          <t>statistical_results</t>
        </is>
      </c>
      <c r="W36" s="2" t="inlineStr">
        <is>
          <t>Social-role 12-month painTRAINER SMD endpoints reversed</t>
        </is>
      </c>
      <c r="X36" s="2" t="inlineStr">
        <is>
          <t>2025</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c r="C37" s="3" t="b">
        <v>0</v>
      </c>
      <c r="D37" s="3" t="inlineStr">
        <is>
          <t>Statistical reporting inconsistency</t>
        </is>
      </c>
      <c r="E37" s="3" t="b">
        <v>0</v>
      </c>
      <c r="F37" s="3" t="inlineStr">
        <is>
          <t>C020</t>
        </is>
      </c>
      <c r="G37" s="3" t="inlineStr">
        <is>
          <t>2025::jama.2025.11178::C020</t>
        </is>
      </c>
      <c r="H37" s="3" t="inlineStr"/>
      <c r="I37" s="3" t="inlineStr">
        <is>
          <t>main article — PDF p. 10, Table 3, social role, 12 months, Health Coach vs usual care plus SMD.</t>
        </is>
      </c>
      <c r="J37" s="3" t="b">
        <v>0</v>
      </c>
      <c r="K37" s="3" t="inlineStr">
        <is>
          <t>jama.2025.11178</t>
        </is>
      </c>
      <c r="L37" s="3" t="inlineStr"/>
      <c r="M37" s="3" t="inlineStr">
        <is>
          <t>S_W</t>
        </is>
      </c>
      <c r="N37" s="3" t="inlineStr">
        <is>
          <t>Target is within one main article or one non-plan results supplement/workbook; no substantive plan comparison. `0.09 &gt; -0.10`; endpoints are reversed.</t>
        </is>
      </c>
      <c r="O37" s="3" t="inlineStr">
        <is>
          <t>../../2025/jama.2025.11178/.ai_paper_validation/final_report_1_5_1.html</t>
        </is>
      </c>
      <c r="P37" s="3" t="inlineStr">
        <is>
          <t>2025/jama.2025.11178/.ai_paper_validation/final_report_1_5_1.md</t>
        </is>
      </c>
      <c r="Q37" s="3" t="inlineStr">
        <is>
          <t>C020</t>
        </is>
      </c>
      <c r="R37" s="3" t="inlineStr">
        <is>
          <t>Pending Human Adjudication</t>
        </is>
      </c>
      <c r="S37" s="3" t="inlineStr">
        <is>
          <t>Pending Human Adjudication. The printed values identify a candidate consistency issue: Social-role 12-month Health Coach SMD endpoints reversed.</t>
        </is>
      </c>
      <c r="T37" s="3" t="b">
        <v>1</v>
      </c>
      <c r="U37" s="3" t="inlineStr">
        <is>
          <t>Social-role 12-month Health Coach SMD endpoints reversed</t>
        </is>
      </c>
      <c r="V37" s="3" t="inlineStr">
        <is>
          <t>statistical_results</t>
        </is>
      </c>
      <c r="W37" s="3" t="inlineStr">
        <is>
          <t>Social-role 12-month Health Coach SMD endpoints reversed</t>
        </is>
      </c>
      <c r="X37" s="3" t="inlineStr">
        <is>
          <t>2025</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c r="C38" s="2" t="b">
        <v>0</v>
      </c>
      <c r="D38" s="2" t="inlineStr">
        <is>
          <t>Statistical reporting inconsistency</t>
        </is>
      </c>
      <c r="E38" s="2" t="b">
        <v>0</v>
      </c>
      <c r="F38" s="2" t="inlineStr">
        <is>
          <t>C021</t>
        </is>
      </c>
      <c r="G38" s="2" t="inlineStr">
        <is>
          <t>2025::jama.2025.11178::C021</t>
        </is>
      </c>
      <c r="H38" s="2" t="inlineStr"/>
      <c r="I38" s="2" t="inlineStr">
        <is>
          <t>main article — PDF p. 10, Table 3, social role, 12 months, Health Coach vs painTRAINER SMD.</t>
        </is>
      </c>
      <c r="J38" s="2" t="b">
        <v>0</v>
      </c>
      <c r="K38" s="2" t="inlineStr">
        <is>
          <t>jama.2025.11178</t>
        </is>
      </c>
      <c r="L38" s="2" t="inlineStr"/>
      <c r="M38" s="2" t="inlineStr">
        <is>
          <t>S_W</t>
        </is>
      </c>
      <c r="N38" s="2" t="inlineStr">
        <is>
          <t>Target is within one main article or one non-plan results supplement/workbook; no substantive plan comparison. `0.28 &gt; 0.12`; endpoints are reversed.</t>
        </is>
      </c>
      <c r="O38" s="2" t="inlineStr">
        <is>
          <t>../../2025/jama.2025.11178/.ai_paper_validation/final_report_1_5_1.html</t>
        </is>
      </c>
      <c r="P38" s="2" t="inlineStr">
        <is>
          <t>2025/jama.2025.11178/.ai_paper_validation/final_report_1_5_1.md</t>
        </is>
      </c>
      <c r="Q38" s="2" t="inlineStr">
        <is>
          <t>C021</t>
        </is>
      </c>
      <c r="R38" s="2" t="inlineStr">
        <is>
          <t>Pending Human Adjudication</t>
        </is>
      </c>
      <c r="S38" s="2" t="inlineStr">
        <is>
          <t>Pending Human Adjudication. The printed values identify a candidate consistency issue: Social-role 12-month Health Coach versus painTRAINER SMD endpoints reversed.</t>
        </is>
      </c>
      <c r="T38" s="2" t="b">
        <v>1</v>
      </c>
      <c r="U38" s="2" t="inlineStr">
        <is>
          <t>Social-role 12-month Health Coach versus painTRAINER SMD endpoints reversed</t>
        </is>
      </c>
      <c r="V38" s="2" t="inlineStr">
        <is>
          <t>statistical_results</t>
        </is>
      </c>
      <c r="W38" s="2" t="inlineStr">
        <is>
          <t>Social-role 12-month Health Coach versus painTRAINER SMD endpoints reversed</t>
        </is>
      </c>
      <c r="X38" s="2" t="inlineStr">
        <is>
          <t>2025</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c r="C39" s="3" t="b">
        <v>0</v>
      </c>
      <c r="D39" s="3" t="inlineStr">
        <is>
          <t>Statistical reporting inconsistency</t>
        </is>
      </c>
      <c r="E39" s="3" t="b">
        <v>0</v>
      </c>
      <c r="F39" s="3" t="inlineStr">
        <is>
          <t>C022</t>
        </is>
      </c>
      <c r="G39" s="3" t="inlineStr">
        <is>
          <t>2025::jama.2025.11178::C022</t>
        </is>
      </c>
      <c r="H39" s="3" t="inlineStr"/>
      <c r="I39" s="3" t="inlineStr">
        <is>
          <t>main article — PDF p. 10, Table 3, physical function, 3 months, painTRAINER vs usual care plus SMD.</t>
        </is>
      </c>
      <c r="J39" s="3" t="b">
        <v>0</v>
      </c>
      <c r="K39" s="3" t="inlineStr">
        <is>
          <t>jama.2025.11178</t>
        </is>
      </c>
      <c r="L39" s="3" t="inlineStr"/>
      <c r="M39" s="3" t="inlineStr">
        <is>
          <t>S_W</t>
        </is>
      </c>
      <c r="N39" s="3" t="inlineStr">
        <is>
          <t>Target is within one main article or one non-plan results supplement/workbook; no substantive plan comparison. `0.16 &gt; 0.07`; endpoints are reversed.</t>
        </is>
      </c>
      <c r="O39" s="3" t="inlineStr">
        <is>
          <t>../../2025/jama.2025.11178/.ai_paper_validation/final_report_1_5_1.html</t>
        </is>
      </c>
      <c r="P39" s="3" t="inlineStr">
        <is>
          <t>2025/jama.2025.11178/.ai_paper_validation/final_report_1_5_1.md</t>
        </is>
      </c>
      <c r="Q39" s="3" t="inlineStr">
        <is>
          <t>C022</t>
        </is>
      </c>
      <c r="R39" s="3" t="inlineStr">
        <is>
          <t>Pending Human Adjudication</t>
        </is>
      </c>
      <c r="S39" s="3" t="inlineStr">
        <is>
          <t>Pending Human Adjudication. The printed values identify a candidate consistency issue: Physical-function 3-month painTRAINER SMD endpoints reversed.</t>
        </is>
      </c>
      <c r="T39" s="3" t="b">
        <v>1</v>
      </c>
      <c r="U39" s="3" t="inlineStr">
        <is>
          <t>Physical-function 3-month painTRAINER SMD endpoints reversed</t>
        </is>
      </c>
      <c r="V39" s="3" t="inlineStr">
        <is>
          <t>statistical_results</t>
        </is>
      </c>
      <c r="W39" s="3" t="inlineStr">
        <is>
          <t>Physical-function 3-month painTRAINER SMD endpoints reversed</t>
        </is>
      </c>
      <c r="X39" s="3" t="inlineStr">
        <is>
          <t>2025</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c r="C40" s="2" t="b">
        <v>0</v>
      </c>
      <c r="D40" s="2" t="inlineStr">
        <is>
          <t>Statistical reporting inconsistency</t>
        </is>
      </c>
      <c r="E40" s="2" t="b">
        <v>0</v>
      </c>
      <c r="F40" s="2" t="inlineStr">
        <is>
          <t>C023</t>
        </is>
      </c>
      <c r="G40" s="2" t="inlineStr">
        <is>
          <t>2025::jama.2025.11178::C023</t>
        </is>
      </c>
      <c r="H40" s="2" t="inlineStr"/>
      <c r="I40" s="2" t="inlineStr">
        <is>
          <t>main article — PDF p. 10, Table 3, physical function, 3 months, Health Coach vs usual care plus SMD.</t>
        </is>
      </c>
      <c r="J40" s="2" t="b">
        <v>0</v>
      </c>
      <c r="K40" s="2" t="inlineStr">
        <is>
          <t>jama.2025.11178</t>
        </is>
      </c>
      <c r="L40" s="2" t="inlineStr"/>
      <c r="M40" s="2" t="inlineStr">
        <is>
          <t>S_W</t>
        </is>
      </c>
      <c r="N40" s="2" t="inlineStr">
        <is>
          <t>Target is within one main article or one non-plan results supplement/workbook; no substantive plan comparison. `0.05 &gt; -0.04`; endpoints are reversed.</t>
        </is>
      </c>
      <c r="O40" s="2" t="inlineStr">
        <is>
          <t>../../2025/jama.2025.11178/.ai_paper_validation/final_report_1_5_1.html</t>
        </is>
      </c>
      <c r="P40" s="2" t="inlineStr">
        <is>
          <t>2025/jama.2025.11178/.ai_paper_validation/final_report_1_5_1.md</t>
        </is>
      </c>
      <c r="Q40" s="2" t="inlineStr">
        <is>
          <t>C023</t>
        </is>
      </c>
      <c r="R40" s="2" t="inlineStr">
        <is>
          <t>Pending Human Adjudication</t>
        </is>
      </c>
      <c r="S40" s="2" t="inlineStr">
        <is>
          <t>Pending Human Adjudication. The printed values identify a candidate consistency issue: Physical-function 3-month Health Coach SMD endpoints reversed.</t>
        </is>
      </c>
      <c r="T40" s="2" t="b">
        <v>1</v>
      </c>
      <c r="U40" s="2" t="inlineStr">
        <is>
          <t>Physical-function 3-month Health Coach SMD endpoints reversed</t>
        </is>
      </c>
      <c r="V40" s="2" t="inlineStr">
        <is>
          <t>statistical_results</t>
        </is>
      </c>
      <c r="W40" s="2" t="inlineStr">
        <is>
          <t>Physical-function 3-month Health Coach SMD endpoints reversed</t>
        </is>
      </c>
      <c r="X40" s="2" t="inlineStr">
        <is>
          <t>2025</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c r="C41" s="3" t="b">
        <v>0</v>
      </c>
      <c r="D41" s="3" t="inlineStr">
        <is>
          <t>Statistical reporting inconsistency</t>
        </is>
      </c>
      <c r="E41" s="3" t="b">
        <v>0</v>
      </c>
      <c r="F41" s="3" t="inlineStr">
        <is>
          <t>C024</t>
        </is>
      </c>
      <c r="G41" s="3" t="inlineStr">
        <is>
          <t>2025::jama.2025.11178::C024</t>
        </is>
      </c>
      <c r="H41" s="3" t="inlineStr"/>
      <c r="I41" s="3" t="inlineStr">
        <is>
          <t>main article — PDF p. 10, Table 3, physical function, 3 months, Health Coach vs painTRAINER SMD.</t>
        </is>
      </c>
      <c r="J41" s="3" t="b">
        <v>0</v>
      </c>
      <c r="K41" s="3" t="inlineStr">
        <is>
          <t>jama.2025.11178</t>
        </is>
      </c>
      <c r="L41" s="3" t="inlineStr"/>
      <c r="M41" s="3" t="inlineStr">
        <is>
          <t>S_W</t>
        </is>
      </c>
      <c r="N41" s="3" t="inlineStr">
        <is>
          <t>Target is within one main article or one non-plan results supplement/workbook; no substantive plan comparison. `0.22 &gt; 0.15`; endpoints are reversed.</t>
        </is>
      </c>
      <c r="O41" s="3" t="inlineStr">
        <is>
          <t>../../2025/jama.2025.11178/.ai_paper_validation/final_report_1_5_1.html</t>
        </is>
      </c>
      <c r="P41" s="3" t="inlineStr">
        <is>
          <t>2025/jama.2025.11178/.ai_paper_validation/final_report_1_5_1.md</t>
        </is>
      </c>
      <c r="Q41" s="3" t="inlineStr">
        <is>
          <t>C024</t>
        </is>
      </c>
      <c r="R41" s="3" t="inlineStr">
        <is>
          <t>Pending Human Adjudication</t>
        </is>
      </c>
      <c r="S41" s="3" t="inlineStr">
        <is>
          <t>Pending Human Adjudication. The printed values identify a candidate consistency issue: Physical-function 3-month Health Coach versus painTRAINER SMD endpoints reversed.</t>
        </is>
      </c>
      <c r="T41" s="3" t="b">
        <v>1</v>
      </c>
      <c r="U41" s="3" t="inlineStr">
        <is>
          <t>Physical-function 3-month Health Coach versus painTRAINER SMD endpoints reversed</t>
        </is>
      </c>
      <c r="V41" s="3" t="inlineStr">
        <is>
          <t>statistical_results</t>
        </is>
      </c>
      <c r="W41" s="3" t="inlineStr">
        <is>
          <t>Physical-function 3-month Health Coach versus painTRAINER SMD endpoints reversed</t>
        </is>
      </c>
      <c r="X41" s="3" t="inlineStr">
        <is>
          <t>2025</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c r="C42" s="2" t="b">
        <v>0</v>
      </c>
      <c r="D42" s="2" t="inlineStr">
        <is>
          <t>Statistical reporting inconsistency</t>
        </is>
      </c>
      <c r="E42" s="2" t="b">
        <v>0</v>
      </c>
      <c r="F42" s="2" t="inlineStr">
        <is>
          <t>C025</t>
        </is>
      </c>
      <c r="G42" s="2" t="inlineStr">
        <is>
          <t>2025::jama.2025.11178::C025</t>
        </is>
      </c>
      <c r="H42" s="2" t="inlineStr"/>
      <c r="I42" s="2" t="inlineStr">
        <is>
          <t>main article — PDF p. 10, Table 3, physical function, 6 months, painTRAINER vs usual care plus SMD.</t>
        </is>
      </c>
      <c r="J42" s="2" t="b">
        <v>0</v>
      </c>
      <c r="K42" s="2" t="inlineStr">
        <is>
          <t>jama.2025.11178</t>
        </is>
      </c>
      <c r="L42" s="2" t="inlineStr"/>
      <c r="M42" s="2" t="inlineStr">
        <is>
          <t>S_W</t>
        </is>
      </c>
      <c r="N42" s="2" t="inlineStr">
        <is>
          <t>Target is within one main article or one non-plan results supplement/workbook; no substantive plan comparison. `0.09 &gt; -0.06`; sorting endpoints still gives `[-0.06,0.09]`, which excludes 0.15.</t>
        </is>
      </c>
      <c r="O42" s="2" t="inlineStr">
        <is>
          <t>../../2025/jama.2025.11178/.ai_paper_validation/final_report_1_5_1.html</t>
        </is>
      </c>
      <c r="P42" s="2" t="inlineStr">
        <is>
          <t>2025/jama.2025.11178/.ai_paper_validation/final_report_1_5_1.md</t>
        </is>
      </c>
      <c r="Q42" s="2" t="inlineStr">
        <is>
          <t>C025</t>
        </is>
      </c>
      <c r="R42" s="2" t="inlineStr">
        <is>
          <t>Pending Human Adjudication</t>
        </is>
      </c>
      <c r="S42" s="2" t="inlineStr">
        <is>
          <t>Pending Human Adjudication. The printed values identify a candidate consistency issue: Physical-function 6-month painTRAINER SMD endpoints reversed and exclude estimate.</t>
        </is>
      </c>
      <c r="T42" s="2" t="b">
        <v>1</v>
      </c>
      <c r="U42" s="2" t="inlineStr">
        <is>
          <t>Physical-function 6-month painTRAINER SMD endpoints reversed and exclude estimate</t>
        </is>
      </c>
      <c r="V42" s="2" t="inlineStr">
        <is>
          <t>statistical_results</t>
        </is>
      </c>
      <c r="W42" s="2" t="inlineStr">
        <is>
          <t>Physical-function 6-month painTRAINER SMD endpoints reversed and exclude estimate</t>
        </is>
      </c>
      <c r="X42" s="2" t="inlineStr">
        <is>
          <t>2025</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c r="C43" s="3" t="b">
        <v>0</v>
      </c>
      <c r="D43" s="3" t="inlineStr">
        <is>
          <t>Statistical reporting inconsistency</t>
        </is>
      </c>
      <c r="E43" s="3" t="b">
        <v>0</v>
      </c>
      <c r="F43" s="3" t="inlineStr">
        <is>
          <t>C026</t>
        </is>
      </c>
      <c r="G43" s="3" t="inlineStr">
        <is>
          <t>2025::jama.2025.11178::C026</t>
        </is>
      </c>
      <c r="H43" s="3" t="inlineStr"/>
      <c r="I43" s="3" t="inlineStr">
        <is>
          <t>main article — PDF p. 10, Table 3, physical function, 6 months, Health Coach vs usual care plus SMD.</t>
        </is>
      </c>
      <c r="J43" s="3" t="b">
        <v>0</v>
      </c>
      <c r="K43" s="3" t="inlineStr">
        <is>
          <t>jama.2025.11178</t>
        </is>
      </c>
      <c r="L43" s="3" t="inlineStr"/>
      <c r="M43" s="3" t="inlineStr">
        <is>
          <t>S_W</t>
        </is>
      </c>
      <c r="N43" s="3" t="inlineStr">
        <is>
          <t>Target is within one main article or one non-plan results supplement/workbook; no substantive plan comparison. `0.03 &gt; -0.18`; endpoints are reversed.</t>
        </is>
      </c>
      <c r="O43" s="3" t="inlineStr">
        <is>
          <t>../../2025/jama.2025.11178/.ai_paper_validation/final_report_1_5_1.html</t>
        </is>
      </c>
      <c r="P43" s="3" t="inlineStr">
        <is>
          <t>2025/jama.2025.11178/.ai_paper_validation/final_report_1_5_1.md</t>
        </is>
      </c>
      <c r="Q43" s="3" t="inlineStr">
        <is>
          <t>C026</t>
        </is>
      </c>
      <c r="R43" s="3" t="inlineStr">
        <is>
          <t>Pending Human Adjudication</t>
        </is>
      </c>
      <c r="S43" s="3" t="inlineStr">
        <is>
          <t>Pending Human Adjudication. The printed values identify a candidate consistency issue: Physical-function 6-month Health Coach SMD endpoints reversed.</t>
        </is>
      </c>
      <c r="T43" s="3" t="b">
        <v>1</v>
      </c>
      <c r="U43" s="3" t="inlineStr">
        <is>
          <t>Physical-function 6-month Health Coach SMD endpoints reversed</t>
        </is>
      </c>
      <c r="V43" s="3" t="inlineStr">
        <is>
          <t>statistical_results</t>
        </is>
      </c>
      <c r="W43" s="3" t="inlineStr">
        <is>
          <t>Physical-function 6-month Health Coach SMD endpoints reversed</t>
        </is>
      </c>
      <c r="X43" s="3" t="inlineStr">
        <is>
          <t>2025</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Statistical reporting inconsistency</t>
        </is>
      </c>
      <c r="E44" s="2" t="b">
        <v>0</v>
      </c>
      <c r="F44" s="2" t="inlineStr">
        <is>
          <t>C027</t>
        </is>
      </c>
      <c r="G44" s="2" t="inlineStr">
        <is>
          <t>2025::jama.2025.11178::C027</t>
        </is>
      </c>
      <c r="H44" s="2" t="inlineStr"/>
      <c r="I44" s="2" t="inlineStr">
        <is>
          <t>main article — PDF p. 10, Table 3, physical function, 6 months, Health Coach vs painTRAINER SMD.</t>
        </is>
      </c>
      <c r="J44" s="2" t="b">
        <v>0</v>
      </c>
      <c r="K44" s="2" t="inlineStr">
        <is>
          <t>jama.2025.11178</t>
        </is>
      </c>
      <c r="L44" s="2" t="inlineStr"/>
      <c r="M44" s="2" t="inlineStr">
        <is>
          <t>S_W</t>
        </is>
      </c>
      <c r="N44" s="2" t="inlineStr">
        <is>
          <t>Target is within one main article or one non-plan results supplement/workbook; no substantive plan comparison. `0.16 &gt; 0.05`; sorted interval `[0.05,0.16]` excludes 0.22.</t>
        </is>
      </c>
      <c r="O44" s="2" t="inlineStr">
        <is>
          <t>../../2025/jama.2025.11178/.ai_paper_validation/final_report_1_5_1.html</t>
        </is>
      </c>
      <c r="P44" s="2" t="inlineStr">
        <is>
          <t>2025/jama.2025.11178/.ai_paper_validation/final_report_1_5_1.md</t>
        </is>
      </c>
      <c r="Q44" s="2" t="inlineStr">
        <is>
          <t>C027</t>
        </is>
      </c>
      <c r="R44" s="2" t="inlineStr">
        <is>
          <t>Pending Human Adjudication</t>
        </is>
      </c>
      <c r="S44" s="2" t="inlineStr">
        <is>
          <t>Pending Human Adjudication. The printed values identify a candidate consistency issue: Physical-function 6-month Health Coach versus painTRAINER SMD endpoints reversed and exclude estimate.</t>
        </is>
      </c>
      <c r="T44" s="2" t="b">
        <v>1</v>
      </c>
      <c r="U44" s="2" t="inlineStr">
        <is>
          <t>Physical-function 6-month Health Coach versus painTRAINER SMD endpoints reversed and exclude estimate</t>
        </is>
      </c>
      <c r="V44" s="2" t="inlineStr">
        <is>
          <t>statistical_results</t>
        </is>
      </c>
      <c r="W44" s="2" t="inlineStr">
        <is>
          <t>Physical-function 6-month Health Coach versus painTRAINER SMD endpoints reversed and exclude estimate</t>
        </is>
      </c>
      <c r="X44" s="2" t="inlineStr">
        <is>
          <t>2025</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c r="C45" s="3" t="b">
        <v>0</v>
      </c>
      <c r="D45" s="3" t="inlineStr">
        <is>
          <t>Statistical reporting inconsistency</t>
        </is>
      </c>
      <c r="E45" s="3" t="b">
        <v>0</v>
      </c>
      <c r="F45" s="3" t="inlineStr">
        <is>
          <t>C028</t>
        </is>
      </c>
      <c r="G45" s="3" t="inlineStr">
        <is>
          <t>2025::jama.2025.11178::C028</t>
        </is>
      </c>
      <c r="H45" s="3" t="inlineStr"/>
      <c r="I45" s="3" t="inlineStr">
        <is>
          <t>main article — PDF p. 10, Table 3, physical function, 12 months, painTRAINER vs usual care plus SMD.</t>
        </is>
      </c>
      <c r="J45" s="3" t="b">
        <v>0</v>
      </c>
      <c r="K45" s="3" t="inlineStr">
        <is>
          <t>jama.2025.11178</t>
        </is>
      </c>
      <c r="L45" s="3" t="inlineStr"/>
      <c r="M45" s="3" t="inlineStr">
        <is>
          <t>S_W</t>
        </is>
      </c>
      <c r="N45" s="3" t="inlineStr">
        <is>
          <t>Target is within one main article or one non-plan results supplement/workbook; no substantive plan comparison. `0.18 &gt; -0.03`; sorted interval `[-0.03,0.18]` excludes 0.20.</t>
        </is>
      </c>
      <c r="O45" s="3" t="inlineStr">
        <is>
          <t>../../2025/jama.2025.11178/.ai_paper_validation/final_report_1_5_1.html</t>
        </is>
      </c>
      <c r="P45" s="3" t="inlineStr">
        <is>
          <t>2025/jama.2025.11178/.ai_paper_validation/final_report_1_5_1.md</t>
        </is>
      </c>
      <c r="Q45" s="3" t="inlineStr">
        <is>
          <t>C028</t>
        </is>
      </c>
      <c r="R45" s="3" t="inlineStr">
        <is>
          <t>Pending Human Adjudication</t>
        </is>
      </c>
      <c r="S45" s="3" t="inlineStr">
        <is>
          <t>Pending Human Adjudication. The printed values identify a candidate consistency issue: Physical-function 12-month painTRAINER SMD endpoints reversed and exclude estimate.</t>
        </is>
      </c>
      <c r="T45" s="3" t="b">
        <v>1</v>
      </c>
      <c r="U45" s="3" t="inlineStr">
        <is>
          <t>Physical-function 12-month painTRAINER SMD endpoints reversed and exclude estimate</t>
        </is>
      </c>
      <c r="V45" s="3" t="inlineStr">
        <is>
          <t>statistical_results</t>
        </is>
      </c>
      <c r="W45" s="3" t="inlineStr">
        <is>
          <t>Physical-function 12-month painTRAINER SMD endpoints reversed and exclude estimate</t>
        </is>
      </c>
      <c r="X45" s="3" t="inlineStr">
        <is>
          <t>2025</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Statistical reporting inconsistency</t>
        </is>
      </c>
      <c r="E46" s="2" t="b">
        <v>0</v>
      </c>
      <c r="F46" s="2" t="inlineStr">
        <is>
          <t>C029</t>
        </is>
      </c>
      <c r="G46" s="2" t="inlineStr">
        <is>
          <t>2025::jama.2025.11178::C029</t>
        </is>
      </c>
      <c r="H46" s="2" t="inlineStr"/>
      <c r="I46" s="2" t="inlineStr">
        <is>
          <t>main article — PDF p. 10, Table 3, physical function, 12 months, Health Coach vs usual care plus SMD.</t>
        </is>
      </c>
      <c r="J46" s="2" t="b">
        <v>0</v>
      </c>
      <c r="K46" s="2" t="inlineStr">
        <is>
          <t>jama.2025.11178</t>
        </is>
      </c>
      <c r="L46" s="2" t="inlineStr"/>
      <c r="M46" s="2" t="inlineStr">
        <is>
          <t>S_W</t>
        </is>
      </c>
      <c r="N46" s="2" t="inlineStr">
        <is>
          <t>Target is within one main article or one non-plan results supplement/workbook; no substantive plan comparison. `0.04 &gt; -0.16`; sorted interval `[-0.16,0.04]` excludes 0.07.</t>
        </is>
      </c>
      <c r="O46" s="2" t="inlineStr">
        <is>
          <t>../../2025/jama.2025.11178/.ai_paper_validation/final_report_1_5_1.html</t>
        </is>
      </c>
      <c r="P46" s="2" t="inlineStr">
        <is>
          <t>2025/jama.2025.11178/.ai_paper_validation/final_report_1_5_1.md</t>
        </is>
      </c>
      <c r="Q46" s="2" t="inlineStr">
        <is>
          <t>C029</t>
        </is>
      </c>
      <c r="R46" s="2" t="inlineStr">
        <is>
          <t>Pending Human Adjudication</t>
        </is>
      </c>
      <c r="S46" s="2" t="inlineStr">
        <is>
          <t>Pending Human Adjudication. The printed values identify a candidate consistency issue: Physical-function 12-month Health Coach SMD endpoints reversed and exclude estimate.</t>
        </is>
      </c>
      <c r="T46" s="2" t="b">
        <v>1</v>
      </c>
      <c r="U46" s="2" t="inlineStr">
        <is>
          <t>Physical-function 12-month Health Coach SMD endpoints reversed and exclude estimate</t>
        </is>
      </c>
      <c r="V46" s="2" t="inlineStr">
        <is>
          <t>statistical_results</t>
        </is>
      </c>
      <c r="W46" s="2" t="inlineStr">
        <is>
          <t>Physical-function 12-month Health Coach SMD endpoints reversed and exclude estimate</t>
        </is>
      </c>
      <c r="X46" s="2" t="inlineStr">
        <is>
          <t>2025</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Statistical reporting inconsistency</t>
        </is>
      </c>
      <c r="E47" s="3" t="b">
        <v>0</v>
      </c>
      <c r="F47" s="3" t="inlineStr">
        <is>
          <t>C030</t>
        </is>
      </c>
      <c r="G47" s="3" t="inlineStr">
        <is>
          <t>2025::jama.2025.11178::C030</t>
        </is>
      </c>
      <c r="H47" s="3" t="inlineStr"/>
      <c r="I47" s="3" t="inlineStr">
        <is>
          <t>main article — PDF p. 10, Table 3, physical function, 12 months, Health Coach vs painTRAINER SMD.</t>
        </is>
      </c>
      <c r="J47" s="3" t="b">
        <v>0</v>
      </c>
      <c r="K47" s="3" t="inlineStr">
        <is>
          <t>jama.2025.11178</t>
        </is>
      </c>
      <c r="L47" s="3" t="inlineStr"/>
      <c r="M47" s="3" t="inlineStr">
        <is>
          <t>S_W</t>
        </is>
      </c>
      <c r="N47" s="3" t="inlineStr">
        <is>
          <t>Target is within one main article or one non-plan results supplement/workbook; no substantive plan comparison. `0.25 &gt; 0.09`; sorted interval `[0.09,0.25]` excludes 0.27.</t>
        </is>
      </c>
      <c r="O47" s="3" t="inlineStr">
        <is>
          <t>../../2025/jama.2025.11178/.ai_paper_validation/final_report_1_5_1.html</t>
        </is>
      </c>
      <c r="P47" s="3" t="inlineStr">
        <is>
          <t>2025/jama.2025.11178/.ai_paper_validation/final_report_1_5_1.md</t>
        </is>
      </c>
      <c r="Q47" s="3" t="inlineStr">
        <is>
          <t>C030</t>
        </is>
      </c>
      <c r="R47" s="3" t="inlineStr">
        <is>
          <t>Pending Human Adjudication</t>
        </is>
      </c>
      <c r="S47" s="3" t="inlineStr">
        <is>
          <t>Pending Human Adjudication. The printed values identify a candidate consistency issue: Physical-function 12-month Health Coach versus painTRAINER SMD endpoints reversed and exclude estimate.</t>
        </is>
      </c>
      <c r="T47" s="3" t="b">
        <v>1</v>
      </c>
      <c r="U47" s="3" t="inlineStr">
        <is>
          <t>Physical-function 12-month Health Coach versus painTRAINER SMD endpoints reversed and exclude estimate</t>
        </is>
      </c>
      <c r="V47" s="3" t="inlineStr">
        <is>
          <t>statistical_results</t>
        </is>
      </c>
      <c r="W47" s="3" t="inlineStr">
        <is>
          <t>Physical-function 12-month Health Coach versus painTRAINER SMD endpoints reversed and exclude estimate</t>
        </is>
      </c>
      <c r="X47" s="3" t="inlineStr">
        <is>
          <t>2025</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Statistical reporting inconsistency</t>
        </is>
      </c>
      <c r="E48" s="2" t="b">
        <v>0</v>
      </c>
      <c r="F48" s="2" t="inlineStr">
        <is>
          <t>C031</t>
        </is>
      </c>
      <c r="G48" s="2" t="inlineStr">
        <is>
          <t>2025::jama.2025.11178::C031</t>
        </is>
      </c>
      <c r="H48" s="2" t="inlineStr"/>
      <c r="I48" s="2" t="inlineStr">
        <is>
          <t>main article — PDF p. 11, Table 3, PGIC-pain, 12 months, painTRAINER vs usual care plus SMD.</t>
        </is>
      </c>
      <c r="J48" s="2" t="b">
        <v>0</v>
      </c>
      <c r="K48" s="2" t="inlineStr">
        <is>
          <t>jama.2025.11178</t>
        </is>
      </c>
      <c r="L48" s="2" t="inlineStr"/>
      <c r="M48" s="2" t="inlineStr">
        <is>
          <t>S_W</t>
        </is>
      </c>
      <c r="N48" s="2" t="inlineStr">
        <is>
          <t>Target is within one main article or one non-plan results supplement/workbook; no substantive plan comparison. `-0.55 &lt; -0.50`, outside CI.</t>
        </is>
      </c>
      <c r="O48" s="2" t="inlineStr">
        <is>
          <t>../../2025/jama.2025.11178/.ai_paper_validation/final_report_1_5_1.html</t>
        </is>
      </c>
      <c r="P48" s="2" t="inlineStr">
        <is>
          <t>2025/jama.2025.11178/.ai_paper_validation/final_report_1_5_1.md</t>
        </is>
      </c>
      <c r="Q48" s="2" t="inlineStr">
        <is>
          <t>C031</t>
        </is>
      </c>
      <c r="R48" s="2" t="inlineStr">
        <is>
          <t>Pending Human Adjudication</t>
        </is>
      </c>
      <c r="S48" s="2" t="inlineStr">
        <is>
          <t>Pending Human Adjudication. The printed values identify a candidate consistency issue: PGIC-pain 12-month painTRAINER SMD outside printed CI.</t>
        </is>
      </c>
      <c r="T48" s="2" t="b">
        <v>1</v>
      </c>
      <c r="U48" s="2" t="inlineStr">
        <is>
          <t>PGIC-pain 12-month painTRAINER SMD outside printed CI</t>
        </is>
      </c>
      <c r="V48" s="2" t="inlineStr">
        <is>
          <t>statistical_results</t>
        </is>
      </c>
      <c r="W48" s="2" t="inlineStr">
        <is>
          <t>PGIC-pain 12-month painTRAINER SMD outside printed CI</t>
        </is>
      </c>
      <c r="X48" s="2" t="inlineStr">
        <is>
          <t>2025</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Statistical reporting inconsistency</t>
        </is>
      </c>
      <c r="E49" s="3" t="b">
        <v>0</v>
      </c>
      <c r="F49" s="3" t="inlineStr">
        <is>
          <t>C032</t>
        </is>
      </c>
      <c r="G49" s="3" t="inlineStr">
        <is>
          <t>2025::jama.2025.11178::C032</t>
        </is>
      </c>
      <c r="H49" s="3" t="inlineStr"/>
      <c r="I49" s="3" t="inlineStr">
        <is>
          <t>main article — PDF p. 11, Table 3, PGIC-pain, 12 months, Health Coach vs usual care plus SMD.</t>
        </is>
      </c>
      <c r="J49" s="3" t="b">
        <v>0</v>
      </c>
      <c r="K49" s="3" t="inlineStr">
        <is>
          <t>jama.2025.11178</t>
        </is>
      </c>
      <c r="L49" s="3" t="inlineStr"/>
      <c r="M49" s="3" t="inlineStr">
        <is>
          <t>S_W</t>
        </is>
      </c>
      <c r="N49" s="3" t="inlineStr">
        <is>
          <t>Target is within one main article or one non-plan results supplement/workbook; no substantive plan comparison. `-0.57 &lt; -0.54`, outside CI.</t>
        </is>
      </c>
      <c r="O49" s="3" t="inlineStr">
        <is>
          <t>../../2025/jama.2025.11178/.ai_paper_validation/final_report_1_5_1.html</t>
        </is>
      </c>
      <c r="P49" s="3" t="inlineStr">
        <is>
          <t>2025/jama.2025.11178/.ai_paper_validation/final_report_1_5_1.md</t>
        </is>
      </c>
      <c r="Q49" s="3" t="inlineStr">
        <is>
          <t>C032</t>
        </is>
      </c>
      <c r="R49" s="3" t="inlineStr">
        <is>
          <t>Pending Human Adjudication</t>
        </is>
      </c>
      <c r="S49" s="3" t="inlineStr">
        <is>
          <t>Pending Human Adjudication. The printed values identify a candidate consistency issue: PGIC-pain 12-month Health Coach SMD outside printed CI.</t>
        </is>
      </c>
      <c r="T49" s="3" t="b">
        <v>1</v>
      </c>
      <c r="U49" s="3" t="inlineStr">
        <is>
          <t>PGIC-pain 12-month Health Coach SMD outside printed CI</t>
        </is>
      </c>
      <c r="V49" s="3" t="inlineStr">
        <is>
          <t>statistical_results</t>
        </is>
      </c>
      <c r="W49" s="3" t="inlineStr">
        <is>
          <t>PGIC-pain 12-month Health Coach SMD outside printed CI</t>
        </is>
      </c>
      <c r="X49" s="3" t="inlineStr">
        <is>
          <t>2025</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Statistical reporting inconsistency</t>
        </is>
      </c>
      <c r="E50" s="2" t="b">
        <v>0</v>
      </c>
      <c r="F50" s="2" t="inlineStr">
        <is>
          <t>C033</t>
        </is>
      </c>
      <c r="G50" s="2" t="inlineStr">
        <is>
          <t>2025::jama.2025.11178::C033</t>
        </is>
      </c>
      <c r="H50" s="2" t="inlineStr"/>
      <c r="I50" s="2" t="inlineStr">
        <is>
          <t>main article — PDF p. 11, Table 3, PGIC-pain, 12 months, Health Coach vs painTRAINER SMD.</t>
        </is>
      </c>
      <c r="J50" s="2" t="b">
        <v>0</v>
      </c>
      <c r="K50" s="2" t="inlineStr">
        <is>
          <t>jama.2025.11178</t>
        </is>
      </c>
      <c r="L50" s="2" t="inlineStr"/>
      <c r="M50" s="2" t="inlineStr">
        <is>
          <t>S_W</t>
        </is>
      </c>
      <c r="N50" s="2" t="inlineStr">
        <is>
          <t>Target is within one main article or one non-plan results supplement/workbook; no substantive plan comparison. `-0.29 &lt; -0.25`, outside CI.</t>
        </is>
      </c>
      <c r="O50" s="2" t="inlineStr">
        <is>
          <t>../../2025/jama.2025.11178/.ai_paper_validation/final_report_1_5_1.html</t>
        </is>
      </c>
      <c r="P50" s="2" t="inlineStr">
        <is>
          <t>2025/jama.2025.11178/.ai_paper_validation/final_report_1_5_1.md</t>
        </is>
      </c>
      <c r="Q50" s="2" t="inlineStr">
        <is>
          <t>C033</t>
        </is>
      </c>
      <c r="R50" s="2" t="inlineStr">
        <is>
          <t>Pending Human Adjudication</t>
        </is>
      </c>
      <c r="S50" s="2" t="inlineStr">
        <is>
          <t>Pending Human Adjudication. The printed values identify a candidate consistency issue: PGIC-pain 12-month Health Coach versus painTRAINER SMD outside printed CI.</t>
        </is>
      </c>
      <c r="T50" s="2" t="b">
        <v>1</v>
      </c>
      <c r="U50" s="2" t="inlineStr">
        <is>
          <t>PGIC-pain 12-month Health Coach versus painTRAINER SMD outside printed CI</t>
        </is>
      </c>
      <c r="V50" s="2" t="inlineStr">
        <is>
          <t>statistical_results</t>
        </is>
      </c>
      <c r="W50" s="2" t="inlineStr">
        <is>
          <t>PGIC-pain 12-month Health Coach versus painTRAINER SMD outside printed CI</t>
        </is>
      </c>
      <c r="X50" s="2" t="inlineStr">
        <is>
          <t>2025</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is>
          <t>Source explicitly distinguishes self-report with EHR fallback from EHR-only sex derivation; equality is conditional.</t>
        </is>
      </c>
      <c r="C51" s="3" t="b">
        <v>0</v>
      </c>
      <c r="D51" s="3" t="inlineStr">
        <is>
          <t>Cross-document numeric inconsistency</t>
        </is>
      </c>
      <c r="E51" s="3" t="b">
        <v>1</v>
      </c>
      <c r="F51" s="3" t="inlineStr">
        <is>
          <t>C034</t>
        </is>
      </c>
      <c r="G51" s="3" t="inlineStr">
        <is>
          <t>2025::jama.2025.11178::C034</t>
        </is>
      </c>
      <c r="H51" s="3" t="inlineStr"/>
      <c r="I51" s="3" t="inlineStr">
        <is>
          <t>main article — PDF p. 1, Abstract; main article — PDF p. 6, Table 1; workbook, worksheet eTable 3, cells A11:B11.</t>
        </is>
      </c>
      <c r="J51" s="3" t="b">
        <v>1</v>
      </c>
      <c r="K51" s="3" t="inlineStr">
        <is>
          <t>jama.2025.11178</t>
        </is>
      </c>
      <c r="L51" s="3" t="inlineStr"/>
      <c r="M51" s="3" t="inlineStr">
        <is>
          <t>S_C</t>
        </is>
      </c>
      <c r="N51" s="3"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51" s="3" t="inlineStr">
        <is>
          <t>../../2025/jama.2025.11178/.ai_paper_validation/final_report_1_5_1.html</t>
        </is>
      </c>
      <c r="P51" s="3" t="inlineStr">
        <is>
          <t>2025/jama.2025.11178/.ai_paper_validation/final_report_1_5_1.md</t>
        </is>
      </c>
      <c r="Q51" s="3" t="inlineStr">
        <is>
          <t>C034</t>
        </is>
      </c>
      <c r="R51" s="3" t="inlineStr">
        <is>
          <t>Pending Human Adjudication</t>
        </is>
      </c>
      <c r="S51" s="3" t="inlineStr">
        <is>
          <t>Pending Human Adjudication. The printed values identify a candidate consistency issue: Female total differs across sources if the printed derivations are intended to match.</t>
        </is>
      </c>
      <c r="T51" s="3" t="b">
        <v>1</v>
      </c>
      <c r="U51" s="3" t="inlineStr">
        <is>
          <t>Female total differs across sources if the printed derivations are intended to match</t>
        </is>
      </c>
      <c r="V51" s="3" t="inlineStr">
        <is>
          <t>internal_nonstatistical</t>
        </is>
      </c>
      <c r="W51" s="3" t="inlineStr">
        <is>
          <t>Female total differs across sources if the printed derivations are intended to match</t>
        </is>
      </c>
      <c r="X51" s="3" t="inlineStr">
        <is>
          <t>2025</t>
        </is>
      </c>
      <c r="Y51" s="3" t="inlineStr">
        <is>
          <t>meta_report/consistency_reclassification_2026-09-04/reclassified_candidates.json</t>
        </is>
      </c>
      <c r="Z51" s="3" t="inlineStr">
        <is>
          <t>S_C</t>
        </is>
      </c>
      <c r="AA51" s="3" t="inlineStr">
        <is>
          <t>internal_nonstatistical</t>
        </is>
      </c>
      <c r="AB51" s="3" t="inlineStr">
        <is>
          <t>retain</t>
        </is>
      </c>
    </row>
    <row r="52" ht="95" customHeight="1">
      <c r="A52" s="2" t="b">
        <v>0</v>
      </c>
      <c r="B52" s="2" t="inlineStr">
        <is>
          <t>Main arithmetic and main/workbook repeated percentage both directly targeted. Distinct from C005, which concerns All Observed subgroup workbook cell, not Overall narrative.</t>
        </is>
      </c>
      <c r="C52" s="2" t="b">
        <v>0</v>
      </c>
      <c r="D52" s="2" t="inlineStr">
        <is>
          <t>Cross-document numeric inconsistency</t>
        </is>
      </c>
      <c r="E52" s="2" t="b">
        <v>1</v>
      </c>
      <c r="F52" s="2" t="inlineStr">
        <is>
          <t>C035</t>
        </is>
      </c>
      <c r="G52" s="2" t="inlineStr">
        <is>
          <t>2025::jama.2025.11178::C035</t>
        </is>
      </c>
      <c r="H52" s="2" t="inlineStr"/>
      <c r="I52" s="2" t="inlineStr">
        <is>
          <t>main article — PDF p. 4, Results; main article — PDF p. 6, Table 1; workbook, worksheet eTable 3, cells A82:B82.</t>
        </is>
      </c>
      <c r="J52" s="2" t="b">
        <v>1</v>
      </c>
      <c r="K52" s="2" t="inlineStr">
        <is>
          <t>jama.2025.11178</t>
        </is>
      </c>
      <c r="L52" s="2" t="inlineStr"/>
      <c r="M52" s="2" t="inlineStr">
        <is>
          <t>S_C</t>
        </is>
      </c>
      <c r="N52" s="2" t="inlineStr">
        <is>
          <t>Target explicitly compares current main article and non-plan results supplement/workbook. Same PHQ-8 &gt;=10 baseline definition; `1116/(775+777+777)=1116/2329=47.9176%`, or 47.9% to one decimal, not 47.8%.</t>
        </is>
      </c>
      <c r="O52" s="2" t="inlineStr">
        <is>
          <t>../../2025/jama.2025.11178/.ai_paper_validation/final_report_1_5_1.html</t>
        </is>
      </c>
      <c r="P52" s="2" t="inlineStr">
        <is>
          <t>2025/jama.2025.11178/.ai_paper_validation/final_report_1_5_1.md</t>
        </is>
      </c>
      <c r="Q52" s="2" t="inlineStr">
        <is>
          <t>C035</t>
        </is>
      </c>
      <c r="R52" s="2" t="inlineStr">
        <is>
          <t>Pending Human Adjudication</t>
        </is>
      </c>
      <c r="S52" s="2" t="inlineStr">
        <is>
          <t>Pending Human Adjudication. The printed values identify a candidate consistency issue: Narrative current-depression percentage differs from Table 1/workbook record.</t>
        </is>
      </c>
      <c r="T52" s="2" t="b">
        <v>1</v>
      </c>
      <c r="U52" s="2" t="inlineStr">
        <is>
          <t>Narrative current-depression percentage differs from Table 1/workbook record</t>
        </is>
      </c>
      <c r="V52" s="2" t="inlineStr">
        <is>
          <t>internal_nonstatistical</t>
        </is>
      </c>
      <c r="W52" s="2" t="inlineStr">
        <is>
          <t>Narrative current-depression percentage differs from Table 1/workbook record</t>
        </is>
      </c>
      <c r="X52" s="2" t="inlineStr">
        <is>
          <t>2025</t>
        </is>
      </c>
      <c r="Y52" s="2" t="inlineStr">
        <is>
          <t>meta_report/consistency_reclassification_2026-09-04/reclassified_candidates.json</t>
        </is>
      </c>
      <c r="Z52" s="2" t="inlineStr">
        <is>
          <t>S_C</t>
        </is>
      </c>
      <c r="AA52" s="2" t="inlineStr">
        <is>
          <t>internal_nonstatistical</t>
        </is>
      </c>
      <c r="AB52" s="2" t="inlineStr">
        <is>
          <t>retain</t>
        </is>
      </c>
    </row>
    <row r="53" ht="95" customHeight="1">
      <c r="A53" s="3" t="b">
        <v>0</v>
      </c>
      <c r="B53" s="3" t="inlineStr"/>
      <c r="C53" s="3" t="b">
        <v>0</v>
      </c>
      <c r="D53" s="3" t="inlineStr">
        <is>
          <t>Cross-document numeric inconsistency</t>
        </is>
      </c>
      <c r="E53" s="3" t="b">
        <v>0</v>
      </c>
      <c r="F53" s="3" t="inlineStr">
        <is>
          <t>C036</t>
        </is>
      </c>
      <c r="G53" s="3" t="inlineStr">
        <is>
          <t>2025::jama.2025.11178::C036</t>
        </is>
      </c>
      <c r="H53" s="3" t="inlineStr"/>
      <c r="I53" s="3" t="inlineStr">
        <is>
          <t>main article — PDF p. 7, Secondary Outcomes; main article — PDF p. 10, Table 3.</t>
        </is>
      </c>
      <c r="J53" s="3" t="b">
        <v>1</v>
      </c>
      <c r="K53" s="3" t="inlineStr">
        <is>
          <t>jama.2025.11178</t>
        </is>
      </c>
      <c r="L53" s="3" t="inlineStr"/>
      <c r="M53" s="3" t="inlineStr">
        <is>
          <t>S_W</t>
        </is>
      </c>
      <c r="N53" s="3" t="inlineStr">
        <is>
          <t>Target is within one main article or one non-plan results supplement/workbook; no substantive plan comparison. Same adjusted outcome/time/contrast/effect measure, explicitly cross-referenced; `-0.26 != -0.25`, displayed difference 0.01.</t>
        </is>
      </c>
      <c r="O53" s="3" t="inlineStr">
        <is>
          <t>../../2025/jama.2025.11178/.ai_paper_validation/final_report_1_5_1.html</t>
        </is>
      </c>
      <c r="P53" s="3" t="inlineStr">
        <is>
          <t>2025/jama.2025.11178/.ai_paper_validation/final_report_1_5_1.md</t>
        </is>
      </c>
      <c r="Q53" s="3" t="inlineStr">
        <is>
          <t>C036</t>
        </is>
      </c>
      <c r="R53" s="3" t="inlineStr">
        <is>
          <t>Pending Human Adjudication</t>
        </is>
      </c>
      <c r="S53" s="3" t="inlineStr">
        <is>
          <t>Pending Human Adjudication. The printed values identify a candidate consistency issue: painTRAINER 3-month pain-severity SMD differs between narrative and Table 3.</t>
        </is>
      </c>
      <c r="T53" s="3" t="b">
        <v>1</v>
      </c>
      <c r="U53" s="3" t="inlineStr">
        <is>
          <t>painTRAINER 3-month pain-severity SMD differs between narrative and Table 3</t>
        </is>
      </c>
      <c r="V53" s="3" t="inlineStr">
        <is>
          <t>internal_nonstatistical</t>
        </is>
      </c>
      <c r="W53" s="3" t="inlineStr">
        <is>
          <t>painTRAINER 3-month pain-severity SMD differs between narrative and Table 3</t>
        </is>
      </c>
      <c r="X53" s="3" t="inlineStr">
        <is>
          <t>2025</t>
        </is>
      </c>
      <c r="Y53" s="3" t="inlineStr">
        <is>
          <t>meta_report/consistency_reclassification_2026-09-04/reclassified_candidates.json</t>
        </is>
      </c>
      <c r="Z53" s="3" t="inlineStr">
        <is>
          <t>S_W</t>
        </is>
      </c>
      <c r="AA53" s="3" t="inlineStr">
        <is>
          <t>internal_nonstatistical</t>
        </is>
      </c>
      <c r="AB53" s="3" t="inlineStr">
        <is>
          <t>retain</t>
        </is>
      </c>
    </row>
    <row r="54" ht="95" customHeight="1">
      <c r="A54" s="2" t="b">
        <v>0</v>
      </c>
      <c r="B54" s="2" t="inlineStr"/>
      <c r="C54" s="2" t="b">
        <v>0</v>
      </c>
      <c r="D54" s="2" t="inlineStr">
        <is>
          <t>Cross-document numeric inconsistency</t>
        </is>
      </c>
      <c r="E54" s="2" t="b">
        <v>0</v>
      </c>
      <c r="F54" s="2" t="inlineStr">
        <is>
          <t>C037</t>
        </is>
      </c>
      <c r="G54" s="2" t="inlineStr">
        <is>
          <t>2025::jama.2025.11178::C037</t>
        </is>
      </c>
      <c r="H54" s="2" t="inlineStr"/>
      <c r="I54" s="2" t="inlineStr">
        <is>
          <t>main article — PDF p. 7, Secondary Outcomes; main article — PDF p. 10, Table 3.</t>
        </is>
      </c>
      <c r="J54" s="2" t="b">
        <v>1</v>
      </c>
      <c r="K54" s="2" t="inlineStr">
        <is>
          <t>jama.2025.11178</t>
        </is>
      </c>
      <c r="L54" s="2" t="inlineStr"/>
      <c r="M54" s="2" t="inlineStr">
        <is>
          <t>S_W</t>
        </is>
      </c>
      <c r="N54" s="2" t="inlineStr">
        <is>
          <t>Target is within one main article or one non-plan results supplement/workbook; no substantive plan comparison. Same adjusted outcome/time/contrast/effect measure; `-0.36 != -0.34`, displayed difference 0.02.</t>
        </is>
      </c>
      <c r="O54" s="2" t="inlineStr">
        <is>
          <t>../../2025/jama.2025.11178/.ai_paper_validation/final_report_1_5_1.html</t>
        </is>
      </c>
      <c r="P54" s="2" t="inlineStr">
        <is>
          <t>2025/jama.2025.11178/.ai_paper_validation/final_report_1_5_1.md</t>
        </is>
      </c>
      <c r="Q54" s="2" t="inlineStr">
        <is>
          <t>C037</t>
        </is>
      </c>
      <c r="R54" s="2" t="inlineStr">
        <is>
          <t>Pending Human Adjudication</t>
        </is>
      </c>
      <c r="S54" s="2" t="inlineStr">
        <is>
          <t>Pending Human Adjudication. The printed values identify a candidate consistency issue: Health Coach 3-month pain-severity SMD differs between narrative and Table 3.</t>
        </is>
      </c>
      <c r="T54" s="2" t="b">
        <v>1</v>
      </c>
      <c r="U54" s="2" t="inlineStr">
        <is>
          <t>Health Coach 3-month pain-severity SMD differs between narrative and Table 3</t>
        </is>
      </c>
      <c r="V54" s="2" t="inlineStr">
        <is>
          <t>internal_nonstatistical</t>
        </is>
      </c>
      <c r="W54" s="2" t="inlineStr">
        <is>
          <t>Health Coach 3-month pain-severity SMD differs between narrative and Table 3</t>
        </is>
      </c>
      <c r="X54" s="2" t="inlineStr">
        <is>
          <t>2025</t>
        </is>
      </c>
      <c r="Y54" s="2" t="inlineStr">
        <is>
          <t>meta_report/consistency_reclassification_2026-09-04/reclassified_candidates.json</t>
        </is>
      </c>
      <c r="Z54" s="2" t="inlineStr">
        <is>
          <t>S_W</t>
        </is>
      </c>
      <c r="AA54" s="2" t="inlineStr">
        <is>
          <t>internal_nonstatistical</t>
        </is>
      </c>
      <c r="AB54" s="2" t="inlineStr">
        <is>
          <t>retain</t>
        </is>
      </c>
    </row>
    <row r="55" ht="95" customHeight="1">
      <c r="A55" s="3" t="b">
        <v>0</v>
      </c>
      <c r="B55" s="3" t="inlineStr"/>
      <c r="C55" s="3" t="b">
        <v>0</v>
      </c>
      <c r="D55" s="3" t="inlineStr">
        <is>
          <t>Cross-document numeric inconsistency</t>
        </is>
      </c>
      <c r="E55" s="3" t="b">
        <v>1</v>
      </c>
      <c r="F55" s="3" t="inlineStr">
        <is>
          <t>C001</t>
        </is>
      </c>
      <c r="G55" s="3" t="inlineStr">
        <is>
          <t>2025::jama.2025.15185::C001</t>
        </is>
      </c>
      <c r="H55" s="3" t="inlineStr"/>
      <c r="I55" s="3" t="inlineStr">
        <is>
          <t>DOC-001, main article — PDF p. 4, Table 1; DOC-004, Supplement 3 — PDF p. 10 and PDF p. 11, eTable 1.</t>
        </is>
      </c>
      <c r="J55" s="3" t="b">
        <v>1</v>
      </c>
      <c r="K55" s="3" t="inlineStr">
        <is>
          <t>jama.2025.15185</t>
        </is>
      </c>
      <c r="L55" s="3" t="inlineStr"/>
      <c r="M55" s="3" t="inlineStr">
        <is>
          <t>S_C</t>
        </is>
      </c>
      <c r="N55" s="3" t="inlineStr">
        <is>
          <t>Target explicitly compares current main article and non-plan results supplement/workbook. Main `260/47` versus supplement `263/44` for the same named arm and categories.</t>
        </is>
      </c>
      <c r="O55" s="3" t="inlineStr">
        <is>
          <t>../../2025/jama.2025.15185/.ai_paper_validation/final_report_1_5_1.html</t>
        </is>
      </c>
      <c r="P55" s="3" t="inlineStr">
        <is>
          <t>2025/jama.2025.15185/.ai_paper_validation/final_report_1_5_1.md</t>
        </is>
      </c>
      <c r="Q55" s="3" t="inlineStr">
        <is>
          <t>C001</t>
        </is>
      </c>
      <c r="R55" s="3" t="inlineStr">
        <is>
          <t>Pending Human Adjudication</t>
        </is>
      </c>
      <c r="S55" s="3" t="inlineStr">
        <is>
          <t>The same randomized levodopa arm has different ischemic/hemorrhagic index-stroke counts in two baseline tables. Pending Human Adjudication.</t>
        </is>
      </c>
      <c r="T55" s="3" t="b">
        <v>1</v>
      </c>
      <c r="U55" s="3" t="inlineStr">
        <is>
          <t>Baseline index-stroke type counts differ across baseline tables</t>
        </is>
      </c>
      <c r="V55" s="3" t="inlineStr">
        <is>
          <t>internal_nonstatistical</t>
        </is>
      </c>
      <c r="W55" s="3" t="inlineStr">
        <is>
          <t>Baseline index-stroke type counts differ across baseline tables</t>
        </is>
      </c>
      <c r="X55" s="3" t="inlineStr">
        <is>
          <t>2025</t>
        </is>
      </c>
      <c r="Y55" s="3" t="inlineStr">
        <is>
          <t>meta_report/consistency_reclassification_2026-09-04/reclassified_candidates.json</t>
        </is>
      </c>
      <c r="Z55" s="3" t="inlineStr">
        <is>
          <t>S_C</t>
        </is>
      </c>
      <c r="AA55" s="3" t="inlineStr">
        <is>
          <t>internal_nonstatistical</t>
        </is>
      </c>
      <c r="AB55" s="3" t="inlineStr">
        <is>
          <t>retain</t>
        </is>
      </c>
    </row>
    <row r="56" ht="95" customHeight="1">
      <c r="A56" s="2" t="b">
        <v>0</v>
      </c>
      <c r="B56" s="2" t="inlineStr">
        <is>
          <t>Internal median/IQR label-form issue and explicit matched main/supp summary comparison.</t>
        </is>
      </c>
      <c r="C56" s="2" t="b">
        <v>0</v>
      </c>
      <c r="D56" s="2" t="inlineStr">
        <is>
          <t>Measure, label, or scale inconsistency</t>
        </is>
      </c>
      <c r="E56" s="2" t="b">
        <v>1</v>
      </c>
      <c r="F56" s="2" t="inlineStr">
        <is>
          <t>C002</t>
        </is>
      </c>
      <c r="G56" s="2" t="inlineStr">
        <is>
          <t>2025::jama.2025.15185::C002</t>
        </is>
      </c>
      <c r="H56" s="2" t="inlineStr"/>
      <c r="I56" s="2" t="inlineStr">
        <is>
          <t>DOC-001, main article — PDF p. 4, Table 1, and PDF p. 5, Results; DOC-004, Supplement 3 — PDF p. 11, eTable 1.</t>
        </is>
      </c>
      <c r="J56" s="2" t="b">
        <v>0</v>
      </c>
      <c r="K56" s="2" t="inlineStr">
        <is>
          <t>jama.2025.15185</t>
        </is>
      </c>
      <c r="L56" s="2" t="inlineStr"/>
      <c r="M56" s="2" t="inlineStr">
        <is>
          <t>S_C</t>
        </is>
      </c>
      <c r="N56" s="2" t="inlineStr">
        <is>
          <t>Target explicitly compares current main article and non-plan results supplement/workbook. A labelled median/IQR row with two-endpoint main summaries versus one decimal and one parenthesized value in the supplement.</t>
        </is>
      </c>
      <c r="O56" s="2" t="inlineStr">
        <is>
          <t>../../2025/jama.2025.15185/.ai_paper_validation/final_report_1_5_1.html</t>
        </is>
      </c>
      <c r="P56" s="2" t="inlineStr">
        <is>
          <t>2025/jama.2025.15185/.ai_paper_validation/final_report_1_5_1.md</t>
        </is>
      </c>
      <c r="Q56" s="2" t="inlineStr">
        <is>
          <t>C002</t>
        </is>
      </c>
      <c r="R56" s="2" t="inlineStr">
        <is>
          <t>Pending Human Adjudication</t>
        </is>
      </c>
      <c r="S56" s="2" t="inlineStr">
        <is>
          <t>eTable 1 labels its NIHSS row as median [IQR] but prints a decimal-plus-one-parenthesized-value form that does not identify the same summary as the main table. Pending Human Adjudication.</t>
        </is>
      </c>
      <c r="T56" s="2" t="b">
        <v>1</v>
      </c>
      <c r="U56" s="2" t="inlineStr">
        <is>
          <t>Baseline NIHSS statistic and label do not reconcile across tables</t>
        </is>
      </c>
      <c r="V56" s="2" t="inlineStr">
        <is>
          <t>internal_nonstatistical</t>
        </is>
      </c>
      <c r="W56" s="2" t="inlineStr">
        <is>
          <t>Baseline NIHSS statistic and label do not reconcile across tables</t>
        </is>
      </c>
      <c r="X56" s="2" t="inlineStr">
        <is>
          <t>2025</t>
        </is>
      </c>
      <c r="Y56" s="2" t="inlineStr">
        <is>
          <t>meta_report/consistency_reclassification_2026-09-04/reclassified_candidates.json</t>
        </is>
      </c>
      <c r="Z56" s="2" t="inlineStr">
        <is>
          <t>S_C</t>
        </is>
      </c>
      <c r="AA56" s="2" t="inlineStr">
        <is>
          <t>internal_nonstatistical</t>
        </is>
      </c>
      <c r="AB56" s="2" t="inlineStr">
        <is>
          <t>retain</t>
        </is>
      </c>
    </row>
    <row r="57" ht="95" customHeight="1">
      <c r="A57" s="3" t="b">
        <v>0</v>
      </c>
      <c r="B57" s="3" t="inlineStr">
        <is>
          <t>Results-supp unit omitted; day comparison is conditional.</t>
        </is>
      </c>
      <c r="C57" s="3" t="b">
        <v>0</v>
      </c>
      <c r="D57" s="3" t="inlineStr">
        <is>
          <t>Cross-document numeric inconsistency</t>
        </is>
      </c>
      <c r="E57" s="3" t="b">
        <v>1</v>
      </c>
      <c r="F57" s="3" t="inlineStr">
        <is>
          <t>C003</t>
        </is>
      </c>
      <c r="G57" s="3" t="inlineStr">
        <is>
          <t>2025::jama.2025.15185::C003</t>
        </is>
      </c>
      <c r="H57" s="3" t="inlineStr"/>
      <c r="I57" s="3" t="inlineStr">
        <is>
          <t>DOC-001, main article — PDF p. 4, Table 1; DOC-004, Supplement 3 — PDF p. 11, eTable 1.</t>
        </is>
      </c>
      <c r="J57" s="3" t="b">
        <v>1</v>
      </c>
      <c r="K57" s="3" t="inlineStr">
        <is>
          <t>jama.2025.15185</t>
        </is>
      </c>
      <c r="L57" s="3" t="inlineStr"/>
      <c r="M57" s="3" t="inlineStr">
        <is>
          <t>S_C</t>
        </is>
      </c>
      <c r="N57" s="3" t="inlineStr">
        <is>
          <t>Target explicitly compares current main article and non-plan results supplement/workbook. Main arm medians `3.0/3.0` versus supplement `8/7` for the same named variable.</t>
        </is>
      </c>
      <c r="O57" s="3" t="inlineStr">
        <is>
          <t>../../2025/jama.2025.15185/.ai_paper_validation/final_report_1_5_1.html</t>
        </is>
      </c>
      <c r="P57" s="3" t="inlineStr">
        <is>
          <t>2025/jama.2025.15185/.ai_paper_validation/final_report_1_5_1.md</t>
        </is>
      </c>
      <c r="Q57" s="3" t="inlineStr">
        <is>
          <t>C003</t>
        </is>
      </c>
      <c r="R57" s="3" t="inlineStr">
        <is>
          <t>Pending Human Adjudication</t>
        </is>
      </c>
      <c r="S57" s="3" t="inlineStr">
        <is>
          <t>Same-named time-to-randomization summaries differ across tables; the supplement omits the unit needed to make the cross-source comparison unconditional. Pending Human Adjudication.</t>
        </is>
      </c>
      <c r="T57" s="3" t="b">
        <v>1</v>
      </c>
      <c r="U57" s="3" t="inlineStr">
        <is>
          <t>Time from stroke onset to randomization differs across baseline tables</t>
        </is>
      </c>
      <c r="V57" s="3" t="inlineStr">
        <is>
          <t>internal_nonstatistical</t>
        </is>
      </c>
      <c r="W57" s="3" t="inlineStr">
        <is>
          <t>Time from stroke onset to randomization differs across baseline tables</t>
        </is>
      </c>
      <c r="X57" s="3" t="inlineStr">
        <is>
          <t>2025</t>
        </is>
      </c>
      <c r="Y57" s="3" t="inlineStr">
        <is>
          <t>meta_report/consistency_reclassification_2026-09-04/reclassified_candidates.json</t>
        </is>
      </c>
      <c r="Z57" s="3" t="inlineStr">
        <is>
          <t>S_C</t>
        </is>
      </c>
      <c r="AA57" s="3" t="inlineStr">
        <is>
          <t>internal_nonstatistical</t>
        </is>
      </c>
      <c r="AB57" s="3" t="inlineStr">
        <is>
          <t>retain</t>
        </is>
      </c>
    </row>
    <row r="58" ht="95" customHeight="1">
      <c r="A58" s="2" t="b">
        <v>0</v>
      </c>
      <c r="B58" s="2" t="inlineStr"/>
      <c r="C58" s="2" t="b">
        <v>0</v>
      </c>
      <c r="D58" s="2" t="inlineStr">
        <is>
          <t>Statistical reporting inconsistency</t>
        </is>
      </c>
      <c r="E58" s="2" t="b">
        <v>0</v>
      </c>
      <c r="F58" s="2" t="inlineStr">
        <is>
          <t>C004</t>
        </is>
      </c>
      <c r="G58" s="2" t="inlineStr">
        <is>
          <t>2025::jama.2025.15185::C004</t>
        </is>
      </c>
      <c r="H58" s="2" t="inlineStr"/>
      <c r="I58" s="2" t="inlineStr">
        <is>
          <t>DOC-004, Supplement 3 — PDF p. 12, eTable 2 narrative; PDF p. 13, Estimand 4 row.</t>
        </is>
      </c>
      <c r="J58" s="2" t="b">
        <v>0</v>
      </c>
      <c r="K58" s="2" t="inlineStr">
        <is>
          <t>jama.2025.15185</t>
        </is>
      </c>
      <c r="L58" s="2" t="inlineStr"/>
      <c r="M58" s="2" t="inlineStr">
        <is>
          <t>S_W</t>
        </is>
      </c>
      <c r="N58" s="2" t="inlineStr">
        <is>
          <t>Target is within one main article or one non-plan results supplement/workbook; no substantive plan comparison. Identical point estimate/lower endpoint with upper endpoint `1.25` versus `1.26`.</t>
        </is>
      </c>
      <c r="O58" s="2" t="inlineStr">
        <is>
          <t>../../2025/jama.2025.15185/.ai_paper_validation/final_report_1_5_1.html</t>
        </is>
      </c>
      <c r="P58" s="2" t="inlineStr">
        <is>
          <t>2025/jama.2025.15185/.ai_paper_validation/final_report_1_5_1.md</t>
        </is>
      </c>
      <c r="Q58" s="2" t="inlineStr">
        <is>
          <t>C004</t>
        </is>
      </c>
      <c r="R58" s="2" t="inlineStr">
        <is>
          <t>Pending Human Adjudication</t>
        </is>
      </c>
      <c r="S58" s="2" t="inlineStr">
        <is>
          <t>Two matched Estimand 4 displays in eTable 2 have different upper 95% CI endpoints. Pending Human Adjudication.</t>
        </is>
      </c>
      <c r="T58" s="2" t="b">
        <v>1</v>
      </c>
      <c r="U58" s="2" t="inlineStr">
        <is>
          <t>Estimand 4 confidence-interval upper endpoint differs within eTable 2</t>
        </is>
      </c>
      <c r="V58" s="2" t="inlineStr">
        <is>
          <t>statistical_results</t>
        </is>
      </c>
      <c r="W58" s="2" t="inlineStr">
        <is>
          <t>Estimand 4 confidence-interval upper endpoint differs within eTable 2</t>
        </is>
      </c>
      <c r="X58" s="2" t="inlineStr">
        <is>
          <t>2025</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Cross-document numeric inconsistency</t>
        </is>
      </c>
      <c r="E59" s="3" t="b">
        <v>1</v>
      </c>
      <c r="F59" s="3" t="inlineStr">
        <is>
          <t>C005</t>
        </is>
      </c>
      <c r="G59" s="3" t="inlineStr">
        <is>
          <t>2025::jama.2025.15185::C005</t>
        </is>
      </c>
      <c r="H59" s="3" t="inlineStr"/>
      <c r="I59" s="3" t="inlineStr">
        <is>
          <t>DOC-001, main article — PDF p. 6, Secondary Outcomes; DOC-004, Supplement 3 — PDF p. 15, eTable 4.</t>
        </is>
      </c>
      <c r="J59" s="3" t="b">
        <v>1</v>
      </c>
      <c r="K59" s="3" t="inlineStr">
        <is>
          <t>jama.2025.15185</t>
        </is>
      </c>
      <c r="L59" s="3" t="inlineStr"/>
      <c r="M59" s="3" t="inlineStr">
        <is>
          <t>S_C</t>
        </is>
      </c>
      <c r="N59" s="3" t="inlineStr">
        <is>
          <t>Target explicitly compares current main article and non-plan results supplement/workbook. Main levodopa `66 (14)` versus detailed `64.74 (14.33)`.</t>
        </is>
      </c>
      <c r="O59" s="3" t="inlineStr">
        <is>
          <t>../../2025/jama.2025.15185/.ai_paper_validation/final_report_1_5_1.html</t>
        </is>
      </c>
      <c r="P59" s="3" t="inlineStr">
        <is>
          <t>2025/jama.2025.15185/.ai_paper_validation/final_report_1_5_1.md</t>
        </is>
      </c>
      <c r="Q59" s="3" t="inlineStr">
        <is>
          <t>C005</t>
        </is>
      </c>
      <c r="R59" s="3" t="inlineStr">
        <is>
          <t>Pending Human Adjudication</t>
        </is>
      </c>
      <c r="S59" s="3" t="inlineStr">
        <is>
          <t>The main-text levodopa PROMIS-29 mean does not follow ordinary whole-number rounding of the matched eTable 4 mean. Pending Human Adjudication.</t>
        </is>
      </c>
      <c r="T59" s="3" t="b">
        <v>1</v>
      </c>
      <c r="U59" s="3" t="inlineStr">
        <is>
          <t>Levodopa PROMIS-29 descriptive mean differs between main text and eTable 4</t>
        </is>
      </c>
      <c r="V59" s="3" t="inlineStr">
        <is>
          <t>internal_nonstatistical</t>
        </is>
      </c>
      <c r="W59" s="3" t="inlineStr">
        <is>
          <t>Levodopa PROMIS-29 descriptive mean differs between main text and eTable 4</t>
        </is>
      </c>
      <c r="X59" s="3" t="inlineStr">
        <is>
          <t>2025</t>
        </is>
      </c>
      <c r="Y59" s="3" t="inlineStr">
        <is>
          <t>meta_report/consistency_reclassification_2026-09-04/reclassified_candidates.json</t>
        </is>
      </c>
      <c r="Z59" s="3" t="inlineStr">
        <is>
          <t>S_C</t>
        </is>
      </c>
      <c r="AA59" s="3" t="inlineStr">
        <is>
          <t>internal_nonstatistical</t>
        </is>
      </c>
      <c r="AB59" s="3" t="inlineStr">
        <is>
          <t>retain</t>
        </is>
      </c>
    </row>
    <row r="60" ht="95" customHeight="1">
      <c r="A60" s="2" t="b">
        <v>0</v>
      </c>
      <c r="B60" s="2" t="inlineStr"/>
      <c r="C60" s="2" t="b">
        <v>0</v>
      </c>
      <c r="D60" s="2" t="inlineStr">
        <is>
          <t>Cross-document numeric inconsistency</t>
        </is>
      </c>
      <c r="E60" s="2" t="b">
        <v>1</v>
      </c>
      <c r="F60" s="2" t="inlineStr">
        <is>
          <t>C006</t>
        </is>
      </c>
      <c r="G60" s="2" t="inlineStr">
        <is>
          <t>2025::jama.2025.15185::C006</t>
        </is>
      </c>
      <c r="H60" s="2" t="inlineStr"/>
      <c r="I60" s="2" t="inlineStr">
        <is>
          <t>DOC-001, main article — PDF p. 6, Secondary Outcomes; DOC-004, Supplement 3 — PDF p. 15, eTable 4.</t>
        </is>
      </c>
      <c r="J60" s="2" t="b">
        <v>1</v>
      </c>
      <c r="K60" s="2" t="inlineStr">
        <is>
          <t>jama.2025.15185</t>
        </is>
      </c>
      <c r="L60" s="2" t="inlineStr"/>
      <c r="M60" s="2" t="inlineStr">
        <is>
          <t>S_C</t>
        </is>
      </c>
      <c r="N60" s="2" t="inlineStr">
        <is>
          <t>Target explicitly compares current main article and non-plan results supplement/workbook. Main `28 (6)`/`28 (6)` versus eTable `29.87 (5.74)`/`30.04 (5.73)`.</t>
        </is>
      </c>
      <c r="O60" s="2" t="inlineStr">
        <is>
          <t>../../2025/jama.2025.15185/.ai_paper_validation/final_report_1_5_1.html</t>
        </is>
      </c>
      <c r="P60" s="2" t="inlineStr">
        <is>
          <t>2025/jama.2025.15185/.ai_paper_validation/final_report_1_5_1.md</t>
        </is>
      </c>
      <c r="Q60" s="2" t="inlineStr">
        <is>
          <t>C006</t>
        </is>
      </c>
      <c r="R60" s="2" t="inlineStr">
        <is>
          <t>Pending Human Adjudication</t>
        </is>
      </c>
      <c r="S60" s="2" t="inlineStr">
        <is>
          <t>Both detailed PROMIS-10 means are near 30, whereas the main text prints 28 for both arms. Pending Human Adjudication.</t>
        </is>
      </c>
      <c r="T60" s="2" t="b">
        <v>1</v>
      </c>
      <c r="U60" s="2" t="inlineStr">
        <is>
          <t>PROMIS-10 descriptive means differ between main text and eTable 4</t>
        </is>
      </c>
      <c r="V60" s="2" t="inlineStr">
        <is>
          <t>internal_nonstatistical</t>
        </is>
      </c>
      <c r="W60" s="2" t="inlineStr">
        <is>
          <t>PROMIS-10 descriptive means differ between main text and eTable 4</t>
        </is>
      </c>
      <c r="X60" s="2" t="inlineStr">
        <is>
          <t>2025</t>
        </is>
      </c>
      <c r="Y60" s="2" t="inlineStr">
        <is>
          <t>meta_report/consistency_reclassification_2026-09-04/reclassified_candidates.json</t>
        </is>
      </c>
      <c r="Z60" s="2" t="inlineStr">
        <is>
          <t>S_C</t>
        </is>
      </c>
      <c r="AA60" s="2" t="inlineStr">
        <is>
          <t>internal_nonstatistical</t>
        </is>
      </c>
      <c r="AB60" s="2" t="inlineStr">
        <is>
          <t>retain</t>
        </is>
      </c>
    </row>
    <row r="61" ht="95" customHeight="1">
      <c r="A61" s="3" t="b">
        <v>0</v>
      </c>
      <c r="B61" s="3" t="inlineStr"/>
      <c r="C61" s="3" t="b">
        <v>0</v>
      </c>
      <c r="D61" s="3" t="inlineStr">
        <is>
          <t>Cross-document numeric inconsistency</t>
        </is>
      </c>
      <c r="E61" s="3" t="b">
        <v>1</v>
      </c>
      <c r="F61" s="3" t="inlineStr">
        <is>
          <t>C007</t>
        </is>
      </c>
      <c r="G61" s="3" t="inlineStr">
        <is>
          <t>2025::jama.2025.15185::C007</t>
        </is>
      </c>
      <c r="H61" s="3" t="inlineStr"/>
      <c r="I61" s="3" t="inlineStr">
        <is>
          <t>DOC-001, main article — PDF p. 6, Secondary Outcomes; DOC-004, Supplement 3 — PDF p. 15, eTable 4.</t>
        </is>
      </c>
      <c r="J61" s="3" t="b">
        <v>1</v>
      </c>
      <c r="K61" s="3" t="inlineStr">
        <is>
          <t>jama.2025.15185</t>
        </is>
      </c>
      <c r="L61" s="3" t="inlineStr"/>
      <c r="M61" s="3" t="inlineStr">
        <is>
          <t>S_C</t>
        </is>
      </c>
      <c r="N61" s="3" t="inlineStr">
        <is>
          <t>Target explicitly compares current main article and non-plan results supplement/workbook. Placebo SD `26` versus detailed `25.20`.</t>
        </is>
      </c>
      <c r="O61" s="3" t="inlineStr">
        <is>
          <t>../../2025/jama.2025.15185/.ai_paper_validation/final_report_1_5_1.html</t>
        </is>
      </c>
      <c r="P61" s="3" t="inlineStr">
        <is>
          <t>2025/jama.2025.15185/.ai_paper_validation/final_report_1_5_1.md</t>
        </is>
      </c>
      <c r="Q61" s="3" t="inlineStr">
        <is>
          <t>C007</t>
        </is>
      </c>
      <c r="R61" s="3" t="inlineStr">
        <is>
          <t>Pending Human Adjudication</t>
        </is>
      </c>
      <c r="S61" s="3" t="inlineStr">
        <is>
          <t>The main placebo five-week FMA SD does not follow ordinary whole-number rounding of eTable 4. Pending Human Adjudication.</t>
        </is>
      </c>
      <c r="T61" s="3" t="b">
        <v>1</v>
      </c>
      <c r="U61" s="3" t="inlineStr">
        <is>
          <t>Placebo five-week FMA standard deviation differs from eTable 4</t>
        </is>
      </c>
      <c r="V61" s="3" t="inlineStr">
        <is>
          <t>internal_nonstatistical</t>
        </is>
      </c>
      <c r="W61" s="3" t="inlineStr">
        <is>
          <t>Placebo five-week FMA standard deviation differs from eTable 4</t>
        </is>
      </c>
      <c r="X61" s="3" t="inlineStr">
        <is>
          <t>2025</t>
        </is>
      </c>
      <c r="Y61" s="3" t="inlineStr">
        <is>
          <t>meta_report/consistency_reclassification_2026-09-04/reclassified_candidates.json</t>
        </is>
      </c>
      <c r="Z61" s="3" t="inlineStr">
        <is>
          <t>S_C</t>
        </is>
      </c>
      <c r="AA61" s="3" t="inlineStr">
        <is>
          <t>internal_nonstatistical</t>
        </is>
      </c>
      <c r="AB61" s="3" t="inlineStr">
        <is>
          <t>retain</t>
        </is>
      </c>
    </row>
    <row r="62" ht="95" customHeight="1">
      <c r="A62" s="2" t="b">
        <v>0</v>
      </c>
      <c r="B62" s="2" t="inlineStr"/>
      <c r="C62" s="2" t="b">
        <v>0</v>
      </c>
      <c r="D62" s="2" t="inlineStr">
        <is>
          <t>Cross-document numeric inconsistency</t>
        </is>
      </c>
      <c r="E62" s="2" t="b">
        <v>1</v>
      </c>
      <c r="F62" s="2" t="inlineStr">
        <is>
          <t>C008</t>
        </is>
      </c>
      <c r="G62" s="2" t="inlineStr">
        <is>
          <t>2025::jama.2025.15185::C008</t>
        </is>
      </c>
      <c r="H62" s="2" t="inlineStr"/>
      <c r="I62" s="2" t="inlineStr">
        <is>
          <t>DOC-001, main article — PDF p. 6, Secondary Outcomes; DOC-004, Supplement 3 — PDF p. 15, eTable 4.</t>
        </is>
      </c>
      <c r="J62" s="2" t="b">
        <v>1</v>
      </c>
      <c r="K62" s="2" t="inlineStr">
        <is>
          <t>jama.2025.15185</t>
        </is>
      </c>
      <c r="L62" s="2" t="inlineStr"/>
      <c r="M62" s="2" t="inlineStr">
        <is>
          <t>S_C</t>
        </is>
      </c>
      <c r="N62" s="2" t="inlineStr">
        <is>
          <t>Target explicitly compares current main article and non-plan results supplement/workbook. Same placebo denominator `270` with numerator `52` versus `51`.</t>
        </is>
      </c>
      <c r="O62" s="2" t="inlineStr">
        <is>
          <t>../../2025/jama.2025.15185/.ai_paper_validation/final_report_1_5_1.html</t>
        </is>
      </c>
      <c r="P62" s="2" t="inlineStr">
        <is>
          <t>2025/jama.2025.15185/.ai_paper_validation/final_report_1_5_1.md</t>
        </is>
      </c>
      <c r="Q62" s="2" t="inlineStr">
        <is>
          <t>C008</t>
        </is>
      </c>
      <c r="R62" s="2" t="inlineStr">
        <is>
          <t>Pending Human Adjudication</t>
        </is>
      </c>
      <c r="S62" s="2" t="inlineStr">
        <is>
          <t>The placebo PRAI no-improvement numerator differs by one at the same printed denominator. Pending Human Adjudication.</t>
        </is>
      </c>
      <c r="T62" s="2" t="b">
        <v>1</v>
      </c>
      <c r="U62" s="2" t="inlineStr">
        <is>
          <t>Placebo PRAI no-improvement numerator differs between main text and eTable 4</t>
        </is>
      </c>
      <c r="V62" s="2" t="inlineStr">
        <is>
          <t>internal_nonstatistical</t>
        </is>
      </c>
      <c r="W62" s="2" t="inlineStr">
        <is>
          <t>Placebo PRAI no-improvement numerator differs between main text and eTable 4</t>
        </is>
      </c>
      <c r="X62" s="2" t="inlineStr">
        <is>
          <t>2025</t>
        </is>
      </c>
      <c r="Y62" s="2" t="inlineStr">
        <is>
          <t>meta_report/consistency_reclassification_2026-09-04/reclassified_candidates.json</t>
        </is>
      </c>
      <c r="Z62" s="2" t="inlineStr">
        <is>
          <t>S_C</t>
        </is>
      </c>
      <c r="AA62" s="2" t="inlineStr">
        <is>
          <t>internal_nonstatistical</t>
        </is>
      </c>
      <c r="AB62" s="2" t="inlineStr">
        <is>
          <t>retain</t>
        </is>
      </c>
    </row>
    <row r="63" ht="95" customHeight="1">
      <c r="A63" s="3" t="b">
        <v>0</v>
      </c>
      <c r="B63" s="3" t="inlineStr">
        <is>
          <t>Internal eTable total versus its own arm/category sums is target; main 146 merely corroborates arithmetic.</t>
        </is>
      </c>
      <c r="C63" s="3" t="b">
        <v>0</v>
      </c>
      <c r="D63" s="3" t="inlineStr">
        <is>
          <t>Denominator, proportion, or total inconsistency</t>
        </is>
      </c>
      <c r="E63" s="3" t="b">
        <v>0</v>
      </c>
      <c r="F63" s="3" t="inlineStr">
        <is>
          <t>C009</t>
        </is>
      </c>
      <c r="G63" s="3" t="inlineStr">
        <is>
          <t>2025::jama.2025.15185::C009</t>
        </is>
      </c>
      <c r="H63" s="3" t="inlineStr"/>
      <c r="I63" s="3" t="inlineStr">
        <is>
          <t>DOC-001, main article — PDF p. 6, Table 2 and narrative, and PDF p. 7; DOC-004, Supplement 3 — PDF p. 17, eTable 6.</t>
        </is>
      </c>
      <c r="J63" s="3" t="b">
        <v>0</v>
      </c>
      <c r="K63" s="3" t="inlineStr">
        <is>
          <t>jama.2025.15185</t>
        </is>
      </c>
      <c r="L63" s="3" t="inlineStr"/>
      <c r="M63" s="3" t="inlineStr">
        <is>
          <t>S_W</t>
        </is>
      </c>
      <c r="N63" s="3" t="inlineStr">
        <is>
          <t>Target is within one main article or one non-plan results supplement/workbook; no substantive plan comparison. Header `145` versus arms and category sums `146`.</t>
        </is>
      </c>
      <c r="O63" s="3" t="inlineStr">
        <is>
          <t>../../2025/jama.2025.15185/.ai_paper_validation/final_report_1_5_1.html</t>
        </is>
      </c>
      <c r="P63" s="3" t="inlineStr">
        <is>
          <t>2025/jama.2025.15185/.ai_paper_validation/final_report_1_5_1.md</t>
        </is>
      </c>
      <c r="Q63" s="3" t="inlineStr">
        <is>
          <t>C009</t>
        </is>
      </c>
      <c r="R63" s="3" t="inlineStr">
        <is>
          <t>Pending Human Adjudication</t>
        </is>
      </c>
      <c r="S63" s="3" t="inlineStr">
        <is>
          <t>eTable 6 prints an overall adverse-event total of 145 although arm and exhaustive category totals are 146. Pending Human Adjudication.</t>
        </is>
      </c>
      <c r="T63" s="3" t="b">
        <v>1</v>
      </c>
      <c r="U63" s="3" t="inlineStr">
        <is>
          <t>eTable 6 overall adverse-event total is one below arms and category sums</t>
        </is>
      </c>
      <c r="V63" s="3" t="inlineStr">
        <is>
          <t>statistical_results</t>
        </is>
      </c>
      <c r="W63" s="3" t="inlineStr">
        <is>
          <t>eTable 6 overall adverse-event total is one below arms and category sums</t>
        </is>
      </c>
      <c r="X63" s="3" t="inlineStr">
        <is>
          <t>2025</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is>
          <t>SAP defines FMMA, supporting synonym interpretation. It is a local figure abbreviation switch, not report-versus-SAP discrepancy.</t>
        </is>
      </c>
      <c r="C64" s="2" t="b">
        <v>0</v>
      </c>
      <c r="D64" s="2" t="inlineStr">
        <is>
          <t>Measure, label, or scale inconsistency</t>
        </is>
      </c>
      <c r="E64" s="2" t="b">
        <v>0</v>
      </c>
      <c r="F64" s="2" t="inlineStr">
        <is>
          <t>C010</t>
        </is>
      </c>
      <c r="G64" s="2" t="inlineStr">
        <is>
          <t>2025::jama.2025.15185::C010</t>
        </is>
      </c>
      <c r="H64" s="2" t="inlineStr"/>
      <c r="I64" s="2" t="inlineStr">
        <is>
          <t>DOC-004, Supplement 3 — PDF p. 23, eFigure 4; DOC-003, Supplement 2 — PDF p. 2, SAP objective; DOC-001, main article — PDF p. 1, PDF p. 3, and PDF p. 6.</t>
        </is>
      </c>
      <c r="J64" s="2" t="b">
        <v>0</v>
      </c>
      <c r="K64" s="2" t="inlineStr">
        <is>
          <t>jama.2025.15185</t>
        </is>
      </c>
      <c r="L64" s="2" t="inlineStr"/>
      <c r="M64" s="2" t="inlineStr">
        <is>
          <t>S_W</t>
        </is>
      </c>
      <c r="N64" s="2" t="inlineStr">
        <is>
          <t>Target is within one main article or one non-plan results supplement/workbook; no substantive plan comparison. Within the same figure, `FMA` versus `FMMA` for the stated assessment.</t>
        </is>
      </c>
      <c r="O64" s="2" t="inlineStr">
        <is>
          <t>../../2025/jama.2025.15185/.ai_paper_validation/final_report_1_5_1.html</t>
        </is>
      </c>
      <c r="P64" s="2" t="inlineStr">
        <is>
          <t>2025/jama.2025.15185/.ai_paper_validation/final_report_1_5_1.md</t>
        </is>
      </c>
      <c r="Q64" s="2" t="inlineStr">
        <is>
          <t>C010</t>
        </is>
      </c>
      <c r="R64" s="2" t="inlineStr">
        <is>
          <t>Pending Human Adjudication</t>
        </is>
      </c>
      <c r="S64" s="2" t="inlineStr">
        <is>
          <t>eFigure 4 uses FMA in its title/legend and FMMA on its axis without a local qualification. Pending Human Adjudication.</t>
        </is>
      </c>
      <c r="T64" s="2" t="b">
        <v>1</v>
      </c>
      <c r="U64" s="2" t="inlineStr">
        <is>
          <t>eFigure 4 switches locally from FMA to FMMA without qualification</t>
        </is>
      </c>
      <c r="V64" s="2" t="inlineStr">
        <is>
          <t>internal_nonstatistical</t>
        </is>
      </c>
      <c r="W64" s="2" t="inlineStr">
        <is>
          <t>eFigure 4 switches locally from FMA to FMMA without qualification</t>
        </is>
      </c>
      <c r="X64" s="2" t="inlineStr">
        <is>
          <t>2025</t>
        </is>
      </c>
      <c r="Y64" s="2" t="inlineStr">
        <is>
          <t>meta_report/consistency_reclassification_2026-09-04/reclassified_candidates.json</t>
        </is>
      </c>
      <c r="Z64" s="2" t="inlineStr">
        <is>
          <t>S_W</t>
        </is>
      </c>
      <c r="AA64" s="2" t="inlineStr">
        <is>
          <t>internal_nonstatistical</t>
        </is>
      </c>
      <c r="AB64" s="2" t="inlineStr">
        <is>
          <t>retain</t>
        </is>
      </c>
    </row>
    <row r="65" ht="95" customHeight="1">
      <c r="A65" s="3" t="b">
        <v>0</v>
      </c>
      <c r="B65" s="3" t="inlineStr"/>
      <c r="C65" s="3" t="b">
        <v>0</v>
      </c>
      <c r="D65" s="3" t="inlineStr">
        <is>
          <t>Measure, label, or scale inconsistency</t>
        </is>
      </c>
      <c r="E65" s="3" t="b">
        <v>0</v>
      </c>
      <c r="F65" s="3" t="inlineStr">
        <is>
          <t>C011</t>
        </is>
      </c>
      <c r="G65" s="3" t="inlineStr">
        <is>
          <t>2025::jama.2025.15185::C011</t>
        </is>
      </c>
      <c r="H65" s="3" t="inlineStr"/>
      <c r="I65" s="3" t="inlineStr">
        <is>
          <t>DOC-004, Supplement 3 — PDF p. 13, eTable 2 column heading and Estimand 4 row.</t>
        </is>
      </c>
      <c r="J65" s="3" t="b">
        <v>0</v>
      </c>
      <c r="K65" s="3" t="inlineStr">
        <is>
          <t>jama.2025.15185</t>
        </is>
      </c>
      <c r="L65" s="3" t="inlineStr"/>
      <c r="M65" s="3" t="inlineStr">
        <is>
          <t>S_W</t>
        </is>
      </c>
      <c r="N65" s="3" t="inlineStr">
        <is>
          <t>Target is within one main article or one non-plan results supplement/workbook; no substantive plan comparison. A dimensionless win ratio row versus an FMA-point mean-difference heading.</t>
        </is>
      </c>
      <c r="O65" s="3" t="inlineStr">
        <is>
          <t>../../2025/jama.2025.15185/.ai_paper_validation/final_report_1_5_1.html</t>
        </is>
      </c>
      <c r="P65" s="3" t="inlineStr">
        <is>
          <t>2025/jama.2025.15185/.ai_paper_validation/final_report_1_5_1.md</t>
        </is>
      </c>
      <c r="Q65" s="3" t="inlineStr">
        <is>
          <t>C011</t>
        </is>
      </c>
      <c r="R65" s="3" t="inlineStr">
        <is>
          <t>Pending Human Adjudication</t>
        </is>
      </c>
      <c r="S65" s="3" t="inlineStr">
        <is>
          <t>Estimand 4's win ratio is displayed under a column headed as an FMA mean difference. Pending Human Adjudication.</t>
        </is>
      </c>
      <c r="T65" s="3" t="b">
        <v>1</v>
      </c>
      <c r="U65" s="3" t="inlineStr">
        <is>
          <t>Estimand 4 win ratio appears under an FMA mean-difference column heading</t>
        </is>
      </c>
      <c r="V65" s="3" t="inlineStr">
        <is>
          <t>internal_nonstatistical</t>
        </is>
      </c>
      <c r="W65" s="3" t="inlineStr">
        <is>
          <t>Estimand 4 win ratio appears under an FMA mean-difference column heading</t>
        </is>
      </c>
      <c r="X65" s="3" t="inlineStr">
        <is>
          <t>2025</t>
        </is>
      </c>
      <c r="Y65" s="3" t="inlineStr">
        <is>
          <t>meta_report/consistency_reclassification_2026-09-04/reclassified_candidates.json</t>
        </is>
      </c>
      <c r="Z65" s="3" t="inlineStr">
        <is>
          <t>S_W</t>
        </is>
      </c>
      <c r="AA65" s="3" t="inlineStr">
        <is>
          <t>internal_nonstatistical</t>
        </is>
      </c>
      <c r="AB65" s="3" t="inlineStr">
        <is>
          <t>retain</t>
        </is>
      </c>
    </row>
    <row r="66" ht="95" customHeight="1">
      <c r="A66" s="2" t="b">
        <v>0</v>
      </c>
      <c r="B66" s="2" t="inlineStr"/>
      <c r="C66" s="2" t="b">
        <v>0</v>
      </c>
      <c r="D66" s="2" t="inlineStr">
        <is>
          <t>Measure, label, or scale inconsistency</t>
        </is>
      </c>
      <c r="E66" s="2" t="b">
        <v>0</v>
      </c>
      <c r="F66" s="2" t="inlineStr">
        <is>
          <t>C012</t>
        </is>
      </c>
      <c r="G66" s="2" t="inlineStr">
        <is>
          <t>2025::jama.2025.15185::C012</t>
        </is>
      </c>
      <c r="H66" s="2" t="inlineStr"/>
      <c r="I66" s="2" t="inlineStr">
        <is>
          <t>DOC-004, Supplement 3 — PDF p. 12, eTable 2 narrative; PDF p. 13, Estimand 4 row.</t>
        </is>
      </c>
      <c r="J66" s="2" t="b">
        <v>0</v>
      </c>
      <c r="K66" s="2" t="inlineStr">
        <is>
          <t>jama.2025.15185</t>
        </is>
      </c>
      <c r="L66" s="2" t="inlineStr"/>
      <c r="M66" s="2" t="inlineStr">
        <is>
          <t>S_W</t>
        </is>
      </c>
      <c r="N66" s="2" t="inlineStr">
        <is>
          <t>Target is within one main article or one non-plan results supplement/workbook; no substantive plan comparison. `Odds ratio` in prose versus `win ratio` in the matched table row.</t>
        </is>
      </c>
      <c r="O66" s="2" t="inlineStr">
        <is>
          <t>../../2025/jama.2025.15185/.ai_paper_validation/final_report_1_5_1.html</t>
        </is>
      </c>
      <c r="P66" s="2" t="inlineStr">
        <is>
          <t>2025/jama.2025.15185/.ai_paper_validation/final_report_1_5_1.md</t>
        </is>
      </c>
      <c r="Q66" s="2" t="inlineStr">
        <is>
          <t>C012</t>
        </is>
      </c>
      <c r="R66" s="2" t="inlineStr">
        <is>
          <t>Pending Human Adjudication</t>
        </is>
      </c>
      <c r="S66" s="2" t="inlineStr">
        <is>
          <t>Matched Estimand 4 displays label the same 1.06 effect as an odds ratio in prose and a win ratio in the table. Pending Human Adjudication.</t>
        </is>
      </c>
      <c r="T66" s="2" t="b">
        <v>1</v>
      </c>
      <c r="U66" s="2" t="inlineStr">
        <is>
          <t>Estimand 4 is called an odds ratio in prose and a win ratio in the table</t>
        </is>
      </c>
      <c r="V66" s="2" t="inlineStr">
        <is>
          <t>internal_nonstatistical</t>
        </is>
      </c>
      <c r="W66" s="2" t="inlineStr">
        <is>
          <t>Estimand 4 is called an odds ratio in prose and a win ratio in the table</t>
        </is>
      </c>
      <c r="X66" s="2" t="inlineStr">
        <is>
          <t>2025</t>
        </is>
      </c>
      <c r="Y66" s="2" t="inlineStr">
        <is>
          <t>meta_report/consistency_reclassification_2026-09-04/reclassified_candidates.json</t>
        </is>
      </c>
      <c r="Z66" s="2" t="inlineStr">
        <is>
          <t>S_W</t>
        </is>
      </c>
      <c r="AA66" s="2" t="inlineStr">
        <is>
          <t>internal_nonstatistical</t>
        </is>
      </c>
      <c r="AB66" s="2" t="inlineStr">
        <is>
          <t>retain</t>
        </is>
      </c>
    </row>
    <row r="67" ht="95" customHeight="1">
      <c r="A67" s="3" t="b">
        <v>0</v>
      </c>
      <c r="B67" s="3" t="inlineStr"/>
      <c r="C67" s="3" t="b">
        <v>0</v>
      </c>
      <c r="D67" s="3" t="inlineStr">
        <is>
          <t>Cross-document numeric inconsistency</t>
        </is>
      </c>
      <c r="E67" s="3" t="b">
        <v>0</v>
      </c>
      <c r="F67" s="3" t="inlineStr">
        <is>
          <t>C001</t>
        </is>
      </c>
      <c r="G67" s="3" t="inlineStr">
        <is>
          <t>2025::jama.2025.15440::C001</t>
        </is>
      </c>
      <c r="H67" s="3" t="inlineStr"/>
      <c r="I67" s="3" t="inlineStr">
        <is>
          <t>DOC-001: jama_wijesurendra_2025_oi_250068_1760999665.28362.pdf — PDF p. 1 (abstract); PDF p. 5 (results narrative); and PDF p. 7 (Figure 4B).</t>
        </is>
      </c>
      <c r="J67" s="3" t="b">
        <v>1</v>
      </c>
      <c r="K67" s="3" t="inlineStr">
        <is>
          <t>jama.2025.15440</t>
        </is>
      </c>
      <c r="L67" s="3" t="inlineStr"/>
      <c r="M67" s="3" t="inlineStr">
        <is>
          <t>S_W</t>
        </is>
      </c>
      <c r="N67" s="3" t="inlineStr">
        <is>
          <t>Target is within one main article or one non-plan results supplement/workbook; no substantive plan comparison. Abstract CI 0.76-1.53 versus detailed-results/Figure 4B CI 0.77-1.51 for the same displayed counts, follow-up context, and point estimate.</t>
        </is>
      </c>
      <c r="O67" s="3" t="inlineStr">
        <is>
          <t>../../2025/jama.2025.15440/.ai_paper_validation/final_report_1_5_1.html</t>
        </is>
      </c>
      <c r="P67" s="3" t="inlineStr">
        <is>
          <t>2025/jama.2025.15440/.ai_paper_validation/final_report_1_5_1.md</t>
        </is>
      </c>
      <c r="Q67" s="3" t="inlineStr">
        <is>
          <t>C001</t>
        </is>
      </c>
      <c r="R67" s="3" t="inlineStr">
        <is>
          <t>Pending Human Adjudication</t>
        </is>
      </c>
      <c r="S67" s="3" t="inlineStr">
        <is>
          <t>The abstract and detailed results/Figure 4B report the same any-stroke arm counts and rate-ratio point estimate but different 95% confidence-interval endpoints.</t>
        </is>
      </c>
      <c r="T67" s="3" t="b">
        <v>1</v>
      </c>
      <c r="U67" s="3" t="inlineStr">
        <is>
          <t>Conflicting confidence intervals for the matched any-stroke rate ratio</t>
        </is>
      </c>
      <c r="V67" s="3" t="inlineStr">
        <is>
          <t>internal_nonstatistical</t>
        </is>
      </c>
      <c r="W67" s="3" t="inlineStr">
        <is>
          <t>Conflicting confidence intervals for the matched any-stroke rate ratio</t>
        </is>
      </c>
      <c r="X67" s="3" t="inlineStr">
        <is>
          <t>2025</t>
        </is>
      </c>
      <c r="Y67" s="3" t="inlineStr">
        <is>
          <t>meta_report/consistency_reclassification_2026-09-04/reclassified_candidates.json</t>
        </is>
      </c>
      <c r="Z67" s="3" t="inlineStr">
        <is>
          <t>S_W</t>
        </is>
      </c>
      <c r="AA67" s="3" t="inlineStr">
        <is>
          <t>internal_nonstatistical</t>
        </is>
      </c>
      <c r="AB67" s="3" t="inlineStr">
        <is>
          <t>retain</t>
        </is>
      </c>
    </row>
    <row r="68" ht="95" customHeight="1">
      <c r="A68" s="2" t="b">
        <v>0</v>
      </c>
      <c r="B68" s="2" t="inlineStr"/>
      <c r="C68" s="2" t="b">
        <v>0</v>
      </c>
      <c r="D68" s="2" t="inlineStr">
        <is>
          <t>Numeric or arithmetic inconsistency</t>
        </is>
      </c>
      <c r="E68" s="2" t="b">
        <v>0</v>
      </c>
      <c r="F68" s="2" t="inlineStr">
        <is>
          <t>C002</t>
        </is>
      </c>
      <c r="G68" s="2" t="inlineStr">
        <is>
          <t>2025::jama.2025.15440::C002</t>
        </is>
      </c>
      <c r="H68" s="2" t="inlineStr"/>
      <c r="I68" s="2" t="inlineStr">
        <is>
          <t>DOC-001: jama_wijesurendra_2025_oi_250068_1760999665.28362.pdf — PDF p. 7, Figure 4B rows Presumed ischemic stroke, Hemorrhagic stroke, and Any stroke, including its caption/footnote. The matching any-stroke total also appears on PDF p. 5 and PDF p. 1.</t>
        </is>
      </c>
      <c r="J68" s="2" t="b">
        <v>0</v>
      </c>
      <c r="K68" s="2" t="inlineStr">
        <is>
          <t>jama.2025.15440</t>
        </is>
      </c>
      <c r="L68" s="2" t="inlineStr"/>
      <c r="M68" s="2" t="inlineStr">
        <is>
          <t>S_W</t>
        </is>
      </c>
      <c r="N68" s="2"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68" s="2" t="inlineStr">
        <is>
          <t>../../2025/jama.2025.15440/.ai_paper_validation/final_report_1_5_1.html</t>
        </is>
      </c>
      <c r="P68" s="2" t="inlineStr">
        <is>
          <t>2025/jama.2025.15440/.ai_paper_validation/final_report_1_5_1.md</t>
        </is>
      </c>
      <c r="Q68" s="2" t="inlineStr">
        <is>
          <t>C002</t>
        </is>
      </c>
      <c r="R68" s="2" t="inlineStr">
        <is>
          <t>Pending Human Adjudication</t>
        </is>
      </c>
      <c r="S68" s="2" t="inlineStr">
        <is>
          <t>Figure 4B prints patch-group presumed ischemic and hemorrhagic stroke counts whose sum exceeds the patch-group Any stroke count, while the usual-care counts reconcile.</t>
        </is>
      </c>
      <c r="T68" s="2" t="b">
        <v>1</v>
      </c>
      <c r="U68" s="2" t="inlineStr">
        <is>
          <t>Stroke subtype counts do not partition the displayed any-stroke count in the patch group</t>
        </is>
      </c>
      <c r="V68" s="2" t="inlineStr">
        <is>
          <t>statistical_results</t>
        </is>
      </c>
      <c r="W68" s="2" t="inlineStr">
        <is>
          <t>Stroke subtype counts do not partition the displayed any-stroke count in the patch group</t>
        </is>
      </c>
      <c r="X68" s="2" t="inlineStr">
        <is>
          <t>2025</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c r="C69" s="3" t="b">
        <v>0</v>
      </c>
      <c r="D69" s="3" t="inlineStr">
        <is>
          <t>Measure, label, or scale inconsistency</t>
        </is>
      </c>
      <c r="E69" s="3" t="b">
        <v>0</v>
      </c>
      <c r="F69" s="3" t="inlineStr">
        <is>
          <t>C001</t>
        </is>
      </c>
      <c r="G69" s="3" t="inlineStr">
        <is>
          <t>2025::jama.2025.16450::C001</t>
        </is>
      </c>
      <c r="H69" s="3" t="inlineStr"/>
      <c r="I69" s="3" t="inlineStr">
        <is>
          <t>DOC-005 results supplement — PDF p. 7 (eTable 4 header and PDA row); results supplement — PDF p. 8 (abbreviations and binary-outcome model text).</t>
        </is>
      </c>
      <c r="J69" s="3" t="b">
        <v>0</v>
      </c>
      <c r="K69" s="3" t="inlineStr">
        <is>
          <t>jama.2025.16450</t>
        </is>
      </c>
      <c r="L69" s="3" t="inlineStr"/>
      <c r="M69" s="3" t="inlineStr">
        <is>
          <t>S_W</t>
        </is>
      </c>
      <c r="N69" s="3" t="inlineStr">
        <is>
          <t>Target is within one main article or one non-plan results supplement/workbook; no substantive plan comparison. The abbreviation says risk difference; the table header, model description, and estimates say or use relative risk.</t>
        </is>
      </c>
      <c r="O69" s="3" t="inlineStr">
        <is>
          <t>../../2025/jama.2025.16450/.ai_paper_validation/final_report_1_5_1.html</t>
        </is>
      </c>
      <c r="P69" s="3" t="inlineStr">
        <is>
          <t>2025/jama.2025.16450/.ai_paper_validation/final_report_1_5_1.md</t>
        </is>
      </c>
      <c r="Q69" s="3" t="inlineStr">
        <is>
          <t>C001</t>
        </is>
      </c>
      <c r="R69" s="3" t="inlineStr">
        <is>
          <t>Pending Human Adjudication</t>
        </is>
      </c>
      <c r="S69" s="3" t="inlineStr">
        <is>
          <t>eTable 4 uses RR for ratio-scale relative-risk estimates but its abbreviation line expands RR as risk difference.</t>
        </is>
      </c>
      <c r="T69" s="3" t="b">
        <v>1</v>
      </c>
      <c r="U69" s="3" t="inlineStr">
        <is>
          <t>eTable 4 expands RR as risk difference although the table reports relative risk</t>
        </is>
      </c>
      <c r="V69" s="3" t="inlineStr">
        <is>
          <t>internal_nonstatistical</t>
        </is>
      </c>
      <c r="W69" s="3" t="inlineStr">
        <is>
          <t>eTable 4 expands RR as risk difference although the table reports relative risk</t>
        </is>
      </c>
      <c r="X69" s="3" t="inlineStr">
        <is>
          <t>2025</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 xml:space="preserve">Final direct-source recheck explicitly does not reproduce registered mismatch; relationship denotes original registration only. </t>
        </is>
      </c>
      <c r="C70" s="2" t="b">
        <v>1</v>
      </c>
      <c r="D70" s="2" t="inlineStr">
        <is>
          <t>Analysis-unit or population inconsistency</t>
        </is>
      </c>
      <c r="E70" s="2" t="b">
        <v>1</v>
      </c>
      <c r="F70" s="2" t="inlineStr">
        <is>
          <t>C002</t>
        </is>
      </c>
      <c r="G70" s="2" t="inlineStr">
        <is>
          <t>2025::jama.2025.16450::C002</t>
        </is>
      </c>
      <c r="H70" s="2" t="inlineStr"/>
      <c r="I70" s="2" t="inlineStr">
        <is>
          <t>DOC-002 protocol — PDF p. 4; DOC-003 manual — PDF p. 7; DOC-004 SAP — PDF p. 8 and SAP — PDF p. 15; DOC-001 main article — PDF p. 2.</t>
        </is>
      </c>
      <c r="J70" s="2" t="b">
        <v>0</v>
      </c>
      <c r="K70" s="2" t="inlineStr">
        <is>
          <t>jama.2025.16450</t>
        </is>
      </c>
      <c r="L70" s="2" t="inlineStr">
        <is>
          <t>population_recruitment_sites</t>
        </is>
      </c>
      <c r="M70" s="2" t="inlineStr">
        <is>
          <t>P_R</t>
        </is>
      </c>
      <c r="N70" s="2" t="inlineStr">
        <is>
          <t>Target compares reported current-study content with supplied protocol/SAP specification. Earlier ledger transcription `27 6/7` versus direct-page `28 6/7` in DOC-002 and every comparator.</t>
        </is>
      </c>
      <c r="O70" s="2" t="inlineStr">
        <is>
          <t>../../2025/jama.2025.16450/.ai_paper_validation/final_report_1_5_1.html</t>
        </is>
      </c>
      <c r="P70" s="2" t="inlineStr">
        <is>
          <t>2025/jama.2025.16450/.ai_paper_validation/final_report_1_5_1.md</t>
        </is>
      </c>
      <c r="Q70" s="2" t="inlineStr">
        <is>
          <t>C002</t>
        </is>
      </c>
      <c r="R70" s="2" t="inlineStr">
        <is>
          <t>Pending Human Adjudication</t>
        </is>
      </c>
      <c r="S70" s="2" t="inlineStr">
        <is>
          <t>The prior ledger recorded 27 6/7 weeks for DOC-002, but direct-source recheck shows 28 6/7; the original cross-document mismatch is not reproduced.</t>
        </is>
      </c>
      <c r="T70" s="2" t="b">
        <v>0</v>
      </c>
      <c r="U70" s="2" t="inlineStr">
        <is>
          <t>Registered eligibility-bound discrepancy is not reproduced on direct-source recheck</t>
        </is>
      </c>
      <c r="V70" s="2" t="inlineStr">
        <is>
          <t>protocol_report</t>
        </is>
      </c>
      <c r="W70" s="2" t="inlineStr">
        <is>
          <t>Registered eligibility-bound discrepancy is not reproduced on direct-source recheck</t>
        </is>
      </c>
      <c r="X70" s="2" t="inlineStr">
        <is>
          <t>2025</t>
        </is>
      </c>
      <c r="Y70" s="2" t="inlineStr">
        <is>
          <t>meta_report/consistency_reclassification_2026-09-04/reclassified_candidates.json</t>
        </is>
      </c>
      <c r="Z70" s="2" t="inlineStr">
        <is>
          <t>P_R</t>
        </is>
      </c>
      <c r="AA70" s="2" t="inlineStr">
        <is>
          <t>protocol_report</t>
        </is>
      </c>
      <c r="AB70" s="2" t="inlineStr">
        <is>
          <t>exclude</t>
        </is>
      </c>
    </row>
    <row r="71" ht="95" customHeight="1">
      <c r="A71" s="3" t="b">
        <v>0</v>
      </c>
      <c r="B71" s="3" t="inlineStr">
        <is>
          <t xml:space="preserve">Final direct-source recheck explicitly does not reproduce registered mismatch; relationship denotes original registration only. </t>
        </is>
      </c>
      <c r="C71" s="3" t="b">
        <v>1</v>
      </c>
      <c r="D71" s="3" t="inlineStr">
        <is>
          <t>Cross-document numeric inconsistency</t>
        </is>
      </c>
      <c r="E71" s="3" t="b">
        <v>1</v>
      </c>
      <c r="F71" s="3" t="inlineStr">
        <is>
          <t>C003</t>
        </is>
      </c>
      <c r="G71" s="3" t="inlineStr">
        <is>
          <t>2025::jama.2025.16450::C003</t>
        </is>
      </c>
      <c r="H71" s="3" t="inlineStr"/>
      <c r="I71" s="3" t="inlineStr">
        <is>
          <t>DOC-002 protocol — PDF p. 4; DOC-003 manual — PDF p. 7 and manual — PDF p. 12; DOC-004 SAP — PDF p. 8; DOC-001 main article — PDF p. 2; DOC-005 results supplement — PDF p. 4.</t>
        </is>
      </c>
      <c r="J71" s="3" t="b">
        <v>1</v>
      </c>
      <c r="K71" s="3" t="inlineStr">
        <is>
          <t>jama.2025.16450</t>
        </is>
      </c>
      <c r="L71" s="3" t="inlineStr">
        <is>
          <t>intervention_delivery</t>
        </is>
      </c>
      <c r="M71" s="3" t="inlineStr">
        <is>
          <t>P_R</t>
        </is>
      </c>
      <c r="N71" s="3" t="inlineStr">
        <is>
          <t>Target compares reported current-study content with supplied protocol/SAP specification. Earlier first-dose transcription `1.25 mL/kg` versus direct-source first-dose `2.5 mL/kg`.</t>
        </is>
      </c>
      <c r="O71" s="3" t="inlineStr">
        <is>
          <t>../../2025/jama.2025.16450/.ai_paper_validation/final_report_1_5_1.html</t>
        </is>
      </c>
      <c r="P71" s="3" t="inlineStr">
        <is>
          <t>2025/jama.2025.16450/.ai_paper_validation/final_report_1_5_1.md</t>
        </is>
      </c>
      <c r="Q71" s="3" t="inlineStr">
        <is>
          <t>C003</t>
        </is>
      </c>
      <c r="R71" s="3" t="inlineStr">
        <is>
          <t>Pending Human Adjudication</t>
        </is>
      </c>
      <c r="S71" s="3" t="inlineStr">
        <is>
          <t>The prior ledger assigned 1.25 mL/kg to the first dose in DOC-002, but direct-source recheck shows 2.5 mL/kg; the original mismatch is not reproduced.</t>
        </is>
      </c>
      <c r="T71" s="3" t="b">
        <v>0</v>
      </c>
      <c r="U71" s="3" t="inlineStr">
        <is>
          <t>Registered first-dose discrepancy is not reproduced on direct-source recheck</t>
        </is>
      </c>
      <c r="V71" s="3" t="inlineStr">
        <is>
          <t>protocol_report</t>
        </is>
      </c>
      <c r="W71" s="3" t="inlineStr">
        <is>
          <t>Registered first-dose discrepancy is not reproduced on direct-source recheck</t>
        </is>
      </c>
      <c r="X71" s="3" t="inlineStr">
        <is>
          <t>2025</t>
        </is>
      </c>
      <c r="Y71" s="3" t="inlineStr">
        <is>
          <t>meta_report/consistency_reclassification_2026-09-04/reclassified_candidates.json</t>
        </is>
      </c>
      <c r="Z71" s="3" t="inlineStr">
        <is>
          <t>P_R</t>
        </is>
      </c>
      <c r="AA71" s="3" t="inlineStr">
        <is>
          <t>protocol_report</t>
        </is>
      </c>
      <c r="AB71" s="3" t="inlineStr">
        <is>
          <t>exclude</t>
        </is>
      </c>
    </row>
    <row r="72" ht="95" customHeight="1">
      <c r="A72" s="2" t="b">
        <v>0</v>
      </c>
      <c r="B72" s="2" t="inlineStr">
        <is>
          <t>Manual of procedures is a distinct prospective operational document, not final results or protocol/SAP. Versioned definition change possible.</t>
        </is>
      </c>
      <c r="C72" s="2" t="b">
        <v>1</v>
      </c>
      <c r="D72" s="2" t="inlineStr">
        <is>
          <t>Measure, label, or scale inconsistency</t>
        </is>
      </c>
      <c r="E72" s="2" t="b">
        <v>0</v>
      </c>
      <c r="F72" s="2" t="inlineStr">
        <is>
          <t>C004</t>
        </is>
      </c>
      <c r="G72" s="2" t="inlineStr">
        <is>
          <t>2025::jama.2025.16450::C004</t>
        </is>
      </c>
      <c r="H72" s="2" t="inlineStr">
        <is>
          <t>P_O</t>
        </is>
      </c>
      <c r="I72" s="2" t="inlineStr">
        <is>
          <t>DOC-003 manual — PDF p. 14 and manual — PDF p. 16; DOC-004 SAP — PDF p. 10 and SAP — PDF p. 33.</t>
        </is>
      </c>
      <c r="J72" s="2" t="b">
        <v>0</v>
      </c>
      <c r="K72" s="2" t="inlineStr">
        <is>
          <t>jama.2025.16450</t>
        </is>
      </c>
      <c r="L72" s="2" t="inlineStr"/>
      <c r="M72" s="2" t="inlineStr">
        <is>
          <t>P_P</t>
        </is>
      </c>
      <c r="N72" s="2" t="inlineStr">
        <is>
          <t>Target compares protocol/SAP against a separate prospective operational manual, not a published-results report. Manual threshold `{3,4,5}` versus SAP threshold `{4,5}`.</t>
        </is>
      </c>
      <c r="O72" s="2" t="inlineStr">
        <is>
          <t>../../2025/jama.2025.16450/.ai_paper_validation/final_report_1_5_1.html</t>
        </is>
      </c>
      <c r="P72" s="2" t="inlineStr">
        <is>
          <t>2025/jama.2025.16450/.ai_paper_validation/final_report_1_5_1.md</t>
        </is>
      </c>
      <c r="Q72" s="2" t="inlineStr">
        <is>
          <t>C004</t>
        </is>
      </c>
      <c r="R72" s="2" t="inlineStr">
        <is>
          <t>Pending Human Adjudication</t>
        </is>
      </c>
      <c r="S72" s="2" t="inlineStr">
        <is>
          <t>The manual defines severe NDI using GMFCS levels 3-5, whereas the SAP uses 4-5.</t>
        </is>
      </c>
      <c r="T72" s="2" t="b">
        <v>0</v>
      </c>
      <c r="U72" s="2" t="inlineStr">
        <is>
          <t>Severe-NDI GMFCS cutoff differs between the manual and SAP</t>
        </is>
      </c>
      <c r="V72" s="2" t="inlineStr">
        <is>
          <t>plan_material</t>
        </is>
      </c>
      <c r="W72" s="2" t="inlineStr">
        <is>
          <t>Severe-NDI GMFCS cutoff differs between the manual and SAP</t>
        </is>
      </c>
      <c r="X72" s="2" t="inlineStr">
        <is>
          <t>2025</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is>
          <t xml:space="preserve">Final direct-source recheck explicitly does not reproduce registered mismatch; relationship denotes original registration only. </t>
        </is>
      </c>
      <c r="C73" s="3" t="b">
        <v>1</v>
      </c>
      <c r="D73" s="3" t="inlineStr">
        <is>
          <t>Measure, label, or scale inconsistency</t>
        </is>
      </c>
      <c r="E73" s="3" t="b">
        <v>0</v>
      </c>
      <c r="F73" s="3" t="inlineStr">
        <is>
          <t>C005</t>
        </is>
      </c>
      <c r="G73" s="3" t="inlineStr">
        <is>
          <t>2025::jama.2025.16450::C005</t>
        </is>
      </c>
      <c r="H73" s="3" t="inlineStr">
        <is>
          <t>P_O</t>
        </is>
      </c>
      <c r="I73" s="3" t="inlineStr">
        <is>
          <t>DOC-003 manual — PDF p. 14 and manual — PDF p. 16; DOC-004 SAP — PDF p. 10, SAP — PDF p. 33, and SAP — PDF p. 34.</t>
        </is>
      </c>
      <c r="J73" s="3" t="b">
        <v>0</v>
      </c>
      <c r="K73" s="3" t="inlineStr">
        <is>
          <t>jama.2025.16450</t>
        </is>
      </c>
      <c r="L73" s="3" t="inlineStr"/>
      <c r="M73" s="3" t="inlineStr">
        <is>
          <t>P_P</t>
        </is>
      </c>
      <c r="N73" s="3" t="inlineStr">
        <is>
          <t>Target compares protocol/SAP against a separate prospective operational manual, not a published-results report. Earlier ledger Bayley-III transcription versus direct-source fourth-edition/BSID-IV wording.</t>
        </is>
      </c>
      <c r="O73" s="3" t="inlineStr">
        <is>
          <t>../../2025/jama.2025.16450/.ai_paper_validation/final_report_1_5_1.html</t>
        </is>
      </c>
      <c r="P73" s="3" t="inlineStr">
        <is>
          <t>2025/jama.2025.16450/.ai_paper_validation/final_report_1_5_1.md</t>
        </is>
      </c>
      <c r="Q73" s="3" t="inlineStr">
        <is>
          <t>C005</t>
        </is>
      </c>
      <c r="R73" s="3" t="inlineStr">
        <is>
          <t>Pending Human Adjudication</t>
        </is>
      </c>
      <c r="S73" s="3" t="inlineStr">
        <is>
          <t>The prior ledger reported Bayley-III versus BSID-IV, but direct-source recheck shows BSID-IV/fourth edition throughout; the original mismatch is not reproduced.</t>
        </is>
      </c>
      <c r="T73" s="3" t="b">
        <v>0</v>
      </c>
      <c r="U73" s="3" t="inlineStr">
        <is>
          <t>Registered severe-NDI instrument-edition discrepancy is not reproduced on direct-source recheck</t>
        </is>
      </c>
      <c r="V73" s="3" t="inlineStr">
        <is>
          <t>plan_material</t>
        </is>
      </c>
      <c r="W73" s="3" t="inlineStr">
        <is>
          <t>Registered severe-NDI instrument-edition discrepancy is not reproduced on direct-source recheck</t>
        </is>
      </c>
      <c r="X73" s="3" t="inlineStr">
        <is>
          <t>2025</t>
        </is>
      </c>
      <c r="Y73" s="3" t="inlineStr">
        <is>
          <t>meta_report/consistency_reclassification_2026-09-04/reclassified_candidates.json</t>
        </is>
      </c>
      <c r="Z73" s="3" t="inlineStr">
        <is>
          <t>P_P</t>
        </is>
      </c>
      <c r="AA73" s="3" t="inlineStr">
        <is>
          <t>plan_material</t>
        </is>
      </c>
      <c r="AB73" s="3" t="inlineStr">
        <is>
          <t>exclude</t>
        </is>
      </c>
    </row>
    <row r="74" ht="95" customHeight="1">
      <c r="A74" s="2" t="b">
        <v>0</v>
      </c>
      <c r="B74" s="2" t="inlineStr">
        <is>
          <t xml:space="preserve">Final direct-source recheck explicitly does not reproduce registered mismatch; relationship denotes original registration only. </t>
        </is>
      </c>
      <c r="C74" s="2" t="b">
        <v>1</v>
      </c>
      <c r="D74" s="2" t="inlineStr">
        <is>
          <t>Statistical reporting inconsistency</t>
        </is>
      </c>
      <c r="E74" s="2" t="b">
        <v>0</v>
      </c>
      <c r="F74" s="2" t="inlineStr">
        <is>
          <t>C006</t>
        </is>
      </c>
      <c r="G74" s="2" t="inlineStr">
        <is>
          <t>2025::jama.2025.16450::C006</t>
        </is>
      </c>
      <c r="H74" s="2" t="inlineStr"/>
      <c r="I74" s="2" t="inlineStr">
        <is>
          <t>DOC-002 protocol — PDF p. 29; DOC-004 SAP — PDF p. 26.</t>
        </is>
      </c>
      <c r="J74" s="2" t="b">
        <v>0</v>
      </c>
      <c r="K74" s="2" t="inlineStr">
        <is>
          <t>jama.2025.16450</t>
        </is>
      </c>
      <c r="L74" s="2" t="inlineStr"/>
      <c r="M74" s="2" t="inlineStr">
        <is>
          <t>P_P</t>
        </is>
      </c>
      <c r="N74" s="2" t="inlineStr">
        <is>
          <t>Target is internal to protocol/SAP definitions, calculations, or plan versions; final results are not the conflicting comparator. Earlier protocol transcription `0.00015` versus direct protocol and SAP `0.000015`.</t>
        </is>
      </c>
      <c r="O74" s="2" t="inlineStr">
        <is>
          <t>../../2025/jama.2025.16450/.ai_paper_validation/final_report_1_5_1.html</t>
        </is>
      </c>
      <c r="P74" s="2" t="inlineStr">
        <is>
          <t>2025/jama.2025.16450/.ai_paper_validation/final_report_1_5_1.md</t>
        </is>
      </c>
      <c r="Q74" s="2" t="inlineStr">
        <is>
          <t>C006</t>
        </is>
      </c>
      <c r="R74" s="2" t="inlineStr">
        <is>
          <t>Pending Human Adjudication</t>
        </is>
      </c>
      <c r="S74" s="2" t="inlineStr">
        <is>
          <t>The prior ledger recorded protocol alpha 0.00015, but both direct pages print 0.000015; the original tenfold mismatch is not reproduced.</t>
        </is>
      </c>
      <c r="T74" s="2" t="b">
        <v>0</v>
      </c>
      <c r="U74" s="2" t="inlineStr">
        <is>
          <t>Registered first-interim-alpha discrepancy is not reproduced on direct-source recheck</t>
        </is>
      </c>
      <c r="V74" s="2" t="inlineStr">
        <is>
          <t>plan_material</t>
        </is>
      </c>
      <c r="W74" s="2" t="inlineStr">
        <is>
          <t>Registered first-interim-alpha discrepancy is not reproduced on direct-source recheck</t>
        </is>
      </c>
      <c r="X74" s="2" t="inlineStr">
        <is>
          <t>2025</t>
        </is>
      </c>
      <c r="Y74" s="2" t="inlineStr">
        <is>
          <t>meta_report/consistency_reclassification_2026-09-04/reclassified_candidates.json</t>
        </is>
      </c>
      <c r="Z74" s="2" t="inlineStr">
        <is>
          <t>P_P</t>
        </is>
      </c>
      <c r="AA74" s="2" t="inlineStr">
        <is>
          <t>plan_material</t>
        </is>
      </c>
      <c r="AB74" s="2" t="inlineStr">
        <is>
          <t>exclude</t>
        </is>
      </c>
    </row>
    <row r="75" ht="95" customHeight="1">
      <c r="A75" s="3" t="b">
        <v>0</v>
      </c>
      <c r="B75" s="3" t="inlineStr">
        <is>
          <t>Planned versus realized alpha-spending boundaries need not be equal; missing execution output.</t>
        </is>
      </c>
      <c r="C75" s="3" t="b">
        <v>1</v>
      </c>
      <c r="D75" s="3" t="inlineStr">
        <is>
          <t>Cross-document numeric inconsistency</t>
        </is>
      </c>
      <c r="E75" s="3" t="b">
        <v>1</v>
      </c>
      <c r="F75" s="3" t="inlineStr">
        <is>
          <t>C007</t>
        </is>
      </c>
      <c r="G75" s="3" t="inlineStr">
        <is>
          <t>2025::jama.2025.16450::C007</t>
        </is>
      </c>
      <c r="H75" s="3" t="inlineStr"/>
      <c r="I75" s="3" t="inlineStr">
        <is>
          <t>DOC-001 main article — PDF p. 3 and main article — PDF p. 7; DOC-002 protocol — PDF p. 29; DOC-004 SAP — PDF p. 26.</t>
        </is>
      </c>
      <c r="J75" s="3" t="b">
        <v>1</v>
      </c>
      <c r="K75" s="3" t="inlineStr">
        <is>
          <t>jama.2025.16450</t>
        </is>
      </c>
      <c r="L75" s="3" t="inlineStr">
        <is>
          <t>analysis_specification</t>
        </is>
      </c>
      <c r="M75" s="3" t="inlineStr">
        <is>
          <t>P_R</t>
        </is>
      </c>
      <c r="N75" s="3" t="inlineStr">
        <is>
          <t>Target compares reported current-study content with supplied protocol/SAP specification. Executed article alpha `.049` versus prospective planned final alpha `.0440`.</t>
        </is>
      </c>
      <c r="O75" s="3" t="inlineStr">
        <is>
          <t>../../2025/jama.2025.16450/.ai_paper_validation/final_report_1_5_1.html</t>
        </is>
      </c>
      <c r="P75" s="3" t="inlineStr">
        <is>
          <t>2025/jama.2025.16450/.ai_paper_validation/final_report_1_5_1.md</t>
        </is>
      </c>
      <c r="Q75" s="3" t="inlineStr">
        <is>
          <t>C007</t>
        </is>
      </c>
      <c r="R75" s="3" t="inlineStr">
        <is>
          <t>Pending Human Adjudication</t>
        </is>
      </c>
      <c r="S75" s="3" t="inlineStr">
        <is>
          <t>The article reports primary-analysis alpha .049; the protocol and SAP list planned final alpha .0440.</t>
        </is>
      </c>
      <c r="T75" s="3" t="b">
        <v>0</v>
      </c>
      <c r="U75" s="3" t="inlineStr">
        <is>
          <t>Final primary-analysis alpha differs between the article and prospective documents</t>
        </is>
      </c>
      <c r="V75" s="3" t="inlineStr">
        <is>
          <t>protocol_report</t>
        </is>
      </c>
      <c r="W75" s="3" t="inlineStr">
        <is>
          <t>Final primary-analysis alpha differs between the article and prospective documents</t>
        </is>
      </c>
      <c r="X75" s="3" t="inlineStr">
        <is>
          <t>2025</t>
        </is>
      </c>
      <c r="Y75" s="3" t="inlineStr">
        <is>
          <t>meta_report/consistency_reclassification_2026-09-04/reclassified_candidates.json</t>
        </is>
      </c>
      <c r="Z75" s="3" t="inlineStr">
        <is>
          <t>P_R</t>
        </is>
      </c>
      <c r="AA75" s="3" t="inlineStr">
        <is>
          <t>protocol_report</t>
        </is>
      </c>
      <c r="AB75" s="3" t="inlineStr">
        <is>
          <t>retain</t>
        </is>
      </c>
    </row>
    <row r="76" ht="95" customHeight="1">
      <c r="A76" s="2" t="b">
        <v>0</v>
      </c>
      <c r="B76" s="2" t="inlineStr">
        <is>
          <t>Planned 15 versus completed 17 centers may reflect activation/milestone differences.</t>
        </is>
      </c>
      <c r="C76" s="2" t="b">
        <v>1</v>
      </c>
      <c r="D76" s="2" t="inlineStr">
        <is>
          <t>Cross-document numeric inconsistency</t>
        </is>
      </c>
      <c r="E76" s="2" t="b">
        <v>1</v>
      </c>
      <c r="F76" s="2" t="inlineStr">
        <is>
          <t>C008</t>
        </is>
      </c>
      <c r="G76" s="2" t="inlineStr">
        <is>
          <t>2025::jama.2025.16450::C008</t>
        </is>
      </c>
      <c r="H76" s="2" t="inlineStr"/>
      <c r="I76" s="2" t="inlineStr">
        <is>
          <t>DOC-001 main article — PDF p. 1; DOC-002 protocol — PDF p. 29; DOC-004 SAP — PDF p. 8.</t>
        </is>
      </c>
      <c r="J76" s="2" t="b">
        <v>1</v>
      </c>
      <c r="K76" s="2" t="inlineStr">
        <is>
          <t>jama.2025.16450</t>
        </is>
      </c>
      <c r="L76" s="2" t="inlineStr">
        <is>
          <t>population_recruitment_sites</t>
        </is>
      </c>
      <c r="M76" s="2" t="inlineStr">
        <is>
          <t>P_R</t>
        </is>
      </c>
      <c r="N76" s="2" t="inlineStr">
        <is>
          <t>Target compares reported current-study content with supplied protocol/SAP specification. Completed-study count 17 versus planned count 15.</t>
        </is>
      </c>
      <c r="O76" s="2" t="inlineStr">
        <is>
          <t>../../2025/jama.2025.16450/.ai_paper_validation/final_report_1_5_1.html</t>
        </is>
      </c>
      <c r="P76" s="2" t="inlineStr">
        <is>
          <t>2025/jama.2025.16450/.ai_paper_validation/final_report_1_5_1.md</t>
        </is>
      </c>
      <c r="Q76" s="2" t="inlineStr">
        <is>
          <t>C008</t>
        </is>
      </c>
      <c r="R76" s="2" t="inlineStr">
        <is>
          <t>Pending Human Adjudication</t>
        </is>
      </c>
      <c r="S76" s="2" t="inlineStr">
        <is>
          <t>The article states 17 centers; the protocol and SAP state 15 centers in prospective context.</t>
        </is>
      </c>
      <c r="T76" s="2" t="b">
        <v>0</v>
      </c>
      <c r="U76" s="2" t="inlineStr">
        <is>
          <t>Trial center count differs between final and prospective documents</t>
        </is>
      </c>
      <c r="V76" s="2" t="inlineStr">
        <is>
          <t>protocol_report</t>
        </is>
      </c>
      <c r="W76" s="2" t="inlineStr">
        <is>
          <t>Trial center count differs between final and prospective documents</t>
        </is>
      </c>
      <c r="X76" s="2" t="inlineStr">
        <is>
          <t>2025</t>
        </is>
      </c>
      <c r="Y76" s="2" t="inlineStr">
        <is>
          <t>meta_report/consistency_reclassification_2026-09-04/reclassified_candidates.json</t>
        </is>
      </c>
      <c r="Z76" s="2" t="inlineStr">
        <is>
          <t>P_R</t>
        </is>
      </c>
      <c r="AA76" s="2" t="inlineStr">
        <is>
          <t>protocol_report</t>
        </is>
      </c>
      <c r="AB76" s="2" t="inlineStr">
        <is>
          <t>retain</t>
        </is>
      </c>
    </row>
    <row r="77" ht="95" customHeight="1">
      <c r="A77" s="3" t="b">
        <v>0</v>
      </c>
      <c r="B77" s="3" t="inlineStr"/>
      <c r="C77" s="3" t="b">
        <v>0</v>
      </c>
      <c r="D77" s="3" t="inlineStr">
        <is>
          <t>Measure, label, or scale inconsistency</t>
        </is>
      </c>
      <c r="E77" s="3" t="b">
        <v>0</v>
      </c>
      <c r="F77" s="3" t="inlineStr">
        <is>
          <t>C009</t>
        </is>
      </c>
      <c r="G77" s="3" t="inlineStr">
        <is>
          <t>2025::jama.2025.16450::C009</t>
        </is>
      </c>
      <c r="H77" s="3" t="inlineStr"/>
      <c r="I77" s="3" t="inlineStr">
        <is>
          <t>DOC-001 main article — PDF p. 8 (Table 3 additional open-label surfactant row and footnote g).</t>
        </is>
      </c>
      <c r="J77" s="3" t="b">
        <v>0</v>
      </c>
      <c r="K77" s="3" t="inlineStr">
        <is>
          <t>jama.2025.16450</t>
        </is>
      </c>
      <c r="L77" s="3" t="inlineStr"/>
      <c r="M77" s="3" t="inlineStr">
        <is>
          <t>S_W</t>
        </is>
      </c>
      <c r="N77" s="3" t="inlineStr">
        <is>
          <t>Target is within one main article or one non-plan results supplement/workbook; no substantive plan comparison. RR row label versus common-OR approximation wording.</t>
        </is>
      </c>
      <c r="O77" s="3" t="inlineStr">
        <is>
          <t>../../2025/jama.2025.16450/.ai_paper_validation/final_report_1_5_1.html</t>
        </is>
      </c>
      <c r="P77" s="3" t="inlineStr">
        <is>
          <t>2025/jama.2025.16450/.ai_paper_validation/final_report_1_5_1.md</t>
        </is>
      </c>
      <c r="Q77" s="3" t="inlineStr">
        <is>
          <t>C009</t>
        </is>
      </c>
      <c r="R77" s="3" t="inlineStr">
        <is>
          <t>Pending Human Adjudication</t>
        </is>
      </c>
      <c r="S77" s="3" t="inlineStr">
        <is>
          <t>Table 3 labels an estimate RR while footnote g describes a common-OR approximation after robust-Poisson nonconvergence.</t>
        </is>
      </c>
      <c r="T77" s="3" t="b">
        <v>1</v>
      </c>
      <c r="U77" s="3" t="inlineStr">
        <is>
          <t>Table 3 RR label conflicts with a stated common-OR approximation</t>
        </is>
      </c>
      <c r="V77" s="3" t="inlineStr">
        <is>
          <t>internal_nonstatistical</t>
        </is>
      </c>
      <c r="W77" s="3" t="inlineStr">
        <is>
          <t>Table 3 RR label conflicts with a stated common-OR approximation</t>
        </is>
      </c>
      <c r="X77" s="3" t="inlineStr">
        <is>
          <t>2025</t>
        </is>
      </c>
      <c r="Y77" s="3" t="inlineStr">
        <is>
          <t>meta_report/consistency_reclassification_2026-09-04/reclassified_candidates.json</t>
        </is>
      </c>
      <c r="Z77" s="3" t="inlineStr">
        <is>
          <t>S_W</t>
        </is>
      </c>
      <c r="AA77" s="3" t="inlineStr">
        <is>
          <t>internal_nonstatistical</t>
        </is>
      </c>
      <c r="AB77" s="3" t="inlineStr">
        <is>
          <t>retain</t>
        </is>
      </c>
    </row>
    <row r="78" ht="95" customHeight="1">
      <c r="A78" s="2" t="b">
        <v>0</v>
      </c>
      <c r="B78" s="2" t="inlineStr"/>
      <c r="C78" s="2" t="b">
        <v>0</v>
      </c>
      <c r="D78" s="2" t="inlineStr">
        <is>
          <t>Measure, label, or scale inconsistency</t>
        </is>
      </c>
      <c r="E78" s="2" t="b">
        <v>0</v>
      </c>
      <c r="F78" s="2" t="inlineStr">
        <is>
          <t>C010</t>
        </is>
      </c>
      <c r="G78" s="2" t="inlineStr">
        <is>
          <t>2025::jama.2025.16450::C010</t>
        </is>
      </c>
      <c r="H78" s="2" t="inlineStr"/>
      <c r="I78" s="2" t="inlineStr">
        <is>
          <t>DOC-005 results supplement — PDF p. 5 and results supplement — PDF p. 6 (eTable 3 header and footnote b).</t>
        </is>
      </c>
      <c r="J78" s="2" t="b">
        <v>0</v>
      </c>
      <c r="K78" s="2" t="inlineStr">
        <is>
          <t>jama.2025.16450</t>
        </is>
      </c>
      <c r="L78" s="2" t="inlineStr"/>
      <c r="M78" s="2" t="inlineStr">
        <is>
          <t>S_W</t>
        </is>
      </c>
      <c r="N78" s="2" t="inlineStr">
        <is>
          <t>Target is within one main article or one non-plan results supplement/workbook; no substantive plan comparison. Table-level RR header versus odds-ratio approximation footnote for superscript-b rows.</t>
        </is>
      </c>
      <c r="O78" s="2" t="inlineStr">
        <is>
          <t>../../2025/jama.2025.16450/.ai_paper_validation/final_report_1_5_1.html</t>
        </is>
      </c>
      <c r="P78" s="2" t="inlineStr">
        <is>
          <t>2025/jama.2025.16450/.ai_paper_validation/final_report_1_5_1.md</t>
        </is>
      </c>
      <c r="Q78" s="2" t="inlineStr">
        <is>
          <t>C010</t>
        </is>
      </c>
      <c r="R78" s="2" t="inlineStr">
        <is>
          <t>Pending Human Adjudication</t>
        </is>
      </c>
      <c r="S78" s="2" t="inlineStr">
        <is>
          <t>eTable 3's effect-estimate header says relative risk while footnote b identifies odds-ratio approximations for marked sparse rows.</t>
        </is>
      </c>
      <c r="T78" s="2" t="b">
        <v>1</v>
      </c>
      <c r="U78" s="2" t="inlineStr">
        <is>
          <t>eTable 3 relative-risk header conflicts with odds-ratio approximation footnote</t>
        </is>
      </c>
      <c r="V78" s="2" t="inlineStr">
        <is>
          <t>internal_nonstatistical</t>
        </is>
      </c>
      <c r="W78" s="2" t="inlineStr">
        <is>
          <t>eTable 3 relative-risk header conflicts with odds-ratio approximation footnote</t>
        </is>
      </c>
      <c r="X78" s="2" t="inlineStr">
        <is>
          <t>2025</t>
        </is>
      </c>
      <c r="Y78" s="2" t="inlineStr">
        <is>
          <t>meta_report/consistency_reclassification_2026-09-04/reclassified_candidates.json</t>
        </is>
      </c>
      <c r="Z78" s="2" t="inlineStr">
        <is>
          <t>S_W</t>
        </is>
      </c>
      <c r="AA78" s="2" t="inlineStr">
        <is>
          <t>internal_nonstatistical</t>
        </is>
      </c>
      <c r="AB78" s="2" t="inlineStr">
        <is>
          <t>retain</t>
        </is>
      </c>
    </row>
    <row r="79" ht="95" customHeight="1">
      <c r="A79" s="3" t="b">
        <v>0</v>
      </c>
      <c r="B79" s="3" t="inlineStr">
        <is>
          <t>Supplement explicitly supplies global A1C failure rule. Fifteen diabetes-range participants are NOT fifteen proven changed classifications; component achievement and governing amendment missing.</t>
        </is>
      </c>
      <c r="C79" s="3" t="b">
        <v>1</v>
      </c>
      <c r="D79" s="3" t="inlineStr">
        <is>
          <t>Cross-document numeric inconsistency</t>
        </is>
      </c>
      <c r="E79" s="3" t="b">
        <v>1</v>
      </c>
      <c r="F79" s="3" t="inlineStr">
        <is>
          <t>C001</t>
        </is>
      </c>
      <c r="G79" s="3" t="inlineStr">
        <is>
          <t>2025::jama.2025.19563::C001</t>
        </is>
      </c>
      <c r="H79" s="3" t="inlineStr"/>
      <c r="I79" s="3" t="inlineStr">
        <is>
          <t>DOC-002 protocol — PDF p. 15; DOC-001 main article — PDF p. 4; DOC-003 supplement — PDF p. 30 (explicit global-failure clause); DOC-003 supplement — PDF p. 56 (15-participant table).</t>
        </is>
      </c>
      <c r="J79" s="3" t="b">
        <v>1</v>
      </c>
      <c r="K79" s="3" t="inlineStr">
        <is>
          <t>jama.2025.19563</t>
        </is>
      </c>
      <c r="L79" s="3" t="inlineStr">
        <is>
          <t>endpoint_definition_window_hierarchy</t>
        </is>
      </c>
      <c r="M79" s="3" t="inlineStr">
        <is>
          <t>P_R</t>
        </is>
      </c>
      <c r="N79" s="3" t="inlineStr">
        <is>
          <t>Target compares reported current-study content with supplied protocol/SAP specification. Protocol rule `A or B or C` versus reported/supplement rule `(A or B or C) and D`, where D means no diabetes-range A1C at the defined visits.</t>
        </is>
      </c>
      <c r="O79" s="3" t="inlineStr">
        <is>
          <t>../../2025/jama.2025.19563/.ai_paper_validation/final_report_1_5_1.html</t>
        </is>
      </c>
      <c r="P79" s="3" t="inlineStr">
        <is>
          <t>2025/jama.2025.19563/.ai_paper_validation/final_report_1_5_1.md</t>
        </is>
      </c>
      <c r="Q79" s="3" t="inlineStr">
        <is>
          <t>C001</t>
        </is>
      </c>
      <c r="R79" s="3" t="inlineStr">
        <is>
          <t>Pending Human Adjudication</t>
        </is>
      </c>
      <c r="S79" s="3" t="inlineStr">
        <is>
          <t>The protocol's success rule is at least one of three components, while the reported/supplement rule adds a diabetes-range A1C failure condition that can override all components.</t>
        </is>
      </c>
      <c r="T79" s="3" t="b">
        <v>0</v>
      </c>
      <c r="U79" s="3" t="inlineStr">
        <is>
          <t>Protocol and reported primary endpoint differ on the diabetes-range A1C failure condition</t>
        </is>
      </c>
      <c r="V79" s="3" t="inlineStr">
        <is>
          <t>protocol_report</t>
        </is>
      </c>
      <c r="W79" s="3" t="inlineStr">
        <is>
          <t>Protocol and reported primary endpoint differ on the diabetes-range A1C failure condition</t>
        </is>
      </c>
      <c r="X79" s="3" t="inlineStr">
        <is>
          <t>2025</t>
        </is>
      </c>
      <c r="Y79" s="3" t="inlineStr">
        <is>
          <t>meta_report/consistency_reclassification_2026-09-04/reclassified_candidates.json</t>
        </is>
      </c>
      <c r="Z79" s="3" t="inlineStr">
        <is>
          <t>P_R</t>
        </is>
      </c>
      <c r="AA79" s="3" t="inlineStr">
        <is>
          <t>protocol_report</t>
        </is>
      </c>
      <c r="AB79" s="3" t="inlineStr">
        <is>
          <t>retain</t>
        </is>
      </c>
    </row>
    <row r="80" ht="95" customHeight="1">
      <c r="A80" s="2" t="b">
        <v>0</v>
      </c>
      <c r="B80" s="2" t="inlineStr">
        <is>
          <t>Listed methods may be nonexhaustive; Siemens device mentioned but unlisted. Both main/supp availability and supplement-internal method/missingness arithmetic compared.</t>
        </is>
      </c>
      <c r="C80" s="2" t="b">
        <v>0</v>
      </c>
      <c r="D80" s="2" t="inlineStr">
        <is>
          <t>Denominator, proportion, or total inconsistency</t>
        </is>
      </c>
      <c r="E80" s="2" t="b">
        <v>1</v>
      </c>
      <c r="F80" s="2" t="inlineStr">
        <is>
          <t>C002</t>
        </is>
      </c>
      <c r="G80" s="2" t="inlineStr">
        <is>
          <t>2025::jama.2025.19563::C002</t>
        </is>
      </c>
      <c r="H80" s="2" t="inlineStr"/>
      <c r="I80" s="2" t="inlineStr">
        <is>
          <t>DOC-003 supplement — PDF p. 8; DOC-001 main article — PDF p. 4; DOC-001 main article — PDF p. 5; DOC-003 supplement — PDF p. 50.</t>
        </is>
      </c>
      <c r="J80" s="2" t="b">
        <v>0</v>
      </c>
      <c r="K80" s="2" t="inlineStr">
        <is>
          <t>jama.2025.19563</t>
        </is>
      </c>
      <c r="L80" s="2" t="inlineStr"/>
      <c r="M80" s="2" t="inlineStr">
        <is>
          <t>S_C</t>
        </is>
      </c>
      <c r="N80" s="2" t="inlineStr">
        <is>
          <t>Target explicitly compares current main article and non-plan results supplement/workbook. The follow-up device-method total versus the independently derived A1C-available/completer total in the same randomized arms and time point.</t>
        </is>
      </c>
      <c r="O80" s="2" t="inlineStr">
        <is>
          <t>../../2025/jama.2025.19563/.ai_paper_validation/final_report_1_5_1.html</t>
        </is>
      </c>
      <c r="P80" s="2" t="inlineStr">
        <is>
          <t>2025/jama.2025.19563/.ai_paper_validation/final_report_1_5_1.md</t>
        </is>
      </c>
      <c r="Q80" s="2" t="inlineStr">
        <is>
          <t>C002</t>
        </is>
      </c>
      <c r="R80" s="2" t="inlineStr">
        <is>
          <t>Pending Human Adjudication</t>
        </is>
      </c>
      <c r="S80" s="2" t="inlineStr">
        <is>
          <t>Listed follow-up A1C device counts total 312, while matched missingness and complete-outcome reporting identify 313 participants with A1C available.</t>
        </is>
      </c>
      <c r="T80" s="2" t="b">
        <v>1</v>
      </c>
      <c r="U80" s="2" t="inlineStr">
        <is>
          <t>312 listed 12-month A1C measurements versus 313 participants with A1C available</t>
        </is>
      </c>
      <c r="V80" s="2" t="inlineStr">
        <is>
          <t>statistical_results</t>
        </is>
      </c>
      <c r="W80" s="2" t="inlineStr">
        <is>
          <t>312 listed 12-month A1C measurements versus 313 participants with A1C available</t>
        </is>
      </c>
      <c r="X80" s="2" t="inlineStr">
        <is>
          <t>2025</t>
        </is>
      </c>
      <c r="Y80" s="2" t="inlineStr">
        <is>
          <t>meta_report/consistency_reclassification_2026-09-04/reclassified_candidates.json</t>
        </is>
      </c>
      <c r="Z80" s="2" t="inlineStr">
        <is>
          <t>S_C</t>
        </is>
      </c>
      <c r="AA80" s="2" t="inlineStr">
        <is>
          <t>statistical_results</t>
        </is>
      </c>
      <c r="AB80" s="2" t="inlineStr">
        <is>
          <t>retain</t>
        </is>
      </c>
    </row>
    <row r="81" ht="95" customHeight="1">
      <c r="A81" s="3" t="b">
        <v>0</v>
      </c>
      <c r="B81" s="3" t="inlineStr">
        <is>
          <t>BMI versus weight is established by same main figure unit and main Table1; supplementary BMI usage corroborates only.</t>
        </is>
      </c>
      <c r="C81" s="3" t="b">
        <v>0</v>
      </c>
      <c r="D81" s="3" t="inlineStr">
        <is>
          <t>Measure, label, or scale inconsistency</t>
        </is>
      </c>
      <c r="E81" s="3" t="b">
        <v>0</v>
      </c>
      <c r="F81" s="3" t="inlineStr">
        <is>
          <t>C003</t>
        </is>
      </c>
      <c r="G81" s="3" t="inlineStr">
        <is>
          <t>2025::jama.2025.19563::C003</t>
        </is>
      </c>
      <c r="H81" s="3" t="inlineStr"/>
      <c r="I81" s="3" t="inlineStr">
        <is>
          <t>DOC-001 main article — PDF p. 8; DOC-001 main article — PDF p. 6; DOC-003 supplement — PDF p. 53.</t>
        </is>
      </c>
      <c r="J81" s="3" t="b">
        <v>0</v>
      </c>
      <c r="K81" s="3" t="inlineStr">
        <is>
          <t>jama.2025.19563</t>
        </is>
      </c>
      <c r="L81" s="3" t="inlineStr"/>
      <c r="M81" s="3" t="inlineStr">
        <is>
          <t>S_W</t>
        </is>
      </c>
      <c r="N81" s="3" t="inlineStr">
        <is>
          <t>Target is within one main article or one non-plan results supplement/workbook; no substantive plan comparison. Figure label/unit versus Table 1 measure label and exact arm-specific baseline values.</t>
        </is>
      </c>
      <c r="O81" s="3" t="inlineStr">
        <is>
          <t>../../2025/jama.2025.19563/.ai_paper_validation/final_report_1_5_1.html</t>
        </is>
      </c>
      <c r="P81" s="3" t="inlineStr">
        <is>
          <t>2025/jama.2025.19563/.ai_paper_validation/final_report_1_5_1.md</t>
        </is>
      </c>
      <c r="Q81" s="3" t="inlineStr">
        <is>
          <t>C003</t>
        </is>
      </c>
      <c r="R81" s="3" t="inlineStr">
        <is>
          <t>Pending Human Adjudication</t>
        </is>
      </c>
      <c r="S81" s="3" t="inlineStr">
        <is>
          <t>Figure 3 calls values in kg/m² “weight,” although the identical values are labelled BMI in Table 1.</t>
        </is>
      </c>
      <c r="T81" s="3" t="b">
        <v>1</v>
      </c>
      <c r="U81" s="3" t="inlineStr">
        <is>
          <t>Figure 3 labels BMI values in kg/m² as “weight”</t>
        </is>
      </c>
      <c r="V81" s="3" t="inlineStr">
        <is>
          <t>internal_nonstatistical</t>
        </is>
      </c>
      <c r="W81" s="3" t="inlineStr">
        <is>
          <t>Figure 3 labels BMI values in kg/m² as “weight”</t>
        </is>
      </c>
      <c r="X81" s="3" t="inlineStr">
        <is>
          <t>2025</t>
        </is>
      </c>
      <c r="Y81" s="3" t="inlineStr">
        <is>
          <t>meta_report/consistency_reclassification_2026-09-04/reclassified_candidates.json</t>
        </is>
      </c>
      <c r="Z81" s="3" t="inlineStr">
        <is>
          <t>S_W</t>
        </is>
      </c>
      <c r="AA81" s="3" t="inlineStr">
        <is>
          <t>internal_nonstatistical</t>
        </is>
      </c>
      <c r="AB81" s="3" t="inlineStr">
        <is>
          <t>retain</t>
        </is>
      </c>
    </row>
    <row r="82" ht="95" customHeight="1">
      <c r="A82" s="2" t="b">
        <v>0</v>
      </c>
      <c r="B82" s="2" t="inlineStr">
        <is>
          <t>Different comparisons within one results supplement; main age P=.01 corroborates possible global note, not another discrepancy.</t>
        </is>
      </c>
      <c r="C82" s="2" t="b">
        <v>0</v>
      </c>
      <c r="D82" s="2" t="inlineStr">
        <is>
          <t>Cross-document numeric inconsistency</t>
        </is>
      </c>
      <c r="E82" s="2" t="b">
        <v>0</v>
      </c>
      <c r="F82" s="2" t="inlineStr">
        <is>
          <t>C004</t>
        </is>
      </c>
      <c r="G82" s="2" t="inlineStr">
        <is>
          <t>2025::jama.2025.19563::C004</t>
        </is>
      </c>
      <c r="H82" s="2" t="inlineStr"/>
      <c r="I82" s="2" t="inlineStr">
        <is>
          <t>DOC-003 supplement — PDF p. 39; DOC-003 supplement — PDF p. 43; DOC-003 supplement — PDF p. 45; DOC-003 supplement — PDF p. 47; DOC-001 main article — PDF p. 6.</t>
        </is>
      </c>
      <c r="J82" s="2" t="b">
        <v>1</v>
      </c>
      <c r="K82" s="2" t="inlineStr">
        <is>
          <t>jama.2025.19563</t>
        </is>
      </c>
      <c r="L82" s="2" t="inlineStr"/>
      <c r="M82" s="2" t="inlineStr">
        <is>
          <t>S_W</t>
        </is>
      </c>
      <c r="N82" s="2"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82" s="2" t="inlineStr">
        <is>
          <t>../../2025/jama.2025.19563/.ai_paper_validation/final_report_1_5_1.html</t>
        </is>
      </c>
      <c r="P82" s="2" t="inlineStr">
        <is>
          <t>2025/jama.2025.19563/.ai_paper_validation/final_report_1_5_1.md</t>
        </is>
      </c>
      <c r="Q82" s="2" t="inlineStr">
        <is>
          <t>C004</t>
        </is>
      </c>
      <c r="R82" s="2" t="inlineStr">
        <is>
          <t>Pending Human Adjudication</t>
        </is>
      </c>
      <c r="S82" s="2" t="inlineStr">
        <is>
          <t>The same p = 0.014 age statement appears beneath tables with different displayed contrasts without a clear comparator label.</t>
        </is>
      </c>
      <c r="T82" s="2" t="b">
        <v>1</v>
      </c>
      <c r="U82" s="2" t="inlineStr">
        <is>
          <t>eTables 5-7 leave the comparator scope of a repeated age P value ambiguous</t>
        </is>
      </c>
      <c r="V82" s="2" t="inlineStr">
        <is>
          <t>internal_nonstatistical</t>
        </is>
      </c>
      <c r="W82" s="2" t="inlineStr">
        <is>
          <t>eTables 5-7 leave the comparator scope of a repeated age P value ambiguous</t>
        </is>
      </c>
      <c r="X82" s="2" t="inlineStr">
        <is>
          <t>2025</t>
        </is>
      </c>
      <c r="Y82" s="2" t="inlineStr">
        <is>
          <t>meta_report/consistency_reclassification_2026-09-04/reclassified_candidates.json</t>
        </is>
      </c>
      <c r="Z82" s="2" t="inlineStr">
        <is>
          <t>S_W</t>
        </is>
      </c>
      <c r="AA82" s="2" t="inlineStr">
        <is>
          <t>internal_nonstatistical</t>
        </is>
      </c>
      <c r="AB82" s="2" t="inlineStr">
        <is>
          <t>retain</t>
        </is>
      </c>
    </row>
    <row r="83" ht="95" customHeight="1">
      <c r="A83" s="3" t="b">
        <v>0</v>
      </c>
      <c r="B83" s="3" t="inlineStr"/>
      <c r="C83" s="3" t="b">
        <v>0</v>
      </c>
      <c r="D83" s="3" t="inlineStr">
        <is>
          <t>Statistical reporting inconsistency</t>
        </is>
      </c>
      <c r="E83" s="3" t="b">
        <v>0</v>
      </c>
      <c r="F83" s="3" t="inlineStr">
        <is>
          <t>C005</t>
        </is>
      </c>
      <c r="G83" s="3" t="inlineStr">
        <is>
          <t>2025::jama.2025.19563::C005</t>
        </is>
      </c>
      <c r="H83" s="3" t="inlineStr"/>
      <c r="I83" s="3" t="inlineStr">
        <is>
          <t>DOC-003 supplement — PDF p. 46; DOC-003 supplement — PDF p. 47.</t>
        </is>
      </c>
      <c r="J83" s="3" t="b">
        <v>0</v>
      </c>
      <c r="K83" s="3" t="inlineStr">
        <is>
          <t>jama.2025.19563</t>
        </is>
      </c>
      <c r="L83" s="3" t="inlineStr"/>
      <c r="M83" s="3" t="inlineStr">
        <is>
          <t>S_W</t>
        </is>
      </c>
      <c r="N83" s="3" t="inlineStr">
        <is>
          <t>Target is within one main article or one non-plan results supplement/workbook; no substantive plan comparison. The no-significance sentence and its parenthetical inequality versus the same page's stated inequality convention.</t>
        </is>
      </c>
      <c r="O83" s="3" t="inlineStr">
        <is>
          <t>../../2025/jama.2025.19563/.ai_paper_validation/final_report_1_5_1.html</t>
        </is>
      </c>
      <c r="P83" s="3" t="inlineStr">
        <is>
          <t>2025/jama.2025.19563/.ai_paper_validation/final_report_1_5_1.md</t>
        </is>
      </c>
      <c r="Q83" s="3" t="inlineStr">
        <is>
          <t>C005</t>
        </is>
      </c>
      <c r="R83" s="3" t="inlineStr">
        <is>
          <t>Pending Human Adjudication</t>
        </is>
      </c>
      <c r="S83" s="3" t="inlineStr">
        <is>
          <t>eTable 7's no-significance statement is paired with p&lt;0.05, while the same page uses p&gt;0.05 for similarity and p=.014 for a difference.</t>
        </is>
      </c>
      <c r="T83" s="3" t="b">
        <v>1</v>
      </c>
      <c r="U83" s="3" t="inlineStr">
        <is>
          <t>eTable 7 pairs “no statistically significant” with p&lt;0.05</t>
        </is>
      </c>
      <c r="V83" s="3" t="inlineStr">
        <is>
          <t>statistical_results</t>
        </is>
      </c>
      <c r="W83" s="3" t="inlineStr">
        <is>
          <t>eTable 7 pairs “no statistically significant” with p&lt;0.05</t>
        </is>
      </c>
      <c r="X83" s="3" t="inlineStr">
        <is>
          <t>2025</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Statistical reporting inconsistency</t>
        </is>
      </c>
      <c r="E84" s="2" t="b">
        <v>0</v>
      </c>
      <c r="F84" s="2" t="inlineStr">
        <is>
          <t>C006</t>
        </is>
      </c>
      <c r="G84" s="2" t="inlineStr">
        <is>
          <t>2025::jama.2025.19563::C006</t>
        </is>
      </c>
      <c r="H84" s="2" t="inlineStr"/>
      <c r="I84" s="2" t="inlineStr">
        <is>
          <t>DOC-003 supplement — PDF p. 29; DOC-003 supplement — PDF p. 52.</t>
        </is>
      </c>
      <c r="J84" s="2" t="b">
        <v>0</v>
      </c>
      <c r="K84" s="2" t="inlineStr">
        <is>
          <t>jama.2025.19563</t>
        </is>
      </c>
      <c r="L84" s="2" t="inlineStr"/>
      <c r="M84" s="2" t="inlineStr">
        <is>
          <t>S_W</t>
        </is>
      </c>
      <c r="N84" s="2" t="inlineStr">
        <is>
          <t>Target is within one main article or one non-plan results supplement/workbook; no substantive plan comparison. The named-test label for the same randomized-arm binary proportion comparison in two supplement locations.</t>
        </is>
      </c>
      <c r="O84" s="2" t="inlineStr">
        <is>
          <t>../../2025/jama.2025.19563/.ai_paper_validation/final_report_1_5_1.html</t>
        </is>
      </c>
      <c r="P84" s="2" t="inlineStr">
        <is>
          <t>2025/jama.2025.19563/.ai_paper_validation/final_report_1_5_1.md</t>
        </is>
      </c>
      <c r="Q84" s="2" t="inlineStr">
        <is>
          <t>C006</t>
        </is>
      </c>
      <c r="R84" s="2" t="inlineStr">
        <is>
          <t>Pending Human Adjudication</t>
        </is>
      </c>
      <c r="S84" s="2" t="inlineStr">
        <is>
          <t>The same binary arm comparison is described as chi-squared in the eTable 10 method text and Wilcoxon rank-sum in eTable 10b.</t>
        </is>
      </c>
      <c r="T84" s="2" t="b">
        <v>1</v>
      </c>
      <c r="U84" s="2" t="inlineStr">
        <is>
          <t>eTable 10b labels one comparison as both chi-squared and Wilcoxon rank-sum</t>
        </is>
      </c>
      <c r="V84" s="2" t="inlineStr">
        <is>
          <t>statistical_results</t>
        </is>
      </c>
      <c r="W84" s="2" t="inlineStr">
        <is>
          <t>eTable 10b labels one comparison as both chi-squared and Wilcoxon rank-sum</t>
        </is>
      </c>
      <c r="X84" s="2" t="inlineStr">
        <is>
          <t>2025</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c r="C85" s="3" t="b">
        <v>0</v>
      </c>
      <c r="D85" s="3" t="inlineStr">
        <is>
          <t>Statistical reporting inconsistency</t>
        </is>
      </c>
      <c r="E85" s="3" t="b">
        <v>0</v>
      </c>
      <c r="F85" s="3" t="inlineStr">
        <is>
          <t>C007</t>
        </is>
      </c>
      <c r="G85" s="3" t="inlineStr">
        <is>
          <t>2025::jama.2025.19563::C007</t>
        </is>
      </c>
      <c r="H85" s="3" t="inlineStr"/>
      <c r="I85" s="3" t="inlineStr">
        <is>
          <t>DOC-003 supplement — PDF p. 30; DOC-003 supplement — PDF p. 59.</t>
        </is>
      </c>
      <c r="J85" s="3" t="b">
        <v>0</v>
      </c>
      <c r="K85" s="3" t="inlineStr">
        <is>
          <t>jama.2025.19563</t>
        </is>
      </c>
      <c r="L85" s="3" t="inlineStr"/>
      <c r="M85" s="3" t="inlineStr">
        <is>
          <t>S_W</t>
        </is>
      </c>
      <c r="N85" s="3" t="inlineStr">
        <is>
          <t>Target is within one main article or one non-plan results supplement/workbook; no substantive plan comparison. The AI-minus-human risk-difference cell versus the direct subtraction of the displayed AI and human marginal percentages.</t>
        </is>
      </c>
      <c r="O85" s="3" t="inlineStr">
        <is>
          <t>../../2025/jama.2025.19563/.ai_paper_validation/final_report_1_5_1.html</t>
        </is>
      </c>
      <c r="P85" s="3" t="inlineStr">
        <is>
          <t>2025/jama.2025.19563/.ai_paper_validation/final_report_1_5_1.md</t>
        </is>
      </c>
      <c r="Q85" s="3" t="inlineStr">
        <is>
          <t>C007</t>
        </is>
      </c>
      <c r="R85" s="3" t="inlineStr">
        <is>
          <t>Pending Human Adjudication</t>
        </is>
      </c>
      <c r="S85" s="3" t="inlineStr">
        <is>
          <t>eTable 16 prints AI 32.2% and human 31.9% but an AI-minus-human risk difference of -1.1 percentage points.</t>
        </is>
      </c>
      <c r="T85" s="3" t="b">
        <v>1</v>
      </c>
      <c r="U85" s="3" t="inlineStr">
        <is>
          <t>MICE pooled percentages and printed risk difference have incompatible signs</t>
        </is>
      </c>
      <c r="V85" s="3" t="inlineStr">
        <is>
          <t>statistical_results</t>
        </is>
      </c>
      <c r="W85" s="3" t="inlineStr">
        <is>
          <t>MICE pooled percentages and printed risk difference have incompatible signs</t>
        </is>
      </c>
      <c r="X85" s="3" t="inlineStr">
        <is>
          <t>2025</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SAP log-rank statement supports interpretation; prose test is unnamed, so no demonstrated report-versus-plan method difference. Fixed-time versus survival tests can differ.</t>
        </is>
      </c>
      <c r="C86" s="2" t="b">
        <v>0</v>
      </c>
      <c r="D86" s="2" t="inlineStr">
        <is>
          <t>Cross-document numeric inconsistency</t>
        </is>
      </c>
      <c r="E86" s="2" t="b">
        <v>1</v>
      </c>
      <c r="F86" s="2" t="inlineStr">
        <is>
          <t>C001</t>
        </is>
      </c>
      <c r="G86" s="2" t="inlineStr">
        <is>
          <t>2025::jama.2025.19843::C001</t>
        </is>
      </c>
      <c r="H86" s="2" t="inlineStr"/>
      <c r="I86" s="2" t="inlineStr">
        <is>
          <t>DOC-001 — PDF p. 1 (abstract); DOC-001 — PDF p. 3 (statistical methods); DOC-001 — PDF p. 4 (Results and eFigure 2 cross-reference); DOC-003 — PDF p. 7 (planned mortality analysis); and DOC-004 — PDF p. 11 (Supplement 3 eFigure 2).</t>
        </is>
      </c>
      <c r="J86" s="2" t="b">
        <v>1</v>
      </c>
      <c r="K86" s="2" t="inlineStr">
        <is>
          <t>jama.2025.19843</t>
        </is>
      </c>
      <c r="L86" s="2" t="inlineStr"/>
      <c r="M86" s="2" t="inlineStr">
        <is>
          <t>S_C</t>
        </is>
      </c>
      <c r="N86" s="2"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86" s="2" t="inlineStr">
        <is>
          <t>../../2025/jama.2025.19843/.ai_paper_validation/final_report_1_5_1.html</t>
        </is>
      </c>
      <c r="P86" s="2" t="inlineStr">
        <is>
          <t>2025/jama.2025.19843/.ai_paper_validation/final_report_1_5_1.md</t>
        </is>
      </c>
      <c r="Q86" s="2" t="inlineStr">
        <is>
          <t>C001</t>
        </is>
      </c>
      <c r="R86" s="2" t="inlineStr">
        <is>
          <t>Pending Human Adjudication</t>
        </is>
      </c>
      <c r="S86" s="2"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86" s="2" t="b">
        <v>1</v>
      </c>
      <c r="U86" s="2" t="inlineStr">
        <is>
          <t>Conflicting printed P values for matched day-60 mortality result</t>
        </is>
      </c>
      <c r="V86" s="2" t="inlineStr">
        <is>
          <t>internal_nonstatistical</t>
        </is>
      </c>
      <c r="W86" s="2" t="inlineStr">
        <is>
          <t>Conflicting printed P values for matched day-60 mortality result</t>
        </is>
      </c>
      <c r="X86" s="2" t="inlineStr">
        <is>
          <t>2025</t>
        </is>
      </c>
      <c r="Y86" s="2" t="inlineStr">
        <is>
          <t>meta_report/consistency_reclassification_2026-09-04/reclassified_candidates.json</t>
        </is>
      </c>
      <c r="Z86" s="2" t="inlineStr">
        <is>
          <t>S_C</t>
        </is>
      </c>
      <c r="AA86" s="2" t="inlineStr">
        <is>
          <t>internal_nonstatistical</t>
        </is>
      </c>
      <c r="AB86" s="2" t="inlineStr">
        <is>
          <t>retain</t>
        </is>
      </c>
    </row>
    <row r="87" ht="95" customHeight="1">
      <c r="A87" s="3" t="b">
        <v>0</v>
      </c>
      <c r="B87" s="3" t="inlineStr"/>
      <c r="C87" s="3" t="b">
        <v>0</v>
      </c>
      <c r="D87" s="3" t="inlineStr">
        <is>
          <t>Numeric or arithmetic inconsistency</t>
        </is>
      </c>
      <c r="E87" s="3" t="b">
        <v>0</v>
      </c>
      <c r="F87" s="3" t="inlineStr">
        <is>
          <t>C001</t>
        </is>
      </c>
      <c r="G87" s="3" t="inlineStr">
        <is>
          <t>2025::jama.2025.20765::C001</t>
        </is>
      </c>
      <c r="H87" s="3" t="inlineStr"/>
      <c r="I87" s="3" t="inlineStr">
        <is>
          <t>DOC-001 main article — PDF p. 6, Table 2, continuous abstinence, self-reported only (ITT), adjusted RR.</t>
        </is>
      </c>
      <c r="J87" s="3" t="b">
        <v>0</v>
      </c>
      <c r="K87" s="3" t="inlineStr">
        <is>
          <t>jama.2025.20765</t>
        </is>
      </c>
      <c r="L87" s="3" t="inlineStr"/>
      <c r="M87" s="3" t="inlineStr">
        <is>
          <t>S_W</t>
        </is>
      </c>
      <c r="N87" s="3" t="inlineStr">
        <is>
          <t>Target is within one main article or one non-plan results supplement/workbook; no substantive plan comparison. Printed upper endpoint `42` versus the same-row estimate and companion interval context.</t>
        </is>
      </c>
      <c r="O87" s="3" t="inlineStr">
        <is>
          <t>../../2025/jama.2025.20765/.ai_paper_validation/final_report_1_5_1.html</t>
        </is>
      </c>
      <c r="P87" s="3" t="inlineStr">
        <is>
          <t>2025/jama.2025.20765/.ai_paper_validation/final_report_1_5_1.md</t>
        </is>
      </c>
      <c r="Q87" s="3" t="inlineStr">
        <is>
          <t>C001</t>
        </is>
      </c>
      <c r="R87" s="3" t="inlineStr">
        <is>
          <t>Pending Human Adjudication</t>
        </is>
      </c>
      <c r="S87" s="3" t="inlineStr">
        <is>
          <t>The printed adjusted self-reported abstinence RR interval has upper endpoint 42, an unusual interval field requiring confirmation against the fitted model output.</t>
        </is>
      </c>
      <c r="T87" s="3" t="b">
        <v>1</v>
      </c>
      <c r="U87" s="3" t="inlineStr">
        <is>
          <t>Adjusted self-reported abstinence interval endpoint printed as 42</t>
        </is>
      </c>
      <c r="V87" s="3" t="inlineStr">
        <is>
          <t>statistical_results</t>
        </is>
      </c>
      <c r="W87" s="3" t="inlineStr">
        <is>
          <t>Adjusted self-reported abstinence interval endpoint printed as 42</t>
        </is>
      </c>
      <c r="X87" s="3" t="inlineStr">
        <is>
          <t>2025</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All-cause main total corroborates cause-label issue, while explicitly disaggregated TB deaths come from results supplement.</t>
        </is>
      </c>
      <c r="C88" s="2" t="b">
        <v>0</v>
      </c>
      <c r="D88" s="2" t="inlineStr">
        <is>
          <t>Cross-document numeric inconsistency</t>
        </is>
      </c>
      <c r="E88" s="2" t="b">
        <v>1</v>
      </c>
      <c r="F88" s="2" t="inlineStr">
        <is>
          <t>C002</t>
        </is>
      </c>
      <c r="G88" s="2" t="inlineStr">
        <is>
          <t>2025::jama.2025.20765::C002</t>
        </is>
      </c>
      <c r="H88" s="2" t="inlineStr"/>
      <c r="I88" s="2" t="inlineStr">
        <is>
          <t>DOC-001 main article — PDF p. 8, Discussion; PDF p. 5 and PDF p. 6, Results/Table 2; DOC-003 Supplement 2 — PDF p. 6, eTable 4.</t>
        </is>
      </c>
      <c r="J88" s="2" t="b">
        <v>1</v>
      </c>
      <c r="K88" s="2" t="inlineStr">
        <is>
          <t>jama.2025.20765</t>
        </is>
      </c>
      <c r="L88" s="2" t="inlineStr"/>
      <c r="M88" s="2" t="inlineStr">
        <is>
          <t>S_C</t>
        </is>
      </c>
      <c r="N88" s="2" t="inlineStr">
        <is>
          <t>Target explicitly compares current main article and non-plan results supplement/workbook. 4.8% labelled TB deaths versus 52/1080 all-cause deaths and 32/1080 TB-cause deaths.</t>
        </is>
      </c>
      <c r="O88" s="2" t="inlineStr">
        <is>
          <t>../../2025/jama.2025.20765/.ai_paper_validation/final_report_1_5_1.html</t>
        </is>
      </c>
      <c r="P88" s="2" t="inlineStr">
        <is>
          <t>2025/jama.2025.20765/.ai_paper_validation/final_report_1_5_1.md</t>
        </is>
      </c>
      <c r="Q88" s="2" t="inlineStr">
        <is>
          <t>C002</t>
        </is>
      </c>
      <c r="R88" s="2" t="inlineStr">
        <is>
          <t>Pending Human Adjudication</t>
        </is>
      </c>
      <c r="S88" s="2" t="inlineStr">
        <is>
          <t>The discussion's 4.8% phrase “died of TB” matches the all-cause death total rather than the supplied TB-cause count.</t>
        </is>
      </c>
      <c r="T88" s="2" t="b">
        <v>1</v>
      </c>
      <c r="U88" s="2" t="inlineStr">
        <is>
          <t>Discussion labels the all-cause death percentage as TB deaths</t>
        </is>
      </c>
      <c r="V88" s="2" t="inlineStr">
        <is>
          <t>internal_nonstatistical</t>
        </is>
      </c>
      <c r="W88" s="2" t="inlineStr">
        <is>
          <t>Discussion labels the all-cause death percentage as TB deaths</t>
        </is>
      </c>
      <c r="X88" s="2" t="inlineStr">
        <is>
          <t>2025</t>
        </is>
      </c>
      <c r="Y88" s="2" t="inlineStr">
        <is>
          <t>meta_report/consistency_reclassification_2026-09-04/reclassified_candidates.json</t>
        </is>
      </c>
      <c r="Z88" s="2" t="inlineStr">
        <is>
          <t>S_C</t>
        </is>
      </c>
      <c r="AA88" s="2" t="inlineStr">
        <is>
          <t>internal_nonstatistical</t>
        </is>
      </c>
      <c r="AB88" s="2" t="inlineStr">
        <is>
          <t>retain</t>
        </is>
      </c>
    </row>
    <row r="89" ht="95" customHeight="1">
      <c r="A89" s="3" t="b">
        <v>0</v>
      </c>
      <c r="B89" s="3" t="inlineStr"/>
      <c r="C89" s="3" t="b">
        <v>1</v>
      </c>
      <c r="D89" s="3" t="inlineStr">
        <is>
          <t>Numeric or arithmetic inconsistency</t>
        </is>
      </c>
      <c r="E89" s="3" t="b">
        <v>0</v>
      </c>
      <c r="F89" s="3" t="inlineStr">
        <is>
          <t>C003</t>
        </is>
      </c>
      <c r="G89" s="3" t="inlineStr">
        <is>
          <t>2025::jama.2025.20765::C003</t>
        </is>
      </c>
      <c r="H89" s="3" t="inlineStr"/>
      <c r="I89" s="3" t="inlineStr">
        <is>
          <t>DOC-002 Supplement 1 — PDF p. 16.</t>
        </is>
      </c>
      <c r="J89" s="3" t="b">
        <v>0</v>
      </c>
      <c r="K89" s="3" t="inlineStr">
        <is>
          <t>jama.2025.20765</t>
        </is>
      </c>
      <c r="L89" s="3" t="inlineStr"/>
      <c r="M89" s="3" t="inlineStr">
        <is>
          <t>P_P</t>
        </is>
      </c>
      <c r="N89" s="3" t="inlineStr">
        <is>
          <t>Target is internal to protocol/SAP definitions, calculations, or plan versions; final results are not the conflicting comparator. Printed total 178 versus the schedule's conservative minimum.</t>
        </is>
      </c>
      <c r="O89" s="3" t="inlineStr">
        <is>
          <t>../../2025/jama.2025.20765/.ai_paper_validation/final_report_1_5_1.html</t>
        </is>
      </c>
      <c r="P89" s="3" t="inlineStr">
        <is>
          <t>2025/jama.2025.20765/.ai_paper_validation/final_report_1_5_1.md</t>
        </is>
      </c>
      <c r="Q89" s="3" t="inlineStr">
        <is>
          <t>C003</t>
        </is>
      </c>
      <c r="R89" s="3" t="inlineStr">
        <is>
          <t>Pending Human Adjudication</t>
        </is>
      </c>
      <c r="S89" s="3" t="inlineStr">
        <is>
          <t>A six-month plan states 178 SMS but its own minimum printed schedule exceeds that total.</t>
        </is>
      </c>
      <c r="T89" s="3" t="b">
        <v>0</v>
      </c>
      <c r="U89" s="3" t="inlineStr">
        <is>
          <t>178-message total conflicts with its printed frequency schedule</t>
        </is>
      </c>
      <c r="V89" s="3" t="inlineStr">
        <is>
          <t>plan_material</t>
        </is>
      </c>
      <c r="W89" s="3" t="inlineStr">
        <is>
          <t>178-message total conflicts with its printed frequency schedule</t>
        </is>
      </c>
      <c r="X89" s="3" t="inlineStr">
        <is>
          <t>2025</t>
        </is>
      </c>
      <c r="Y89" s="3" t="inlineStr">
        <is>
          <t>meta_report/consistency_reclassification_2026-09-04/reclassified_candidates.json</t>
        </is>
      </c>
      <c r="Z89" s="3" t="inlineStr">
        <is>
          <t>P_P</t>
        </is>
      </c>
      <c r="AA89" s="3" t="inlineStr">
        <is>
          <t>plan_material</t>
        </is>
      </c>
      <c r="AB89" s="3" t="inlineStr">
        <is>
          <t>retain</t>
        </is>
      </c>
    </row>
    <row r="90" ht="95" customHeight="1">
      <c r="A90" s="2" t="b">
        <v>0</v>
      </c>
      <c r="B90" s="2" t="inlineStr"/>
      <c r="C90" s="2" t="b">
        <v>1</v>
      </c>
      <c r="D90" s="2" t="inlineStr">
        <is>
          <t>Cross-document numeric inconsistency</t>
        </is>
      </c>
      <c r="E90" s="2" t="b">
        <v>0</v>
      </c>
      <c r="F90" s="2" t="inlineStr">
        <is>
          <t>C004</t>
        </is>
      </c>
      <c r="G90" s="2" t="inlineStr">
        <is>
          <t>2025::jama.2025.20765::C004</t>
        </is>
      </c>
      <c r="H90" s="2" t="inlineStr"/>
      <c r="I90" s="2" t="inlineStr">
        <is>
          <t>DOC-002 Supplement 1 — PDF p. 10 and PDF p. 26.</t>
        </is>
      </c>
      <c r="J90" s="2" t="b">
        <v>1</v>
      </c>
      <c r="K90" s="2" t="inlineStr">
        <is>
          <t>jama.2025.20765</t>
        </is>
      </c>
      <c r="L90" s="2" t="inlineStr"/>
      <c r="M90" s="2" t="inlineStr">
        <is>
          <t>P_P</t>
        </is>
      </c>
      <c r="N90" s="2" t="inlineStr">
        <is>
          <t>Target is internal to protocol/SAP definitions, calculations, or plan versions; final results are not the conflicting comparator. 44 versus 48 sites for the same printed plan.</t>
        </is>
      </c>
      <c r="O90" s="2" t="inlineStr">
        <is>
          <t>../../2025/jama.2025.20765/.ai_paper_validation/final_report_1_5_1.html</t>
        </is>
      </c>
      <c r="P90" s="2" t="inlineStr">
        <is>
          <t>2025/jama.2025.20765/.ai_paper_validation/final_report_1_5_1.md</t>
        </is>
      </c>
      <c r="Q90" s="2" t="inlineStr">
        <is>
          <t>C004</t>
        </is>
      </c>
      <c r="R90" s="2" t="inlineStr">
        <is>
          <t>Pending Human Adjudication</t>
        </is>
      </c>
      <c r="S90" s="2" t="inlineStr">
        <is>
          <t>Matched repeated plan text gives 44 facilities in one location and 48 clinics in another.</t>
        </is>
      </c>
      <c r="T90" s="2" t="b">
        <v>0</v>
      </c>
      <c r="U90" s="2" t="inlineStr">
        <is>
          <t>Repeated 2,384-participant plan names 44 and 48 facilities</t>
        </is>
      </c>
      <c r="V90" s="2" t="inlineStr">
        <is>
          <t>plan_material</t>
        </is>
      </c>
      <c r="W90" s="2" t="inlineStr">
        <is>
          <t>Repeated 2,384-participant plan names 44 and 48 facilities</t>
        </is>
      </c>
      <c r="X90" s="2" t="inlineStr">
        <is>
          <t>2025</t>
        </is>
      </c>
      <c r="Y90" s="2" t="inlineStr">
        <is>
          <t>meta_report/consistency_reclassification_2026-09-04/reclassified_candidates.json</t>
        </is>
      </c>
      <c r="Z90" s="2" t="inlineStr">
        <is>
          <t>P_P</t>
        </is>
      </c>
      <c r="AA90" s="2" t="inlineStr">
        <is>
          <t>plan_material</t>
        </is>
      </c>
      <c r="AB90" s="2" t="inlineStr">
        <is>
          <t>retain</t>
        </is>
      </c>
    </row>
    <row r="91" ht="95" customHeight="1">
      <c r="A91" s="3" t="b">
        <v>0</v>
      </c>
      <c r="B91" s="3" t="inlineStr"/>
      <c r="C91" s="3" t="b">
        <v>1</v>
      </c>
      <c r="D91" s="3" t="inlineStr">
        <is>
          <t>Numeric or arithmetic inconsistency</t>
        </is>
      </c>
      <c r="E91" s="3" t="b">
        <v>0</v>
      </c>
      <c r="F91" s="3" t="inlineStr">
        <is>
          <t>C005</t>
        </is>
      </c>
      <c r="G91" s="3" t="inlineStr">
        <is>
          <t>2025::jama.2025.20765::C005</t>
        </is>
      </c>
      <c r="H91" s="3" t="inlineStr"/>
      <c r="I91" s="3" t="inlineStr">
        <is>
          <t>DOC-002 Supplement 1 — PDF p. 53.</t>
        </is>
      </c>
      <c r="J91" s="3" t="b">
        <v>0</v>
      </c>
      <c r="K91" s="3" t="inlineStr">
        <is>
          <t>jama.2025.20765</t>
        </is>
      </c>
      <c r="L91" s="3" t="inlineStr"/>
      <c r="M91" s="3" t="inlineStr">
        <is>
          <t>P_P</t>
        </is>
      </c>
      <c r="N91" s="3" t="inlineStr">
        <is>
          <t>Target is internal to protocol/SAP definitions, calculations, or plan versions; final results are not the conflicting comparator. Printed total 134 versus schedule minimum.</t>
        </is>
      </c>
      <c r="O91" s="3" t="inlineStr">
        <is>
          <t>../../2025/jama.2025.20765/.ai_paper_validation/final_report_1_5_1.html</t>
        </is>
      </c>
      <c r="P91" s="3" t="inlineStr">
        <is>
          <t>2025/jama.2025.20765/.ai_paper_validation/final_report_1_5_1.md</t>
        </is>
      </c>
      <c r="Q91" s="3" t="inlineStr">
        <is>
          <t>C005</t>
        </is>
      </c>
      <c r="R91" s="3" t="inlineStr">
        <is>
          <t>Pending Human Adjudication</t>
        </is>
      </c>
      <c r="S91" s="3" t="inlineStr">
        <is>
          <t>A 134-message six-month statement conflicts with the minimum implied by its printed schedule.</t>
        </is>
      </c>
      <c r="T91" s="3" t="b">
        <v>0</v>
      </c>
      <c r="U91" s="3" t="inlineStr">
        <is>
          <t>134-message total conflicts with its printed frequency schedule</t>
        </is>
      </c>
      <c r="V91" s="3" t="inlineStr">
        <is>
          <t>plan_material</t>
        </is>
      </c>
      <c r="W91" s="3" t="inlineStr">
        <is>
          <t>134-message total conflicts with its printed frequency schedule</t>
        </is>
      </c>
      <c r="X91" s="3" t="inlineStr">
        <is>
          <t>2025</t>
        </is>
      </c>
      <c r="Y91" s="3" t="inlineStr">
        <is>
          <t>meta_report/consistency_reclassification_2026-09-04/reclassified_candidates.json</t>
        </is>
      </c>
      <c r="Z91" s="3" t="inlineStr">
        <is>
          <t>P_P</t>
        </is>
      </c>
      <c r="AA91" s="3" t="inlineStr">
        <is>
          <t>plan_material</t>
        </is>
      </c>
      <c r="AB91" s="3" t="inlineStr">
        <is>
          <t>retain</t>
        </is>
      </c>
    </row>
    <row r="92" ht="95" customHeight="1">
      <c r="A92" s="2" t="b">
        <v>0</v>
      </c>
      <c r="B92" s="2" t="inlineStr"/>
      <c r="C92" s="2" t="b">
        <v>1</v>
      </c>
      <c r="D92" s="2" t="inlineStr">
        <is>
          <t>Measure, label, or scale inconsistency</t>
        </is>
      </c>
      <c r="E92" s="2" t="b">
        <v>0</v>
      </c>
      <c r="F92" s="2" t="inlineStr">
        <is>
          <t>C006</t>
        </is>
      </c>
      <c r="G92" s="2" t="inlineStr">
        <is>
          <t>2025::jama.2025.20765::C006</t>
        </is>
      </c>
      <c r="H92" s="2" t="inlineStr"/>
      <c r="I92" s="2" t="inlineStr">
        <is>
          <t>DOC-002 Supplement 1 — PDF p. 55.</t>
        </is>
      </c>
      <c r="J92" s="2" t="b">
        <v>0</v>
      </c>
      <c r="K92" s="2" t="inlineStr">
        <is>
          <t>jama.2025.20765</t>
        </is>
      </c>
      <c r="L92" s="2" t="inlineStr"/>
      <c r="M92" s="2" t="inlineStr">
        <is>
          <t>P_P</t>
        </is>
      </c>
      <c r="N92" s="2" t="inlineStr">
        <is>
          <t>Target is internal to protocol/SAP definitions, calculations, or plan versions; final results are not the conflicting comparator. 30% header versus 20%/100% phase-specific calculation.</t>
        </is>
      </c>
      <c r="O92" s="2" t="inlineStr">
        <is>
          <t>../../2025/jama.2025.20765/.ai_paper_validation/final_report_1_5_1.html</t>
        </is>
      </c>
      <c r="P92" s="2" t="inlineStr">
        <is>
          <t>2025/jama.2025.20765/.ai_paper_validation/final_report_1_5_1.md</t>
        </is>
      </c>
      <c r="Q92" s="2" t="inlineStr">
        <is>
          <t>C006</t>
        </is>
      </c>
      <c r="R92" s="2" t="inlineStr">
        <is>
          <t>Pending Human Adjudication</t>
        </is>
      </c>
      <c r="S92" s="2" t="inlineStr">
        <is>
          <t>A TAM sampling header says 30%, while contemporaneous phase-specific narrative and equations show 20% Phase 3 and all Phase 4 participants.</t>
        </is>
      </c>
      <c r="T92" s="2" t="b">
        <v>0</v>
      </c>
      <c r="U92" s="2" t="inlineStr">
        <is>
          <t>TAM sampling header conflicts with contemporaneous narrative and equations</t>
        </is>
      </c>
      <c r="V92" s="2" t="inlineStr">
        <is>
          <t>plan_material</t>
        </is>
      </c>
      <c r="W92" s="2" t="inlineStr">
        <is>
          <t>TAM sampling header conflicts with contemporaneous narrative and equations</t>
        </is>
      </c>
      <c r="X92" s="2" t="inlineStr">
        <is>
          <t>2025</t>
        </is>
      </c>
      <c r="Y92" s="2" t="inlineStr">
        <is>
          <t>meta_report/consistency_reclassification_2026-09-04/reclassified_candidates.json</t>
        </is>
      </c>
      <c r="Z92" s="2" t="inlineStr">
        <is>
          <t>P_P</t>
        </is>
      </c>
      <c r="AA92" s="2" t="inlineStr">
        <is>
          <t>plan_material</t>
        </is>
      </c>
      <c r="AB92" s="2" t="inlineStr">
        <is>
          <t>retain</t>
        </is>
      </c>
    </row>
    <row r="93" ht="95" customHeight="1">
      <c r="A93" s="3" t="b">
        <v>0</v>
      </c>
      <c r="B93" s="3" t="inlineStr"/>
      <c r="C93" s="3" t="b">
        <v>1</v>
      </c>
      <c r="D93" s="3" t="inlineStr">
        <is>
          <t>Cross-document numeric inconsistency</t>
        </is>
      </c>
      <c r="E93" s="3" t="b">
        <v>0</v>
      </c>
      <c r="F93" s="3" t="inlineStr">
        <is>
          <t>C007</t>
        </is>
      </c>
      <c r="G93" s="3" t="inlineStr">
        <is>
          <t>2025::jama.2025.20765::C007</t>
        </is>
      </c>
      <c r="H93" s="3" t="inlineStr"/>
      <c r="I93" s="3" t="inlineStr">
        <is>
          <t>DOC-002 Supplement 1 — PDF p. 48, PDF p. 51, PDF p. 52, and PDF p. 62.</t>
        </is>
      </c>
      <c r="J93" s="3" t="b">
        <v>1</v>
      </c>
      <c r="K93" s="3" t="inlineStr">
        <is>
          <t>jama.2025.20765</t>
        </is>
      </c>
      <c r="L93" s="3" t="inlineStr"/>
      <c r="M93" s="3" t="inlineStr">
        <is>
          <t>P_P</t>
        </is>
      </c>
      <c r="N93" s="3" t="inlineStr">
        <is>
          <t>Target is internal to protocol/SAP definitions, calculations, or plan versions; final results are not the conflicting comparator. Same plan total with 48/~50 versus 63/~43.</t>
        </is>
      </c>
      <c r="O93" s="3" t="inlineStr">
        <is>
          <t>../../2025/jama.2025.20765/.ai_paper_validation/final_report_1_5_1.html</t>
        </is>
      </c>
      <c r="P93" s="3" t="inlineStr">
        <is>
          <t>2025/jama.2025.20765/.ai_paper_validation/final_report_1_5_1.md</t>
        </is>
      </c>
      <c r="Q93" s="3" t="inlineStr">
        <is>
          <t>C007</t>
        </is>
      </c>
      <c r="R93" s="3" t="inlineStr">
        <is>
          <t>Pending Human Adjudication</t>
        </is>
      </c>
      <c r="S93" s="3" t="inlineStr">
        <is>
          <t>A later 2,716-participant plan presents 48 clinics and approximately 50 recruits per clinic, while related text and diagram present 63 sites and approximately 43 per site.</t>
        </is>
      </c>
      <c r="T93" s="3" t="b">
        <v>0</v>
      </c>
      <c r="U93" s="3" t="inlineStr">
        <is>
          <t>Later 2,716-participant plan gives 48 clinics versus a 63-site diagram</t>
        </is>
      </c>
      <c r="V93" s="3" t="inlineStr">
        <is>
          <t>plan_material</t>
        </is>
      </c>
      <c r="W93" s="3" t="inlineStr">
        <is>
          <t>Later 2,716-participant plan gives 48 clinics versus a 63-site diagram</t>
        </is>
      </c>
      <c r="X93" s="3" t="inlineStr">
        <is>
          <t>2025</t>
        </is>
      </c>
      <c r="Y93" s="3" t="inlineStr">
        <is>
          <t>meta_report/consistency_reclassification_2026-09-04/reclassified_candidates.json</t>
        </is>
      </c>
      <c r="Z93" s="3" t="inlineStr">
        <is>
          <t>P_P</t>
        </is>
      </c>
      <c r="AA93" s="3" t="inlineStr">
        <is>
          <t>plan_material</t>
        </is>
      </c>
      <c r="AB93" s="3" t="inlineStr">
        <is>
          <t>retain</t>
        </is>
      </c>
    </row>
    <row r="94" ht="95" customHeight="1">
      <c r="A94" s="2" t="b">
        <v>0</v>
      </c>
      <c r="B94" s="2" t="inlineStr"/>
      <c r="C94" s="2" t="b">
        <v>1</v>
      </c>
      <c r="D94" s="2" t="inlineStr">
        <is>
          <t>Numeric or arithmetic inconsistency</t>
        </is>
      </c>
      <c r="E94" s="2" t="b">
        <v>0</v>
      </c>
      <c r="F94" s="2" t="inlineStr">
        <is>
          <t>C008</t>
        </is>
      </c>
      <c r="G94" s="2" t="inlineStr">
        <is>
          <t>2025::jama.2025.20765::C008</t>
        </is>
      </c>
      <c r="H94" s="2" t="inlineStr"/>
      <c r="I94" s="2" t="inlineStr">
        <is>
          <t>DOC-002 Supplement 1 — PDF p. 64.</t>
        </is>
      </c>
      <c r="J94" s="2" t="b">
        <v>0</v>
      </c>
      <c r="K94" s="2" t="inlineStr">
        <is>
          <t>jama.2025.20765</t>
        </is>
      </c>
      <c r="L94" s="2" t="inlineStr"/>
      <c r="M94" s="2" t="inlineStr">
        <is>
          <t>P_P</t>
        </is>
      </c>
      <c r="N94" s="2" t="inlineStr">
        <is>
          <t>Target is internal to protocol/SAP definitions, calculations, or plan versions; final results are not the conflicting comparator. Displayed `1036×1.56=1620` versus exact product and the separate site-target total.</t>
        </is>
      </c>
      <c r="O94" s="2" t="inlineStr">
        <is>
          <t>../../2025/jama.2025.20765/.ai_paper_validation/final_report_1_5_1.html</t>
        </is>
      </c>
      <c r="P94" s="2" t="inlineStr">
        <is>
          <t>2025/jama.2025.20765/.ai_paper_validation/final_report_1_5_1.md</t>
        </is>
      </c>
      <c r="Q94" s="2" t="inlineStr">
        <is>
          <t>C008</t>
        </is>
      </c>
      <c r="R94" s="2" t="inlineStr">
        <is>
          <t>Pending Human Adjudication</t>
        </is>
      </c>
      <c r="S94" s="2" t="inlineStr">
        <is>
          <t>A Phase-4 display equates 1,036 multiplied by 1.56 to 1,620, although the exact product differs.</t>
        </is>
      </c>
      <c r="T94" s="2" t="b">
        <v>0</v>
      </c>
      <c r="U94" s="2" t="inlineStr">
        <is>
          <t>Phase-4 design-effect equality does not reproduce from printed inputs</t>
        </is>
      </c>
      <c r="V94" s="2" t="inlineStr">
        <is>
          <t>plan_material</t>
        </is>
      </c>
      <c r="W94" s="2" t="inlineStr">
        <is>
          <t>Phase-4 design-effect equality does not reproduce from printed inputs</t>
        </is>
      </c>
      <c r="X94" s="2" t="inlineStr">
        <is>
          <t>2025</t>
        </is>
      </c>
      <c r="Y94" s="2" t="inlineStr">
        <is>
          <t>meta_report/consistency_reclassification_2026-09-04/reclassified_candidates.json</t>
        </is>
      </c>
      <c r="Z94" s="2" t="inlineStr">
        <is>
          <t>P_P</t>
        </is>
      </c>
      <c r="AA94" s="2" t="inlineStr">
        <is>
          <t>plan_material</t>
        </is>
      </c>
      <c r="AB94" s="2" t="inlineStr">
        <is>
          <t>retain</t>
        </is>
      </c>
    </row>
    <row r="95" ht="95" customHeight="1">
      <c r="A95" s="3" t="b">
        <v>0</v>
      </c>
      <c r="B95" s="3" t="inlineStr"/>
      <c r="C95" s="3" t="b">
        <v>1</v>
      </c>
      <c r="D95" s="3" t="inlineStr">
        <is>
          <t>Measure, label, or scale inconsistency</t>
        </is>
      </c>
      <c r="E95" s="3" t="b">
        <v>0</v>
      </c>
      <c r="F95" s="3" t="inlineStr">
        <is>
          <t>C009</t>
        </is>
      </c>
      <c r="G95" s="3" t="inlineStr">
        <is>
          <t>2025::jama.2025.20765::C009</t>
        </is>
      </c>
      <c r="H95" s="3" t="inlineStr"/>
      <c r="I95" s="3" t="inlineStr">
        <is>
          <t>DOC-002 Supplement 1 — PDF p. 64.</t>
        </is>
      </c>
      <c r="J95" s="3" t="b">
        <v>0</v>
      </c>
      <c r="K95" s="3" t="inlineStr">
        <is>
          <t>jama.2025.20765</t>
        </is>
      </c>
      <c r="L95" s="3" t="inlineStr"/>
      <c r="M95" s="3" t="inlineStr">
        <is>
          <t>P_P</t>
        </is>
      </c>
      <c r="N95" s="3" t="inlineStr">
        <is>
          <t>Target is internal to protocol/SAP definitions, calculations, or plan versions; final results are not the conflicting comparator. Phase-3/Superiority label versus local Phase-4/noninferiority plan.</t>
        </is>
      </c>
      <c r="O95" s="3" t="inlineStr">
        <is>
          <t>../../2025/jama.2025.20765/.ai_paper_validation/final_report_1_5_1.html</t>
        </is>
      </c>
      <c r="P95" s="3" t="inlineStr">
        <is>
          <t>2025/jama.2025.20765/.ai_paper_validation/final_report_1_5_1.md</t>
        </is>
      </c>
      <c r="Q95" s="3" t="inlineStr">
        <is>
          <t>C009</t>
        </is>
      </c>
      <c r="R95" s="3" t="inlineStr">
        <is>
          <t>Pending Human Adjudication</t>
        </is>
      </c>
      <c r="S95" s="3" t="inlineStr">
        <is>
          <t>A diagram within a Phase-4 noninferiority section is labelled “Phase 3 (Superiority trial).”</t>
        </is>
      </c>
      <c r="T95" s="3" t="b">
        <v>0</v>
      </c>
      <c r="U95" s="3" t="inlineStr">
        <is>
          <t>Phase-4 diagram is labelled Phase 3/Superiority</t>
        </is>
      </c>
      <c r="V95" s="3" t="inlineStr">
        <is>
          <t>plan_material</t>
        </is>
      </c>
      <c r="W95" s="3" t="inlineStr">
        <is>
          <t>Phase-4 diagram is labelled Phase 3/Superiority</t>
        </is>
      </c>
      <c r="X95" s="3" t="inlineStr">
        <is>
          <t>2025</t>
        </is>
      </c>
      <c r="Y95" s="3" t="inlineStr">
        <is>
          <t>meta_report/consistency_reclassification_2026-09-04/reclassified_candidates.json</t>
        </is>
      </c>
      <c r="Z95" s="3" t="inlineStr">
        <is>
          <t>P_P</t>
        </is>
      </c>
      <c r="AA95" s="3" t="inlineStr">
        <is>
          <t>plan_material</t>
        </is>
      </c>
      <c r="AB95" s="3" t="inlineStr">
        <is>
          <t>retain</t>
        </is>
      </c>
    </row>
    <row r="96" ht="95" customHeight="1">
      <c r="A96" s="2" t="b">
        <v>0</v>
      </c>
      <c r="B96" s="2" t="inlineStr"/>
      <c r="C96" s="2" t="b">
        <v>1</v>
      </c>
      <c r="D96" s="2" t="inlineStr">
        <is>
          <t>Statistical reporting inconsistency</t>
        </is>
      </c>
      <c r="E96" s="2" t="b">
        <v>0</v>
      </c>
      <c r="F96" s="2" t="inlineStr">
        <is>
          <t>C010</t>
        </is>
      </c>
      <c r="G96" s="2" t="inlineStr">
        <is>
          <t>2025::jama.2025.20765::C010</t>
        </is>
      </c>
      <c r="H96" s="2" t="inlineStr"/>
      <c r="I96" s="2" t="inlineStr">
        <is>
          <t>DOC-002 Supplement 1 — PDF p. 63 and PDF p. 83.</t>
        </is>
      </c>
      <c r="J96" s="2" t="b">
        <v>0</v>
      </c>
      <c r="K96" s="2" t="inlineStr">
        <is>
          <t>jama.2025.20765</t>
        </is>
      </c>
      <c r="L96" s="2" t="inlineStr"/>
      <c r="M96" s="2" t="inlineStr">
        <is>
          <t>P_P</t>
        </is>
      </c>
      <c r="N96" s="2" t="inlineStr">
        <is>
          <t>Target is internal to protocol/SAP definitions, calculations, or plan versions; final results are not the conflicting comparator. `704×1.50≈1080` and “effective sample size” versus exact multiplication and the independent `27×40=1080` cluster allocation.</t>
        </is>
      </c>
      <c r="O96" s="2" t="inlineStr">
        <is>
          <t>../../2025/jama.2025.20765/.ai_paper_validation/final_report_1_5_1.html</t>
        </is>
      </c>
      <c r="P96" s="2" t="inlineStr">
        <is>
          <t>2025/jama.2025.20765/.ai_paper_validation/final_report_1_5_1.md</t>
        </is>
      </c>
      <c r="Q96" s="2" t="inlineStr">
        <is>
          <t>C010</t>
        </is>
      </c>
      <c r="R96" s="2" t="inlineStr">
        <is>
          <t>Pending Human Adjudication</t>
        </is>
      </c>
      <c r="S96" s="2" t="inlineStr">
        <is>
          <t>A Phase-3 display reports 704×1.50≈1080 and calls it effective sample size without documenting the cluster-rounding/allocation transition or terminology.</t>
        </is>
      </c>
      <c r="T96" s="2" t="b">
        <v>0</v>
      </c>
      <c r="U96" s="2" t="inlineStr">
        <is>
          <t>Phase-3 design-effect display gives undocumented 1,080 effective sample size</t>
        </is>
      </c>
      <c r="V96" s="2" t="inlineStr">
        <is>
          <t>plan_material</t>
        </is>
      </c>
      <c r="W96" s="2" t="inlineStr">
        <is>
          <t>Phase-3 design-effect display gives undocumented 1,080 effective sample size</t>
        </is>
      </c>
      <c r="X96" s="2" t="inlineStr">
        <is>
          <t>2025</t>
        </is>
      </c>
      <c r="Y96" s="2" t="inlineStr">
        <is>
          <t>meta_report/consistency_reclassification_2026-09-04/reclassified_candidates.json</t>
        </is>
      </c>
      <c r="Z96" s="2" t="inlineStr">
        <is>
          <t>P_P</t>
        </is>
      </c>
      <c r="AA96" s="2" t="inlineStr">
        <is>
          <t>plan_material</t>
        </is>
      </c>
      <c r="AB96" s="2" t="inlineStr">
        <is>
          <t>retain</t>
        </is>
      </c>
    </row>
    <row r="97" ht="95" customHeight="1">
      <c r="A97" s="3" t="b">
        <v>0</v>
      </c>
      <c r="B97" s="3" t="inlineStr"/>
      <c r="C97" s="3" t="b">
        <v>1</v>
      </c>
      <c r="D97" s="3" t="inlineStr">
        <is>
          <t>Measure, label, or scale inconsistency</t>
        </is>
      </c>
      <c r="E97" s="3" t="b">
        <v>0</v>
      </c>
      <c r="F97" s="3" t="inlineStr">
        <is>
          <t>C011</t>
        </is>
      </c>
      <c r="G97" s="3" t="inlineStr">
        <is>
          <t>2025::jama.2025.20765::C011</t>
        </is>
      </c>
      <c r="H97" s="3" t="inlineStr"/>
      <c r="I97" s="3" t="inlineStr">
        <is>
          <t>DOC-002 Supplement 1 — PDF p. 85.</t>
        </is>
      </c>
      <c r="J97" s="3" t="b">
        <v>0</v>
      </c>
      <c r="K97" s="3" t="inlineStr">
        <is>
          <t>jama.2025.20765</t>
        </is>
      </c>
      <c r="L97" s="3" t="inlineStr"/>
      <c r="M97" s="3" t="inlineStr">
        <is>
          <t>P_P</t>
        </is>
      </c>
      <c r="N97" s="3" t="inlineStr">
        <is>
          <t>Target is internal to protocol/SAP definitions, calculations, or plan versions; final results are not the conflicting comparator. Printed 5-35 range versus the stated five-domain 5-point description.</t>
        </is>
      </c>
      <c r="O97" s="3" t="inlineStr">
        <is>
          <t>../../2025/jama.2025.20765/.ai_paper_validation/final_report_1_5_1.html</t>
        </is>
      </c>
      <c r="P97" s="3" t="inlineStr">
        <is>
          <t>2025/jama.2025.20765/.ai_paper_validation/final_report_1_5_1.md</t>
        </is>
      </c>
      <c r="Q97" s="3" t="inlineStr">
        <is>
          <t>C011</t>
        </is>
      </c>
      <c r="R97" s="3" t="inlineStr">
        <is>
          <t>Pending Human Adjudication</t>
        </is>
      </c>
      <c r="S97" s="3" t="inlineStr">
        <is>
          <t>The MPSS description names five 5-point domains but gives a summed 5-35 range without explaining the scoring rule.</t>
        </is>
      </c>
      <c r="T97" s="3" t="b">
        <v>0</v>
      </c>
      <c r="U97" s="3" t="inlineStr">
        <is>
          <t>MPSS score range conflicts with stated item scale</t>
        </is>
      </c>
      <c r="V97" s="3" t="inlineStr">
        <is>
          <t>plan_material</t>
        </is>
      </c>
      <c r="W97" s="3" t="inlineStr">
        <is>
          <t>MPSS score range conflicts with stated item scale</t>
        </is>
      </c>
      <c r="X97" s="3" t="inlineStr">
        <is>
          <t>2025</t>
        </is>
      </c>
      <c r="Y97" s="3" t="inlineStr">
        <is>
          <t>meta_report/consistency_reclassification_2026-09-04/reclassified_candidates.json</t>
        </is>
      </c>
      <c r="Z97" s="3" t="inlineStr">
        <is>
          <t>P_P</t>
        </is>
      </c>
      <c r="AA97" s="3" t="inlineStr">
        <is>
          <t>plan_material</t>
        </is>
      </c>
      <c r="AB97" s="3" t="inlineStr">
        <is>
          <t>retain</t>
        </is>
      </c>
    </row>
    <row r="98" ht="95" customHeight="1">
      <c r="A98" s="2" t="b">
        <v>0</v>
      </c>
      <c r="B98" s="2" t="inlineStr"/>
      <c r="C98" s="2" t="b">
        <v>0</v>
      </c>
      <c r="D98" s="2" t="inlineStr">
        <is>
          <t>Rate-versus-count inconsistency</t>
        </is>
      </c>
      <c r="E98" s="2" t="b">
        <v>0</v>
      </c>
      <c r="F98" s="2" t="inlineStr">
        <is>
          <t>C012</t>
        </is>
      </c>
      <c r="G98" s="2" t="inlineStr">
        <is>
          <t>2025::jama.2025.20765::C012</t>
        </is>
      </c>
      <c r="H98" s="2" t="inlineStr"/>
      <c r="I98" s="2" t="inlineStr">
        <is>
          <t>DOC-003 Supplement 2 — PDF p. 8, eTable 5; PDF p. 9, eTable 6.</t>
        </is>
      </c>
      <c r="J98" s="2" t="b">
        <v>0</v>
      </c>
      <c r="K98" s="2" t="inlineStr">
        <is>
          <t>jama.2025.20765</t>
        </is>
      </c>
      <c r="L98" s="2" t="inlineStr"/>
      <c r="M98" s="2" t="inlineStr">
        <is>
          <t>S_W</t>
        </is>
      </c>
      <c r="N98" s="2" t="inlineStr">
        <is>
          <t>Target is within one main article or one non-plan results supplement/workbook; no substantive plan comparison. 5 deaths (7.5%) versus matched same-site 40-person recruitment/ITT denominator.</t>
        </is>
      </c>
      <c r="O98" s="2" t="inlineStr">
        <is>
          <t>../../2025/jama.2025.20765/.ai_paper_validation/final_report_1_5_1.html</t>
        </is>
      </c>
      <c r="P98" s="2" t="inlineStr">
        <is>
          <t>2025/jama.2025.20765/.ai_paper_validation/final_report_1_5_1.md</t>
        </is>
      </c>
      <c r="Q98" s="2" t="inlineStr">
        <is>
          <t>C012</t>
        </is>
      </c>
      <c r="R98" s="2" t="inlineStr">
        <is>
          <t>Pending Human Adjudication</t>
        </is>
      </c>
      <c r="S98" s="2" t="inlineStr">
        <is>
          <t>Site 2008 is reported as 5 deaths (7.5%) without a denominator compatible with the supplied same-site recruitment/ITT total.</t>
        </is>
      </c>
      <c r="T98" s="2" t="b">
        <v>1</v>
      </c>
      <c r="U98" s="2" t="inlineStr">
        <is>
          <t>Site 2008 death count and percentage lack a compatible supplied denominator</t>
        </is>
      </c>
      <c r="V98" s="2" t="inlineStr">
        <is>
          <t>statistical_results</t>
        </is>
      </c>
      <c r="W98" s="2" t="inlineStr">
        <is>
          <t>Site 2008 death count and percentage lack a compatible supplied denominator</t>
        </is>
      </c>
      <c r="X98" s="2" t="inlineStr">
        <is>
          <t>2025</t>
        </is>
      </c>
      <c r="Y98" s="2" t="inlineStr">
        <is>
          <t>meta_report/consistency_reclassification_2026-09-04/reclassified_candidates.json</t>
        </is>
      </c>
      <c r="Z98" s="2" t="inlineStr">
        <is>
          <t>S_W</t>
        </is>
      </c>
      <c r="AA98" s="2" t="inlineStr">
        <is>
          <t>statistical_results</t>
        </is>
      </c>
      <c r="AB98" s="2" t="inlineStr">
        <is>
          <t>retain</t>
        </is>
      </c>
    </row>
    <row r="99" ht="95" customHeight="1">
      <c r="A99" s="3" t="b">
        <v>0</v>
      </c>
      <c r="B99" s="3" t="inlineStr">
        <is>
          <t>Explicit old-plan versus later-plan and reported 178/134 message total difference. Distinct from schedule arithmetic C003/C005; chronology unresolved.</t>
        </is>
      </c>
      <c r="C99" s="3" t="b">
        <v>1</v>
      </c>
      <c r="D99" s="3" t="inlineStr">
        <is>
          <t>Cross-document numeric inconsistency</t>
        </is>
      </c>
      <c r="E99" s="3" t="b">
        <v>1</v>
      </c>
      <c r="F99" s="3" t="inlineStr">
        <is>
          <t>C013</t>
        </is>
      </c>
      <c r="G99" s="3" t="inlineStr">
        <is>
          <t>2025::jama.2025.20765::C013</t>
        </is>
      </c>
      <c r="H99" s="3" t="inlineStr"/>
      <c r="I99" s="3" t="inlineStr">
        <is>
          <t>DOC-002 Supplement 1 — PDF p. 16, PDF p. 53, PDF p. 80, and PDF p. 101 through PDF p. 109; DOC-001 main article — PDF p. 3.</t>
        </is>
      </c>
      <c r="J99" s="3" t="b">
        <v>1</v>
      </c>
      <c r="K99" s="3" t="inlineStr">
        <is>
          <t>jama.2025.20765</t>
        </is>
      </c>
      <c r="L99" s="3" t="inlineStr">
        <is>
          <t>intervention_delivery</t>
        </is>
      </c>
      <c r="M99" s="3" t="inlineStr">
        <is>
          <t>P_R</t>
        </is>
      </c>
      <c r="N99" s="3" t="inlineStr">
        <is>
          <t>Target compares reported current-study content with supplied protocol/SAP specification. 178 versus 134 for matched six-month intervention dose.</t>
        </is>
      </c>
      <c r="O99" s="3" t="inlineStr">
        <is>
          <t>../../2025/jama.2025.20765/.ai_paper_validation/final_report_1_5_1.html</t>
        </is>
      </c>
      <c r="P99" s="3" t="inlineStr">
        <is>
          <t>2025/jama.2025.20765/.ai_paper_validation/final_report_1_5_1.md</t>
        </is>
      </c>
      <c r="Q99" s="3" t="inlineStr">
        <is>
          <t>C013</t>
        </is>
      </c>
      <c r="R99" s="3" t="inlineStr">
        <is>
          <t>Pending Human Adjudication</t>
        </is>
      </c>
      <c r="S99" s="3" t="inlineStr">
        <is>
          <t>Protocol and main-article materials give 178 and 134 messages for the six-month mTB-Tobacco participant dose without an explicit crosswalk or supersession statement.</t>
        </is>
      </c>
      <c r="T99" s="3" t="b">
        <v>0</v>
      </c>
      <c r="U99" s="3" t="inlineStr">
        <is>
          <t>Protocol message dose changes from 178 to 134 without supplied reconciliation</t>
        </is>
      </c>
      <c r="V99" s="3" t="inlineStr">
        <is>
          <t>protocol_report</t>
        </is>
      </c>
      <c r="W99" s="3" t="inlineStr">
        <is>
          <t>Protocol message dose changes from 178 to 134 without supplied reconciliation</t>
        </is>
      </c>
      <c r="X99" s="3" t="inlineStr">
        <is>
          <t>2025</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Cross-document numeric inconsistency</t>
        </is>
      </c>
      <c r="E100" s="2" t="b">
        <v>0</v>
      </c>
      <c r="F100" s="2" t="inlineStr">
        <is>
          <t>C001</t>
        </is>
      </c>
      <c r="G100" s="2" t="inlineStr">
        <is>
          <t>2025::jama.2025.24175::C001</t>
        </is>
      </c>
      <c r="H100" s="2" t="inlineStr"/>
      <c r="I100" s="2" t="inlineStr">
        <is>
          <t>DOC-001 Table 2, PDF p. 6; DOC-001 Results narrative, PDF p. 7.</t>
        </is>
      </c>
      <c r="J100" s="2" t="b">
        <v>1</v>
      </c>
      <c r="K100" s="2" t="inlineStr">
        <is>
          <t>jama.2025.24175</t>
        </is>
      </c>
      <c r="L100" s="2" t="inlineStr"/>
      <c r="M100" s="2" t="inlineStr">
        <is>
          <t>S_W</t>
        </is>
      </c>
      <c r="N100" s="2" t="inlineStr">
        <is>
          <t>Target is within one main article or one non-plan results supplement/workbook; no substantive plan comparison. 52/131 versus 51/131, with the same displayed 39.7% and placebo comparator.</t>
        </is>
      </c>
      <c r="O100" s="2" t="inlineStr">
        <is>
          <t>../../2025/jama.2025.24175/.ai_paper_validation/final_report_1_5_1.html</t>
        </is>
      </c>
      <c r="P100" s="2" t="inlineStr">
        <is>
          <t>2025/jama.2025.24175/.ai_paper_validation/final_report_1_5_1.md</t>
        </is>
      </c>
      <c r="Q100" s="2" t="inlineStr">
        <is>
          <t>C001</t>
        </is>
      </c>
      <c r="R100" s="2" t="inlineStr">
        <is>
          <t>Pending Human Adjudication</t>
        </is>
      </c>
      <c r="S100" s="2" t="inlineStr">
        <is>
          <t>Pending Human Adjudication. The matched day-15 responder occurrence prints 52/131 in Table 2 and 51/131 in the narrative.</t>
        </is>
      </c>
      <c r="T100" s="2" t="b">
        <v>1</v>
      </c>
      <c r="U100" s="2" t="inlineStr">
        <is>
          <t>Day-15 SOFA responder numerator differs between Table 2 and narrative</t>
        </is>
      </c>
      <c r="V100" s="2" t="inlineStr">
        <is>
          <t>internal_nonstatistical</t>
        </is>
      </c>
      <c r="W100" s="2" t="inlineStr">
        <is>
          <t>Day-15 SOFA responder numerator differs between Table 2 and narrative</t>
        </is>
      </c>
      <c r="X100" s="2" t="inlineStr">
        <is>
          <t>2025</t>
        </is>
      </c>
      <c r="Y100" s="2" t="inlineStr">
        <is>
          <t>meta_report/consistency_reclassification_2026-09-04/reclassified_candidates.json</t>
        </is>
      </c>
      <c r="Z100" s="2" t="inlineStr">
        <is>
          <t>S_W</t>
        </is>
      </c>
      <c r="AA100" s="2" t="inlineStr">
        <is>
          <t>internal_nonstatistical</t>
        </is>
      </c>
      <c r="AB100" s="2" t="inlineStr">
        <is>
          <t>retain</t>
        </is>
      </c>
    </row>
    <row r="101" ht="95" customHeight="1">
      <c r="A101" s="3" t="b">
        <v>0</v>
      </c>
      <c r="B101" s="3" t="inlineStr">
        <is>
          <t xml:space="preserve">Final direct-source recheck explicitly does not reproduce registered mismatch; relationship denotes original registration only. </t>
        </is>
      </c>
      <c r="C101" s="3" t="b">
        <v>1</v>
      </c>
      <c r="D101" s="3" t="inlineStr">
        <is>
          <t>Measure, label, or scale inconsistency</t>
        </is>
      </c>
      <c r="E101" s="3" t="b">
        <v>1</v>
      </c>
      <c r="F101" s="3" t="inlineStr">
        <is>
          <t>C002</t>
        </is>
      </c>
      <c r="G101" s="3" t="inlineStr">
        <is>
          <t>2025::jama.2025.24175::C002</t>
        </is>
      </c>
      <c r="H101" s="3" t="inlineStr"/>
      <c r="I101" s="3" t="inlineStr">
        <is>
          <t>DOC-002 protocol, PDF p. 6; DOC-001 regimen, PDF p. 2.</t>
        </is>
      </c>
      <c r="J101" s="3" t="b">
        <v>0</v>
      </c>
      <c r="K101" s="3" t="inlineStr">
        <is>
          <t>jama.2025.24175</t>
        </is>
      </c>
      <c r="L101" s="3" t="inlineStr">
        <is>
          <t>intervention_delivery</t>
        </is>
      </c>
      <c r="M101" s="3" t="inlineStr">
        <is>
          <t>P_R</t>
        </is>
      </c>
      <c r="N101" s="3" t="inlineStr">
        <is>
          <t>Target compares reported current-study content with supplied protocol/SAP specification. Directly printed 100 micrograms versus 100 micrograms, not the prior 100-versus-20 comparison.</t>
        </is>
      </c>
      <c r="O101" s="3" t="inlineStr">
        <is>
          <t>../../2025/jama.2025.24175/.ai_paper_validation/final_report_1_5_1.html</t>
        </is>
      </c>
      <c r="P101" s="3" t="inlineStr">
        <is>
          <t>2025/jama.2025.24175/.ai_paper_validation/final_report_1_5_1.md</t>
        </is>
      </c>
      <c r="Q101" s="3" t="inlineStr">
        <is>
          <t>C002</t>
        </is>
      </c>
      <c r="R101" s="3" t="inlineStr">
        <is>
          <t>Pending Human Adjudication</t>
        </is>
      </c>
      <c r="S101" s="3" t="inlineStr">
        <is>
          <t>Pending Human Adjudication. Retained ID with a direct-source repair: the alleged 20-microgram protocol comparator was not reproduced.</t>
        </is>
      </c>
      <c r="T101" s="3" t="b">
        <v>0</v>
      </c>
      <c r="U101" s="3" t="inlineStr">
        <is>
          <t>Protocol and report IFN-gamma dose comparison</t>
        </is>
      </c>
      <c r="V101" s="3" t="inlineStr">
        <is>
          <t>protocol_report</t>
        </is>
      </c>
      <c r="W101" s="3" t="inlineStr">
        <is>
          <t>Protocol and report IFN-gamma dose comparison</t>
        </is>
      </c>
      <c r="X101" s="3" t="inlineStr">
        <is>
          <t>2025</t>
        </is>
      </c>
      <c r="Y101" s="3" t="inlineStr">
        <is>
          <t>meta_report/consistency_reclassification_2026-09-04/reclassified_candidates.json</t>
        </is>
      </c>
      <c r="Z101" s="3" t="inlineStr">
        <is>
          <t>P_R</t>
        </is>
      </c>
      <c r="AA101" s="3" t="inlineStr">
        <is>
          <t>protocol_report</t>
        </is>
      </c>
      <c r="AB101" s="3" t="inlineStr">
        <is>
          <t>exclude</t>
        </is>
      </c>
    </row>
    <row r="102" ht="95" customHeight="1">
      <c r="A102" s="2" t="b">
        <v>0</v>
      </c>
      <c r="B102" s="2" t="inlineStr">
        <is>
          <t xml:space="preserve">Final direct-source recheck explicitly does not reproduce registered mismatch; relationship denotes original registration only. </t>
        </is>
      </c>
      <c r="C102" s="2" t="b">
        <v>1</v>
      </c>
      <c r="D102" s="2" t="inlineStr">
        <is>
          <t>Measure, label, or scale inconsistency</t>
        </is>
      </c>
      <c r="E102" s="2" t="b">
        <v>1</v>
      </c>
      <c r="F102" s="2" t="inlineStr">
        <is>
          <t>C003</t>
        </is>
      </c>
      <c r="G102" s="2" t="inlineStr">
        <is>
          <t>2025::jama.2025.24175::C003</t>
        </is>
      </c>
      <c r="H102" s="2" t="inlineStr"/>
      <c r="I102" s="2" t="inlineStr">
        <is>
          <t>DOC-002 protocol, PDF p. 7; DOC-001 report, PDF p. 1; DOC-002 SAP, PDF p. 66.</t>
        </is>
      </c>
      <c r="J102" s="2" t="b">
        <v>0</v>
      </c>
      <c r="K102" s="2" t="inlineStr">
        <is>
          <t>jama.2025.24175</t>
        </is>
      </c>
      <c r="L102" s="2" t="inlineStr">
        <is>
          <t>endpoint_definition_window_hierarchy</t>
        </is>
      </c>
      <c r="M102" s="2" t="inlineStr">
        <is>
          <t>P_R</t>
        </is>
      </c>
      <c r="N102" s="2" t="inlineStr">
        <is>
          <t>Target compares reported current-study content with supplied protocol/SAP specification. 1.4 versus 1.4 in matched supplied sources, not 1.5 versus 1.4.</t>
        </is>
      </c>
      <c r="O102" s="2" t="inlineStr">
        <is>
          <t>../../2025/jama.2025.24175/.ai_paper_validation/final_report_1_5_1.html</t>
        </is>
      </c>
      <c r="P102" s="2" t="inlineStr">
        <is>
          <t>2025/jama.2025.24175/.ai_paper_validation/final_report_1_5_1.md</t>
        </is>
      </c>
      <c r="Q102" s="2" t="inlineStr">
        <is>
          <t>C003</t>
        </is>
      </c>
      <c r="R102" s="2" t="inlineStr">
        <is>
          <t>Pending Human Adjudication</t>
        </is>
      </c>
      <c r="S102" s="2" t="inlineStr">
        <is>
          <t>Pending Human Adjudication. Retained ID with a direct-source repair: the alleged 1.5-point binary cutoff was not reproduced.</t>
        </is>
      </c>
      <c r="T102" s="2" t="b">
        <v>0</v>
      </c>
      <c r="U102" s="2" t="inlineStr">
        <is>
          <t>Primary responder cutoff comparison</t>
        </is>
      </c>
      <c r="V102" s="2" t="inlineStr">
        <is>
          <t>protocol_report</t>
        </is>
      </c>
      <c r="W102" s="2" t="inlineStr">
        <is>
          <t>Primary responder cutoff comparison</t>
        </is>
      </c>
      <c r="X102" s="2" t="inlineStr">
        <is>
          <t>2025</t>
        </is>
      </c>
      <c r="Y102" s="2" t="inlineStr">
        <is>
          <t>meta_report/consistency_reclassification_2026-09-04/reclassified_candidates.json</t>
        </is>
      </c>
      <c r="Z102" s="2" t="inlineStr">
        <is>
          <t>P_R</t>
        </is>
      </c>
      <c r="AA102" s="2" t="inlineStr">
        <is>
          <t>protocol_report</t>
        </is>
      </c>
      <c r="AB102" s="2" t="inlineStr">
        <is>
          <t>exclude</t>
        </is>
      </c>
    </row>
    <row r="103" ht="95" customHeight="1">
      <c r="A103" s="3" t="b">
        <v>0</v>
      </c>
      <c r="B103" s="3" t="inlineStr">
        <is>
          <t xml:space="preserve">Final direct-source recheck explicitly does not reproduce registered mismatch; relationship denotes original registration only. </t>
        </is>
      </c>
      <c r="C103" s="3" t="b">
        <v>1</v>
      </c>
      <c r="D103" s="3" t="inlineStr">
        <is>
          <t>Measure, label, or scale inconsistency</t>
        </is>
      </c>
      <c r="E103" s="3" t="b">
        <v>1</v>
      </c>
      <c r="F103" s="3" t="inlineStr">
        <is>
          <t>C004</t>
        </is>
      </c>
      <c r="G103" s="3" t="inlineStr">
        <is>
          <t>2025::jama.2025.24175::C004</t>
        </is>
      </c>
      <c r="H103" s="3" t="inlineStr"/>
      <c r="I103" s="3" t="inlineStr">
        <is>
          <t>DOC-002 protocol, PDF p. 9; DOC-003 eMethods, PDF p. 13; DOC-002 SAP reversal definition, PDF p. 69.</t>
        </is>
      </c>
      <c r="J103" s="3" t="b">
        <v>0</v>
      </c>
      <c r="K103" s="3" t="inlineStr">
        <is>
          <t>jama.2025.24175</t>
        </is>
      </c>
      <c r="L103" s="3" t="inlineStr">
        <is>
          <t>population_recruitment_sites</t>
        </is>
      </c>
      <c r="M103" s="3" t="inlineStr">
        <is>
          <t>P_R</t>
        </is>
      </c>
      <c r="N103" s="3" t="inlineStr">
        <is>
          <t>Target compares reported current-study content with supplied protocol/SAP specification. Entry threshold 5000 versus separately defined reversal threshold 8000.</t>
        </is>
      </c>
      <c r="O103" s="3" t="inlineStr">
        <is>
          <t>../../2025/jama.2025.24175/.ai_paper_validation/final_report_1_5_1.html</t>
        </is>
      </c>
      <c r="P103" s="3" t="inlineStr">
        <is>
          <t>2025/jama.2025.24175/.ai_paper_validation/final_report_1_5_1.md</t>
        </is>
      </c>
      <c r="Q103" s="3" t="inlineStr">
        <is>
          <t>C004</t>
        </is>
      </c>
      <c r="R103" s="3" t="inlineStr">
        <is>
          <t>Pending Human Adjudication</t>
        </is>
      </c>
      <c r="S103" s="3" t="inlineStr">
        <is>
          <t>Pending Human Adjudication. Retained ID with a direct-source repair: entry sources agree at 5000, while 8000 belongs to a separately named reversal endpoint.</t>
        </is>
      </c>
      <c r="T103" s="3" t="b">
        <v>0</v>
      </c>
      <c r="U103" s="3" t="inlineStr">
        <is>
          <t>Immunoparalysis entry-classification threshold comparison</t>
        </is>
      </c>
      <c r="V103" s="3" t="inlineStr">
        <is>
          <t>protocol_report</t>
        </is>
      </c>
      <c r="W103" s="3" t="inlineStr">
        <is>
          <t>Immunoparalysis entry-classification threshold comparison</t>
        </is>
      </c>
      <c r="X103" s="3" t="inlineStr">
        <is>
          <t>2025</t>
        </is>
      </c>
      <c r="Y103" s="3" t="inlineStr">
        <is>
          <t>meta_report/consistency_reclassification_2026-09-04/reclassified_candidates.json</t>
        </is>
      </c>
      <c r="Z103" s="3" t="inlineStr">
        <is>
          <t>P_R</t>
        </is>
      </c>
      <c r="AA103" s="3" t="inlineStr">
        <is>
          <t>protocol_report</t>
        </is>
      </c>
      <c r="AB103" s="3" t="inlineStr">
        <is>
          <t>exclude</t>
        </is>
      </c>
    </row>
    <row r="104" ht="95" customHeight="1">
      <c r="A104" s="2" t="b">
        <v>0</v>
      </c>
      <c r="B104" s="2" t="inlineStr">
        <is>
          <t>Original 112 input not reproduced, repaired 117 input leaves only approximate attrition/rounding question. Retained as repaired_residual, not fully negated.</t>
        </is>
      </c>
      <c r="C104" s="2" t="b">
        <v>1</v>
      </c>
      <c r="D104" s="2" t="inlineStr">
        <is>
          <t>Denominator, proportion, or total inconsistency</t>
        </is>
      </c>
      <c r="E104" s="2" t="b">
        <v>0</v>
      </c>
      <c r="F104" s="2" t="inlineStr">
        <is>
          <t>C005</t>
        </is>
      </c>
      <c r="G104" s="2" t="inlineStr">
        <is>
          <t>2025::jama.2025.24175::C005</t>
        </is>
      </c>
      <c r="H104" s="2" t="inlineStr"/>
      <c r="I104" s="2" t="inlineStr">
        <is>
          <t>DOC-002 protocol, PDF p. 25 and PDF p. 26.</t>
        </is>
      </c>
      <c r="J104" s="2" t="b">
        <v>0</v>
      </c>
      <c r="K104" s="2" t="inlineStr">
        <is>
          <t>jama.2025.24175</t>
        </is>
      </c>
      <c r="L104" s="2" t="inlineStr"/>
      <c r="M104" s="2" t="inlineStr">
        <is>
          <t>P_P</t>
        </is>
      </c>
      <c r="N104" s="2" t="inlineStr">
        <is>
          <t>Target is internal to protocol/SAP definitions, calculations, or plan versions; final results are not the conflicting comparator. Required analyzable total 234 versus planned randomization 280 under an approximate attrition statement.</t>
        </is>
      </c>
      <c r="O104" s="2" t="inlineStr">
        <is>
          <t>../../2025/jama.2025.24175/.ai_paper_validation/final_report_1_5_1.html</t>
        </is>
      </c>
      <c r="P104" s="2" t="inlineStr">
        <is>
          <t>2025/jama.2025.24175/.ai_paper_validation/final_report_1_5_1.md</t>
        </is>
      </c>
      <c r="Q104" s="2" t="inlineStr">
        <is>
          <t>C005</t>
        </is>
      </c>
      <c r="R104" s="2" t="inlineStr">
        <is>
          <t>Pending Human Adjudication</t>
        </is>
      </c>
      <c r="S104" s="2" t="inlineStr">
        <is>
          <t>Pending Human Adjudication. Retained ID with repaired direct inputs: protocol prints 117 per arm, about 15% dropout, and total randomization 280.</t>
        </is>
      </c>
      <c r="T104" s="2" t="b">
        <v>0</v>
      </c>
      <c r="U104" s="2" t="inlineStr">
        <is>
          <t>Protocol sample-size, dropout, and total-target arithmetic</t>
        </is>
      </c>
      <c r="V104" s="2" t="inlineStr">
        <is>
          <t>plan_material</t>
        </is>
      </c>
      <c r="W104" s="2" t="inlineStr">
        <is>
          <t>Protocol sample-size, dropout, and total-target arithmetic</t>
        </is>
      </c>
      <c r="X104" s="2" t="inlineStr">
        <is>
          <t>2025</t>
        </is>
      </c>
      <c r="Y104" s="2" t="inlineStr">
        <is>
          <t>meta_report/consistency_reclassification_2026-09-04/reclassified_candidates.json</t>
        </is>
      </c>
      <c r="Z104" s="2" t="inlineStr">
        <is>
          <t>P_P</t>
        </is>
      </c>
      <c r="AA104" s="2" t="inlineStr">
        <is>
          <t>plan_material</t>
        </is>
      </c>
      <c r="AB104" s="2" t="inlineStr">
        <is>
          <t>retain</t>
        </is>
      </c>
    </row>
    <row r="105" ht="95" customHeight="1">
      <c r="A105" s="3" t="b">
        <v>0</v>
      </c>
      <c r="B105" s="3" t="inlineStr">
        <is>
          <t xml:space="preserve"> Historical PROVIDE study results presented in protocol background; not current ImmunoSep observed results. Protocol footer and introduction directly inspected in stored page render.</t>
        </is>
      </c>
      <c r="C105" s="3" t="b">
        <v>1</v>
      </c>
      <c r="D105" s="3" t="inlineStr">
        <is>
          <t>Cross-document numeric inconsistency</t>
        </is>
      </c>
      <c r="E105" s="3" t="b">
        <v>0</v>
      </c>
      <c r="F105" s="3" t="inlineStr">
        <is>
          <t>C006</t>
        </is>
      </c>
      <c r="G105" s="3" t="inlineStr">
        <is>
          <t>2025::jama.2025.24175::C006</t>
        </is>
      </c>
      <c r="H105" s="3" t="inlineStr">
        <is>
          <t>P_B</t>
        </is>
      </c>
      <c r="I105" s="3" t="inlineStr">
        <is>
          <t>DOC-002 narrative, PDF p. 41; DOC-002 Figure 1, PDF p. 50.</t>
        </is>
      </c>
      <c r="J105" s="3" t="b">
        <v>1</v>
      </c>
      <c r="K105" s="3" t="inlineStr">
        <is>
          <t>jama.2025.24175</t>
        </is>
      </c>
      <c r="L105" s="3" t="inlineStr"/>
      <c r="M105" s="3" t="inlineStr">
        <is>
          <t>P_P</t>
        </is>
      </c>
      <c r="N105" s="3" t="inlineStr">
        <is>
          <t>Target concerns historical/background results inside the protocol, not the current trial plan or submitted main/results supplement. Personalized arm 14 versus 11; placebo count 18 agrees.</t>
        </is>
      </c>
      <c r="O105" s="3" t="inlineStr">
        <is>
          <t>../../2025/jama.2025.24175/.ai_paper_validation/final_report_1_5_1.html</t>
        </is>
      </c>
      <c r="P105" s="3" t="inlineStr">
        <is>
          <t>2025/jama.2025.24175/.ai_paper_validation/final_report_1_5_1.md</t>
        </is>
      </c>
      <c r="Q105" s="3" t="inlineStr">
        <is>
          <t>C006</t>
        </is>
      </c>
      <c r="R105" s="3" t="inlineStr">
        <is>
          <t>Pending Human Adjudication</t>
        </is>
      </c>
      <c r="S105" s="3" t="inlineStr">
        <is>
          <t>Pending Human Adjudication. The personalized-immunotherapy death count is 14 in the narrative and 11 in the flow figure, conditional on a matched time window.</t>
        </is>
      </c>
      <c r="T105" s="3" t="b">
        <v>0</v>
      </c>
      <c r="U105" s="3" t="inlineStr">
        <is>
          <t>Historical-trial narrative and flow diagram death counts</t>
        </is>
      </c>
      <c r="V105" s="3" t="inlineStr">
        <is>
          <t>plan_material</t>
        </is>
      </c>
      <c r="W105" s="3" t="inlineStr">
        <is>
          <t>Historical-trial narrative and flow diagram death counts</t>
        </is>
      </c>
      <c r="X105" s="3" t="inlineStr">
        <is>
          <t>2025</t>
        </is>
      </c>
      <c r="Y105" s="3" t="inlineStr">
        <is>
          <t>meta_report/consistency_reclassification_2026-09-04/reclassified_candidates.json</t>
        </is>
      </c>
      <c r="Z105" s="3" t="inlineStr">
        <is>
          <t>P_P</t>
        </is>
      </c>
      <c r="AA105" s="3" t="inlineStr">
        <is>
          <t>plan_material</t>
        </is>
      </c>
      <c r="AB105" s="3" t="inlineStr">
        <is>
          <t>retain</t>
        </is>
      </c>
    </row>
    <row r="106" ht="95" customHeight="1">
      <c r="A106" s="2" t="b">
        <v>0</v>
      </c>
      <c r="B106" s="2" t="inlineStr">
        <is>
          <t xml:space="preserve"> Historical PROVIDE study results presented in protocol background; not current ImmunoSep observed results. Protocol footer and introduction directly inspected in stored page render.</t>
        </is>
      </c>
      <c r="C106" s="2" t="b">
        <v>1</v>
      </c>
      <c r="D106" s="2" t="inlineStr">
        <is>
          <t>Statistical reporting inconsistency</t>
        </is>
      </c>
      <c r="E106" s="2" t="b">
        <v>0</v>
      </c>
      <c r="F106" s="2" t="inlineStr">
        <is>
          <t>C007</t>
        </is>
      </c>
      <c r="G106" s="2" t="inlineStr">
        <is>
          <t>2025::jama.2025.24175::C007</t>
        </is>
      </c>
      <c r="H106" s="2" t="inlineStr">
        <is>
          <t>P_B</t>
        </is>
      </c>
      <c r="I106" s="2" t="inlineStr">
        <is>
          <t>DOC-002 Table 2, PDF p. 48.</t>
        </is>
      </c>
      <c r="J106" s="2" t="b">
        <v>0</v>
      </c>
      <c r="K106" s="2" t="inlineStr">
        <is>
          <t>jama.2025.24175</t>
        </is>
      </c>
      <c r="L106" s="2" t="inlineStr"/>
      <c r="M106" s="2" t="inlineStr">
        <is>
          <t>P_P</t>
        </is>
      </c>
      <c r="N106" s="2" t="inlineStr">
        <is>
          <t>Target concerns historical/background results inside the protocol, not the current trial plan or submitted main/results supplement. Printed P=.376 versus diagnostics from the displayed group summaries and named test.</t>
        </is>
      </c>
      <c r="O106" s="2" t="inlineStr">
        <is>
          <t>../../2025/jama.2025.24175/.ai_paper_validation/final_report_1_5_1.html</t>
        </is>
      </c>
      <c r="P106" s="2" t="inlineStr">
        <is>
          <t>2025/jama.2025.24175/.ai_paper_validation/final_report_1_5_1.md</t>
        </is>
      </c>
      <c r="Q106" s="2" t="inlineStr">
        <is>
          <t>C007</t>
        </is>
      </c>
      <c r="R106" s="2" t="inlineStr">
        <is>
          <t>Pending Human Adjudication</t>
        </is>
      </c>
      <c r="S106" s="2" t="inlineStr">
        <is>
          <t>Pending Human Adjudication. The printed P=.376 is not compatible with conventional two-group calculations from the displayed Student t-test inputs.</t>
        </is>
      </c>
      <c r="T106" s="2" t="b">
        <v>0</v>
      </c>
      <c r="U106" s="2" t="inlineStr">
        <is>
          <t>APACHE II Table 2 P value versus displayed t-test inputs</t>
        </is>
      </c>
      <c r="V106" s="2" t="inlineStr">
        <is>
          <t>plan_material</t>
        </is>
      </c>
      <c r="W106" s="2" t="inlineStr">
        <is>
          <t>APACHE II Table 2 P value versus displayed t-test inputs</t>
        </is>
      </c>
      <c r="X106" s="2" t="inlineStr">
        <is>
          <t>2025</t>
        </is>
      </c>
      <c r="Y106" s="2" t="inlineStr">
        <is>
          <t>meta_report/consistency_reclassification_2026-09-04/reclassified_candidates.json</t>
        </is>
      </c>
      <c r="Z106" s="2" t="inlineStr">
        <is>
          <t>P_P</t>
        </is>
      </c>
      <c r="AA106" s="2" t="inlineStr">
        <is>
          <t>plan_material</t>
        </is>
      </c>
      <c r="AB106" s="2" t="inlineStr">
        <is>
          <t>retain</t>
        </is>
      </c>
    </row>
    <row r="107" ht="95" customHeight="1">
      <c r="A107" s="3" t="b">
        <v>0</v>
      </c>
      <c r="B107" s="3" t="inlineStr">
        <is>
          <t xml:space="preserve"> Historical PROVIDE study results presented in protocol background; not current ImmunoSep observed results. Protocol footer and introduction directly inspected in stored page render.</t>
        </is>
      </c>
      <c r="C107" s="3" t="b">
        <v>1</v>
      </c>
      <c r="D107" s="3" t="inlineStr">
        <is>
          <t>Denominator, proportion, or total inconsistency</t>
        </is>
      </c>
      <c r="E107" s="3" t="b">
        <v>0</v>
      </c>
      <c r="F107" s="3" t="inlineStr">
        <is>
          <t>C008</t>
        </is>
      </c>
      <c r="G107" s="3" t="inlineStr">
        <is>
          <t>2025::jama.2025.24175::C008</t>
        </is>
      </c>
      <c r="H107" s="3" t="inlineStr">
        <is>
          <t>P_B</t>
        </is>
      </c>
      <c r="I107" s="3" t="inlineStr">
        <is>
          <t>DOC-002 Figure 1, PDF p. 50.</t>
        </is>
      </c>
      <c r="J107" s="3" t="b">
        <v>0</v>
      </c>
      <c r="K107" s="3" t="inlineStr">
        <is>
          <t>jama.2025.24175</t>
        </is>
      </c>
      <c r="L107" s="3" t="inlineStr"/>
      <c r="M107" s="3" t="inlineStr">
        <is>
          <t>P_P</t>
        </is>
      </c>
      <c r="N107" s="3" t="inlineStr">
        <is>
          <t>Target concerns historical/background results inside the protocol, not the current trial plan or submitted main/results supplement. Parent 177 versus displayed child total 178.</t>
        </is>
      </c>
      <c r="O107" s="3" t="inlineStr">
        <is>
          <t>../../2025/jama.2025.24175/.ai_paper_validation/final_report_1_5_1.html</t>
        </is>
      </c>
      <c r="P107" s="3" t="inlineStr">
        <is>
          <t>2025/jama.2025.24175/.ai_paper_validation/final_report_1_5_1.md</t>
        </is>
      </c>
      <c r="Q107" s="3" t="inlineStr">
        <is>
          <t>C008</t>
        </is>
      </c>
      <c r="R107" s="3" t="inlineStr">
        <is>
          <t>Pending Human Adjudication</t>
        </is>
      </c>
      <c r="S107" s="3" t="inlineStr">
        <is>
          <t>Pending Human Adjudication. Displayed child classifications sum to 178 under a parent total of 177.</t>
        </is>
      </c>
      <c r="T107" s="3" t="b">
        <v>0</v>
      </c>
      <c r="U107" s="3" t="inlineStr">
        <is>
          <t>Figure 1 septic-shock classification children exceed their parent total</t>
        </is>
      </c>
      <c r="V107" s="3" t="inlineStr">
        <is>
          <t>plan_material</t>
        </is>
      </c>
      <c r="W107" s="3" t="inlineStr">
        <is>
          <t>Figure 1 septic-shock classification children exceed their parent total</t>
        </is>
      </c>
      <c r="X107" s="3" t="inlineStr">
        <is>
          <t>2025</t>
        </is>
      </c>
      <c r="Y107" s="3" t="inlineStr">
        <is>
          <t>meta_report/consistency_reclassification_2026-09-04/reclassified_candidates.json</t>
        </is>
      </c>
      <c r="Z107" s="3" t="inlineStr">
        <is>
          <t>P_P</t>
        </is>
      </c>
      <c r="AA107" s="3" t="inlineStr">
        <is>
          <t>plan_material</t>
        </is>
      </c>
      <c r="AB107" s="3" t="inlineStr">
        <is>
          <t>retain</t>
        </is>
      </c>
    </row>
    <row r="108" ht="95" customHeight="1">
      <c r="A108" s="2" t="b">
        <v>0</v>
      </c>
      <c r="B108" s="2" t="inlineStr">
        <is>
          <t>Original 28 corrected to24, but repaired 24/31/33 mismatch remains. Both plan internal and final-vs-plan contexts; milestone definitions missing.</t>
        </is>
      </c>
      <c r="C108" s="2" t="b">
        <v>1</v>
      </c>
      <c r="D108" s="2" t="inlineStr">
        <is>
          <t>Cross-document numeric inconsistency</t>
        </is>
      </c>
      <c r="E108" s="2" t="b">
        <v>1</v>
      </c>
      <c r="F108" s="2" t="inlineStr">
        <is>
          <t>C009</t>
        </is>
      </c>
      <c r="G108" s="2" t="inlineStr">
        <is>
          <t>2025::jama.2025.24175::C009</t>
        </is>
      </c>
      <c r="H108" s="2" t="inlineStr"/>
      <c r="I108" s="2" t="inlineStr">
        <is>
          <t>DOC-001 report, PDF p. 2; DOC-002 protocol, PDF p. 10; DOC-002 SAP, PDF p. 65; PDF p. 67.</t>
        </is>
      </c>
      <c r="J108" s="2" t="b">
        <v>1</v>
      </c>
      <c r="K108" s="2" t="inlineStr">
        <is>
          <t>jama.2025.24175</t>
        </is>
      </c>
      <c r="L108" s="2" t="inlineStr">
        <is>
          <t>population_recruitment_sites</t>
        </is>
      </c>
      <c r="M108" s="2" t="inlineStr">
        <is>
          <t>P_R</t>
        </is>
      </c>
      <c r="N108" s="2" t="inlineStr">
        <is>
          <t>Target compares reported current-study content with supplied protocol/SAP specification. Repaired direct values 24, 31, and 33; prior 28 and report p.1 citation were not reproduced.</t>
        </is>
      </c>
      <c r="O108" s="2" t="inlineStr">
        <is>
          <t>../../2025/jama.2025.24175/.ai_paper_validation/final_report_1_5_1.html</t>
        </is>
      </c>
      <c r="P108" s="2" t="inlineStr">
        <is>
          <t>2025/jama.2025.24175/.ai_paper_validation/final_report_1_5_1.md</t>
        </is>
      </c>
      <c r="Q108" s="2" t="inlineStr">
        <is>
          <t>C009</t>
        </is>
      </c>
      <c r="R108" s="2" t="inlineStr">
        <is>
          <t>Pending Human Adjudication</t>
        </is>
      </c>
      <c r="S108" s="2" t="inlineStr">
        <is>
          <t>Pending Human Adjudication. Retained ID with repaired direct-source values: 24, 31, and 33 sites require milestone definitions.</t>
        </is>
      </c>
      <c r="T108" s="2" t="b">
        <v>0</v>
      </c>
      <c r="U108" s="2" t="inlineStr">
        <is>
          <t>ImmunoSep study-site totals across report, protocol, and SAP</t>
        </is>
      </c>
      <c r="V108" s="2" t="inlineStr">
        <is>
          <t>protocol_report</t>
        </is>
      </c>
      <c r="W108" s="2" t="inlineStr">
        <is>
          <t>ImmunoSep study-site totals across report, protocol, and SAP</t>
        </is>
      </c>
      <c r="X108" s="2" t="inlineStr">
        <is>
          <t>2025</t>
        </is>
      </c>
      <c r="Y108" s="2" t="inlineStr">
        <is>
          <t>meta_report/consistency_reclassification_2026-09-04/reclassified_candidates.json</t>
        </is>
      </c>
      <c r="Z108" s="2" t="inlineStr">
        <is>
          <t>P_R</t>
        </is>
      </c>
      <c r="AA108" s="2" t="inlineStr">
        <is>
          <t>protocol_report</t>
        </is>
      </c>
      <c r="AB108" s="2" t="inlineStr">
        <is>
          <t>retain</t>
        </is>
      </c>
    </row>
    <row r="109" ht="95" customHeight="1">
      <c r="A109" s="3" t="b">
        <v>0</v>
      </c>
      <c r="B109" s="3" t="inlineStr">
        <is>
          <t xml:space="preserve"> Historical PROVIDE study results presented in protocol background; not current ImmunoSep observed results. Protocol footer and introduction directly inspected in stored page render.</t>
        </is>
      </c>
      <c r="C109" s="3" t="b">
        <v>1</v>
      </c>
      <c r="D109" s="3" t="inlineStr">
        <is>
          <t>Measure, label, or scale inconsistency</t>
        </is>
      </c>
      <c r="E109" s="3" t="b">
        <v>0</v>
      </c>
      <c r="F109" s="3" t="inlineStr">
        <is>
          <t>C010</t>
        </is>
      </c>
      <c r="G109" s="3" t="inlineStr">
        <is>
          <t>2025::jama.2025.24175::C010</t>
        </is>
      </c>
      <c r="H109" s="3" t="inlineStr">
        <is>
          <t>P_B</t>
        </is>
      </c>
      <c r="I109" s="3" t="inlineStr">
        <is>
          <t>DOC-002 Figure 2C, PDF p. 51; DOC-002 Figure 3, PDF p. 52.</t>
        </is>
      </c>
      <c r="J109" s="3" t="b">
        <v>0</v>
      </c>
      <c r="K109" s="3" t="inlineStr">
        <is>
          <t>jama.2025.24175</t>
        </is>
      </c>
      <c r="L109" s="3" t="inlineStr"/>
      <c r="M109" s="3" t="inlineStr">
        <is>
          <t>P_P</t>
        </is>
      </c>
      <c r="N109" s="3" t="inlineStr">
        <is>
          <t>Target concerns historical/background results inside the protocol, not the current trial plan or submitted main/results supplement. RR label/value 2.82 versus crude RR 1.61 and identical nearby HR 2.82.</t>
        </is>
      </c>
      <c r="O109" s="3" t="inlineStr">
        <is>
          <t>../../2025/jama.2025.24175/.ai_paper_validation/final_report_1_5_1.html</t>
        </is>
      </c>
      <c r="P109" s="3" t="inlineStr">
        <is>
          <t>2025/jama.2025.24175/.ai_paper_validation/final_report_1_5_1.md</t>
        </is>
      </c>
      <c r="Q109" s="3" t="inlineStr">
        <is>
          <t>C010</t>
        </is>
      </c>
      <c r="R109" s="3" t="inlineStr">
        <is>
          <t>Pending Human Adjudication</t>
        </is>
      </c>
      <c r="S109" s="3" t="inlineStr">
        <is>
          <t>Pending Human Adjudication. Figure 2C labels 2.82 (1.58-5.14) as RR although displayed counts give a crude RR of 1.61 and the same value/CI appears as an HR in Figure 3.</t>
        </is>
      </c>
      <c r="T109" s="3" t="b">
        <v>0</v>
      </c>
      <c r="U109" s="3" t="inlineStr">
        <is>
          <t>Figure 2C relative-risk label versus displayed association</t>
        </is>
      </c>
      <c r="V109" s="3" t="inlineStr">
        <is>
          <t>plan_material</t>
        </is>
      </c>
      <c r="W109" s="3" t="inlineStr">
        <is>
          <t>Figure 2C relative-risk label versus displayed association</t>
        </is>
      </c>
      <c r="X109" s="3" t="inlineStr">
        <is>
          <t>2025</t>
        </is>
      </c>
      <c r="Y109" s="3" t="inlineStr">
        <is>
          <t>meta_report/consistency_reclassification_2026-09-04/reclassified_candidates.json</t>
        </is>
      </c>
      <c r="Z109" s="3" t="inlineStr">
        <is>
          <t>P_P</t>
        </is>
      </c>
      <c r="AA109" s="3" t="inlineStr">
        <is>
          <t>plan_material</t>
        </is>
      </c>
      <c r="AB109" s="3" t="inlineStr">
        <is>
          <t>retain</t>
        </is>
      </c>
    </row>
    <row r="110" ht="95" customHeight="1">
      <c r="A110" s="2" t="b">
        <v>0</v>
      </c>
      <c r="B110" s="2" t="inlineStr"/>
      <c r="C110" s="2" t="b">
        <v>0</v>
      </c>
      <c r="D110" s="2" t="inlineStr">
        <is>
          <t>Statistical reporting inconsistency</t>
        </is>
      </c>
      <c r="E110" s="2" t="b">
        <v>0</v>
      </c>
      <c r="F110" s="2" t="inlineStr">
        <is>
          <t>C011</t>
        </is>
      </c>
      <c r="G110" s="2" t="inlineStr">
        <is>
          <t>2025::jama.2025.24175::C011</t>
        </is>
      </c>
      <c r="H110" s="2" t="inlineStr"/>
      <c r="I110" s="2" t="inlineStr">
        <is>
          <t>DOC-003 eTable 10, PDF p. 22.</t>
        </is>
      </c>
      <c r="J110" s="2" t="b">
        <v>0</v>
      </c>
      <c r="K110" s="2" t="inlineStr">
        <is>
          <t>jama.2025.24175</t>
        </is>
      </c>
      <c r="L110" s="2" t="inlineStr"/>
      <c r="M110" s="2" t="inlineStr">
        <is>
          <t>S_W</t>
        </is>
      </c>
      <c r="N110" s="2" t="inlineStr">
        <is>
          <t>Target is within one main article or one non-plan results supplement/workbook; no substantive plan comparison. Printed 1.194 versus count-derived OR about 1.94 and CI log midpoint about 1.94.</t>
        </is>
      </c>
      <c r="O110" s="2" t="inlineStr">
        <is>
          <t>../../2025/jama.2025.24175/.ai_paper_validation/final_report_1_5_1.html</t>
        </is>
      </c>
      <c r="P110" s="2" t="inlineStr">
        <is>
          <t>2025/jama.2025.24175/.ai_paper_validation/final_report_1_5_1.md</t>
        </is>
      </c>
      <c r="Q110" s="2" t="inlineStr">
        <is>
          <t>C011</t>
        </is>
      </c>
      <c r="R110" s="2" t="inlineStr">
        <is>
          <t>Pending Human Adjudication</t>
        </is>
      </c>
      <c r="S110" s="2" t="inlineStr">
        <is>
          <t>Pending Human Adjudication. Printed OR 1.194 does not reconcile with the count-derived crude OR and interval midpoint.</t>
        </is>
      </c>
      <c r="T110" s="2" t="b">
        <v>1</v>
      </c>
      <c r="U110" s="2" t="inlineStr">
        <is>
          <t>eTable 10 SII day-15 OR versus counts, CI, and P value</t>
        </is>
      </c>
      <c r="V110" s="2" t="inlineStr">
        <is>
          <t>statistical_results</t>
        </is>
      </c>
      <c r="W110" s="2" t="inlineStr">
        <is>
          <t>eTable 10 SII day-15 OR versus counts, CI, and P value</t>
        </is>
      </c>
      <c r="X110" s="2" t="inlineStr">
        <is>
          <t>2025</t>
        </is>
      </c>
      <c r="Y110" s="2" t="inlineStr">
        <is>
          <t>meta_report/consistency_reclassification_2026-09-04/reclassified_candidates.json</t>
        </is>
      </c>
      <c r="Z110" s="2" t="inlineStr">
        <is>
          <t>S_W</t>
        </is>
      </c>
      <c r="AA110" s="2" t="inlineStr">
        <is>
          <t>statistical_results</t>
        </is>
      </c>
      <c r="AB110" s="2" t="inlineStr">
        <is>
          <t>retain</t>
        </is>
      </c>
    </row>
    <row r="111" ht="95" customHeight="1">
      <c r="A111" s="3" t="b">
        <v>0</v>
      </c>
      <c r="B111" s="3" t="inlineStr"/>
      <c r="C111" s="3" t="b">
        <v>0</v>
      </c>
      <c r="D111" s="3" t="inlineStr">
        <is>
          <t>Cross-document numeric inconsistency</t>
        </is>
      </c>
      <c r="E111" s="3" t="b">
        <v>0</v>
      </c>
      <c r="F111" s="3" t="inlineStr">
        <is>
          <t>C012</t>
        </is>
      </c>
      <c r="G111" s="3" t="inlineStr">
        <is>
          <t>2025::jama.2025.24175::C012</t>
        </is>
      </c>
      <c r="H111" s="3" t="inlineStr"/>
      <c r="I111" s="3" t="inlineStr">
        <is>
          <t>DOC-003 eFigure 7B, PDF p. 51; DOC-003 eFigure 8B, PDF p. 52.</t>
        </is>
      </c>
      <c r="J111" s="3" t="b">
        <v>1</v>
      </c>
      <c r="K111" s="3" t="inlineStr">
        <is>
          <t>jama.2025.24175</t>
        </is>
      </c>
      <c r="L111" s="3" t="inlineStr"/>
      <c r="M111" s="3" t="inlineStr">
        <is>
          <t>S_W</t>
        </is>
      </c>
      <c r="N111" s="3" t="inlineStr">
        <is>
          <t>Target is within one main article or one non-plan results supplement/workbook; no substantive plan comparison. Complete six-row primary-endpoint output versus identical six-row 28-day-mortality output.</t>
        </is>
      </c>
      <c r="O111" s="3" t="inlineStr">
        <is>
          <t>../../2025/jama.2025.24175/.ai_paper_validation/final_report_1_5_1.html</t>
        </is>
      </c>
      <c r="P111" s="3" t="inlineStr">
        <is>
          <t>2025/jama.2025.24175/.ai_paper_validation/final_report_1_5_1.md</t>
        </is>
      </c>
      <c r="Q111" s="3" t="inlineStr">
        <is>
          <t>C012</t>
        </is>
      </c>
      <c r="R111" s="3" t="inlineStr">
        <is>
          <t>Pending Human Adjudication</t>
        </is>
      </c>
      <c r="S111" s="3" t="inlineStr">
        <is>
          <t>Pending Human Adjudication. Six OR/CI/P rows repeat exactly under primary-endpoint and 28-day-mortality captions.</t>
        </is>
      </c>
      <c r="T111" s="3" t="b">
        <v>1</v>
      </c>
      <c r="U111" s="3" t="inlineStr">
        <is>
          <t>eFigure 8B repeats eFigure 7B interaction results under a different outcome caption</t>
        </is>
      </c>
      <c r="V111" s="3" t="inlineStr">
        <is>
          <t>internal_nonstatistical</t>
        </is>
      </c>
      <c r="W111" s="3" t="inlineStr">
        <is>
          <t>eFigure 8B repeats eFigure 7B interaction results under a different outcome caption</t>
        </is>
      </c>
      <c r="X111" s="3" t="inlineStr">
        <is>
          <t>2025</t>
        </is>
      </c>
      <c r="Y111" s="3" t="inlineStr">
        <is>
          <t>meta_report/consistency_reclassification_2026-09-04/reclassified_candidates.json</t>
        </is>
      </c>
      <c r="Z111" s="3" t="inlineStr">
        <is>
          <t>S_W</t>
        </is>
      </c>
      <c r="AA111" s="3" t="inlineStr">
        <is>
          <t>internal_nonstatistical</t>
        </is>
      </c>
      <c r="AB111" s="3" t="inlineStr">
        <is>
          <t>retain</t>
        </is>
      </c>
    </row>
    <row r="112" ht="95" customHeight="1">
      <c r="A112" s="2" t="b">
        <v>0</v>
      </c>
      <c r="B112" s="2" t="inlineStr"/>
      <c r="C112" s="2" t="b">
        <v>0</v>
      </c>
      <c r="D112" s="2" t="inlineStr">
        <is>
          <t>Statistical reporting inconsistency</t>
        </is>
      </c>
      <c r="E112" s="2" t="b">
        <v>0</v>
      </c>
      <c r="F112" s="2" t="inlineStr">
        <is>
          <t>C013</t>
        </is>
      </c>
      <c r="G112" s="2" t="inlineStr">
        <is>
          <t>2025::jama.2025.24175::C013</t>
        </is>
      </c>
      <c r="H112" s="2" t="inlineStr"/>
      <c r="I112" s="2" t="inlineStr">
        <is>
          <t>DOC-003 eFigure 9B, PDF p. 53.</t>
        </is>
      </c>
      <c r="J112" s="2" t="b">
        <v>0</v>
      </c>
      <c r="K112" s="2" t="inlineStr">
        <is>
          <t>jama.2025.24175</t>
        </is>
      </c>
      <c r="L112" s="2" t="inlineStr"/>
      <c r="M112" s="2" t="inlineStr">
        <is>
          <t>S_W</t>
        </is>
      </c>
      <c r="N112" s="2" t="inlineStr">
        <is>
          <t>Target is within one main article or one non-plan results supplement/workbook; no substantive plan comparison. Point estimate 0.11 versus interval lower endpoint 0.36.</t>
        </is>
      </c>
      <c r="O112" s="2" t="inlineStr">
        <is>
          <t>../../2025/jama.2025.24175/.ai_paper_validation/final_report_1_5_1.html</t>
        </is>
      </c>
      <c r="P112" s="2" t="inlineStr">
        <is>
          <t>2025/jama.2025.24175/.ai_paper_validation/final_report_1_5_1.md</t>
        </is>
      </c>
      <c r="Q112" s="2" t="inlineStr">
        <is>
          <t>C013</t>
        </is>
      </c>
      <c r="R112" s="2" t="inlineStr">
        <is>
          <t>Pending Human Adjudication</t>
        </is>
      </c>
      <c r="S112" s="2" t="inlineStr">
        <is>
          <t>Pending Human Adjudication. The printed OR 0.11 lies below its printed 95% CI lower endpoint 0.36.</t>
        </is>
      </c>
      <c r="T112" s="2" t="b">
        <v>1</v>
      </c>
      <c r="U112" s="2" t="inlineStr">
        <is>
          <t>eFigure 9B APACHE interaction point estimate outside its CI</t>
        </is>
      </c>
      <c r="V112" s="2" t="inlineStr">
        <is>
          <t>statistical_results</t>
        </is>
      </c>
      <c r="W112" s="2" t="inlineStr">
        <is>
          <t>eFigure 9B APACHE interaction point estimate outside its CI</t>
        </is>
      </c>
      <c r="X112" s="2" t="inlineStr">
        <is>
          <t>2025</t>
        </is>
      </c>
      <c r="Y112" s="2" t="inlineStr">
        <is>
          <t>meta_report/consistency_reclassification_2026-09-04/reclassified_candidates.json</t>
        </is>
      </c>
      <c r="Z112" s="2" t="inlineStr">
        <is>
          <t>S_W</t>
        </is>
      </c>
      <c r="AA112" s="2" t="inlineStr">
        <is>
          <t>statistical_results</t>
        </is>
      </c>
      <c r="AB112" s="2" t="inlineStr">
        <is>
          <t>retain</t>
        </is>
      </c>
    </row>
    <row r="113" ht="95" customHeight="1">
      <c r="A113" s="3" t="b">
        <v>0</v>
      </c>
      <c r="B113" s="3"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113" s="3" t="b">
        <v>1</v>
      </c>
      <c r="D113" s="3" t="inlineStr">
        <is>
          <t>Numeric or arithmetic inconsistency</t>
        </is>
      </c>
      <c r="E113" s="3" t="b">
        <v>0</v>
      </c>
      <c r="F113" s="3" t="inlineStr">
        <is>
          <t>C014</t>
        </is>
      </c>
      <c r="G113" s="3" t="inlineStr">
        <is>
          <t>2025::jama.2025.24175::C014</t>
        </is>
      </c>
      <c r="H113" s="3" t="inlineStr">
        <is>
          <t>P_B</t>
        </is>
      </c>
      <c r="I113" s="3" t="inlineStr">
        <is>
          <t>DOC-002 actual mortality sentence, PDF p. 41; Discussion, PDF p. 42; Table 2, PDF p. 48; Figure 1, PDF p. 50.</t>
        </is>
      </c>
      <c r="J113" s="3" t="b">
        <v>0</v>
      </c>
      <c r="K113" s="3" t="inlineStr">
        <is>
          <t>jama.2025.24175</t>
        </is>
      </c>
      <c r="L113" s="3" t="inlineStr"/>
      <c r="M113" s="3" t="inlineStr">
        <is>
          <t>P_P</t>
        </is>
      </c>
      <c r="N113" s="3" t="inlineStr">
        <is>
          <t>Target concerns historical/background results inside the protocol, not the current trial plan or submitted main/results supplement. Unsupported assembled alleged pairs versus directly printed coherent p.41 mortality pairs.</t>
        </is>
      </c>
      <c r="O113" s="3" t="inlineStr">
        <is>
          <t>../../2025/jama.2025.24175/.ai_paper_validation/final_report_1_5_1.html</t>
        </is>
      </c>
      <c r="P113" s="3" t="inlineStr">
        <is>
          <t>2025/jama.2025.24175/.ai_paper_validation/final_report_1_5_1.md</t>
        </is>
      </c>
      <c r="Q113" s="3" t="inlineStr">
        <is>
          <t>C014</t>
        </is>
      </c>
      <c r="R113" s="3" t="inlineStr">
        <is>
          <t>Pending Human Adjudication</t>
        </is>
      </c>
      <c r="S113" s="3" t="inlineStr">
        <is>
          <t>Pending Human Adjudication. Retained ID with direct-source repair: no supplied source prints the registered mortality count/percentage pairs.</t>
        </is>
      </c>
      <c r="T113" s="3" t="b">
        <v>0</v>
      </c>
      <c r="U113" s="3" t="inlineStr">
        <is>
          <t>Historical mortality-pair registration</t>
        </is>
      </c>
      <c r="V113" s="3" t="inlineStr">
        <is>
          <t>plan_material</t>
        </is>
      </c>
      <c r="W113" s="3" t="inlineStr">
        <is>
          <t>Historical mortality-pair registration</t>
        </is>
      </c>
      <c r="X113" s="3" t="inlineStr">
        <is>
          <t>2025</t>
        </is>
      </c>
      <c r="Y113" s="3" t="inlineStr">
        <is>
          <t>meta_report/consistency_reclassification_2026-09-04/reclassified_candidates.json</t>
        </is>
      </c>
      <c r="Z113" s="3" t="inlineStr">
        <is>
          <t>P_P</t>
        </is>
      </c>
      <c r="AA113" s="3" t="inlineStr">
        <is>
          <t>plan_material</t>
        </is>
      </c>
      <c r="AB113" s="3" t="inlineStr">
        <is>
          <t>exclude</t>
        </is>
      </c>
    </row>
    <row r="114" ht="95" customHeight="1">
      <c r="A114" s="2" t="b">
        <v>0</v>
      </c>
      <c r="B114" s="2" t="inlineStr"/>
      <c r="C114" s="2" t="b">
        <v>0</v>
      </c>
      <c r="D114" s="2" t="inlineStr">
        <is>
          <t>Cross-document numeric inconsistency</t>
        </is>
      </c>
      <c r="E114" s="2" t="b">
        <v>0</v>
      </c>
      <c r="F114" s="2" t="inlineStr">
        <is>
          <t>C001</t>
        </is>
      </c>
      <c r="G114" s="2" t="inlineStr">
        <is>
          <t>2025::jama.2025.4390::C001</t>
        </is>
      </c>
      <c r="H114" s="2" t="inlineStr"/>
      <c r="I114" s="2" t="inlineStr">
        <is>
          <t>jama_garrison_2025_oi_250019_1749674951.29054.pdf — Figure 3, PDF p. 9; jama_garrison_2025_oi_250019_1749674951.29054.pdf — Table 2, PDF p. 8; main article abstract, PDF p. 1; primary-outcome narrative, PDF p. 6.</t>
        </is>
      </c>
      <c r="J114" s="2" t="b">
        <v>1</v>
      </c>
      <c r="K114" s="2" t="inlineStr">
        <is>
          <t>jama.2025.4390</t>
        </is>
      </c>
      <c r="L114" s="2" t="inlineStr"/>
      <c r="M114" s="2" t="inlineStr">
        <is>
          <t>S_W</t>
        </is>
      </c>
      <c r="N114" s="2"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114" s="2" t="inlineStr">
        <is>
          <t>../../2025/jama.2025.4390/.ai_paper_validation/final_report_1_5_1.html</t>
        </is>
      </c>
      <c r="P114" s="2" t="inlineStr">
        <is>
          <t>2025/jama.2025.4390/.ai_paper_validation/final_report_1_5_1.md</t>
        </is>
      </c>
      <c r="Q114" s="2" t="inlineStr">
        <is>
          <t>C001</t>
        </is>
      </c>
      <c r="R114" s="2" t="inlineStr">
        <is>
          <t>Pending Human Adjudication</t>
        </is>
      </c>
      <c r="S114" s="2" t="inlineStr">
        <is>
          <t>Figure 3 prints 71.0 for both all-patient treatment arms under columns labeled Rate per 100 patient-years, whereas the matched primary-outcome analysis reports 2.30 and 2.44 per 100 patient-years for the same arm-specific event counts.</t>
        </is>
      </c>
      <c r="T114" s="2" t="b">
        <v>1</v>
      </c>
      <c r="U114" s="2" t="inlineStr">
        <is>
          <t>Figure 3 all-patient rate-column conflict with the matched primary-outcome rate</t>
        </is>
      </c>
      <c r="V114" s="2" t="inlineStr">
        <is>
          <t>internal_nonstatistical</t>
        </is>
      </c>
      <c r="W114" s="2" t="inlineStr">
        <is>
          <t>Figure 3 all-patient rate-column conflict with the matched primary-outcome rate</t>
        </is>
      </c>
      <c r="X114" s="2" t="inlineStr">
        <is>
          <t>2025</t>
        </is>
      </c>
      <c r="Y114" s="2" t="inlineStr">
        <is>
          <t>meta_report/consistency_reclassification_2026-09-04/reclassified_candidates.json</t>
        </is>
      </c>
      <c r="Z114" s="2" t="inlineStr">
        <is>
          <t>S_W</t>
        </is>
      </c>
      <c r="AA114" s="2" t="inlineStr">
        <is>
          <t>internal_nonstatistical</t>
        </is>
      </c>
      <c r="AB114" s="2" t="inlineStr">
        <is>
          <t>retain</t>
        </is>
      </c>
    </row>
    <row r="115" ht="95" customHeight="1">
      <c r="A115" s="3" t="b">
        <v>0</v>
      </c>
      <c r="B115" s="3" t="inlineStr"/>
      <c r="C115" s="3" t="b">
        <v>0</v>
      </c>
      <c r="D115" s="3" t="inlineStr">
        <is>
          <t>Cross-document numeric inconsistency</t>
        </is>
      </c>
      <c r="E115" s="3" t="b">
        <v>0</v>
      </c>
      <c r="F115" s="3" t="inlineStr">
        <is>
          <t>C002</t>
        </is>
      </c>
      <c r="G115" s="3" t="inlineStr">
        <is>
          <t>2025::jama.2025.4390::C002</t>
        </is>
      </c>
      <c r="H115" s="3" t="inlineStr"/>
      <c r="I115" s="3" t="inlineStr">
        <is>
          <t>joi250019supp3_prod_1749674951.30054.pdf — eFigure 4, PDF p. 26; joi250019supp3_prod_1749674951.30054.pdf — eTable 6, PDF p. 42 (table begins on PDF p. 41).</t>
        </is>
      </c>
      <c r="J115" s="3" t="b">
        <v>1</v>
      </c>
      <c r="K115" s="3" t="inlineStr">
        <is>
          <t>jama.2025.4390</t>
        </is>
      </c>
      <c r="L115" s="3" t="inlineStr"/>
      <c r="M115" s="3" t="inlineStr">
        <is>
          <t>S_W</t>
        </is>
      </c>
      <c r="N115" s="3" t="inlineStr">
        <is>
          <t>Target is within one main article or one non-plan results supplement/workbook; no substantive plan comparison. Reported figure triplet: 278/138/8. Matched table triplet: 277/139/8 of 424, with the stated percentages.</t>
        </is>
      </c>
      <c r="O115" s="3" t="inlineStr">
        <is>
          <t>../../2025/jama.2025.4390/.ai_paper_validation/final_report_1_5_1.html</t>
        </is>
      </c>
      <c r="P115" s="3" t="inlineStr">
        <is>
          <t>2025/jama.2025.4390/.ai_paper_validation/final_report_1_5_1.md</t>
        </is>
      </c>
      <c r="Q115" s="3" t="inlineStr">
        <is>
          <t>C002</t>
        </is>
      </c>
      <c r="R115" s="3" t="inlineStr">
        <is>
          <t>Pending Human Adjudication</t>
        </is>
      </c>
      <c r="S115" s="3" t="inlineStr">
        <is>
          <t>eFigure 4 and eTable 6 print different medication-level timing counts for the same six-month bedtime-allocation diuretic total of 424.</t>
        </is>
      </c>
      <c r="T115" s="3" t="b">
        <v>1</v>
      </c>
      <c r="U115" s="3" t="inlineStr">
        <is>
          <t>Bedtime-diuretic six-month timing count triplets differ between eFigure 4 and eTable 6</t>
        </is>
      </c>
      <c r="V115" s="3" t="inlineStr">
        <is>
          <t>internal_nonstatistical</t>
        </is>
      </c>
      <c r="W115" s="3" t="inlineStr">
        <is>
          <t>Bedtime-diuretic six-month timing count triplets differ between eFigure 4 and eTable 6</t>
        </is>
      </c>
      <c r="X115" s="3" t="inlineStr">
        <is>
          <t>2025</t>
        </is>
      </c>
      <c r="Y115" s="3" t="inlineStr">
        <is>
          <t>meta_report/consistency_reclassification_2026-09-04/reclassified_candidates.json</t>
        </is>
      </c>
      <c r="Z115" s="3" t="inlineStr">
        <is>
          <t>S_W</t>
        </is>
      </c>
      <c r="AA115" s="3" t="inlineStr">
        <is>
          <t>internal_nonstatistical</t>
        </is>
      </c>
      <c r="AB115" s="3" t="inlineStr">
        <is>
          <t>retain</t>
        </is>
      </c>
    </row>
    <row r="116" ht="95" customHeight="1">
      <c r="A116" s="2" t="b">
        <v>0</v>
      </c>
      <c r="B116" s="2" t="inlineStr"/>
      <c r="C116" s="2" t="b">
        <v>0</v>
      </c>
      <c r="D116" s="2" t="inlineStr">
        <is>
          <t>Numeric or arithmetic inconsistency</t>
        </is>
      </c>
      <c r="E116" s="2" t="b">
        <v>0</v>
      </c>
      <c r="F116" s="2" t="inlineStr">
        <is>
          <t>C003</t>
        </is>
      </c>
      <c r="G116" s="2" t="inlineStr">
        <is>
          <t>2025::jama.2025.4390::C003</t>
        </is>
      </c>
      <c r="H116" s="2" t="inlineStr"/>
      <c r="I116" s="2" t="inlineStr">
        <is>
          <t>joi250019supp3_prod_1749674951.30054.pdf — eTable 5, PDF p. 37; joi250019supp3_prod_1749674951.30054.pdf — eTable 3, PDF p. 29.</t>
        </is>
      </c>
      <c r="J116" s="2" t="b">
        <v>0</v>
      </c>
      <c r="K116" s="2" t="inlineStr">
        <is>
          <t>jama.2025.4390</t>
        </is>
      </c>
      <c r="L116" s="2" t="inlineStr"/>
      <c r="M116" s="2" t="inlineStr">
        <is>
          <t>S_W</t>
        </is>
      </c>
      <c r="N116" s="2"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116" s="2" t="inlineStr">
        <is>
          <t>../../2025/jama.2025.4390/.ai_paper_validation/final_report_1_5_1.html</t>
        </is>
      </c>
      <c r="P116" s="2" t="inlineStr">
        <is>
          <t>2025/jama.2025.4390/.ai_paper_validation/final_report_1_5_1.md</t>
        </is>
      </c>
      <c r="Q116" s="2" t="inlineStr">
        <is>
          <t>C003</t>
        </is>
      </c>
      <c r="R116" s="2" t="inlineStr">
        <is>
          <t>Pending Human Adjudication</t>
        </is>
      </c>
      <c r="S116" s="2" t="inlineStr">
        <is>
          <t>In eTable 5, the Other ethnicity row repeats the White/Caucasian values for participants unable to be followed through administrative data; those repeated counts exceed the randomized baseline Other counts for each allocation arm in eTable 3.</t>
        </is>
      </c>
      <c r="T116" s="2" t="b">
        <v>1</v>
      </c>
      <c r="U116" s="2" t="inlineStr">
        <is>
          <t>eTable 5 Other ethnicity row duplicates White/Caucasian values and exceeds randomized Other totals</t>
        </is>
      </c>
      <c r="V116" s="2" t="inlineStr">
        <is>
          <t>statistical_results</t>
        </is>
      </c>
      <c r="W116" s="2" t="inlineStr">
        <is>
          <t>eTable 5 Other ethnicity row duplicates White/Caucasian values and exceeds randomized Other totals</t>
        </is>
      </c>
      <c r="X116" s="2" t="inlineStr">
        <is>
          <t>2025</t>
        </is>
      </c>
      <c r="Y116" s="2" t="inlineStr">
        <is>
          <t>meta_report/consistency_reclassification_2026-09-04/reclassified_candidates.json</t>
        </is>
      </c>
      <c r="Z116" s="2" t="inlineStr">
        <is>
          <t>S_W</t>
        </is>
      </c>
      <c r="AA116" s="2" t="inlineStr">
        <is>
          <t>statistical_results</t>
        </is>
      </c>
      <c r="AB116" s="2" t="inlineStr">
        <is>
          <t>retain</t>
        </is>
      </c>
    </row>
    <row r="117" ht="95" customHeight="1">
      <c r="A117" s="3" t="b">
        <v>0</v>
      </c>
      <c r="B117" s="3" t="inlineStr">
        <is>
          <t>Both protocol-versus-SAP and report-versus-SAP endpoint operator explicitly targeted. No case at exactly5 mm identified.</t>
        </is>
      </c>
      <c r="C117" s="3" t="b">
        <v>1</v>
      </c>
      <c r="D117" s="3" t="inlineStr">
        <is>
          <t>Measure, label, or scale inconsistency</t>
        </is>
      </c>
      <c r="E117" s="3" t="b">
        <v>1</v>
      </c>
      <c r="F117" s="3" t="inlineStr">
        <is>
          <t>C001</t>
        </is>
      </c>
      <c r="G117" s="3" t="inlineStr">
        <is>
          <t>2025::jama.2025.7583::C001</t>
        </is>
      </c>
      <c r="H117" s="3" t="inlineStr"/>
      <c r="I117" s="3" t="inlineStr">
        <is>
          <t>Main article — PDF p. 3; protocol — PDF p. 7; protocol — PDF p. 16; results supplement — PDF p. 15; SAP — PDF p. 3.</t>
        </is>
      </c>
      <c r="J117" s="3" t="b">
        <v>0</v>
      </c>
      <c r="K117" s="3" t="inlineStr">
        <is>
          <t>jama.2025.7583</t>
        </is>
      </c>
      <c r="L117" s="3" t="inlineStr">
        <is>
          <t>endpoint_definition_window_hierarchy</t>
        </is>
      </c>
      <c r="M117" s="3" t="inlineStr">
        <is>
          <t>P_R</t>
        </is>
      </c>
      <c r="N117" s="3" t="inlineStr">
        <is>
          <t>Target compares reported current-study content with supplied protocol/SAP specification. The inclusive `&gt;=5 mm` wording in the main article, protocol, and results supplement is compared with the SAP’s strict `&gt;5 mm` wording.</t>
        </is>
      </c>
      <c r="O117" s="3" t="inlineStr">
        <is>
          <t>../../2025/jama.2025.7583/.ai_paper_validation/final_report_1_5_1.html</t>
        </is>
      </c>
      <c r="P117" s="3" t="inlineStr">
        <is>
          <t>2025/jama.2025.7583/.ai_paper_validation/final_report_1_5_1.md</t>
        </is>
      </c>
      <c r="Q117" s="3" t="inlineStr">
        <is>
          <t>C001</t>
        </is>
      </c>
      <c r="R117" s="3" t="inlineStr">
        <is>
          <t>Pending Human Adjudication</t>
        </is>
      </c>
      <c r="S117" s="3" t="inlineStr">
        <is>
          <t>Matched supplied sources define the same six-month primary-endpoint imaging component with different inclusion operators: inclusive &gt;=5 mm versus strict &gt;5 mm.</t>
        </is>
      </c>
      <c r="T117" s="3" t="b">
        <v>0</v>
      </c>
      <c r="U117" s="3" t="inlineStr">
        <is>
          <t>Primary-endpoint midline-shift boundary differs across matched supplied sources</t>
        </is>
      </c>
      <c r="V117" s="3" t="inlineStr">
        <is>
          <t>protocol_report</t>
        </is>
      </c>
      <c r="W117" s="3" t="inlineStr">
        <is>
          <t>Primary-endpoint midline-shift boundary differs across matched supplied sources</t>
        </is>
      </c>
      <c r="X117" s="3" t="inlineStr">
        <is>
          <t>2025</t>
        </is>
      </c>
      <c r="Y117" s="3" t="inlineStr">
        <is>
          <t>meta_report/consistency_reclassification_2026-09-04/reclassified_candidates.json</t>
        </is>
      </c>
      <c r="Z117" s="3" t="inlineStr">
        <is>
          <t>P_R</t>
        </is>
      </c>
      <c r="AA117" s="3" t="inlineStr">
        <is>
          <t>protocol_report</t>
        </is>
      </c>
      <c r="AB117" s="3" t="inlineStr">
        <is>
          <t>retain</t>
        </is>
      </c>
    </row>
    <row r="118" ht="95" customHeight="1">
      <c r="A118" s="2" t="b">
        <v>0</v>
      </c>
      <c r="B118" s="2" t="inlineStr">
        <is>
          <t>Plan and article AGREE at342 and20%; arithmetic incompatibility is within protocol/SAP full input sequence. Article does not print142. Not report-versus-plan.</t>
        </is>
      </c>
      <c r="C118" s="2" t="b">
        <v>1</v>
      </c>
      <c r="D118" s="2" t="inlineStr">
        <is>
          <t>Numeric or arithmetic inconsistency</t>
        </is>
      </c>
      <c r="E118" s="2" t="b">
        <v>0</v>
      </c>
      <c r="F118" s="2" t="inlineStr">
        <is>
          <t>C002</t>
        </is>
      </c>
      <c r="G118" s="2" t="inlineStr">
        <is>
          <t>2025::jama.2025.7583::C002</t>
        </is>
      </c>
      <c r="H118" s="2" t="inlineStr"/>
      <c r="I118" s="2" t="inlineStr">
        <is>
          <t>Protocol — PDF p. 50; SAP — PDF p. 4; SAP — PDF p. 5; main article — PDF p. 3.</t>
        </is>
      </c>
      <c r="J118" s="2" t="b">
        <v>0</v>
      </c>
      <c r="K118" s="2" t="inlineStr">
        <is>
          <t>jama.2025.7583</t>
        </is>
      </c>
      <c r="L118" s="2" t="inlineStr"/>
      <c r="M118" s="2" t="inlineStr">
        <is>
          <t>P_P</t>
        </is>
      </c>
      <c r="N118" s="2"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118" s="2" t="inlineStr">
        <is>
          <t>../../2025/jama.2025.7583/.ai_paper_validation/final_report_1_5_1.html</t>
        </is>
      </c>
      <c r="P118" s="2" t="inlineStr">
        <is>
          <t>2025/jama.2025.7583/.ai_paper_validation/final_report_1_5_1.md</t>
        </is>
      </c>
      <c r="Q118" s="2" t="inlineStr">
        <is>
          <t>C002</t>
        </is>
      </c>
      <c r="R118" s="2" t="inlineStr">
        <is>
          <t>Pending Human Adjudication</t>
        </is>
      </c>
      <c r="S118" s="2" t="inlineStr">
        <is>
          <t>The printed 142-per-group requirement, stated 20% loss-to-follow-up allowance, and 171-per-group/342-total target do not reconcile under a true loss-fraction convention.</t>
        </is>
      </c>
      <c r="T118" s="2" t="b">
        <v>0</v>
      </c>
      <c r="U118" s="2" t="inlineStr">
        <is>
          <t>Printed sample-size attrition allowance does not reconcile with the printed target</t>
        </is>
      </c>
      <c r="V118" s="2" t="inlineStr">
        <is>
          <t>plan_material</t>
        </is>
      </c>
      <c r="W118" s="2" t="inlineStr">
        <is>
          <t>Printed sample-size attrition allowance does not reconcile with the printed target</t>
        </is>
      </c>
      <c r="X118" s="2" t="inlineStr">
        <is>
          <t>2025</t>
        </is>
      </c>
      <c r="Y118" s="2" t="inlineStr">
        <is>
          <t>meta_report/consistency_reclassification_2026-09-04/reclassified_candidates.json</t>
        </is>
      </c>
      <c r="Z118" s="2" t="inlineStr">
        <is>
          <t>P_P</t>
        </is>
      </c>
      <c r="AA118" s="2" t="inlineStr">
        <is>
          <t>plan_material</t>
        </is>
      </c>
      <c r="AB118" s="2" t="inlineStr">
        <is>
          <t>retain</t>
        </is>
      </c>
    </row>
    <row r="119" ht="95" customHeight="1">
      <c r="A119" s="3" t="b">
        <v>0</v>
      </c>
      <c r="B119" s="3" t="inlineStr"/>
      <c r="C119" s="3" t="b">
        <v>0</v>
      </c>
      <c r="D119" s="3" t="inlineStr">
        <is>
          <t>Denominator, proportion, or total inconsistency</t>
        </is>
      </c>
      <c r="E119" s="3" t="b">
        <v>0</v>
      </c>
      <c r="F119" s="3" t="inlineStr">
        <is>
          <t>C003</t>
        </is>
      </c>
      <c r="G119" s="3" t="inlineStr">
        <is>
          <t>2025::jama.2025.7583::C003</t>
        </is>
      </c>
      <c r="H119" s="3" t="inlineStr"/>
      <c r="I119" s="3" t="inlineStr">
        <is>
          <t>Main article — PDF p. 5, Table 1, Treatment rows.</t>
        </is>
      </c>
      <c r="J119" s="3" t="b">
        <v>0</v>
      </c>
      <c r="K119" s="3" t="inlineStr">
        <is>
          <t>jama.2025.7583</t>
        </is>
      </c>
      <c r="L119" s="3" t="inlineStr"/>
      <c r="M119" s="3" t="inlineStr">
        <is>
          <t>S_W</t>
        </is>
      </c>
      <c r="N119" s="3"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119" s="3" t="inlineStr">
        <is>
          <t>../../2025/jama.2025.7583/.ai_paper_validation/final_report_1_5_1.html</t>
        </is>
      </c>
      <c r="P119" s="3" t="inlineStr">
        <is>
          <t>2025/jama.2025.7583/.ai_paper_validation/final_report_1_5_1.md</t>
        </is>
      </c>
      <c r="Q119" s="3" t="inlineStr">
        <is>
          <t>C003</t>
        </is>
      </c>
      <c r="R119" s="3" t="inlineStr">
        <is>
          <t>Pending Human Adjudication</t>
        </is>
      </c>
      <c r="S119" s="3" t="inlineStr">
        <is>
          <t>In Table 1’s standard-care column, two surgery-type numerators total 164 against their shared printed denominator of 163; clarification is required because the table does not state the participant-versus-procedure overlap rule.</t>
        </is>
      </c>
      <c r="T119" s="3" t="b">
        <v>1</v>
      </c>
      <c r="U119" s="3" t="inlineStr">
        <is>
          <t>Standard-care surgery-type counts exceed their shared printed denominator</t>
        </is>
      </c>
      <c r="V119" s="3" t="inlineStr">
        <is>
          <t>statistical_results</t>
        </is>
      </c>
      <c r="W119" s="3" t="inlineStr">
        <is>
          <t>Standard-care surgery-type counts exceed their shared printed denominator</t>
        </is>
      </c>
      <c r="X119" s="3" t="inlineStr">
        <is>
          <t>2025</t>
        </is>
      </c>
      <c r="Y119" s="3" t="inlineStr">
        <is>
          <t>meta_report/consistency_reclassification_2026-09-04/reclassified_candidates.json</t>
        </is>
      </c>
      <c r="Z119" s="3" t="inlineStr">
        <is>
          <t>S_W</t>
        </is>
      </c>
      <c r="AA119" s="3" t="inlineStr">
        <is>
          <t>statistical_results</t>
        </is>
      </c>
      <c r="AB119" s="3" t="inlineStr">
        <is>
          <t>retain</t>
        </is>
      </c>
    </row>
    <row r="120" ht="95" customHeight="1">
      <c r="A120" s="2" t="b">
        <v>0</v>
      </c>
      <c r="B120" s="2" t="inlineStr"/>
      <c r="C120" s="2" t="b">
        <v>1</v>
      </c>
      <c r="D120" s="2" t="inlineStr">
        <is>
          <t>Measure, label, or scale inconsistency</t>
        </is>
      </c>
      <c r="E120" s="2" t="b">
        <v>0</v>
      </c>
      <c r="F120" s="2" t="inlineStr">
        <is>
          <t>C001</t>
        </is>
      </c>
      <c r="G120" s="2" t="inlineStr">
        <is>
          <t>2025::jama.2025.7710::C001</t>
        </is>
      </c>
      <c r="H120" s="2" t="inlineStr"/>
      <c r="I120" s="2" t="inlineStr">
        <is>
          <t>joi250034supp1_prod_1750956984.09018.pdf — PDF p. 16, section 7.2.3; joi250034supp1_prod_1750956984.09018.pdf — PDF p. 17, section 8.2.</t>
        </is>
      </c>
      <c r="J120" s="2" t="b">
        <v>0</v>
      </c>
      <c r="K120" s="2" t="inlineStr">
        <is>
          <t>jama.2025.7710</t>
        </is>
      </c>
      <c r="L120" s="2" t="inlineStr"/>
      <c r="M120" s="2" t="inlineStr">
        <is>
          <t>P_P</t>
        </is>
      </c>
      <c r="N120" s="2" t="inlineStr">
        <is>
          <t>Target is internal to protocol/SAP definitions, calculations, or plan versions; final results are not the conflicting comparator. Reported: 2024/25 dollars (p. 16). Comparator: 2023/24 dollars (p. 17).</t>
        </is>
      </c>
      <c r="O120" s="2" t="inlineStr">
        <is>
          <t>../../2025/jama.2025.7710/.ai_paper_validation/final_report_1_5_1.html</t>
        </is>
      </c>
      <c r="P120" s="2" t="inlineStr">
        <is>
          <t>2025/jama.2025.7710/.ai_paper_validation/final_report_1_5_1.md</t>
        </is>
      </c>
      <c r="Q120" s="2" t="inlineStr">
        <is>
          <t>C001</t>
        </is>
      </c>
      <c r="R120" s="2" t="inlineStr">
        <is>
          <t>Pending Human Adjudication</t>
        </is>
      </c>
      <c r="S120" s="2" t="inlineStr">
        <is>
          <t>Two linked protocol descriptions of the economic-analysis framework state different monetary price years.</t>
        </is>
      </c>
      <c r="T120" s="2" t="b">
        <v>0</v>
      </c>
      <c r="U120" s="2" t="inlineStr">
        <is>
          <t>Conflicting economic price-year labels within the protocol</t>
        </is>
      </c>
      <c r="V120" s="2" t="inlineStr">
        <is>
          <t>plan_material</t>
        </is>
      </c>
      <c r="W120" s="2" t="inlineStr">
        <is>
          <t>Conflicting economic price-year labels within the protocol</t>
        </is>
      </c>
      <c r="X120" s="2" t="inlineStr">
        <is>
          <t>2025</t>
        </is>
      </c>
      <c r="Y120" s="2" t="inlineStr">
        <is>
          <t>meta_report/consistency_reclassification_2026-09-04/reclassified_candidates.json</t>
        </is>
      </c>
      <c r="Z120" s="2" t="inlineStr">
        <is>
          <t>P_P</t>
        </is>
      </c>
      <c r="AA120" s="2" t="inlineStr">
        <is>
          <t>plan_material</t>
        </is>
      </c>
      <c r="AB120" s="2" t="inlineStr">
        <is>
          <t>retain</t>
        </is>
      </c>
    </row>
    <row r="121" ht="95" customHeight="1">
      <c r="A121" s="3" t="b">
        <v>0</v>
      </c>
      <c r="B121" s="3" t="inlineStr"/>
      <c r="C121" s="3" t="b">
        <v>1</v>
      </c>
      <c r="D121" s="3" t="inlineStr">
        <is>
          <t>Measure, label, or scale inconsistency</t>
        </is>
      </c>
      <c r="E121" s="3" t="b">
        <v>0</v>
      </c>
      <c r="F121" s="3" t="inlineStr">
        <is>
          <t>C002</t>
        </is>
      </c>
      <c r="G121" s="3" t="inlineStr">
        <is>
          <t>2025::jama.2025.7710::C002</t>
        </is>
      </c>
      <c r="H121" s="3" t="inlineStr"/>
      <c r="I121" s="3" t="inlineStr">
        <is>
          <t>joi250034supp1_prod_1750956984.09018.pdf — PDF p. 15, section 7.1; joi250034supp1_prod_1750956984.09018.pdf — PDF p. 16, section 7.2.1.</t>
        </is>
      </c>
      <c r="J121" s="3" t="b">
        <v>0</v>
      </c>
      <c r="K121" s="3" t="inlineStr">
        <is>
          <t>jama.2025.7710</t>
        </is>
      </c>
      <c r="L121" s="3" t="inlineStr"/>
      <c r="M121" s="3" t="inlineStr">
        <is>
          <t>P_P</t>
        </is>
      </c>
      <c r="N121" s="3" t="inlineStr">
        <is>
          <t>Target is internal to protocol/SAP definitions, calculations, or plan versions; final results are not the conflicting comparator. Reported list: ten displayed bullets. Comparator rationale: a total of ten attributed to expanding outcomes (i) and (viii).</t>
        </is>
      </c>
      <c r="O121" s="3" t="inlineStr">
        <is>
          <t>../../2025/jama.2025.7710/.ai_paper_validation/final_report_1_5_1.html</t>
        </is>
      </c>
      <c r="P121" s="3" t="inlineStr">
        <is>
          <t>2025/jama.2025.7710/.ai_paper_validation/final_report_1_5_1.md</t>
        </is>
      </c>
      <c r="Q121" s="3" t="inlineStr">
        <is>
          <t>C002</t>
        </is>
      </c>
      <c r="R121" s="3" t="inlineStr">
        <is>
          <t>Pending Human Adjudication</t>
        </is>
      </c>
      <c r="S121" s="3" t="inlineStr">
        <is>
          <t>The protocol displays ten separate endpoint bullets but explains a total of ten by saying two listed outcomes each contain two individual components.</t>
        </is>
      </c>
      <c r="T121" s="3" t="b">
        <v>0</v>
      </c>
      <c r="U121" s="3" t="inlineStr">
        <is>
          <t>Primary-composite counting rationale does not reconcile with the displayed endpoint list</t>
        </is>
      </c>
      <c r="V121" s="3" t="inlineStr">
        <is>
          <t>plan_material</t>
        </is>
      </c>
      <c r="W121" s="3" t="inlineStr">
        <is>
          <t>Primary-composite counting rationale does not reconcile with the displayed endpoint list</t>
        </is>
      </c>
      <c r="X121" s="3" t="inlineStr">
        <is>
          <t>2025</t>
        </is>
      </c>
      <c r="Y121" s="3" t="inlineStr">
        <is>
          <t>meta_report/consistency_reclassification_2026-09-04/reclassified_candidates.json</t>
        </is>
      </c>
      <c r="Z121" s="3" t="inlineStr">
        <is>
          <t>P_P</t>
        </is>
      </c>
      <c r="AA121" s="3" t="inlineStr">
        <is>
          <t>plan_material</t>
        </is>
      </c>
      <c r="AB121" s="3" t="inlineStr">
        <is>
          <t>retain</t>
        </is>
      </c>
    </row>
    <row r="122" ht="95" customHeight="1">
      <c r="A122" s="2" t="b">
        <v>0</v>
      </c>
      <c r="B122" s="2" t="inlineStr"/>
      <c r="C122" s="2" t="b">
        <v>1</v>
      </c>
      <c r="D122" s="2" t="inlineStr">
        <is>
          <t>Measure, label, or scale inconsistency</t>
        </is>
      </c>
      <c r="E122" s="2" t="b">
        <v>0</v>
      </c>
      <c r="F122" s="2" t="inlineStr">
        <is>
          <t>C003</t>
        </is>
      </c>
      <c r="G122" s="2" t="inlineStr">
        <is>
          <t>2025::jama.2025.7710::C003</t>
        </is>
      </c>
      <c r="H122" s="2" t="inlineStr"/>
      <c r="I122" s="2" t="inlineStr">
        <is>
          <t>joi250034supp1_prod_1750956984.09018.pdf — PDF p. 5, synopsis and schema; joi250034supp1_prod_1750956984.09018.pdf — PDF p. 16, section 7.2.3; joi250034supp1_prod_1750956984.09018.pdf — PDF p. 17, section 8.2.</t>
        </is>
      </c>
      <c r="J122" s="2" t="b">
        <v>0</v>
      </c>
      <c r="K122" s="2" t="inlineStr">
        <is>
          <t>jama.2025.7710</t>
        </is>
      </c>
      <c r="L122" s="2" t="inlineStr"/>
      <c r="M122" s="2" t="inlineStr">
        <is>
          <t>P_P</t>
        </is>
      </c>
      <c r="N122" s="2" t="inlineStr">
        <is>
          <t>Target is internal to protocol/SAP definitions, calculations, or plan versions; final results are not the conflicting comparator. Reported economic label: `CS vs standard care`. Comparator description: `SC` versus placebo/standard care.</t>
        </is>
      </c>
      <c r="O122" s="2" t="inlineStr">
        <is>
          <t>../../2025/jama.2025.7710/.ai_paper_validation/final_report_1_5_1.html</t>
        </is>
      </c>
      <c r="P122" s="2" t="inlineStr">
        <is>
          <t>2025/jama.2025.7710/.ai_paper_validation/final_report_1_5_1.md</t>
        </is>
      </c>
      <c r="Q122" s="2" t="inlineStr">
        <is>
          <t>C003</t>
        </is>
      </c>
      <c r="R122" s="2" t="inlineStr">
        <is>
          <t>Pending Human Adjudication</t>
        </is>
      </c>
      <c r="S122" s="2" t="inlineStr">
        <is>
          <t>A protocol economic-analysis label uses CS vs standard care, while the detailed economic comparison and trial synopsis identify sildenafil citrate (SC) versus placebo/standard care.</t>
        </is>
      </c>
      <c r="T122" s="2" t="b">
        <v>0</v>
      </c>
      <c r="U122" s="2" t="inlineStr">
        <is>
          <t>Economic comparator label conflicts with the detailed trial comparison</t>
        </is>
      </c>
      <c r="V122" s="2" t="inlineStr">
        <is>
          <t>plan_material</t>
        </is>
      </c>
      <c r="W122" s="2" t="inlineStr">
        <is>
          <t>Economic comparator label conflicts with the detailed trial comparison</t>
        </is>
      </c>
      <c r="X122" s="2" t="inlineStr">
        <is>
          <t>2025</t>
        </is>
      </c>
      <c r="Y122" s="2" t="inlineStr">
        <is>
          <t>meta_report/consistency_reclassification_2026-09-04/reclassified_candidates.json</t>
        </is>
      </c>
      <c r="Z122" s="2" t="inlineStr">
        <is>
          <t>P_P</t>
        </is>
      </c>
      <c r="AA122" s="2" t="inlineStr">
        <is>
          <t>plan_material</t>
        </is>
      </c>
      <c r="AB122" s="2" t="inlineStr">
        <is>
          <t>retain</t>
        </is>
      </c>
    </row>
    <row r="123" ht="95" customHeight="1">
      <c r="A123" s="3" t="b">
        <v>0</v>
      </c>
      <c r="B123" s="3" t="inlineStr">
        <is>
          <t>SAP expressly Draft v1.2; final approved plan/amendment missing. No-adjustment versus planned BH remains candidate governance question.</t>
        </is>
      </c>
      <c r="C123" s="3" t="b">
        <v>1</v>
      </c>
      <c r="D123" s="3" t="inlineStr">
        <is>
          <t>Statistical reporting inconsistency</t>
        </is>
      </c>
      <c r="E123" s="3" t="b">
        <v>1</v>
      </c>
      <c r="F123" s="3" t="inlineStr">
        <is>
          <t>C004</t>
        </is>
      </c>
      <c r="G123" s="3" t="inlineStr">
        <is>
          <t>2025::jama.2025.7710::C004</t>
        </is>
      </c>
      <c r="H123" s="3" t="inlineStr"/>
      <c r="I123"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123" s="3" t="b">
        <v>0</v>
      </c>
      <c r="K123" s="3" t="inlineStr">
        <is>
          <t>jama.2025.7710</t>
        </is>
      </c>
      <c r="L123" s="3" t="inlineStr">
        <is>
          <t>analysis_specification</t>
        </is>
      </c>
      <c r="M123" s="3" t="inlineStr">
        <is>
          <t>P_R</t>
        </is>
      </c>
      <c r="N123" s="3" t="inlineStr">
        <is>
          <t>Target compares reported current-study content with supplied protocol/SAP specification. Reported multiplicity treatment: no adjustment. Comparator planned treatment: adjusted P values for ten component comparisons.</t>
        </is>
      </c>
      <c r="O123" s="3" t="inlineStr">
        <is>
          <t>../../2025/jama.2025.7710/.ai_paper_validation/final_report_1_5_1.html</t>
        </is>
      </c>
      <c r="P123" s="3" t="inlineStr">
        <is>
          <t>2025/jama.2025.7710/.ai_paper_validation/final_report_1_5_1.md</t>
        </is>
      </c>
      <c r="Q123" s="3" t="inlineStr">
        <is>
          <t>C004</t>
        </is>
      </c>
      <c r="R123" s="3" t="inlineStr">
        <is>
          <t>Pending Human Adjudication</t>
        </is>
      </c>
      <c r="S123" s="3" t="inlineStr">
        <is>
          <t>The article reports no adjustment for multiple testing, while the supplied protocol and draft SAP plan Benjamini-Hochberg adjusted P values for the ten component comparisons.</t>
        </is>
      </c>
      <c r="T123" s="3" t="b">
        <v>0</v>
      </c>
      <c r="U123" s="3" t="inlineStr">
        <is>
          <t>Reported no-adjustment statement conflicts with the supplied multiplicity plan</t>
        </is>
      </c>
      <c r="V123" s="3" t="inlineStr">
        <is>
          <t>protocol_report</t>
        </is>
      </c>
      <c r="W123" s="3" t="inlineStr">
        <is>
          <t>Reported no-adjustment statement conflicts with the supplied multiplicity plan</t>
        </is>
      </c>
      <c r="X123" s="3" t="inlineStr">
        <is>
          <t>2025</t>
        </is>
      </c>
      <c r="Y123" s="3" t="inlineStr">
        <is>
          <t>meta_report/consistency_reclassification_2026-09-04/reclassified_candidates.json</t>
        </is>
      </c>
      <c r="Z123" s="3" t="inlineStr">
        <is>
          <t>P_R</t>
        </is>
      </c>
      <c r="AA123" s="3" t="inlineStr">
        <is>
          <t>protocol_report</t>
        </is>
      </c>
      <c r="AB123" s="3" t="inlineStr">
        <is>
          <t>retain</t>
        </is>
      </c>
    </row>
    <row r="124" ht="95" customHeight="1">
      <c r="A124" s="2" t="b">
        <v>0</v>
      </c>
      <c r="B124" s="2" t="inlineStr">
        <is>
          <t>Main label versus own two-endpoint displays; supplement is comparable convention, not identically matched discrepancy.</t>
        </is>
      </c>
      <c r="C124" s="2" t="b">
        <v>0</v>
      </c>
      <c r="D124" s="2" t="inlineStr">
        <is>
          <t>Measure, label, or scale inconsistency</t>
        </is>
      </c>
      <c r="E124" s="2" t="b">
        <v>0</v>
      </c>
      <c r="F124" s="2" t="inlineStr">
        <is>
          <t>C001</t>
        </is>
      </c>
      <c r="G124" s="2" t="inlineStr">
        <is>
          <t>2025::jama.2025.9110::C001</t>
        </is>
      </c>
      <c r="H124" s="2" t="inlineStr"/>
      <c r="I124" s="2" t="inlineStr">
        <is>
          <t>Main article — PDF p. 7, Table 2, Duration of invasive ventilation, mean (SD), h; main article — PDF p. 1; Results Supplement — PDF p. 18, eTable 10.</t>
        </is>
      </c>
      <c r="J124" s="2" t="b">
        <v>0</v>
      </c>
      <c r="K124" s="2" t="inlineStr">
        <is>
          <t>jama.2025.9110</t>
        </is>
      </c>
      <c r="L124" s="2" t="inlineStr"/>
      <c r="M124" s="2" t="inlineStr">
        <is>
          <t>S_W</t>
        </is>
      </c>
      <c r="N124" s="2" t="inlineStr">
        <is>
          <t>Target is within one main article or one non-plan results supplement/workbook; no substantive plan comparison. The printed `mean (SD)` label is compared with the two-endpoint parenthetical displays and the supplementary median (IQR) presentation convention.</t>
        </is>
      </c>
      <c r="O124" s="2" t="inlineStr">
        <is>
          <t>../../2025/jama.2025.9110/.ai_paper_validation/final_report_1_5_1.html</t>
        </is>
      </c>
      <c r="P124" s="2" t="inlineStr">
        <is>
          <t>2025/jama.2025.9110/.ai_paper_validation/final_report_1_5_1.md</t>
        </is>
      </c>
      <c r="Q124" s="2" t="inlineStr">
        <is>
          <t>C001</t>
        </is>
      </c>
      <c r="R124" s="2" t="inlineStr">
        <is>
          <t>Pending Human Adjudication</t>
        </is>
      </c>
      <c r="S124" s="2" t="inlineStr">
        <is>
          <t>The invasive-ventilation Table 2 row is labeled mean (SD) but each group display contains two endpoints.</t>
        </is>
      </c>
      <c r="T124" s="2" t="b">
        <v>1</v>
      </c>
      <c r="U124" s="2" t="inlineStr">
        <is>
          <t>Invasive-ventilation descriptive summary is labeled mean (SD) but displays two endpoints</t>
        </is>
      </c>
      <c r="V124" s="2" t="inlineStr">
        <is>
          <t>internal_nonstatistical</t>
        </is>
      </c>
      <c r="W124" s="2" t="inlineStr">
        <is>
          <t>Invasive-ventilation descriptive summary is labeled mean (SD) but displays two endpoints</t>
        </is>
      </c>
      <c r="X124" s="2" t="inlineStr">
        <is>
          <t>2025</t>
        </is>
      </c>
      <c r="Y124" s="2" t="inlineStr">
        <is>
          <t>meta_report/consistency_reclassification_2026-09-04/reclassified_candidates.json</t>
        </is>
      </c>
      <c r="Z124" s="2" t="inlineStr">
        <is>
          <t>S_W</t>
        </is>
      </c>
      <c r="AA124" s="2" t="inlineStr">
        <is>
          <t>internal_nonstatistical</t>
        </is>
      </c>
      <c r="AB124" s="2" t="inlineStr">
        <is>
          <t>retain</t>
        </is>
      </c>
    </row>
    <row r="125" ht="95" customHeight="1">
      <c r="A125" s="3" t="b">
        <v>0</v>
      </c>
      <c r="B125" s="3" t="inlineStr"/>
      <c r="C125" s="3" t="b">
        <v>0</v>
      </c>
      <c r="D125" s="3" t="inlineStr">
        <is>
          <t>Measure, label, or scale inconsistency</t>
        </is>
      </c>
      <c r="E125" s="3" t="b">
        <v>0</v>
      </c>
      <c r="F125" s="3" t="inlineStr">
        <is>
          <t>C002</t>
        </is>
      </c>
      <c r="G125" s="3" t="inlineStr">
        <is>
          <t>2025::jama.2025.9110::C002</t>
        </is>
      </c>
      <c r="H125" s="3" t="inlineStr"/>
      <c r="I125" s="3" t="inlineStr">
        <is>
          <t>Results Supplement — PDF p. 18, eTable 10, Alive at day 90 [n (%)], Period 2 usual protein (4 units, n = 530).</t>
        </is>
      </c>
      <c r="J125" s="3" t="b">
        <v>0</v>
      </c>
      <c r="K125" s="3" t="inlineStr">
        <is>
          <t>jama.2025.9110</t>
        </is>
      </c>
      <c r="L125" s="3" t="inlineStr"/>
      <c r="M125" s="3" t="inlineStr">
        <is>
          <t>S_W</t>
        </is>
      </c>
      <c r="N125" s="3" t="inlineStr">
        <is>
          <t>Target is within one main article or one non-plan results supplement/workbook; no substantive plan comparison. `72, 3%` is compared with the row's point-decimal convention and its printed count/denominator.</t>
        </is>
      </c>
      <c r="O125" s="3" t="inlineStr">
        <is>
          <t>../../2025/jama.2025.9110/.ai_paper_validation/final_report_1_5_1.html</t>
        </is>
      </c>
      <c r="P125" s="3" t="inlineStr">
        <is>
          <t>2025/jama.2025.9110/.ai_paper_validation/final_report_1_5_1.md</t>
        </is>
      </c>
      <c r="Q125" s="3" t="inlineStr">
        <is>
          <t>C002</t>
        </is>
      </c>
      <c r="R125" s="3" t="inlineStr">
        <is>
          <t>Pending Human Adjudication</t>
        </is>
      </c>
      <c r="S125" s="3" t="inlineStr">
        <is>
          <t>One eTable 10 day-90 survival percentage uses a comma-and-space where matched cells use a decimal point.</t>
        </is>
      </c>
      <c r="T125" s="3" t="b">
        <v>1</v>
      </c>
      <c r="U125" s="3" t="inlineStr">
        <is>
          <t>eTable 10 uses a comma in one one-decimal survival percentage</t>
        </is>
      </c>
      <c r="V125" s="3" t="inlineStr">
        <is>
          <t>internal_nonstatistical</t>
        </is>
      </c>
      <c r="W125" s="3" t="inlineStr">
        <is>
          <t>eTable 10 uses a comma in one one-decimal survival percentage</t>
        </is>
      </c>
      <c r="X125" s="3" t="inlineStr">
        <is>
          <t>2025</t>
        </is>
      </c>
      <c r="Y125" s="3" t="inlineStr">
        <is>
          <t>meta_report/consistency_reclassification_2026-09-04/reclassified_candidates.json</t>
        </is>
      </c>
      <c r="Z125" s="3" t="inlineStr">
        <is>
          <t>S_W</t>
        </is>
      </c>
      <c r="AA125" s="3" t="inlineStr">
        <is>
          <t>internal_nonstatistical</t>
        </is>
      </c>
      <c r="AB125" s="3" t="inlineStr">
        <is>
          <t>retain</t>
        </is>
      </c>
    </row>
    <row r="126" ht="95" customHeight="1">
      <c r="A126" s="2" t="b">
        <v>0</v>
      </c>
      <c r="B126" s="2" t="inlineStr">
        <is>
          <t>Main label versus own two endpoints and median-difference effect. Final supplementary methods corroborate median estimand.</t>
        </is>
      </c>
      <c r="C126" s="2" t="b">
        <v>0</v>
      </c>
      <c r="D126" s="2" t="inlineStr">
        <is>
          <t>Measure, label, or scale inconsistency</t>
        </is>
      </c>
      <c r="E126" s="2" t="b">
        <v>0</v>
      </c>
      <c r="F126" s="2" t="inlineStr">
        <is>
          <t>C003</t>
        </is>
      </c>
      <c r="G126" s="2" t="inlineStr">
        <is>
          <t>2025::jama.2025.9110::C003</t>
        </is>
      </c>
      <c r="H126" s="2" t="inlineStr"/>
      <c r="I126" s="2" t="inlineStr">
        <is>
          <t>Main article — PDF p. 7, Table 2; Results Supplement — PDF p. 5, secondary analyses; Results Supplement — PDF p. 27, eFigure 6.</t>
        </is>
      </c>
      <c r="J126" s="2" t="b">
        <v>0</v>
      </c>
      <c r="K126" s="2" t="inlineStr">
        <is>
          <t>jama.2025.9110</t>
        </is>
      </c>
      <c r="L126" s="2" t="inlineStr"/>
      <c r="M126" s="2" t="inlineStr">
        <is>
          <t>S_W</t>
        </is>
      </c>
      <c r="N126" s="2"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126" s="2" t="inlineStr">
        <is>
          <t>../../2025/jama.2025.9110/.ai_paper_validation/final_report_1_5_1.html</t>
        </is>
      </c>
      <c r="P126" s="2" t="inlineStr">
        <is>
          <t>2025/jama.2025.9110/.ai_paper_validation/final_report_1_5_1.md</t>
        </is>
      </c>
      <c r="Q126" s="2" t="inlineStr">
        <is>
          <t>C003</t>
        </is>
      </c>
      <c r="R126" s="2" t="inlineStr">
        <is>
          <t>Pending Human Adjudication</t>
        </is>
      </c>
      <c r="S126" s="2" t="inlineStr">
        <is>
          <t>The Bayesian quantile Table 2 row is labeled mean (SD) despite a median-difference estimand and two-endpoint group displays.</t>
        </is>
      </c>
      <c r="T126" s="2" t="b">
        <v>1</v>
      </c>
      <c r="U126" s="2" t="inlineStr">
        <is>
          <t>Bayesian quantile row is labeled mean (SD) despite its associated median estimand and two-endpoint group displays</t>
        </is>
      </c>
      <c r="V126" s="2" t="inlineStr">
        <is>
          <t>internal_nonstatistical</t>
        </is>
      </c>
      <c r="W126" s="2" t="inlineStr">
        <is>
          <t>Bayesian quantile row is labeled mean (SD) despite its associated median estimand and two-endpoint group displays</t>
        </is>
      </c>
      <c r="X126" s="2" t="inlineStr">
        <is>
          <t>2025</t>
        </is>
      </c>
      <c r="Y126" s="2" t="inlineStr">
        <is>
          <t>meta_report/consistency_reclassification_2026-09-04/reclassified_candidates.json</t>
        </is>
      </c>
      <c r="Z126" s="2" t="inlineStr">
        <is>
          <t>S_W</t>
        </is>
      </c>
      <c r="AA126" s="2" t="inlineStr">
        <is>
          <t>internal_nonstatistical</t>
        </is>
      </c>
      <c r="AB126" s="2" t="inlineStr">
        <is>
          <t>retain</t>
        </is>
      </c>
    </row>
    <row r="127" ht="95" customHeight="1">
      <c r="A127" s="3" t="b">
        <v>0</v>
      </c>
      <c r="B127" s="3" t="inlineStr"/>
      <c r="C127" s="3" t="b">
        <v>0</v>
      </c>
      <c r="D127" s="3" t="inlineStr">
        <is>
          <t>Cross-document numeric inconsistency</t>
        </is>
      </c>
      <c r="E127" s="3" t="b">
        <v>0</v>
      </c>
      <c r="F127" s="3" t="inlineStr">
        <is>
          <t>C004</t>
        </is>
      </c>
      <c r="G127" s="3" t="inlineStr">
        <is>
          <t>2025::jama.2025.9110::C004</t>
        </is>
      </c>
      <c r="H127" s="3" t="inlineStr"/>
      <c r="I127" s="3" t="inlineStr">
        <is>
          <t>Main article Results — PDF p. 5, Biochemical Outcomes; main article Discussion — PDF p. 8.</t>
        </is>
      </c>
      <c r="J127" s="3" t="b">
        <v>1</v>
      </c>
      <c r="K127" s="3" t="inlineStr">
        <is>
          <t>jama.2025.9110</t>
        </is>
      </c>
      <c r="L127" s="3" t="inlineStr"/>
      <c r="M127" s="3" t="inlineStr">
        <is>
          <t>S_W</t>
        </is>
      </c>
      <c r="N127" s="3" t="inlineStr">
        <is>
          <t>Target is within one main article or one non-plan results supplement/workbook; no substantive plan comparison. The Discussion's `mean` label is compared with the Results' matched analyte, day, groups, direction, unit, and `median (IQR)` description.</t>
        </is>
      </c>
      <c r="O127" s="3" t="inlineStr">
        <is>
          <t>../../2025/jama.2025.9110/.ai_paper_validation/final_report_1_5_1.html</t>
        </is>
      </c>
      <c r="P127" s="3" t="inlineStr">
        <is>
          <t>2025/jama.2025.9110/.ai_paper_validation/final_report_1_5_1.md</t>
        </is>
      </c>
      <c r="Q127" s="3" t="inlineStr">
        <is>
          <t>C004</t>
        </is>
      </c>
      <c r="R127" s="3" t="inlineStr">
        <is>
          <t>Pending Human Adjudication</t>
        </is>
      </c>
      <c r="S127" s="3" t="inlineStr">
        <is>
          <t>The Discussion calls the matched day-10 blood-urea summaries means while Results reports medians (IQR).</t>
        </is>
      </c>
      <c r="T127" s="3" t="b">
        <v>1</v>
      </c>
      <c r="U127" s="3" t="inlineStr">
        <is>
          <t>Discussion describes the matched day-10 urea summaries as means while Results reports medians (IQR)</t>
        </is>
      </c>
      <c r="V127" s="3" t="inlineStr">
        <is>
          <t>internal_nonstatistical</t>
        </is>
      </c>
      <c r="W127" s="3" t="inlineStr">
        <is>
          <t>Discussion describes the matched day-10 urea summaries as means while Results reports medians (IQR)</t>
        </is>
      </c>
      <c r="X127" s="3" t="inlineStr">
        <is>
          <t>2025</t>
        </is>
      </c>
      <c r="Y127" s="3" t="inlineStr">
        <is>
          <t>meta_report/consistency_reclassification_2026-09-04/reclassified_candidates.json</t>
        </is>
      </c>
      <c r="Z127" s="3" t="inlineStr">
        <is>
          <t>S_W</t>
        </is>
      </c>
      <c r="AA127" s="3" t="inlineStr">
        <is>
          <t>internal_nonstatistical</t>
        </is>
      </c>
      <c r="AB127" s="3" t="inlineStr">
        <is>
          <t>retain</t>
        </is>
      </c>
    </row>
    <row r="128" ht="95" customHeight="1">
      <c r="A128" s="2" t="b">
        <v>0</v>
      </c>
      <c r="B128" s="2" t="inlineStr"/>
      <c r="C128" s="2" t="b">
        <v>0</v>
      </c>
      <c r="D128" s="2" t="inlineStr">
        <is>
          <t>Measure, label, or scale inconsistency</t>
        </is>
      </c>
      <c r="E128" s="2" t="b">
        <v>0</v>
      </c>
      <c r="F128" s="2" t="inlineStr">
        <is>
          <t>C005</t>
        </is>
      </c>
      <c r="G128" s="2" t="inlineStr">
        <is>
          <t>2025::jama.2025.9110::C005</t>
        </is>
      </c>
      <c r="H128" s="2" t="inlineStr"/>
      <c r="I128" s="2" t="inlineStr">
        <is>
          <t>Results Supplement — PDF p. 18, eTable 10, Tracheostomy in ICU [n (%)].</t>
        </is>
      </c>
      <c r="J128" s="2" t="b">
        <v>0</v>
      </c>
      <c r="K128" s="2" t="inlineStr">
        <is>
          <t>jama.2025.9110</t>
        </is>
      </c>
      <c r="L128" s="2" t="inlineStr"/>
      <c r="M128" s="2" t="inlineStr">
        <is>
          <t>S_W</t>
        </is>
      </c>
      <c r="N128" s="2" t="inlineStr">
        <is>
          <t>Target is within one main article or one non-plan results supplement/workbook; no substantive plan comparison. All eight are percentage displays in one `[n (%)]` row, but the first four omit `%` and the last four include it.</t>
        </is>
      </c>
      <c r="O128" s="2" t="inlineStr">
        <is>
          <t>../../2025/jama.2025.9110/.ai_paper_validation/final_report_1_5_1.html</t>
        </is>
      </c>
      <c r="P128" s="2" t="inlineStr">
        <is>
          <t>2025/jama.2025.9110/.ai_paper_validation/final_report_1_5_1.md</t>
        </is>
      </c>
      <c r="Q128" s="2" t="inlineStr">
        <is>
          <t>C005</t>
        </is>
      </c>
      <c r="R128" s="2" t="inlineStr">
        <is>
          <t>Pending Human Adjudication</t>
        </is>
      </c>
      <c r="S128" s="2" t="inlineStr">
        <is>
          <t>The eTable 10 tracheostomy row changes percent-sign notation halfway across matched period cells.</t>
        </is>
      </c>
      <c r="T128" s="2" t="b">
        <v>1</v>
      </c>
      <c r="U128" s="2" t="inlineStr">
        <is>
          <t>eTable 10 tracheostomy row switches percent-sign notation across period cells</t>
        </is>
      </c>
      <c r="V128" s="2" t="inlineStr">
        <is>
          <t>internal_nonstatistical</t>
        </is>
      </c>
      <c r="W128" s="2" t="inlineStr">
        <is>
          <t>eTable 10 tracheostomy row switches percent-sign notation across period cells</t>
        </is>
      </c>
      <c r="X128" s="2" t="inlineStr">
        <is>
          <t>2025</t>
        </is>
      </c>
      <c r="Y128" s="2" t="inlineStr">
        <is>
          <t>meta_report/consistency_reclassification_2026-09-04/reclassified_candidates.json</t>
        </is>
      </c>
      <c r="Z128" s="2" t="inlineStr">
        <is>
          <t>S_W</t>
        </is>
      </c>
      <c r="AA128" s="2" t="inlineStr">
        <is>
          <t>internal_nonstatistical</t>
        </is>
      </c>
      <c r="AB128" s="2" t="inlineStr">
        <is>
          <t>retain</t>
        </is>
      </c>
    </row>
    <row r="129" ht="95" customHeight="1">
      <c r="A129" s="3" t="b">
        <v>0</v>
      </c>
      <c r="B129" s="3" t="inlineStr"/>
      <c r="C129" s="3" t="b">
        <v>0</v>
      </c>
      <c r="D129" s="3" t="inlineStr">
        <is>
          <t>Measure, label, or scale inconsistency</t>
        </is>
      </c>
      <c r="E129" s="3" t="b">
        <v>0</v>
      </c>
      <c r="F129" s="3" t="inlineStr">
        <is>
          <t>C006</t>
        </is>
      </c>
      <c r="G129" s="3" t="inlineStr">
        <is>
          <t>2025::jama.2025.9110::C006</t>
        </is>
      </c>
      <c r="H129" s="3" t="inlineStr"/>
      <c r="I129" s="3" t="inlineStr">
        <is>
          <t>Results Supplement — PDF p. 18, eTable 10, New kidney replacement therapy commenced during index ICU admission after commencing trial enteral nutrition [n (%)].</t>
        </is>
      </c>
      <c r="J129" s="3" t="b">
        <v>0</v>
      </c>
      <c r="K129" s="3" t="inlineStr">
        <is>
          <t>jama.2025.9110</t>
        </is>
      </c>
      <c r="L129" s="3" t="inlineStr"/>
      <c r="M129" s="3" t="inlineStr">
        <is>
          <t>S_W</t>
        </is>
      </c>
      <c r="N129" s="3" t="inlineStr">
        <is>
          <t>Target is within one main article or one non-plan results supplement/workbook; no substantive plan comparison. All eight are percentage displays within one `[n (%)]` row, but `%` is absent from the first four and present in the final four.</t>
        </is>
      </c>
      <c r="O129" s="3" t="inlineStr">
        <is>
          <t>../../2025/jama.2025.9110/.ai_paper_validation/final_report_1_5_1.html</t>
        </is>
      </c>
      <c r="P129" s="3" t="inlineStr">
        <is>
          <t>2025/jama.2025.9110/.ai_paper_validation/final_report_1_5_1.md</t>
        </is>
      </c>
      <c r="Q129" s="3" t="inlineStr">
        <is>
          <t>C006</t>
        </is>
      </c>
      <c r="R129" s="3" t="inlineStr">
        <is>
          <t>Pending Human Adjudication</t>
        </is>
      </c>
      <c r="S129" s="3" t="inlineStr">
        <is>
          <t>The eTable 10 new-kidney-replacement-therapy row changes percent-sign notation halfway across matched period cells.</t>
        </is>
      </c>
      <c r="T129" s="3" t="b">
        <v>1</v>
      </c>
      <c r="U129" s="3" t="inlineStr">
        <is>
          <t>eTable 10 new-KRT row switches percent-sign notation across period cells</t>
        </is>
      </c>
      <c r="V129" s="3" t="inlineStr">
        <is>
          <t>internal_nonstatistical</t>
        </is>
      </c>
      <c r="W129" s="3" t="inlineStr">
        <is>
          <t>eTable 10 new-KRT row switches percent-sign notation across period cells</t>
        </is>
      </c>
      <c r="X129" s="3" t="inlineStr">
        <is>
          <t>2025</t>
        </is>
      </c>
      <c r="Y129" s="3" t="inlineStr">
        <is>
          <t>meta_report/consistency_reclassification_2026-09-04/reclassified_candidates.json</t>
        </is>
      </c>
      <c r="Z129" s="3" t="inlineStr">
        <is>
          <t>S_W</t>
        </is>
      </c>
      <c r="AA129" s="3" t="inlineStr">
        <is>
          <t>internal_nonstatistical</t>
        </is>
      </c>
      <c r="AB129" s="3" t="inlineStr">
        <is>
          <t>retain</t>
        </is>
      </c>
    </row>
    <row r="130" ht="95" customHeight="1">
      <c r="A130" s="2" t="b">
        <v>0</v>
      </c>
      <c r="B130" s="2" t="inlineStr">
        <is>
          <t>Extraneous mmHg already contradicts own percent sign and respectively construction; eTable provides corroborating correct units. Classified local unit-placement issue.</t>
        </is>
      </c>
      <c r="C130" s="2" t="b">
        <v>0</v>
      </c>
      <c r="D130" s="2" t="inlineStr">
        <is>
          <t>Measure, label, or scale inconsistency</t>
        </is>
      </c>
      <c r="E130" s="2" t="b">
        <v>0</v>
      </c>
      <c r="F130" s="2" t="inlineStr">
        <is>
          <t>C001</t>
        </is>
      </c>
      <c r="G130" s="2" t="inlineStr">
        <is>
          <t>2025::jama.2025.9663::C001</t>
        </is>
      </c>
      <c r="H130" s="2" t="inlineStr"/>
      <c r="I130" s="2" t="inlineStr">
        <is>
          <t>DOC-001, jama_martin_2025_oi_250042_1753377747.91025.pdf — PDF p. 6 (printed article p. 403), Oxygen Exposure paragraph; comparator DOC-003, joi250042supp2_prod_1753377747.93025.pdf — PDF p. 21, eTable 5.</t>
        </is>
      </c>
      <c r="J130" s="2" t="b">
        <v>0</v>
      </c>
      <c r="K130" s="2" t="inlineStr">
        <is>
          <t>jama.2025.9663</t>
        </is>
      </c>
      <c r="L130" s="2" t="inlineStr"/>
      <c r="M130" s="2" t="inlineStr">
        <is>
          <t>S_W</t>
        </is>
      </c>
      <c r="N130" s="2"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130" s="2" t="inlineStr">
        <is>
          <t>../../2025/jama.2025.9663/.ai_paper_validation/final_report_1_5_1.html</t>
        </is>
      </c>
      <c r="P130" s="2" t="inlineStr">
        <is>
          <t>2025/jama.2025.9663/.ai_paper_validation/final_report_1_5_1.md</t>
        </is>
      </c>
      <c r="Q130" s="2" t="inlineStr">
        <is>
          <t>C001</t>
        </is>
      </c>
      <c r="R130" s="2" t="inlineStr">
        <is>
          <t>Pending Human Adjudication</t>
        </is>
      </c>
      <c r="S130" s="2" t="inlineStr">
        <is>
          <t>The main article places mm Hg immediately after the usual-group SpO2 summary, producing 95.1% (2.4%) mm Hg, although the sentence’s respective pairing and the matched supplement table identify SpO2 as percent and PaO2 as mm Hg.</t>
        </is>
      </c>
      <c r="T130" s="2" t="b">
        <v>1</v>
      </c>
      <c r="U130" s="2" t="inlineStr">
        <is>
          <t>Extraneous pressure unit after the usual-group SpO2 summary</t>
        </is>
      </c>
      <c r="V130" s="2" t="inlineStr">
        <is>
          <t>internal_nonstatistical</t>
        </is>
      </c>
      <c r="W130" s="2" t="inlineStr">
        <is>
          <t>Extraneous pressure unit after the usual-group SpO2 summary</t>
        </is>
      </c>
      <c r="X130" s="2" t="inlineStr">
        <is>
          <t>2025</t>
        </is>
      </c>
      <c r="Y130" s="2" t="inlineStr">
        <is>
          <t>meta_report/consistency_reclassification_2026-09-04/reclassified_candidates.json</t>
        </is>
      </c>
      <c r="Z130" s="2" t="inlineStr">
        <is>
          <t>S_W</t>
        </is>
      </c>
      <c r="AA130" s="2" t="inlineStr">
        <is>
          <t>internal_nonstatistical</t>
        </is>
      </c>
      <c r="AB130" s="2" t="inlineStr">
        <is>
          <t>retain</t>
        </is>
      </c>
    </row>
    <row r="131" ht="95" customHeight="1">
      <c r="A131" s="3" t="b">
        <v>0</v>
      </c>
      <c r="B131" s="3" t="inlineStr"/>
      <c r="C131" s="3" t="b">
        <v>0</v>
      </c>
      <c r="D131" s="3" t="inlineStr">
        <is>
          <t>Measure, label, or scale inconsistency</t>
        </is>
      </c>
      <c r="E131" s="3" t="b">
        <v>0</v>
      </c>
      <c r="F131" s="3" t="inlineStr">
        <is>
          <t>C002</t>
        </is>
      </c>
      <c r="G131" s="3" t="inlineStr">
        <is>
          <t>2025::jama.2025.9663::C002</t>
        </is>
      </c>
      <c r="H131" s="3" t="inlineStr"/>
      <c r="I131" s="3" t="inlineStr">
        <is>
          <t>DOC-003, joi250042supp2_prod_1753377747.93025.pdf — PDF p. 1, contents; actual eTable 1 — PDF p. 15, eTable 2 — PDF p. 17, eTable 3 — PDF p. 18, and eTable 4 — PDF p. 19.</t>
        </is>
      </c>
      <c r="J131" s="3" t="b">
        <v>0</v>
      </c>
      <c r="K131" s="3" t="inlineStr">
        <is>
          <t>jama.2025.9663</t>
        </is>
      </c>
      <c r="L131" s="3" t="inlineStr"/>
      <c r="M131" s="3" t="inlineStr">
        <is>
          <t>S_W</t>
        </is>
      </c>
      <c r="N131" s="3"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131" s="3" t="inlineStr">
        <is>
          <t>../../2025/jama.2025.9663/.ai_paper_validation/final_report_1_5_1.html</t>
        </is>
      </c>
      <c r="P131" s="3" t="inlineStr">
        <is>
          <t>2025/jama.2025.9663/.ai_paper_validation/final_report_1_5_1.md</t>
        </is>
      </c>
      <c r="Q131" s="3" t="inlineStr">
        <is>
          <t>C002</t>
        </is>
      </c>
      <c r="R131" s="3" t="inlineStr">
        <is>
          <t>Pending Human Adjudication</t>
        </is>
      </c>
      <c r="S131" s="3" t="inlineStr">
        <is>
          <t>DOC-003’s contents entries for eTables 1-4 do not identify the actual same-numbered tables later printed in that PDF.</t>
        </is>
      </c>
      <c r="T131" s="3" t="b">
        <v>1</v>
      </c>
      <c r="U131" s="3" t="inlineStr">
        <is>
          <t>Results-supplement contents page does not identify actual eTables 1-4</t>
        </is>
      </c>
      <c r="V131" s="3" t="inlineStr">
        <is>
          <t>internal_nonstatistical</t>
        </is>
      </c>
      <c r="W131" s="3" t="inlineStr">
        <is>
          <t>Results-supplement contents page does not identify actual eTables 1-4</t>
        </is>
      </c>
      <c r="X131" s="3" t="inlineStr">
        <is>
          <t>2025</t>
        </is>
      </c>
      <c r="Y131" s="3" t="inlineStr">
        <is>
          <t>meta_report/consistency_reclassification_2026-09-04/reclassified_candidates.json</t>
        </is>
      </c>
      <c r="Z131" s="3" t="inlineStr">
        <is>
          <t>S_W</t>
        </is>
      </c>
      <c r="AA131" s="3" t="inlineStr">
        <is>
          <t>internal_nonstatistical</t>
        </is>
      </c>
      <c r="AB131" s="3" t="inlineStr">
        <is>
          <t>retain</t>
        </is>
      </c>
    </row>
    <row r="132" ht="95" customHeight="1">
      <c r="A132" s="2" t="b">
        <v>0</v>
      </c>
      <c r="B132" s="2" t="inlineStr">
        <is>
          <t>Broken cross-reference in SAP, not substantive mismatch of reported result or numerical rule. May not impede rule interpretation.</t>
        </is>
      </c>
      <c r="C132" s="2" t="b">
        <v>1</v>
      </c>
      <c r="D132" s="2" t="inlineStr">
        <is>
          <t>Measure, label, or scale inconsistency</t>
        </is>
      </c>
      <c r="E132" s="2" t="b">
        <v>0</v>
      </c>
      <c r="F132" s="2" t="inlineStr">
        <is>
          <t>C003</t>
        </is>
      </c>
      <c r="G132" s="2" t="inlineStr">
        <is>
          <t>2025::jama.2025.9663::C003</t>
        </is>
      </c>
      <c r="H132" s="2" t="inlineStr"/>
      <c r="I132" s="2" t="inlineStr">
        <is>
          <t>DOC-002, joi250042supp1_prod_1753377747.92525.pdf — PDF p. 118 (SAP p. 8), section 2.5 and Table 1, immediately after the separation/adherence definition.</t>
        </is>
      </c>
      <c r="J132" s="2" t="b">
        <v>0</v>
      </c>
      <c r="K132" s="2" t="inlineStr">
        <is>
          <t>jama.2025.9663</t>
        </is>
      </c>
      <c r="L132" s="2" t="inlineStr"/>
      <c r="M132" s="2" t="inlineStr">
        <is>
          <t>P_P</t>
        </is>
      </c>
      <c r="N132" s="2"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132" s="2" t="inlineStr">
        <is>
          <t>../../2025/jama.2025.9663/.ai_paper_validation/final_report_1_5_1.html</t>
        </is>
      </c>
      <c r="P132" s="2" t="inlineStr">
        <is>
          <t>2025/jama.2025.9663/.ai_paper_validation/final_report_1_5_1.md</t>
        </is>
      </c>
      <c r="Q132" s="2" t="inlineStr">
        <is>
          <t>C003</t>
        </is>
      </c>
      <c r="R132" s="2" t="inlineStr">
        <is>
          <t>Pending Human Adjudication</t>
        </is>
      </c>
      <c r="S132" s="2" t="inlineStr">
        <is>
          <t>The final SAP directs readers to “Section 3.2 and Error! Reference source not found.” for further details after quantitative separation/adherence rules, leaving one stated reference destination unidentifiable.</t>
        </is>
      </c>
      <c r="T132" s="2" t="b">
        <v>0</v>
      </c>
      <c r="U132" s="2" t="inlineStr">
        <is>
          <t>Final SAP contains an unresolved reference after quantitative separation/adherence rules</t>
        </is>
      </c>
      <c r="V132" s="2" t="inlineStr">
        <is>
          <t>plan_material</t>
        </is>
      </c>
      <c r="W132" s="2" t="inlineStr">
        <is>
          <t>Final SAP contains an unresolved reference after quantitative separation/adherence rules</t>
        </is>
      </c>
      <c r="X132" s="2" t="inlineStr">
        <is>
          <t>2025</t>
        </is>
      </c>
      <c r="Y132" s="2" t="inlineStr">
        <is>
          <t>meta_report/consistency_reclassification_2026-09-04/reclassified_candidates.json</t>
        </is>
      </c>
      <c r="Z132" s="2" t="inlineStr">
        <is>
          <t>P_P</t>
        </is>
      </c>
      <c r="AA132" s="2" t="inlineStr">
        <is>
          <t>plan_material</t>
        </is>
      </c>
      <c r="AB13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32"/>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D5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2025::jama.2024.24764::C001</t>
        </is>
      </c>
      <c r="B2" s="2" t="n">
        <v>0</v>
      </c>
      <c r="C2" s="2" t="inlineStr">
        <is>
          <t>Source evidence</t>
        </is>
      </c>
      <c r="D2" s="2" t="inlineStr">
        <is>
          <t>Smoking counts are 220/95/90 and 223/70/109; they sum to printed Total No. values 405 and 402. Group headers are 411 and 410.</t>
        </is>
      </c>
    </row>
    <row r="3" ht="48" customHeight="1">
      <c r="A3" s="3" t="inlineStr">
        <is>
          <t>2025::jama.2024.24764::C001</t>
        </is>
      </c>
      <c r="B3" s="3" t="n">
        <v>1</v>
      </c>
      <c r="C3" s="3" t="inlineStr">
        <is>
          <t>Reported-versus-comparator</t>
        </is>
      </c>
      <c r="D3" s="3" t="inlineStr">
        <is>
          <t>Reported percentages are 53.5/23.1/21.9 and 54.4/17.1/26.6; comparator denominators are printed smoking totals 405/402 versus group headers 411/410.</t>
        </is>
      </c>
    </row>
    <row r="4" ht="48" customHeight="1">
      <c r="A4" s="2" t="inlineStr">
        <is>
          <t>2025::jama.2024.24764::C001</t>
        </is>
      </c>
      <c r="B4" s="2" t="n">
        <v>2</v>
      </c>
      <c r="C4" s="2" t="inlineStr">
        <is>
          <t>Calculation</t>
        </is>
      </c>
      <c r="D4" s="2" t="inlineStr">
        <is>
          <t>220+95+90=405; 223+70+109=402. 220/411=53.53% and the other five printed percentages likewise reproduce 411/410, not 405/402.</t>
        </is>
      </c>
    </row>
    <row r="5" ht="48" customHeight="1">
      <c r="A5" s="3" t="inlineStr">
        <is>
          <t>2025::jama.2024.24764::C001</t>
        </is>
      </c>
      <c r="B5" s="3" t="n">
        <v>3</v>
      </c>
      <c r="C5" s="3" t="inlineStr">
        <is>
          <t>Alternative source-grounded interpretations</t>
        </is>
      </c>
      <c r="D5" s="3" t="inlineStr">
        <is>
          <t>Total No. may denote nonmissing smoking records while percentages intentionally use all randomized participants; the page does not state that convention or identify the six and eight unclassified records.</t>
        </is>
      </c>
    </row>
    <row r="6" ht="48" customHeight="1">
      <c r="A6" s="2" t="inlineStr">
        <is>
          <t>2025::jama.2024.24764::C002</t>
        </is>
      </c>
      <c r="B6" s="2" t="n">
        <v>0</v>
      </c>
      <c r="C6" s="2" t="inlineStr">
        <is>
          <t>Source evidence</t>
        </is>
      </c>
      <c r="D6" s="2" t="inlineStr">
        <is>
          <t>Under No. of participants (%), consultant/registrar/senior-house-officer values are 319/123/4 and 318/110/1, with group denominators 411 and 410.</t>
        </is>
      </c>
    </row>
    <row r="7" ht="48" customHeight="1">
      <c r="A7" s="3" t="inlineStr">
        <is>
          <t>2025::jama.2024.24764::C002</t>
        </is>
      </c>
      <c r="B7" s="3" t="n">
        <v>1</v>
      </c>
      <c r="C7" s="3" t="inlineStr">
        <is>
          <t>Reported-versus-comparator</t>
        </is>
      </c>
      <c r="D7" s="3" t="inlineStr">
        <is>
          <t>Category totals 446 and 429 are compared with participant denominators 411 and 410; percentage totals are 108.5% and 104.6%.</t>
        </is>
      </c>
    </row>
    <row r="8" ht="48" customHeight="1">
      <c r="A8" s="2" t="inlineStr">
        <is>
          <t>2025::jama.2024.24764::C002</t>
        </is>
      </c>
      <c r="B8" s="2" t="n">
        <v>2</v>
      </c>
      <c r="C8" s="2" t="inlineStr">
        <is>
          <t>Calculation</t>
        </is>
      </c>
      <c r="D8" s="2" t="inlineStr">
        <is>
          <t>319+123+4=446 (35 above 411); 318+110+1=429 (19 above 410).</t>
        </is>
      </c>
    </row>
    <row r="9" ht="48" customHeight="1">
      <c r="A9" s="3" t="inlineStr">
        <is>
          <t>2025::jama.2024.24764::C002</t>
        </is>
      </c>
      <c r="B9" s="3" t="n">
        <v>3</v>
      </c>
      <c r="C9" s="3" t="inlineStr">
        <is>
          <t>Alternative source-grounded interpretations</t>
        </is>
      </c>
      <c r="D9" s="3" t="inlineStr">
        <is>
          <t>More than one surgeon level may have operated on a participant, making the rows multi-response; no qualifier appears on the page.</t>
        </is>
      </c>
    </row>
    <row r="10" ht="48" customHeight="1">
      <c r="A10" s="2" t="inlineStr">
        <is>
          <t>2025::jama.2024.24764::C003</t>
        </is>
      </c>
      <c r="B10" s="2" t="n">
        <v>0</v>
      </c>
      <c r="C10" s="2" t="inlineStr">
        <is>
          <t>Source evidence</t>
        </is>
      </c>
      <c r="D10" s="2" t="inlineStr">
        <is>
          <t>Consultant/registrar/senior-house-officer fascia-closing counts are 201/218/26 and 193/225/15 under group denominators 411 and 410.</t>
        </is>
      </c>
    </row>
    <row r="11" ht="48" customHeight="1">
      <c r="A11" s="3" t="inlineStr">
        <is>
          <t>2025::jama.2024.24764::C003</t>
        </is>
      </c>
      <c r="B11" s="3" t="n">
        <v>1</v>
      </c>
      <c r="C11" s="3" t="inlineStr">
        <is>
          <t>Reported-versus-comparator</t>
        </is>
      </c>
      <c r="D11" s="3" t="inlineStr">
        <is>
          <t>Totals 445 and 433 are compared with 411 and 410; percentage totals are 108.2% and 105.7%.</t>
        </is>
      </c>
    </row>
    <row r="12" ht="48" customHeight="1">
      <c r="A12" s="2" t="inlineStr">
        <is>
          <t>2025::jama.2024.24764::C003</t>
        </is>
      </c>
      <c r="B12" s="2" t="n">
        <v>2</v>
      </c>
      <c r="C12" s="2" t="inlineStr">
        <is>
          <t>Calculation</t>
        </is>
      </c>
      <c r="D12" s="2" t="inlineStr">
        <is>
          <t>201+218+26=445 (34 above 411); 193+225+15=433 (23 above 410).</t>
        </is>
      </c>
    </row>
    <row r="13" ht="48" customHeight="1">
      <c r="A13" s="3" t="inlineStr">
        <is>
          <t>2025::jama.2024.24764::C003</t>
        </is>
      </c>
      <c r="B13" s="3" t="n">
        <v>3</v>
      </c>
      <c r="C13" s="3" t="inlineStr">
        <is>
          <t>Alternative source-grounded interpretations</t>
        </is>
      </c>
      <c r="D13" s="3" t="inlineStr">
        <is>
          <t>Co-closure by more than one surgeon level may make the rows intentionally multi-response; the table gives no response-unit definition.</t>
        </is>
      </c>
    </row>
    <row r="14" ht="48" customHeight="1">
      <c r="A14" s="2" t="inlineStr">
        <is>
          <t>2025::jama.2024.24764::C004</t>
        </is>
      </c>
      <c r="B14" s="2" t="n">
        <v>0</v>
      </c>
      <c r="C14" s="2" t="inlineStr">
        <is>
          <t>Source evidence</t>
        </is>
      </c>
      <c r="D14" s="2" t="inlineStr">
        <is>
          <t>Consultant/registrar/senior-house-officer skin-closing counts are 115/214/96 and 102/241/73 under denominators 411 and 410.</t>
        </is>
      </c>
    </row>
    <row r="15" ht="48" customHeight="1">
      <c r="A15" s="3" t="inlineStr">
        <is>
          <t>2025::jama.2024.24764::C004</t>
        </is>
      </c>
      <c r="B15" s="3" t="n">
        <v>1</v>
      </c>
      <c r="C15" s="3" t="inlineStr">
        <is>
          <t>Reported-versus-comparator</t>
        </is>
      </c>
      <c r="D15" s="3" t="inlineStr">
        <is>
          <t>Totals 425 and 416 are compared with 411 and 410; percentage totals are 103.5% and 101.5%.</t>
        </is>
      </c>
    </row>
    <row r="16" ht="48" customHeight="1">
      <c r="A16" s="2" t="inlineStr">
        <is>
          <t>2025::jama.2024.24764::C004</t>
        </is>
      </c>
      <c r="B16" s="2" t="n">
        <v>2</v>
      </c>
      <c r="C16" s="2" t="inlineStr">
        <is>
          <t>Calculation</t>
        </is>
      </c>
      <c r="D16" s="2" t="inlineStr">
        <is>
          <t>115+214+96=425 (14 above 411); 102+241+73=416 (6 above 410).</t>
        </is>
      </c>
    </row>
    <row r="17" ht="48" customHeight="1">
      <c r="A17" s="3" t="inlineStr">
        <is>
          <t>2025::jama.2024.24764::C004</t>
        </is>
      </c>
      <c r="B17" s="3" t="n">
        <v>3</v>
      </c>
      <c r="C17" s="3" t="inlineStr">
        <is>
          <t>Alternative source-grounded interpretations</t>
        </is>
      </c>
      <c r="D17" s="3" t="inlineStr">
        <is>
          <t>The rows may be intended multi-response entries, but the source does not state this.</t>
        </is>
      </c>
    </row>
    <row r="18" ht="48" customHeight="1">
      <c r="A18" s="2" t="inlineStr">
        <is>
          <t>2025::jama.2024.24764::C005</t>
        </is>
      </c>
      <c r="B18" s="2" t="n">
        <v>0</v>
      </c>
      <c r="C18" s="2" t="inlineStr">
        <is>
          <t>Source evidence</t>
        </is>
      </c>
      <c r="D18" s="2" t="inlineStr">
        <is>
          <t>Figure 1 reports 10 and 15 deaths. The narrative and Table 3 report mortality within 30 days as 10/411 and 14/410.</t>
        </is>
      </c>
    </row>
    <row r="19" ht="48" customHeight="1">
      <c r="A19" s="3" t="inlineStr">
        <is>
          <t>2025::jama.2024.24764::C005</t>
        </is>
      </c>
      <c r="B19" s="3" t="n">
        <v>1</v>
      </c>
      <c r="C19" s="3" t="inlineStr">
        <is>
          <t>Reported-versus-comparator</t>
        </is>
      </c>
      <c r="D19" s="3" t="inlineStr">
        <is>
          <t>Figure 1 total 25 and control count 15 are compared with the explicitly 30-day total 24 and control count 14.</t>
        </is>
      </c>
    </row>
    <row r="20" ht="48" customHeight="1">
      <c r="A20" s="2" t="inlineStr">
        <is>
          <t>2025::jama.2024.24764::C005</t>
        </is>
      </c>
      <c r="B20" s="2" t="n">
        <v>2</v>
      </c>
      <c r="C20" s="2" t="inlineStr">
        <is>
          <t>Calculation</t>
        </is>
      </c>
      <c r="D20" s="2" t="inlineStr">
        <is>
          <t>10+15=25; 10+14=24; intervention counts agree and control counts differ by one.</t>
        </is>
      </c>
    </row>
    <row r="21" ht="48" customHeight="1">
      <c r="A21" s="3" t="inlineStr">
        <is>
          <t>2025::jama.2024.24764::C005</t>
        </is>
      </c>
      <c r="B21" s="3" t="n">
        <v>3</v>
      </c>
      <c r="C21" s="3" t="inlineStr">
        <is>
          <t>Alternative source-grounded interpretations</t>
        </is>
      </c>
      <c r="D21" s="3" t="inlineStr">
        <is>
          <t>Figure 1 may include one control-arm death outside the 30-day window; Figure 1 does not name its mortality window.</t>
        </is>
      </c>
    </row>
    <row r="22" ht="48" customHeight="1">
      <c r="A22" s="2" t="inlineStr">
        <is>
          <t>2025::jama.2024.24764::C006</t>
        </is>
      </c>
      <c r="B22" s="2" t="n">
        <v>0</v>
      </c>
      <c r="C22" s="2" t="inlineStr">
        <is>
          <t>Source evidence</t>
        </is>
      </c>
      <c r="D22" s="2" t="inlineStr">
        <is>
          <t>The SAP prints unstructured covariance and robust sandwich standard errors for SF-12/EQ-5D repeated measures; the final article prints independent covariance for that outcome-model family.</t>
        </is>
      </c>
    </row>
    <row r="23" ht="48" customHeight="1">
      <c r="A23" s="3" t="inlineStr">
        <is>
          <t>2025::jama.2024.24764::C006</t>
        </is>
      </c>
      <c r="B23" s="3" t="n">
        <v>1</v>
      </c>
      <c r="C23" s="3" t="inlineStr">
        <is>
          <t>Reported-versus-comparator</t>
        </is>
      </c>
      <c r="D23" s="3" t="inlineStr">
        <is>
          <t>Final-article independent covariance is compared with SAP unstructured covariance and robust sandwich variance estimation.</t>
        </is>
      </c>
    </row>
    <row r="24" ht="48" customHeight="1">
      <c r="A24" s="2" t="inlineStr">
        <is>
          <t>2025::jama.2024.24764::C006</t>
        </is>
      </c>
      <c r="B24" s="2" t="n">
        <v>2</v>
      </c>
      <c r="C24" s="2" t="inlineStr">
        <is>
          <t>Calculation</t>
        </is>
      </c>
      <c r="D24" s="2" t="inlineStr">
        <is>
          <t>Not applicable; unstructured and independent are distinct named covariance specifications.</t>
        </is>
      </c>
    </row>
    <row r="25" ht="48" customHeight="1">
      <c r="A25" s="3" t="inlineStr">
        <is>
          <t>2025::jama.2024.24764::C006</t>
        </is>
      </c>
      <c r="B25" s="3" t="n">
        <v>3</v>
      </c>
      <c r="C25" s="3" t="inlineStr">
        <is>
          <t>Alternative source-grounded interpretations</t>
        </is>
      </c>
      <c r="D25" s="3" t="inlineStr">
        <is>
          <t>An amendment, diagnostic, convergence consideration, or concise article description may explain the difference; no such record is supplied.</t>
        </is>
      </c>
    </row>
    <row r="26" ht="48" customHeight="1">
      <c r="A26" s="2" t="inlineStr">
        <is>
          <t>2025::jama.2024.24764::C007</t>
        </is>
      </c>
      <c r="B26" s="2" t="n">
        <v>0</v>
      </c>
      <c r="C26" s="2" t="inlineStr">
        <is>
          <t>Source evidence</t>
        </is>
      </c>
      <c r="D26" s="2" t="inlineStr">
        <is>
          <t>The final article reports adjusted ratios of geometric means 0.91 and 0.96 after log transformation; SAP/protocol plan additive mean-difference or median-difference reporting.</t>
        </is>
      </c>
    </row>
    <row r="27" ht="48" customHeight="1">
      <c r="A27" s="3" t="inlineStr">
        <is>
          <t>2025::jama.2024.24764::C007</t>
        </is>
      </c>
      <c r="B27" s="3" t="n">
        <v>1</v>
      </c>
      <c r="C27" s="3" t="inlineStr">
        <is>
          <t>Reported-versus-comparator</t>
        </is>
      </c>
      <c r="D27" s="3" t="inlineStr">
        <is>
          <t>Multiplicative, dimensionless ratios of geometric means are compared with additive differences in days for the same endpoint.</t>
        </is>
      </c>
    </row>
    <row r="28" ht="48" customHeight="1">
      <c r="A28" s="2" t="inlineStr">
        <is>
          <t>2025::jama.2024.24764::C007</t>
        </is>
      </c>
      <c r="B28" s="2" t="n">
        <v>2</v>
      </c>
      <c r="C28" s="2" t="inlineStr">
        <is>
          <t>Calculation</t>
        </is>
      </c>
      <c r="D28" s="2" t="inlineStr">
        <is>
          <t>Not reproducible from aggregate printed data: medians/IQRs cannot reconstruct geometric means, fitted log-scale coefficients, or adjusted ratios.</t>
        </is>
      </c>
    </row>
    <row r="29" ht="48" customHeight="1">
      <c r="A29" s="3" t="inlineStr">
        <is>
          <t>2025::jama.2024.24764::C007</t>
        </is>
      </c>
      <c r="B29" s="3" t="n">
        <v>3</v>
      </c>
      <c r="C29" s="3" t="inlineStr">
        <is>
          <t>Alternative source-grounded interpretations</t>
        </is>
      </c>
      <c r="D29" s="3" t="inlineStr">
        <is>
          <t>Nonnormality noted in the article may have motivated the final approach, but the supplied skewness branch specifies a median difference and no amendment or decision rule is supplied.</t>
        </is>
      </c>
    </row>
    <row r="30" ht="48" customHeight="1">
      <c r="A30" s="2" t="inlineStr">
        <is>
          <t>2025::jama.2024.24764::C008</t>
        </is>
      </c>
      <c r="B30" s="2" t="n">
        <v>0</v>
      </c>
      <c r="C30" s="2" t="inlineStr">
        <is>
          <t>Source evidence</t>
        </is>
      </c>
      <c r="D30" s="2" t="inlineStr">
        <is>
          <t>SAP/protocol state that LOS is UK-only and exclude Australian-randomized participants. The final article reports UK-only ratio 0.91 (95% CI 0.82-1.02), P=.12 and UK-and-Australia ratio 0.96 (0.88-1.06), P=.21.</t>
        </is>
      </c>
    </row>
    <row r="31" ht="48" customHeight="1">
      <c r="A31" s="3" t="inlineStr">
        <is>
          <t>2025::jama.2024.24764::C008</t>
        </is>
      </c>
      <c r="B31" s="3" t="n">
        <v>1</v>
      </c>
      <c r="C31" s="3" t="inlineStr">
        <is>
          <t>Reported-versus-comparator</t>
        </is>
      </c>
      <c r="D31" s="3" t="inlineStr">
        <is>
          <t>A UK-and-Australia analysis population is compared with the planned UK-only endpoint population.</t>
        </is>
      </c>
    </row>
    <row r="32" ht="48" customHeight="1">
      <c r="A32" s="2" t="inlineStr">
        <is>
          <t>2025::jama.2024.24764::C008</t>
        </is>
      </c>
      <c r="B32" s="2" t="n">
        <v>2</v>
      </c>
      <c r="C32" s="2" t="inlineStr">
        <is>
          <t>Calculation</t>
        </is>
      </c>
      <c r="D32" s="2" t="inlineStr">
        <is>
          <t>No arithmetic reconstruction is required: UK patients only and UK and Australian patients are different populations.</t>
        </is>
      </c>
    </row>
    <row r="33" ht="48" customHeight="1">
      <c r="A33" s="3" t="inlineStr">
        <is>
          <t>2025::jama.2024.24764::C008</t>
        </is>
      </c>
      <c r="B33" s="3" t="n">
        <v>3</v>
      </c>
      <c r="C33" s="3" t="inlineStr">
        <is>
          <t>Alternative source-grounded interpretations</t>
        </is>
      </c>
      <c r="D33" s="3" t="inlineStr">
        <is>
          <t>The all-country result may be an additional intended analysis while the UK-only result remains the designated endpoint; the supplied package does not label its status.</t>
        </is>
      </c>
    </row>
    <row r="34" ht="48" customHeight="1">
      <c r="A34" s="2" t="inlineStr">
        <is>
          <t>2025::jama.2024.27643::C001</t>
        </is>
      </c>
      <c r="B34" s="2" t="n">
        <v>0</v>
      </c>
      <c r="C34" s="2" t="inlineStr">
        <is>
          <t>Source evidence</t>
        </is>
      </c>
      <c r="D34" s="2" t="inlineStr">
        <is>
          <t>Shared placebo is n=164; the race rows are Asian 2/160, Black or African American 6/160, White 151/160, and multiple races 1/160. Footnote b says race was unknown or unreported for 3 participants.</t>
        </is>
      </c>
    </row>
    <row r="35" ht="48" customHeight="1">
      <c r="A35" s="3" t="inlineStr">
        <is>
          <t>2025::jama.2024.27643::C001</t>
        </is>
      </c>
      <c r="B35" s="3" t="n">
        <v>1</v>
      </c>
      <c r="C35" s="3" t="inlineStr">
        <is>
          <t>Reported-versus-comparator</t>
        </is>
      </c>
      <c r="D35" s="3" t="inlineStr">
        <is>
          <t>The printed group total is 164 and the printed race denominator/category sum is 160, whereas the footnote reports 3 unknown or unreported participants.</t>
        </is>
      </c>
    </row>
    <row r="36" ht="48" customHeight="1">
      <c r="A36" s="2" t="inlineStr">
        <is>
          <t>2025::jama.2024.27643::C001</t>
        </is>
      </c>
      <c r="B36" s="2" t="n">
        <v>2</v>
      </c>
      <c r="C36" s="2" t="inlineStr">
        <is>
          <t>Calculation</t>
        </is>
      </c>
      <c r="D36" s="2" t="inlineStr">
        <is>
          <t>2 + 6 + 151 + 1 = 160; 164 - 160 = 4; 4 - 3 = 1.</t>
        </is>
      </c>
    </row>
    <row r="37" ht="48" customHeight="1">
      <c r="A37" s="3" t="inlineStr">
        <is>
          <t>2025::jama.2024.27643::C001</t>
        </is>
      </c>
      <c r="B37" s="3" t="n">
        <v>3</v>
      </c>
      <c r="C37" s="3" t="inlineStr">
        <is>
          <t>Alternative source-grounded interpretations</t>
        </is>
      </c>
      <c r="D37" s="3" t="inlineStr">
        <is>
          <t>The denominator may be a complete-case subset excluding one additional status, or a numerator, denominator, or footnote may be printed incorrectly; the table gives no separate subset definition.</t>
        </is>
      </c>
    </row>
    <row r="38" ht="48" customHeight="1">
      <c r="A38" s="2" t="inlineStr">
        <is>
          <t>2025::jama.2024.27643::C002</t>
        </is>
      </c>
      <c r="B38" s="2" t="n">
        <v>0</v>
      </c>
      <c r="C38" s="2" t="inlineStr">
        <is>
          <t>Source evidence</t>
        </is>
      </c>
      <c r="D38" s="2" t="inlineStr">
        <is>
          <t>The article calls -9.32, -8.53, and -0.78 PPN per month over 24 weeks. eTable 3A presents the same values under 24-week Change Estimate for SVC (% predicted).</t>
        </is>
      </c>
    </row>
    <row r="39" ht="48" customHeight="1">
      <c r="A39" s="3" t="inlineStr">
        <is>
          <t>2025::jama.2024.27643::C002</t>
        </is>
      </c>
      <c r="B39" s="3" t="n">
        <v>1</v>
      </c>
      <c r="C39" s="3" t="inlineStr">
        <is>
          <t>Reported-versus-comparator</t>
        </is>
      </c>
      <c r="D39" s="3" t="inlineStr">
        <is>
          <t>A monthly rate is printed in the article; a cumulative 24-week change label is printed for the same values in the cited table.</t>
        </is>
      </c>
    </row>
    <row r="40" ht="48" customHeight="1">
      <c r="A40" s="2" t="inlineStr">
        <is>
          <t>2025::jama.2024.27643::C002</t>
        </is>
      </c>
      <c r="B40" s="2" t="n">
        <v>2</v>
      </c>
      <c r="C40" s="2" t="inlineStr">
        <is>
          <t>Calculation</t>
        </is>
      </c>
      <c r="D40" s="2" t="inlineStr">
        <is>
          <t>The identical numeric triplet is -9.32, -8.53, and -0.78 in both locations; the printed labels describe different scales and the supplied sources give no conversion or estimand definition that reconciles them.</t>
        </is>
      </c>
    </row>
    <row r="41" ht="48" customHeight="1">
      <c r="A41" s="3" t="inlineStr">
        <is>
          <t>2025::jama.2024.27643::C002</t>
        </is>
      </c>
      <c r="B41" s="3" t="n">
        <v>3</v>
      </c>
      <c r="C41" s="3" t="inlineStr">
        <is>
          <t>Alternative source-grounded interpretations</t>
        </is>
      </c>
      <c r="D41" s="3" t="inlineStr">
        <is>
          <t>Per month may be an editorial unit label, or the eTable heading may omit a rate convention. The supplied package does not select either interpretation.</t>
        </is>
      </c>
    </row>
    <row r="42" ht="48" customHeight="1">
      <c r="A42" s="2" t="inlineStr">
        <is>
          <t>2025::jama.2024.27643::C003</t>
        </is>
      </c>
      <c r="B42" s="2" t="n">
        <v>0</v>
      </c>
      <c r="C42" s="2" t="inlineStr">
        <is>
          <t>Source evidence</t>
        </is>
      </c>
      <c r="D42" s="2" t="inlineStr">
        <is>
          <t>The article gives shared-placebo slope -1.03 with 95% CrI -1.176 to -0.892; eTable 2 gives -1.03 with 95% CrI (-1.181, -0.894).</t>
        </is>
      </c>
    </row>
    <row r="43" ht="48" customHeight="1">
      <c r="A43" s="3" t="inlineStr">
        <is>
          <t>2025::jama.2024.27643::C003</t>
        </is>
      </c>
      <c r="B43" s="3" t="n">
        <v>1</v>
      </c>
      <c r="C43" s="3" t="inlineStr">
        <is>
          <t>Reported-versus-comparator</t>
        </is>
      </c>
      <c r="D43" s="3" t="inlineStr">
        <is>
          <t>Matched Bayesian shared-parameter-model, group, endpoint, and unit labels accompany different three-decimal interval endpoints.</t>
        </is>
      </c>
    </row>
    <row r="44" ht="48" customHeight="1">
      <c r="A44" s="2" t="inlineStr">
        <is>
          <t>2025::jama.2024.27643::C003</t>
        </is>
      </c>
      <c r="B44" s="2" t="n">
        <v>2</v>
      </c>
      <c r="C44" s="2" t="inlineStr">
        <is>
          <t>Calculation</t>
        </is>
      </c>
      <c r="D44" s="2" t="inlineStr">
        <is>
          <t>Lower endpoints differ by 0.005; upper endpoints differ by 0.002; the point estimate is -1.03 in both locations.</t>
        </is>
      </c>
    </row>
    <row r="45" ht="48" customHeight="1">
      <c r="A45" s="3" t="inlineStr">
        <is>
          <t>2025::jama.2024.27643::C003</t>
        </is>
      </c>
      <c r="B45" s="3" t="n">
        <v>3</v>
      </c>
      <c r="C45" s="3" t="inlineStr">
        <is>
          <t>Alternative source-grounded interpretations</t>
        </is>
      </c>
      <c r="D45" s="3" t="inlineStr">
        <is>
          <t>Different posterior runs, data locks, or production versions could exist, but neither source labels one.</t>
        </is>
      </c>
    </row>
    <row r="46" ht="48" customHeight="1">
      <c r="A46" s="2" t="inlineStr">
        <is>
          <t>2025::jama.2024.27643::C004</t>
        </is>
      </c>
      <c r="B46" s="2" t="n">
        <v>0</v>
      </c>
      <c r="C46" s="2" t="inlineStr">
        <is>
          <t>Source evidence</t>
        </is>
      </c>
      <c r="D46" s="2" t="inlineStr">
        <is>
          <t>The article gives pooled-active slope -1.00 with 95% CrI -1.153 to -0.858; eTable 2 gives -1.00 with 95% CrI (-1.143, -0.847).</t>
        </is>
      </c>
    </row>
    <row r="47" ht="48" customHeight="1">
      <c r="A47" s="3" t="inlineStr">
        <is>
          <t>2025::jama.2024.27643::C004</t>
        </is>
      </c>
      <c r="B47" s="3" t="n">
        <v>1</v>
      </c>
      <c r="C47" s="3" t="inlineStr">
        <is>
          <t>Reported-versus-comparator</t>
        </is>
      </c>
      <c r="D47" s="3" t="inlineStr">
        <is>
          <t>The point estimate and named model match, while both printed interval endpoints differ.</t>
        </is>
      </c>
    </row>
    <row r="48" ht="48" customHeight="1">
      <c r="A48" s="2" t="inlineStr">
        <is>
          <t>2025::jama.2024.27643::C004</t>
        </is>
      </c>
      <c r="B48" s="2" t="n">
        <v>2</v>
      </c>
      <c r="C48" s="2" t="inlineStr">
        <is>
          <t>Calculation</t>
        </is>
      </c>
      <c r="D48" s="2" t="inlineStr">
        <is>
          <t>Lower endpoints differ by 0.010; upper endpoints differ by 0.011.</t>
        </is>
      </c>
    </row>
    <row r="49" ht="48" customHeight="1">
      <c r="A49" s="3" t="inlineStr">
        <is>
          <t>2025::jama.2024.27643::C004</t>
        </is>
      </c>
      <c r="B49" s="3" t="n">
        <v>3</v>
      </c>
      <c r="C49" s="3" t="inlineStr">
        <is>
          <t>Alternative source-grounded interpretations</t>
        </is>
      </c>
      <c r="D49" s="3" t="inlineStr">
        <is>
          <t>Separate posterior outputs or production versions may exist but are not identified on either supplied page.</t>
        </is>
      </c>
    </row>
    <row r="50" ht="48" customHeight="1">
      <c r="A50" s="2" t="inlineStr">
        <is>
          <t>2025::jama.2024.27643::C005</t>
        </is>
      </c>
      <c r="B50" s="2" t="n">
        <v>0</v>
      </c>
      <c r="C50" s="2" t="inlineStr">
        <is>
          <t>Source evidence</t>
        </is>
      </c>
      <c r="D50" s="2" t="inlineStr">
        <is>
          <t>The article gives shared placebo 0.007 and pooled active 0.006 events/month. eTable 2 gives 0.010 and 0.009 events/month for the same named model.</t>
        </is>
      </c>
    </row>
    <row r="51" ht="48" customHeight="1">
      <c r="A51" s="3" t="inlineStr">
        <is>
          <t>2025::jama.2024.27643::C005</t>
        </is>
      </c>
      <c r="B51" s="3" t="n">
        <v>1</v>
      </c>
      <c r="C51" s="3" t="inlineStr">
        <is>
          <t>Reported-versus-comparator</t>
        </is>
      </c>
      <c r="D51" s="3" t="inlineStr">
        <is>
          <t>Each matched group has a different three-decimal displayed mortality event rate.</t>
        </is>
      </c>
    </row>
    <row r="52" ht="48" customHeight="1">
      <c r="A52" s="2" t="inlineStr">
        <is>
          <t>2025::jama.2024.27643::C005</t>
        </is>
      </c>
      <c r="B52" s="2" t="n">
        <v>2</v>
      </c>
      <c r="C52" s="2" t="inlineStr">
        <is>
          <t>Calculation</t>
        </is>
      </c>
      <c r="D52" s="2" t="inlineStr">
        <is>
          <t>0.010 - 0.007 = 0.003 events/month for shared placebo; 0.009 - 0.006 = 0.003 events/month for pooled active. Values differing by 0.003 cannot be the same value rounded to three decimals.</t>
        </is>
      </c>
    </row>
    <row r="53" ht="48" customHeight="1">
      <c r="A53" s="3" t="inlineStr">
        <is>
          <t>2025::jama.2024.27643::C005</t>
        </is>
      </c>
      <c r="B53" s="3" t="n">
        <v>3</v>
      </c>
      <c r="C53" s="3" t="inlineStr">
        <is>
          <t>Alternative source-grounded interpretations</t>
        </is>
      </c>
      <c r="D53" s="3" t="inlineStr">
        <is>
          <t>One display may use an unlabelled event definition, posterior summary, or model run.</t>
        </is>
      </c>
    </row>
    <row r="54" ht="48" customHeight="1">
      <c r="A54" s="2" t="inlineStr">
        <is>
          <t>2025::jama.2024.27643::C006</t>
        </is>
      </c>
      <c r="B54" s="2" t="n">
        <v>0</v>
      </c>
      <c r="C54" s="2" t="inlineStr">
        <is>
          <t>Source evidence</t>
        </is>
      </c>
      <c r="D54" s="2" t="inlineStr">
        <is>
          <t>Figure 3 gives -9.5% with CI -17.8% to -0.5%; nearby narrative gives -17.8% to -0.4%; eTable 3B gives -18.0% to 0. All print -9.5% and P=.04.</t>
        </is>
      </c>
    </row>
    <row r="55" ht="48" customHeight="1">
      <c r="A55" s="3" t="inlineStr">
        <is>
          <t>2025::jama.2024.27643::C006</t>
        </is>
      </c>
      <c r="B55" s="3" t="n">
        <v>1</v>
      </c>
      <c r="C55" s="3" t="inlineStr">
        <is>
          <t>Reported-versus-comparator</t>
        </is>
      </c>
      <c r="D55" s="3" t="inlineStr">
        <is>
          <t>The matched point estimate and P value are repeated with different printed interval endpoints.</t>
        </is>
      </c>
    </row>
    <row r="56" ht="48" customHeight="1">
      <c r="A56" s="2" t="inlineStr">
        <is>
          <t>2025::jama.2024.27643::C006</t>
        </is>
      </c>
      <c r="B56" s="2" t="n">
        <v>2</v>
      </c>
      <c r="C56" s="2" t="inlineStr">
        <is>
          <t>Calculation</t>
        </is>
      </c>
      <c r="D56" s="2" t="inlineStr">
        <is>
          <t>Figure and narrative upper endpoints differ by 0.1 percentage point. eTable 3B prints a distinct endpoint pair, -18.0% to 0; its unrounded upper endpoint and rounding rule are unavailable.</t>
        </is>
      </c>
    </row>
    <row r="57" ht="48" customHeight="1">
      <c r="A57" s="3" t="inlineStr">
        <is>
          <t>2025::jama.2024.27643::C006</t>
        </is>
      </c>
      <c r="B57" s="3" t="n">
        <v>3</v>
      </c>
      <c r="C57" s="3" t="inlineStr">
        <is>
          <t>Alternative source-grounded interpretations</t>
        </is>
      </c>
      <c r="D57" s="3" t="inlineStr">
        <is>
          <t>Independent rounding from unprinted higher precision or an unlabelled model/output version may explain the displays.</t>
        </is>
      </c>
    </row>
    <row r="58" ht="48" customHeight="1">
      <c r="A58" s="2" t="inlineStr">
        <is>
          <t>2025::jama.2024.27643::C007</t>
        </is>
      </c>
      <c r="B58" s="2" t="n">
        <v>0</v>
      </c>
      <c r="C58" s="2" t="inlineStr">
        <is>
          <t>Source evidence</t>
        </is>
      </c>
      <c r="D58" s="2" t="inlineStr">
        <is>
          <t>Article: placebo +30.8%, active +0.4%, difference -23.2% (95% CI -39.5% to -2.5%; P=.03). eTable: placebo +26.8%, active +0.4%, difference -26.4% (95% CI -50.3% to -2.6%; P=.03).</t>
        </is>
      </c>
    </row>
    <row r="59" ht="48" customHeight="1">
      <c r="A59" s="3" t="inlineStr">
        <is>
          <t>2025::jama.2024.27643::C007</t>
        </is>
      </c>
      <c r="B59" s="3" t="n">
        <v>1</v>
      </c>
      <c r="C59" s="3" t="inlineStr">
        <is>
          <t>Reported-versus-comparator</t>
        </is>
      </c>
      <c r="D59" s="3" t="inlineStr">
        <is>
          <t>The active change and P value agree, but placebo changes differ by 4.0 percentage points, treatment contrasts differ by 3.2 points, and both interval endpoints differ.</t>
        </is>
      </c>
    </row>
    <row r="60" ht="48" customHeight="1">
      <c r="A60" s="2" t="inlineStr">
        <is>
          <t>2025::jama.2024.27643::C007</t>
        </is>
      </c>
      <c r="B60" s="2" t="n">
        <v>2</v>
      </c>
      <c r="C60" s="2" t="inlineStr">
        <is>
          <t>Calculation</t>
        </is>
      </c>
      <c r="D60" s="2" t="inlineStr">
        <is>
          <t>30.8 - 26.8 = 4.0; |-23.2 - (-26.4)| = 3.2. The article's contrast is compatible with the displayed-value diagnostic [(1.004 / 1.308) - 1] x 100 = -23.24%, so this is not an internal crude-subtraction claim.</t>
        </is>
      </c>
    </row>
    <row r="61" ht="48" customHeight="1">
      <c r="A61" s="3" t="inlineStr">
        <is>
          <t>2025::jama.2024.27643::C007</t>
        </is>
      </c>
      <c r="B61" s="3" t="n">
        <v>3</v>
      </c>
      <c r="C61" s="3" t="inlineStr">
        <is>
          <t>Alternative source-grounded interpretations</t>
        </is>
      </c>
      <c r="D61" s="3" t="inlineStr">
        <is>
          <t>An unlabelled ERO model, population, plate rule, data cut, or fitted-contrast definition could differ between displays.</t>
        </is>
      </c>
    </row>
    <row r="62" ht="48" customHeight="1">
      <c r="A62" s="2" t="inlineStr">
        <is>
          <t>2025::jama.2024.27643::C008</t>
        </is>
      </c>
      <c r="B62" s="2" t="n">
        <v>0</v>
      </c>
      <c r="C62" s="2" t="inlineStr">
        <is>
          <t>Source evidence</t>
        </is>
      </c>
      <c r="D62" s="2" t="inlineStr">
        <is>
          <t>Table 2 reports 5/120 pooled-active and 9/162 shared-placebo death/PAV events. The Discussion reports 13 RCT-period events in those groups.</t>
        </is>
      </c>
    </row>
    <row r="63" ht="48" customHeight="1">
      <c r="A63" s="3" t="inlineStr">
        <is>
          <t>2025::jama.2024.27643::C008</t>
        </is>
      </c>
      <c r="B63" s="3" t="n">
        <v>1</v>
      </c>
      <c r="C63" s="3" t="inlineStr">
        <is>
          <t>Reported-versus-comparator</t>
        </is>
      </c>
      <c r="D63" s="3" t="inlineStr">
        <is>
          <t>Table 2's two printed numerators total 14, while the Discussion prints 13.</t>
        </is>
      </c>
    </row>
    <row r="64" ht="48" customHeight="1">
      <c r="A64" s="2" t="inlineStr">
        <is>
          <t>2025::jama.2024.27643::C008</t>
        </is>
      </c>
      <c r="B64" s="2" t="n">
        <v>2</v>
      </c>
      <c r="C64" s="2" t="inlineStr">
        <is>
          <t>Calculation</t>
        </is>
      </c>
      <c r="D64" s="2" t="inlineStr">
        <is>
          <t>5 + 9 = 14, not 13.</t>
        </is>
      </c>
    </row>
    <row r="65" ht="48" customHeight="1">
      <c r="A65" s="3" t="inlineStr">
        <is>
          <t>2025::jama.2024.27643::C008</t>
        </is>
      </c>
      <c r="B65" s="3" t="n">
        <v>3</v>
      </c>
      <c r="C65" s="3" t="inlineStr">
        <is>
          <t>Alternative source-grounded interpretations</t>
        </is>
      </c>
      <c r="D65" s="3" t="inlineStr">
        <is>
          <t>The Discussion may use a narrower event definition, a different cutoff, or an unstated exclusion rather than Table 2's death-or-PAV endpoint.</t>
        </is>
      </c>
    </row>
    <row r="66" ht="48" customHeight="1">
      <c r="A66" s="2" t="inlineStr">
        <is>
          <t>2025::jama.2025.11178::C001</t>
        </is>
      </c>
      <c r="B66" s="2" t="n">
        <v>0</v>
      </c>
      <c r="C66" s="2" t="inlineStr">
        <is>
          <t>Source evidence</t>
        </is>
      </c>
      <c r="D66" s="2" t="inlineStr">
        <is>
          <t>Further-reason subtotal 1243; listed counts 411, 273, 189, 121, 95, 34.</t>
        </is>
      </c>
    </row>
    <row r="67" ht="48" customHeight="1">
      <c r="A67" s="3" t="inlineStr">
        <is>
          <t>2025::jama.2025.11178::C001</t>
        </is>
      </c>
      <c r="B67" s="3" t="n">
        <v>1</v>
      </c>
      <c r="C67" s="3" t="inlineStr">
        <is>
          <t>Reported-versus-comparator</t>
        </is>
      </c>
      <c r="D67" s="3" t="inlineStr">
        <is>
          <t>If the displayed six reasons exhaust the “one or more of” subtotal, their sum must be at least its union: 411+273+189+121+95+34=1123, 120 below 1243.</t>
        </is>
      </c>
    </row>
    <row r="68" ht="48" customHeight="1">
      <c r="A68" s="2" t="inlineStr">
        <is>
          <t>2025::jama.2025.11178::C001</t>
        </is>
      </c>
      <c r="B68" s="2" t="n">
        <v>2</v>
      </c>
      <c r="C68" s="2" t="inlineStr">
        <is>
          <t>Calculation</t>
        </is>
      </c>
      <c r="D68" s="2" t="inlineStr">
        <is>
          <t>If the displayed six reasons exhaust the “one or more of” subtotal, their sum must be at least its union: 411+273+189+121+95+34=1123, 120 below 1243.</t>
        </is>
      </c>
    </row>
    <row r="69" ht="58" customHeight="1">
      <c r="A69" s="3" t="inlineStr">
        <is>
          <t>2025::jama.2025.11178::C001</t>
        </is>
      </c>
      <c r="B69" s="3" t="n">
        <v>3</v>
      </c>
      <c r="C69" s="3" t="inlineStr">
        <is>
          <t>Alternative source-grounded interpretations</t>
        </is>
      </c>
      <c r="D69" s="3" t="inlineStr">
        <is>
          <t>One or more further reasons may be omitted, or a count/subtotal may be wrong; overlap cannot make a component sum below the union. Human question: Does the figure intend the six reasons to exhaust 1243, and which value should reconcile?</t>
        </is>
      </c>
    </row>
    <row r="70" ht="48" customHeight="1">
      <c r="A70" s="2" t="inlineStr">
        <is>
          <t>2025::jama.2025.11178::C002</t>
        </is>
      </c>
      <c r="B70" s="2" t="n">
        <v>0</v>
      </c>
      <c r="C70" s="2" t="inlineStr">
        <is>
          <t>Source evidence</t>
        </is>
      </c>
      <c r="D70" s="2" t="inlineStr">
        <is>
          <t>At least one follow-up 2036; one/two/three observed follow-ups 188/283/1568.</t>
        </is>
      </c>
    </row>
    <row r="71" ht="48" customHeight="1">
      <c r="A71" s="3" t="inlineStr">
        <is>
          <t>2025::jama.2025.11178::C002</t>
        </is>
      </c>
      <c r="B71" s="3" t="n">
        <v>1</v>
      </c>
      <c r="C71" s="3" t="inlineStr">
        <is>
          <t>Reported-versus-comparator</t>
        </is>
      </c>
      <c r="D71" s="3" t="inlineStr">
        <is>
          <t>Mutually exclusive follow-up patterns should partition the total: 188+283+1568=2039, not 2036 (difference 3; integer tolerance 0).</t>
        </is>
      </c>
    </row>
    <row r="72" ht="48" customHeight="1">
      <c r="A72" s="2" t="inlineStr">
        <is>
          <t>2025::jama.2025.11178::C002</t>
        </is>
      </c>
      <c r="B72" s="2" t="n">
        <v>2</v>
      </c>
      <c r="C72" s="2" t="inlineStr">
        <is>
          <t>Calculation</t>
        </is>
      </c>
      <c r="D72" s="2" t="inlineStr">
        <is>
          <t>Mutually exclusive follow-up patterns should partition the total: 188+283+1568=2039, not 2036 (difference 3; integer tolerance 0).</t>
        </is>
      </c>
    </row>
    <row r="73" ht="48" customHeight="1">
      <c r="A73" s="3" t="inlineStr">
        <is>
          <t>2025::jama.2025.11178::C002</t>
        </is>
      </c>
      <c r="B73" s="3" t="n">
        <v>3</v>
      </c>
      <c r="C73" s="3" t="inlineStr">
        <is>
          <t>Alternative source-grounded interpretations</t>
        </is>
      </c>
      <c r="D73" s="3" t="inlineStr">
        <is>
          <t>A pattern row, total, or source-data definition differs; no alternate denominator is printed. Human question: Which printed Overall value defines the intended partition?</t>
        </is>
      </c>
    </row>
    <row r="74" ht="48" customHeight="1">
      <c r="A74" s="2" t="inlineStr">
        <is>
          <t>2025::jama.2025.11178::C003</t>
        </is>
      </c>
      <c r="B74" s="2" t="n">
        <v>0</v>
      </c>
      <c r="C74" s="2" t="inlineStr">
        <is>
          <t>Source evidence</t>
        </is>
      </c>
      <c r="D74" s="2" t="inlineStr">
        <is>
          <t>At least one follow-up 643; one/two/three 77/103/464.</t>
        </is>
      </c>
    </row>
    <row r="75" ht="48" customHeight="1">
      <c r="A75" s="3" t="inlineStr">
        <is>
          <t>2025::jama.2025.11178::C003</t>
        </is>
      </c>
      <c r="B75" s="3" t="n">
        <v>1</v>
      </c>
      <c r="C75" s="3" t="inlineStr">
        <is>
          <t>Reported-versus-comparator</t>
        </is>
      </c>
      <c r="D75" s="3" t="inlineStr">
        <is>
          <t>77+103+464=644, one above 643 (integer tolerance 0).</t>
        </is>
      </c>
    </row>
    <row r="76" ht="48" customHeight="1">
      <c r="A76" s="2" t="inlineStr">
        <is>
          <t>2025::jama.2025.11178::C003</t>
        </is>
      </c>
      <c r="B76" s="2" t="n">
        <v>2</v>
      </c>
      <c r="C76" s="2" t="inlineStr">
        <is>
          <t>Calculation</t>
        </is>
      </c>
      <c r="D76" s="2" t="inlineStr">
        <is>
          <t>77+103+464=644, one above 643 (integer tolerance 0).</t>
        </is>
      </c>
    </row>
    <row r="77" ht="48" customHeight="1">
      <c r="A77" s="3" t="inlineStr">
        <is>
          <t>2025::jama.2025.11178::C003</t>
        </is>
      </c>
      <c r="B77" s="3" t="n">
        <v>3</v>
      </c>
      <c r="C77" s="3" t="inlineStr">
        <is>
          <t>Alternative source-grounded interpretations</t>
        </is>
      </c>
      <c r="D77" s="3" t="inlineStr">
        <is>
          <t>One pattern count or arm total may be discrepant; no alternate denominator is printed. Human question: Is 643 or the 644 pattern sum authoritative?</t>
        </is>
      </c>
    </row>
    <row r="78" ht="48" customHeight="1">
      <c r="A78" s="2" t="inlineStr">
        <is>
          <t>2025::jama.2025.11178::C004</t>
        </is>
      </c>
      <c r="B78" s="2" t="n">
        <v>0</v>
      </c>
      <c r="C78" s="2" t="inlineStr">
        <is>
          <t>Source evidence</t>
        </is>
      </c>
      <c r="D78" s="2" t="inlineStr">
        <is>
          <t>At least one follow-up 690; one/two/three 47/81/564.</t>
        </is>
      </c>
    </row>
    <row r="79" ht="48" customHeight="1">
      <c r="A79" s="3" t="inlineStr">
        <is>
          <t>2025::jama.2025.11178::C004</t>
        </is>
      </c>
      <c r="B79" s="3" t="n">
        <v>1</v>
      </c>
      <c r="C79" s="3" t="inlineStr">
        <is>
          <t>Reported-versus-comparator</t>
        </is>
      </c>
      <c r="D79" s="3" t="inlineStr">
        <is>
          <t>47+81+564=692, two above 690 (integer tolerance 0).</t>
        </is>
      </c>
    </row>
    <row r="80" ht="48" customHeight="1">
      <c r="A80" s="2" t="inlineStr">
        <is>
          <t>2025::jama.2025.11178::C004</t>
        </is>
      </c>
      <c r="B80" s="2" t="n">
        <v>2</v>
      </c>
      <c r="C80" s="2" t="inlineStr">
        <is>
          <t>Calculation</t>
        </is>
      </c>
      <c r="D80" s="2" t="inlineStr">
        <is>
          <t>47+81+564=692, two above 690 (integer tolerance 0).</t>
        </is>
      </c>
    </row>
    <row r="81" ht="48" customHeight="1">
      <c r="A81" s="3" t="inlineStr">
        <is>
          <t>2025::jama.2025.11178::C004</t>
        </is>
      </c>
      <c r="B81" s="3" t="n">
        <v>3</v>
      </c>
      <c r="C81" s="3" t="inlineStr">
        <is>
          <t>Alternative source-grounded interpretations</t>
        </is>
      </c>
      <c r="D81" s="3" t="inlineStr">
        <is>
          <t>A pattern count or arm total may be discrepant; no alternative denominator is shown. Human question: Is 690 or the 692 pattern sum authoritative?</t>
        </is>
      </c>
    </row>
    <row r="82" ht="48" customHeight="1">
      <c r="A82" s="2" t="inlineStr">
        <is>
          <t>2025::jama.2025.11178::C005</t>
        </is>
      </c>
      <c r="B82" s="2" t="n">
        <v>0</v>
      </c>
      <c r="C82" s="2" t="inlineStr">
        <is>
          <t>Source evidence</t>
        </is>
      </c>
      <c r="D82" s="2" t="inlineStr">
        <is>
          <t>All Observed N 1568, missing 2, current depression 711 (73.2).</t>
        </is>
      </c>
    </row>
    <row r="83" ht="48" customHeight="1">
      <c r="A83" s="3" t="inlineStr">
        <is>
          <t>2025::jama.2025.11178::C005</t>
        </is>
      </c>
      <c r="B83" s="3" t="n">
        <v>1</v>
      </c>
      <c r="C83" s="3" t="inlineStr">
        <is>
          <t>Reported-versus-comparator</t>
        </is>
      </c>
      <c r="D83" s="3" t="inlineStr">
        <is>
          <t>Missing-excluded denominator is 1566; 711/1566=45.4%, not 73.2% (and 711/1568=45.3%).</t>
        </is>
      </c>
    </row>
    <row r="84" ht="48" customHeight="1">
      <c r="A84" s="2" t="inlineStr">
        <is>
          <t>2025::jama.2025.11178::C005</t>
        </is>
      </c>
      <c r="B84" s="2" t="n">
        <v>2</v>
      </c>
      <c r="C84" s="2" t="inlineStr">
        <is>
          <t>Calculation</t>
        </is>
      </c>
      <c r="D84" s="2" t="inlineStr">
        <is>
          <t>Missing-excluded denominator is 1566; 711/1566=45.4%, not 73.2% (and 711/1568=45.3%).</t>
        </is>
      </c>
    </row>
    <row r="85" ht="58" customHeight="1">
      <c r="A85" s="3" t="inlineStr">
        <is>
          <t>2025::jama.2025.11178::C005</t>
        </is>
      </c>
      <c r="B85" s="3" t="n">
        <v>3</v>
      </c>
      <c r="C85" s="3" t="inlineStr">
        <is>
          <t>Alternative source-grounded interpretations</t>
        </is>
      </c>
      <c r="D85" s="3" t="inlineStr">
        <is>
          <t>The count may be right with a mistyped percentage, or percentage/denominator may belong elsewhere; 162+243+711=1116 supports the count. Human question: Should E82 be 711 (45.4%), or does a different unprinted denominator apply?</t>
        </is>
      </c>
    </row>
    <row r="86" ht="48" customHeight="1">
      <c r="A86" s="2" t="inlineStr">
        <is>
          <t>2025::jama.2025.11178::C006</t>
        </is>
      </c>
      <c r="B86" s="2" t="n">
        <v>0</v>
      </c>
      <c r="C86" s="2" t="inlineStr">
        <is>
          <t>Source evidence</t>
        </is>
      </c>
      <c r="D86" s="2" t="inlineStr">
        <is>
          <t>Label PROMIS Social role functioning &lt;=40, mean (sd); values 818 (35.7)|113 (38.8)|180 (38.7)|525 (34.2).</t>
        </is>
      </c>
    </row>
    <row r="87" ht="48" customHeight="1">
      <c r="A87" s="3" t="inlineStr">
        <is>
          <t>2025::jama.2025.11178::C006</t>
        </is>
      </c>
      <c r="B87" s="3" t="n">
        <v>1</v>
      </c>
      <c r="C87" s="3" t="inlineStr">
        <is>
          <t>Reported-versus-comparator</t>
        </is>
      </c>
      <c r="D87" s="3" t="inlineStr">
        <is>
          <t>Entries are count/percentages: 525/(1568-31)=34.2%; they are not mean/SD values.</t>
        </is>
      </c>
    </row>
    <row r="88" ht="48" customHeight="1">
      <c r="A88" s="2" t="inlineStr">
        <is>
          <t>2025::jama.2025.11178::C006</t>
        </is>
      </c>
      <c r="B88" s="2" t="n">
        <v>2</v>
      </c>
      <c r="C88" s="2" t="inlineStr">
        <is>
          <t>Calculation</t>
        </is>
      </c>
      <c r="D88" s="2" t="inlineStr">
        <is>
          <t>Entries are count/percentages: 525/(1568-31)=34.2%; they are not mean/SD values.</t>
        </is>
      </c>
    </row>
    <row r="89" ht="48" customHeight="1">
      <c r="A89" s="3" t="inlineStr">
        <is>
          <t>2025::jama.2025.11178::C006</t>
        </is>
      </c>
      <c r="B89" s="3" t="n">
        <v>3</v>
      </c>
      <c r="C89" s="3" t="inlineStr">
        <is>
          <t>Alternative source-grounded interpretations</t>
        </is>
      </c>
      <c r="D89" s="3" t="inlineStr">
        <is>
          <t>mean (sd) may be a template carryover; intended label may be N (%). Human question: Should the cutoff row be relabeled N (%)?</t>
        </is>
      </c>
    </row>
    <row r="90" ht="48" customHeight="1">
      <c r="A90" s="2" t="inlineStr">
        <is>
          <t>2025::jama.2025.11178::C007</t>
        </is>
      </c>
      <c r="B90" s="2" t="n">
        <v>0</v>
      </c>
      <c r="C90" s="2" t="inlineStr">
        <is>
          <t>Source evidence</t>
        </is>
      </c>
      <c r="D90" s="2" t="inlineStr">
        <is>
          <t>Label PROMIS Physical functioning &lt;=40, mean (sd); values 1709 (74.1)|209 (72.6)|357 (76.8)|1143 (73.6).</t>
        </is>
      </c>
    </row>
    <row r="91" ht="48" customHeight="1">
      <c r="A91" s="3" t="inlineStr">
        <is>
          <t>2025::jama.2025.11178::C007</t>
        </is>
      </c>
      <c r="B91" s="3" t="n">
        <v>1</v>
      </c>
      <c r="C91" s="3" t="inlineStr">
        <is>
          <t>Reported-versus-comparator</t>
        </is>
      </c>
      <c r="D91" s="3" t="inlineStr">
        <is>
          <t>1143/(1568-14)=73.6%; displayed cells are N(%), not mean(SD).</t>
        </is>
      </c>
    </row>
    <row r="92" ht="48" customHeight="1">
      <c r="A92" s="2" t="inlineStr">
        <is>
          <t>2025::jama.2025.11178::C007</t>
        </is>
      </c>
      <c r="B92" s="2" t="n">
        <v>2</v>
      </c>
      <c r="C92" s="2" t="inlineStr">
        <is>
          <t>Calculation</t>
        </is>
      </c>
      <c r="D92" s="2" t="inlineStr">
        <is>
          <t>1143/(1568-14)=73.6%; displayed cells are N(%), not mean(SD).</t>
        </is>
      </c>
    </row>
    <row r="93" ht="48" customHeight="1">
      <c r="A93" s="3" t="inlineStr">
        <is>
          <t>2025::jama.2025.11178::C007</t>
        </is>
      </c>
      <c r="B93" s="3" t="n">
        <v>3</v>
      </c>
      <c r="C93" s="3" t="inlineStr">
        <is>
          <t>Alternative source-grounded interpretations</t>
        </is>
      </c>
      <c r="D93" s="3" t="inlineStr">
        <is>
          <t>Formatting/template carryover may explain the label. Human question: Should the cutoff row be relabeled N (%)?</t>
        </is>
      </c>
    </row>
    <row r="94" ht="48" customHeight="1">
      <c r="A94" s="2" t="inlineStr">
        <is>
          <t>2025::jama.2025.11178::C008</t>
        </is>
      </c>
      <c r="B94" s="2" t="n">
        <v>0</v>
      </c>
      <c r="C94" s="2" t="inlineStr">
        <is>
          <t>Source evidence</t>
        </is>
      </c>
      <c r="D94" s="2" t="inlineStr">
        <is>
          <t>-0.25 (-0.24 to 0.01).</t>
        </is>
      </c>
    </row>
    <row r="95" ht="48" customHeight="1">
      <c r="A95" s="3" t="inlineStr">
        <is>
          <t>2025::jama.2025.11178::C008</t>
        </is>
      </c>
      <c r="B95" s="3" t="n">
        <v>1</v>
      </c>
      <c r="C95" s="3" t="inlineStr">
        <is>
          <t>Reported-versus-comparator</t>
        </is>
      </c>
      <c r="D95" s="3" t="inlineStr">
        <is>
          <t>Point estimate must lie within its interval; -0.25 &lt; -0.24.</t>
        </is>
      </c>
    </row>
    <row r="96" ht="48" customHeight="1">
      <c r="A96" s="2" t="inlineStr">
        <is>
          <t>2025::jama.2025.11178::C008</t>
        </is>
      </c>
      <c r="B96" s="2" t="n">
        <v>2</v>
      </c>
      <c r="C96" s="2" t="inlineStr">
        <is>
          <t>Calculation</t>
        </is>
      </c>
      <c r="D96" s="2" t="inlineStr">
        <is>
          <t>Point estimate must lie within its interval; -0.25 &lt; -0.24.</t>
        </is>
      </c>
    </row>
    <row r="97" ht="48" customHeight="1">
      <c r="A97" s="3" t="inlineStr">
        <is>
          <t>2025::jama.2025.11178::C008</t>
        </is>
      </c>
      <c r="B97" s="3" t="n">
        <v>3</v>
      </c>
      <c r="C97" s="3" t="inlineStr">
        <is>
          <t>Alternative source-grounded interpretations</t>
        </is>
      </c>
      <c r="D97" s="3" t="inlineStr">
        <is>
          <t>Estimate or CI endpoint may be transcribed incorrectly. Human question: What estimate and CI does the analysis output support?</t>
        </is>
      </c>
    </row>
    <row r="98" ht="48" customHeight="1">
      <c r="A98" s="2" t="inlineStr">
        <is>
          <t>2025::jama.2025.11178::C009</t>
        </is>
      </c>
      <c r="B98" s="2" t="n">
        <v>0</v>
      </c>
      <c r="C98" s="2" t="inlineStr">
        <is>
          <t>Source evidence</t>
        </is>
      </c>
      <c r="D98" s="2" t="inlineStr">
        <is>
          <t>-0.36 (-0.35 to -0.12).</t>
        </is>
      </c>
    </row>
    <row r="99" ht="48" customHeight="1">
      <c r="A99" s="3" t="inlineStr">
        <is>
          <t>2025::jama.2025.11178::C009</t>
        </is>
      </c>
      <c r="B99" s="3" t="n">
        <v>1</v>
      </c>
      <c r="C99" s="3" t="inlineStr">
        <is>
          <t>Reported-versus-comparator</t>
        </is>
      </c>
      <c r="D99" s="3" t="inlineStr">
        <is>
          <t>-0.36 &lt; -0.35, so estimate is outside CI.</t>
        </is>
      </c>
    </row>
    <row r="100" ht="48" customHeight="1">
      <c r="A100" s="2" t="inlineStr">
        <is>
          <t>2025::jama.2025.11178::C009</t>
        </is>
      </c>
      <c r="B100" s="2" t="n">
        <v>2</v>
      </c>
      <c r="C100" s="2" t="inlineStr">
        <is>
          <t>Calculation</t>
        </is>
      </c>
      <c r="D100" s="2" t="inlineStr">
        <is>
          <t>-0.36 &lt; -0.35, so estimate is outside CI.</t>
        </is>
      </c>
    </row>
    <row r="101" ht="48" customHeight="1">
      <c r="A101" s="3" t="inlineStr">
        <is>
          <t>2025::jama.2025.11178::C009</t>
        </is>
      </c>
      <c r="B101" s="3" t="n">
        <v>3</v>
      </c>
      <c r="C101" s="3" t="inlineStr">
        <is>
          <t>Alternative source-grounded interpretations</t>
        </is>
      </c>
      <c r="D101" s="3" t="inlineStr">
        <is>
          <t>Point estimate or CI endpoint may be erroneous. Human question: What matched CI is intended?</t>
        </is>
      </c>
    </row>
    <row r="102" ht="48" customHeight="1">
      <c r="A102" s="2" t="inlineStr">
        <is>
          <t>2025::jama.2025.11178::C010</t>
        </is>
      </c>
      <c r="B102" s="2" t="n">
        <v>0</v>
      </c>
      <c r="C102" s="2" t="inlineStr">
        <is>
          <t>Source evidence</t>
        </is>
      </c>
      <c r="D102" s="2" t="inlineStr">
        <is>
          <t>-0.27 (-0.26 to -0.12).</t>
        </is>
      </c>
    </row>
    <row r="103" ht="48" customHeight="1">
      <c r="A103" s="3" t="inlineStr">
        <is>
          <t>2025::jama.2025.11178::C010</t>
        </is>
      </c>
      <c r="B103" s="3" t="n">
        <v>1</v>
      </c>
      <c r="C103" s="3" t="inlineStr">
        <is>
          <t>Reported-versus-comparator</t>
        </is>
      </c>
      <c r="D103" s="3" t="inlineStr">
        <is>
          <t>-0.27 &lt; -0.26, outside CI.</t>
        </is>
      </c>
    </row>
    <row r="104" ht="48" customHeight="1">
      <c r="A104" s="2" t="inlineStr">
        <is>
          <t>2025::jama.2025.11178::C010</t>
        </is>
      </c>
      <c r="B104" s="2" t="n">
        <v>2</v>
      </c>
      <c r="C104" s="2" t="inlineStr">
        <is>
          <t>Calculation</t>
        </is>
      </c>
      <c r="D104" s="2" t="inlineStr">
        <is>
          <t>-0.27 &lt; -0.26, outside CI.</t>
        </is>
      </c>
    </row>
    <row r="105" ht="48" customHeight="1">
      <c r="A105" s="3" t="inlineStr">
        <is>
          <t>2025::jama.2025.11178::C010</t>
        </is>
      </c>
      <c r="B105" s="3" t="n">
        <v>3</v>
      </c>
      <c r="C105" s="3" t="inlineStr">
        <is>
          <t>Alternative source-grounded interpretations</t>
        </is>
      </c>
      <c r="D105" s="3" t="inlineStr">
        <is>
          <t>Estimate or CI endpoint may differ from intended output. Human question: What matched CI is intended?</t>
        </is>
      </c>
    </row>
    <row r="106" ht="48" customHeight="1">
      <c r="A106" s="2" t="inlineStr">
        <is>
          <t>2025::jama.2025.11178::C011</t>
        </is>
      </c>
      <c r="B106" s="2" t="n">
        <v>0</v>
      </c>
      <c r="C106" s="2" t="inlineStr">
        <is>
          <t>Source evidence</t>
        </is>
      </c>
      <c r="D106" s="2" t="inlineStr">
        <is>
          <t>-0.26 (-0.25 to 0.01).</t>
        </is>
      </c>
    </row>
    <row r="107" ht="48" customHeight="1">
      <c r="A107" s="3" t="inlineStr">
        <is>
          <t>2025::jama.2025.11178::C011</t>
        </is>
      </c>
      <c r="B107" s="3" t="n">
        <v>1</v>
      </c>
      <c r="C107" s="3" t="inlineStr">
        <is>
          <t>Reported-versus-comparator</t>
        </is>
      </c>
      <c r="D107" s="3" t="inlineStr">
        <is>
          <t>-0.26 &lt; -0.25, outside CI.</t>
        </is>
      </c>
    </row>
    <row r="108" ht="48" customHeight="1">
      <c r="A108" s="2" t="inlineStr">
        <is>
          <t>2025::jama.2025.11178::C011</t>
        </is>
      </c>
      <c r="B108" s="2" t="n">
        <v>2</v>
      </c>
      <c r="C108" s="2" t="inlineStr">
        <is>
          <t>Calculation</t>
        </is>
      </c>
      <c r="D108" s="2" t="inlineStr">
        <is>
          <t>-0.26 &lt; -0.25, outside CI.</t>
        </is>
      </c>
    </row>
    <row r="109" ht="48" customHeight="1">
      <c r="A109" s="3" t="inlineStr">
        <is>
          <t>2025::jama.2025.11178::C011</t>
        </is>
      </c>
      <c r="B109" s="3" t="n">
        <v>3</v>
      </c>
      <c r="C109" s="3" t="inlineStr">
        <is>
          <t>Alternative source-grounded interpretations</t>
        </is>
      </c>
      <c r="D109" s="3" t="inlineStr">
        <is>
          <t>Estimate or endpoint may be incorrect. Human question: What matched CI is intended?</t>
        </is>
      </c>
    </row>
    <row r="110" ht="48" customHeight="1">
      <c r="A110" s="2" t="inlineStr">
        <is>
          <t>2025::jama.2025.11178::C012</t>
        </is>
      </c>
      <c r="B110" s="2" t="n">
        <v>0</v>
      </c>
      <c r="C110" s="2" t="inlineStr">
        <is>
          <t>Source evidence</t>
        </is>
      </c>
      <c r="D110" s="2" t="inlineStr">
        <is>
          <t>-0.37 (-0.36 to -0.11).</t>
        </is>
      </c>
    </row>
    <row r="111" ht="48" customHeight="1">
      <c r="A111" s="3" t="inlineStr">
        <is>
          <t>2025::jama.2025.11178::C012</t>
        </is>
      </c>
      <c r="B111" s="3" t="n">
        <v>1</v>
      </c>
      <c r="C111" s="3" t="inlineStr">
        <is>
          <t>Reported-versus-comparator</t>
        </is>
      </c>
      <c r="D111" s="3" t="inlineStr">
        <is>
          <t>-0.37 &lt; -0.36, outside CI.</t>
        </is>
      </c>
    </row>
    <row r="112" ht="48" customHeight="1">
      <c r="A112" s="2" t="inlineStr">
        <is>
          <t>2025::jama.2025.11178::C012</t>
        </is>
      </c>
      <c r="B112" s="2" t="n">
        <v>2</v>
      </c>
      <c r="C112" s="2" t="inlineStr">
        <is>
          <t>Calculation</t>
        </is>
      </c>
      <c r="D112" s="2" t="inlineStr">
        <is>
          <t>-0.37 &lt; -0.36, outside CI.</t>
        </is>
      </c>
    </row>
    <row r="113" ht="48" customHeight="1">
      <c r="A113" s="3" t="inlineStr">
        <is>
          <t>2025::jama.2025.11178::C012</t>
        </is>
      </c>
      <c r="B113" s="3" t="n">
        <v>3</v>
      </c>
      <c r="C113" s="3" t="inlineStr">
        <is>
          <t>Alternative source-grounded interpretations</t>
        </is>
      </c>
      <c r="D113" s="3" t="inlineStr">
        <is>
          <t>Estimate or endpoint may be incorrect. Human question: What matched CI is intended?</t>
        </is>
      </c>
    </row>
    <row r="114" ht="48" customHeight="1">
      <c r="A114" s="2" t="inlineStr">
        <is>
          <t>2025::jama.2025.11178::C013</t>
        </is>
      </c>
      <c r="B114" s="2" t="n">
        <v>0</v>
      </c>
      <c r="C114" s="2" t="inlineStr">
        <is>
          <t>Source evidence</t>
        </is>
      </c>
      <c r="D114" s="2" t="inlineStr">
        <is>
          <t>0.12 (0.23 to 0.11).</t>
        </is>
      </c>
    </row>
    <row r="115" ht="48" customHeight="1">
      <c r="A115" s="3" t="inlineStr">
        <is>
          <t>2025::jama.2025.11178::C013</t>
        </is>
      </c>
      <c r="B115" s="3" t="n">
        <v>1</v>
      </c>
      <c r="C115" s="3" t="inlineStr">
        <is>
          <t>Reported-versus-comparator</t>
        </is>
      </c>
      <c r="D115" s="3" t="inlineStr">
        <is>
          <t>Interval endpoints must be low-to-high; 0.23 &gt; 0.11.</t>
        </is>
      </c>
    </row>
    <row r="116" ht="48" customHeight="1">
      <c r="A116" s="2" t="inlineStr">
        <is>
          <t>2025::jama.2025.11178::C013</t>
        </is>
      </c>
      <c r="B116" s="2" t="n">
        <v>2</v>
      </c>
      <c r="C116" s="2" t="inlineStr">
        <is>
          <t>Calculation</t>
        </is>
      </c>
      <c r="D116" s="2" t="inlineStr">
        <is>
          <t>Interval endpoints must be low-to-high; 0.23 &gt; 0.11.</t>
        </is>
      </c>
    </row>
    <row r="117" ht="48" customHeight="1">
      <c r="A117" s="3" t="inlineStr">
        <is>
          <t>2025::jama.2025.11178::C013</t>
        </is>
      </c>
      <c r="B117" s="3" t="n">
        <v>3</v>
      </c>
      <c r="C117" s="3" t="inlineStr">
        <is>
          <t>Alternative source-grounded interpretations</t>
        </is>
      </c>
      <c r="D117" s="3" t="inlineStr">
        <is>
          <t>Signs, endpoint order, or transcription may be wrong. Human question: What ordered CI is intended?</t>
        </is>
      </c>
    </row>
    <row r="118" ht="48" customHeight="1">
      <c r="A118" s="2" t="inlineStr">
        <is>
          <t>2025::jama.2025.11178::C014</t>
        </is>
      </c>
      <c r="B118" s="2" t="n">
        <v>0</v>
      </c>
      <c r="C118" s="2" t="inlineStr">
        <is>
          <t>Source evidence</t>
        </is>
      </c>
      <c r="D118" s="2" t="inlineStr">
        <is>
          <t>0.01 (0.12 to -0.00).</t>
        </is>
      </c>
    </row>
    <row r="119" ht="48" customHeight="1">
      <c r="A119" s="3" t="inlineStr">
        <is>
          <t>2025::jama.2025.11178::C014</t>
        </is>
      </c>
      <c r="B119" s="3" t="n">
        <v>1</v>
      </c>
      <c r="C119" s="3" t="inlineStr">
        <is>
          <t>Reported-versus-comparator</t>
        </is>
      </c>
      <c r="D119" s="3" t="inlineStr">
        <is>
          <t>0.12 &gt; -0.00; endpoints are reversed.</t>
        </is>
      </c>
    </row>
    <row r="120" ht="48" customHeight="1">
      <c r="A120" s="2" t="inlineStr">
        <is>
          <t>2025::jama.2025.11178::C014</t>
        </is>
      </c>
      <c r="B120" s="2" t="n">
        <v>2</v>
      </c>
      <c r="C120" s="2" t="inlineStr">
        <is>
          <t>Calculation</t>
        </is>
      </c>
      <c r="D120" s="2" t="inlineStr">
        <is>
          <t>0.12 &gt; -0.00; endpoints are reversed.</t>
        </is>
      </c>
    </row>
    <row r="121" ht="48" customHeight="1">
      <c r="A121" s="3" t="inlineStr">
        <is>
          <t>2025::jama.2025.11178::C014</t>
        </is>
      </c>
      <c r="B121" s="3" t="n">
        <v>3</v>
      </c>
      <c r="C121" s="3" t="inlineStr">
        <is>
          <t>Alternative source-grounded interpretations</t>
        </is>
      </c>
      <c r="D121" s="3" t="inlineStr">
        <is>
          <t>Signs/order may be erroneous. Human question: What ordered CI is intended?</t>
        </is>
      </c>
    </row>
    <row r="122" ht="48" customHeight="1">
      <c r="A122" s="2" t="inlineStr">
        <is>
          <t>2025::jama.2025.11178::C015</t>
        </is>
      </c>
      <c r="B122" s="2" t="n">
        <v>0</v>
      </c>
      <c r="C122" s="2" t="inlineStr">
        <is>
          <t>Source evidence</t>
        </is>
      </c>
      <c r="D122" s="2" t="inlineStr">
        <is>
          <t>0.20 (0.29 to 0.19).</t>
        </is>
      </c>
    </row>
    <row r="123" ht="48" customHeight="1">
      <c r="A123" s="3" t="inlineStr">
        <is>
          <t>2025::jama.2025.11178::C015</t>
        </is>
      </c>
      <c r="B123" s="3" t="n">
        <v>1</v>
      </c>
      <c r="C123" s="3" t="inlineStr">
        <is>
          <t>Reported-versus-comparator</t>
        </is>
      </c>
      <c r="D123" s="3" t="inlineStr">
        <is>
          <t>0.29 &gt; 0.19; endpoints are reversed.</t>
        </is>
      </c>
    </row>
    <row r="124" ht="48" customHeight="1">
      <c r="A124" s="2" t="inlineStr">
        <is>
          <t>2025::jama.2025.11178::C015</t>
        </is>
      </c>
      <c r="B124" s="2" t="n">
        <v>2</v>
      </c>
      <c r="C124" s="2" t="inlineStr">
        <is>
          <t>Calculation</t>
        </is>
      </c>
      <c r="D124" s="2" t="inlineStr">
        <is>
          <t>0.29 &gt; 0.19; endpoints are reversed.</t>
        </is>
      </c>
    </row>
    <row r="125" ht="48" customHeight="1">
      <c r="A125" s="3" t="inlineStr">
        <is>
          <t>2025::jama.2025.11178::C015</t>
        </is>
      </c>
      <c r="B125" s="3" t="n">
        <v>3</v>
      </c>
      <c r="C125" s="3" t="inlineStr">
        <is>
          <t>Alternative source-grounded interpretations</t>
        </is>
      </c>
      <c r="D125" s="3" t="inlineStr">
        <is>
          <t>Endpoint order/signs may be incorrect. Human question: What ordered CI is intended?</t>
        </is>
      </c>
    </row>
    <row r="126" ht="48" customHeight="1">
      <c r="A126" s="2" t="inlineStr">
        <is>
          <t>2025::jama.2025.11178::C016</t>
        </is>
      </c>
      <c r="B126" s="2" t="n">
        <v>0</v>
      </c>
      <c r="C126" s="2" t="inlineStr">
        <is>
          <t>Source evidence</t>
        </is>
      </c>
      <c r="D126" s="2" t="inlineStr">
        <is>
          <t>0.18 (0.23 to 0.05).</t>
        </is>
      </c>
    </row>
    <row r="127" ht="48" customHeight="1">
      <c r="A127" s="3" t="inlineStr">
        <is>
          <t>2025::jama.2025.11178::C016</t>
        </is>
      </c>
      <c r="B127" s="3" t="n">
        <v>1</v>
      </c>
      <c r="C127" s="3" t="inlineStr">
        <is>
          <t>Reported-versus-comparator</t>
        </is>
      </c>
      <c r="D127" s="3" t="inlineStr">
        <is>
          <t>0.23 &gt; 0.05; endpoints are reversed.</t>
        </is>
      </c>
    </row>
    <row r="128" ht="48" customHeight="1">
      <c r="A128" s="2" t="inlineStr">
        <is>
          <t>2025::jama.2025.11178::C016</t>
        </is>
      </c>
      <c r="B128" s="2" t="n">
        <v>2</v>
      </c>
      <c r="C128" s="2" t="inlineStr">
        <is>
          <t>Calculation</t>
        </is>
      </c>
      <c r="D128" s="2" t="inlineStr">
        <is>
          <t>0.23 &gt; 0.05; endpoints are reversed.</t>
        </is>
      </c>
    </row>
    <row r="129" ht="48" customHeight="1">
      <c r="A129" s="3" t="inlineStr">
        <is>
          <t>2025::jama.2025.11178::C016</t>
        </is>
      </c>
      <c r="B129" s="3" t="n">
        <v>3</v>
      </c>
      <c r="C129" s="3" t="inlineStr">
        <is>
          <t>Alternative source-grounded interpretations</t>
        </is>
      </c>
      <c r="D129" s="3" t="inlineStr">
        <is>
          <t>Endpoint order/signs may be incorrect. Human question: What ordered CI is intended?</t>
        </is>
      </c>
    </row>
    <row r="130" ht="48" customHeight="1">
      <c r="A130" s="2" t="inlineStr">
        <is>
          <t>2025::jama.2025.11178::C017</t>
        </is>
      </c>
      <c r="B130" s="2" t="n">
        <v>0</v>
      </c>
      <c r="C130" s="2" t="inlineStr">
        <is>
          <t>Source evidence</t>
        </is>
      </c>
      <c r="D130" s="2" t="inlineStr">
        <is>
          <t>0.06 (0.11 to -0.06).</t>
        </is>
      </c>
    </row>
    <row r="131" ht="48" customHeight="1">
      <c r="A131" s="3" t="inlineStr">
        <is>
          <t>2025::jama.2025.11178::C017</t>
        </is>
      </c>
      <c r="B131" s="3" t="n">
        <v>1</v>
      </c>
      <c r="C131" s="3" t="inlineStr">
        <is>
          <t>Reported-versus-comparator</t>
        </is>
      </c>
      <c r="D131" s="3" t="inlineStr">
        <is>
          <t>0.11 &gt; -0.06; endpoints are reversed.</t>
        </is>
      </c>
    </row>
    <row r="132" ht="48" customHeight="1">
      <c r="A132" s="2" t="inlineStr">
        <is>
          <t>2025::jama.2025.11178::C017</t>
        </is>
      </c>
      <c r="B132" s="2" t="n">
        <v>2</v>
      </c>
      <c r="C132" s="2" t="inlineStr">
        <is>
          <t>Calculation</t>
        </is>
      </c>
      <c r="D132" s="2" t="inlineStr">
        <is>
          <t>0.11 &gt; -0.06; endpoints are reversed.</t>
        </is>
      </c>
    </row>
    <row r="133" ht="48" customHeight="1">
      <c r="A133" s="3" t="inlineStr">
        <is>
          <t>2025::jama.2025.11178::C017</t>
        </is>
      </c>
      <c r="B133" s="3" t="n">
        <v>3</v>
      </c>
      <c r="C133" s="3" t="inlineStr">
        <is>
          <t>Alternative source-grounded interpretations</t>
        </is>
      </c>
      <c r="D133" s="3" t="inlineStr">
        <is>
          <t>Endpoint order/signs may be incorrect. Human question: What ordered CI is intended?</t>
        </is>
      </c>
    </row>
    <row r="134" ht="48" customHeight="1">
      <c r="A134" s="2" t="inlineStr">
        <is>
          <t>2025::jama.2025.11178::C018</t>
        </is>
      </c>
      <c r="B134" s="2" t="n">
        <v>0</v>
      </c>
      <c r="C134" s="2" t="inlineStr">
        <is>
          <t>Source evidence</t>
        </is>
      </c>
      <c r="D134" s="2" t="inlineStr">
        <is>
          <t>0.26 (0.30 to 0.15).</t>
        </is>
      </c>
    </row>
    <row r="135" ht="48" customHeight="1">
      <c r="A135" s="3" t="inlineStr">
        <is>
          <t>2025::jama.2025.11178::C018</t>
        </is>
      </c>
      <c r="B135" s="3" t="n">
        <v>1</v>
      </c>
      <c r="C135" s="3" t="inlineStr">
        <is>
          <t>Reported-versus-comparator</t>
        </is>
      </c>
      <c r="D135" s="3" t="inlineStr">
        <is>
          <t>0.30 &gt; 0.15; endpoints are reversed.</t>
        </is>
      </c>
    </row>
    <row r="136" ht="48" customHeight="1">
      <c r="A136" s="2" t="inlineStr">
        <is>
          <t>2025::jama.2025.11178::C018</t>
        </is>
      </c>
      <c r="B136" s="2" t="n">
        <v>2</v>
      </c>
      <c r="C136" s="2" t="inlineStr">
        <is>
          <t>Calculation</t>
        </is>
      </c>
      <c r="D136" s="2" t="inlineStr">
        <is>
          <t>0.30 &gt; 0.15; endpoints are reversed.</t>
        </is>
      </c>
    </row>
    <row r="137" ht="48" customHeight="1">
      <c r="A137" s="3" t="inlineStr">
        <is>
          <t>2025::jama.2025.11178::C018</t>
        </is>
      </c>
      <c r="B137" s="3" t="n">
        <v>3</v>
      </c>
      <c r="C137" s="3" t="inlineStr">
        <is>
          <t>Alternative source-grounded interpretations</t>
        </is>
      </c>
      <c r="D137" s="3" t="inlineStr">
        <is>
          <t>Endpoint order/signs may be incorrect. Human question: What ordered CI is intended?</t>
        </is>
      </c>
    </row>
    <row r="138" ht="48" customHeight="1">
      <c r="A138" s="2" t="inlineStr">
        <is>
          <t>2025::jama.2025.11178::C019</t>
        </is>
      </c>
      <c r="B138" s="2" t="n">
        <v>0</v>
      </c>
      <c r="C138" s="2" t="inlineStr">
        <is>
          <t>Source evidence</t>
        </is>
      </c>
      <c r="D138" s="2" t="inlineStr">
        <is>
          <t>0.19 (0.21 to 0.01).</t>
        </is>
      </c>
    </row>
    <row r="139" ht="48" customHeight="1">
      <c r="A139" s="3" t="inlineStr">
        <is>
          <t>2025::jama.2025.11178::C019</t>
        </is>
      </c>
      <c r="B139" s="3" t="n">
        <v>1</v>
      </c>
      <c r="C139" s="3" t="inlineStr">
        <is>
          <t>Reported-versus-comparator</t>
        </is>
      </c>
      <c r="D139" s="3" t="inlineStr">
        <is>
          <t>0.21 &gt; 0.01; endpoints are reversed.</t>
        </is>
      </c>
    </row>
    <row r="140" ht="48" customHeight="1">
      <c r="A140" s="2" t="inlineStr">
        <is>
          <t>2025::jama.2025.11178::C019</t>
        </is>
      </c>
      <c r="B140" s="2" t="n">
        <v>2</v>
      </c>
      <c r="C140" s="2" t="inlineStr">
        <is>
          <t>Calculation</t>
        </is>
      </c>
      <c r="D140" s="2" t="inlineStr">
        <is>
          <t>0.21 &gt; 0.01; endpoints are reversed.</t>
        </is>
      </c>
    </row>
    <row r="141" ht="48" customHeight="1">
      <c r="A141" s="3" t="inlineStr">
        <is>
          <t>2025::jama.2025.11178::C019</t>
        </is>
      </c>
      <c r="B141" s="3" t="n">
        <v>3</v>
      </c>
      <c r="C141" s="3" t="inlineStr">
        <is>
          <t>Alternative source-grounded interpretations</t>
        </is>
      </c>
      <c r="D141" s="3" t="inlineStr">
        <is>
          <t>Endpoint order/signs may be incorrect. Human question: What ordered CI is intended?</t>
        </is>
      </c>
    </row>
    <row r="142" ht="48" customHeight="1">
      <c r="A142" s="2" t="inlineStr">
        <is>
          <t>2025::jama.2025.11178::C020</t>
        </is>
      </c>
      <c r="B142" s="2" t="n">
        <v>0</v>
      </c>
      <c r="C142" s="2" t="inlineStr">
        <is>
          <t>Source evidence</t>
        </is>
      </c>
      <c r="D142" s="2" t="inlineStr">
        <is>
          <t>0.07 (0.09 to -0.10).</t>
        </is>
      </c>
    </row>
    <row r="143" ht="48" customHeight="1">
      <c r="A143" s="3" t="inlineStr">
        <is>
          <t>2025::jama.2025.11178::C020</t>
        </is>
      </c>
      <c r="B143" s="3" t="n">
        <v>1</v>
      </c>
      <c r="C143" s="3" t="inlineStr">
        <is>
          <t>Reported-versus-comparator</t>
        </is>
      </c>
      <c r="D143" s="3" t="inlineStr">
        <is>
          <t>0.09 &gt; -0.10; endpoints are reversed.</t>
        </is>
      </c>
    </row>
    <row r="144" ht="48" customHeight="1">
      <c r="A144" s="2" t="inlineStr">
        <is>
          <t>2025::jama.2025.11178::C020</t>
        </is>
      </c>
      <c r="B144" s="2" t="n">
        <v>2</v>
      </c>
      <c r="C144" s="2" t="inlineStr">
        <is>
          <t>Calculation</t>
        </is>
      </c>
      <c r="D144" s="2" t="inlineStr">
        <is>
          <t>0.09 &gt; -0.10; endpoints are reversed.</t>
        </is>
      </c>
    </row>
    <row r="145" ht="48" customHeight="1">
      <c r="A145" s="3" t="inlineStr">
        <is>
          <t>2025::jama.2025.11178::C020</t>
        </is>
      </c>
      <c r="B145" s="3" t="n">
        <v>3</v>
      </c>
      <c r="C145" s="3" t="inlineStr">
        <is>
          <t>Alternative source-grounded interpretations</t>
        </is>
      </c>
      <c r="D145" s="3" t="inlineStr">
        <is>
          <t>Endpoint order/signs may be incorrect. Human question: What ordered CI is intended?</t>
        </is>
      </c>
    </row>
    <row r="146" ht="48" customHeight="1">
      <c r="A146" s="2" t="inlineStr">
        <is>
          <t>2025::jama.2025.11178::C021</t>
        </is>
      </c>
      <c r="B146" s="2" t="n">
        <v>0</v>
      </c>
      <c r="C146" s="2" t="inlineStr">
        <is>
          <t>Source evidence</t>
        </is>
      </c>
      <c r="D146" s="2" t="inlineStr">
        <is>
          <t>0.27 (0.28 to 0.12).</t>
        </is>
      </c>
    </row>
    <row r="147" ht="48" customHeight="1">
      <c r="A147" s="3" t="inlineStr">
        <is>
          <t>2025::jama.2025.11178::C021</t>
        </is>
      </c>
      <c r="B147" s="3" t="n">
        <v>1</v>
      </c>
      <c r="C147" s="3" t="inlineStr">
        <is>
          <t>Reported-versus-comparator</t>
        </is>
      </c>
      <c r="D147" s="3" t="inlineStr">
        <is>
          <t>0.28 &gt; 0.12; endpoints are reversed.</t>
        </is>
      </c>
    </row>
    <row r="148" ht="48" customHeight="1">
      <c r="A148" s="2" t="inlineStr">
        <is>
          <t>2025::jama.2025.11178::C021</t>
        </is>
      </c>
      <c r="B148" s="2" t="n">
        <v>2</v>
      </c>
      <c r="C148" s="2" t="inlineStr">
        <is>
          <t>Calculation</t>
        </is>
      </c>
      <c r="D148" s="2" t="inlineStr">
        <is>
          <t>0.28 &gt; 0.12; endpoints are reversed.</t>
        </is>
      </c>
    </row>
    <row r="149" ht="48" customHeight="1">
      <c r="A149" s="3" t="inlineStr">
        <is>
          <t>2025::jama.2025.11178::C021</t>
        </is>
      </c>
      <c r="B149" s="3" t="n">
        <v>3</v>
      </c>
      <c r="C149" s="3" t="inlineStr">
        <is>
          <t>Alternative source-grounded interpretations</t>
        </is>
      </c>
      <c r="D149" s="3" t="inlineStr">
        <is>
          <t>Endpoint order/signs may be incorrect. Human question: What ordered CI is intended?</t>
        </is>
      </c>
    </row>
    <row r="150" ht="48" customHeight="1">
      <c r="A150" s="2" t="inlineStr">
        <is>
          <t>2025::jama.2025.11178::C022</t>
        </is>
      </c>
      <c r="B150" s="2" t="n">
        <v>0</v>
      </c>
      <c r="C150" s="2" t="inlineStr">
        <is>
          <t>Source evidence</t>
        </is>
      </c>
      <c r="D150" s="2" t="inlineStr">
        <is>
          <t>0.09 (0.16 to 0.07).</t>
        </is>
      </c>
    </row>
    <row r="151" ht="48" customHeight="1">
      <c r="A151" s="3" t="inlineStr">
        <is>
          <t>2025::jama.2025.11178::C022</t>
        </is>
      </c>
      <c r="B151" s="3" t="n">
        <v>1</v>
      </c>
      <c r="C151" s="3" t="inlineStr">
        <is>
          <t>Reported-versus-comparator</t>
        </is>
      </c>
      <c r="D151" s="3" t="inlineStr">
        <is>
          <t>0.16 &gt; 0.07; endpoints are reversed.</t>
        </is>
      </c>
    </row>
    <row r="152" ht="48" customHeight="1">
      <c r="A152" s="2" t="inlineStr">
        <is>
          <t>2025::jama.2025.11178::C022</t>
        </is>
      </c>
      <c r="B152" s="2" t="n">
        <v>2</v>
      </c>
      <c r="C152" s="2" t="inlineStr">
        <is>
          <t>Calculation</t>
        </is>
      </c>
      <c r="D152" s="2" t="inlineStr">
        <is>
          <t>0.16 &gt; 0.07; endpoints are reversed.</t>
        </is>
      </c>
    </row>
    <row r="153" ht="48" customHeight="1">
      <c r="A153" s="3" t="inlineStr">
        <is>
          <t>2025::jama.2025.11178::C022</t>
        </is>
      </c>
      <c r="B153" s="3" t="n">
        <v>3</v>
      </c>
      <c r="C153" s="3" t="inlineStr">
        <is>
          <t>Alternative source-grounded interpretations</t>
        </is>
      </c>
      <c r="D153" s="3" t="inlineStr">
        <is>
          <t>Endpoint order/signs may be incorrect. Human question: What ordered CI is intended?</t>
        </is>
      </c>
    </row>
    <row r="154" ht="48" customHeight="1">
      <c r="A154" s="2" t="inlineStr">
        <is>
          <t>2025::jama.2025.11178::C023</t>
        </is>
      </c>
      <c r="B154" s="2" t="n">
        <v>0</v>
      </c>
      <c r="C154" s="2" t="inlineStr">
        <is>
          <t>Source evidence</t>
        </is>
      </c>
      <c r="D154" s="2" t="inlineStr">
        <is>
          <t>-0.02 (0.05 to -0.04).</t>
        </is>
      </c>
    </row>
    <row r="155" ht="48" customHeight="1">
      <c r="A155" s="3" t="inlineStr">
        <is>
          <t>2025::jama.2025.11178::C023</t>
        </is>
      </c>
      <c r="B155" s="3" t="n">
        <v>1</v>
      </c>
      <c r="C155" s="3" t="inlineStr">
        <is>
          <t>Reported-versus-comparator</t>
        </is>
      </c>
      <c r="D155" s="3" t="inlineStr">
        <is>
          <t>0.05 &gt; -0.04; endpoints are reversed.</t>
        </is>
      </c>
    </row>
    <row r="156" ht="48" customHeight="1">
      <c r="A156" s="2" t="inlineStr">
        <is>
          <t>2025::jama.2025.11178::C023</t>
        </is>
      </c>
      <c r="B156" s="2" t="n">
        <v>2</v>
      </c>
      <c r="C156" s="2" t="inlineStr">
        <is>
          <t>Calculation</t>
        </is>
      </c>
      <c r="D156" s="2" t="inlineStr">
        <is>
          <t>0.05 &gt; -0.04; endpoints are reversed.</t>
        </is>
      </c>
    </row>
    <row r="157" ht="48" customHeight="1">
      <c r="A157" s="3" t="inlineStr">
        <is>
          <t>2025::jama.2025.11178::C023</t>
        </is>
      </c>
      <c r="B157" s="3" t="n">
        <v>3</v>
      </c>
      <c r="C157" s="3" t="inlineStr">
        <is>
          <t>Alternative source-grounded interpretations</t>
        </is>
      </c>
      <c r="D157" s="3" t="inlineStr">
        <is>
          <t>Endpoint order/signs may be incorrect. Human question: What ordered CI is intended?</t>
        </is>
      </c>
    </row>
    <row r="158" ht="48" customHeight="1">
      <c r="A158" s="2" t="inlineStr">
        <is>
          <t>2025::jama.2025.11178::C024</t>
        </is>
      </c>
      <c r="B158" s="2" t="n">
        <v>0</v>
      </c>
      <c r="C158" s="2" t="inlineStr">
        <is>
          <t>Source evidence</t>
        </is>
      </c>
      <c r="D158" s="2" t="inlineStr">
        <is>
          <t>0.16 (0.22 to 0.15).</t>
        </is>
      </c>
    </row>
    <row r="159" ht="48" customHeight="1">
      <c r="A159" s="3" t="inlineStr">
        <is>
          <t>2025::jama.2025.11178::C024</t>
        </is>
      </c>
      <c r="B159" s="3" t="n">
        <v>1</v>
      </c>
      <c r="C159" s="3" t="inlineStr">
        <is>
          <t>Reported-versus-comparator</t>
        </is>
      </c>
      <c r="D159" s="3" t="inlineStr">
        <is>
          <t>0.22 &gt; 0.15; endpoints are reversed.</t>
        </is>
      </c>
    </row>
    <row r="160" ht="48" customHeight="1">
      <c r="A160" s="2" t="inlineStr">
        <is>
          <t>2025::jama.2025.11178::C024</t>
        </is>
      </c>
      <c r="B160" s="2" t="n">
        <v>2</v>
      </c>
      <c r="C160" s="2" t="inlineStr">
        <is>
          <t>Calculation</t>
        </is>
      </c>
      <c r="D160" s="2" t="inlineStr">
        <is>
          <t>0.22 &gt; 0.15; endpoints are reversed.</t>
        </is>
      </c>
    </row>
    <row r="161" ht="48" customHeight="1">
      <c r="A161" s="3" t="inlineStr">
        <is>
          <t>2025::jama.2025.11178::C024</t>
        </is>
      </c>
      <c r="B161" s="3" t="n">
        <v>3</v>
      </c>
      <c r="C161" s="3" t="inlineStr">
        <is>
          <t>Alternative source-grounded interpretations</t>
        </is>
      </c>
      <c r="D161" s="3" t="inlineStr">
        <is>
          <t>Endpoint order/signs may be incorrect. Human question: What ordered CI is intended?</t>
        </is>
      </c>
    </row>
    <row r="162" ht="48" customHeight="1">
      <c r="A162" s="2" t="inlineStr">
        <is>
          <t>2025::jama.2025.11178::C025</t>
        </is>
      </c>
      <c r="B162" s="2" t="n">
        <v>0</v>
      </c>
      <c r="C162" s="2" t="inlineStr">
        <is>
          <t>Source evidence</t>
        </is>
      </c>
      <c r="D162" s="2" t="inlineStr">
        <is>
          <t>0.15 (0.09 to -0.06).</t>
        </is>
      </c>
    </row>
    <row r="163" ht="48" customHeight="1">
      <c r="A163" s="3" t="inlineStr">
        <is>
          <t>2025::jama.2025.11178::C025</t>
        </is>
      </c>
      <c r="B163" s="3" t="n">
        <v>1</v>
      </c>
      <c r="C163" s="3" t="inlineStr">
        <is>
          <t>Reported-versus-comparator</t>
        </is>
      </c>
      <c r="D163" s="3" t="inlineStr">
        <is>
          <t>0.09 &gt; -0.06; sorting endpoints still gives [-0.06,0.09], which excludes 0.15.</t>
        </is>
      </c>
    </row>
    <row r="164" ht="48" customHeight="1">
      <c r="A164" s="2" t="inlineStr">
        <is>
          <t>2025::jama.2025.11178::C025</t>
        </is>
      </c>
      <c r="B164" s="2" t="n">
        <v>2</v>
      </c>
      <c r="C164" s="2" t="inlineStr">
        <is>
          <t>Calculation</t>
        </is>
      </c>
      <c r="D164" s="2" t="inlineStr">
        <is>
          <t>0.09 &gt; -0.06; sorting endpoints still gives [-0.06,0.09], which excludes 0.15.</t>
        </is>
      </c>
    </row>
    <row r="165" ht="48" customHeight="1">
      <c r="A165" s="3" t="inlineStr">
        <is>
          <t>2025::jama.2025.11178::C025</t>
        </is>
      </c>
      <c r="B165" s="3" t="n">
        <v>3</v>
      </c>
      <c r="C165" s="3" t="inlineStr">
        <is>
          <t>Alternative source-grounded interpretations</t>
        </is>
      </c>
      <c r="D165" s="3" t="inlineStr">
        <is>
          <t>Signs/order or estimate/CI may be incorrect. Human question: What estimate and ordered CI are intended?</t>
        </is>
      </c>
    </row>
    <row r="166" ht="48" customHeight="1">
      <c r="A166" s="2" t="inlineStr">
        <is>
          <t>2025::jama.2025.11178::C026</t>
        </is>
      </c>
      <c r="B166" s="2" t="n">
        <v>0</v>
      </c>
      <c r="C166" s="2" t="inlineStr">
        <is>
          <t>Source evidence</t>
        </is>
      </c>
      <c r="D166" s="2" t="inlineStr">
        <is>
          <t>0.02 (0.03 to -0.18).</t>
        </is>
      </c>
    </row>
    <row r="167" ht="48" customHeight="1">
      <c r="A167" s="3" t="inlineStr">
        <is>
          <t>2025::jama.2025.11178::C026</t>
        </is>
      </c>
      <c r="B167" s="3" t="n">
        <v>1</v>
      </c>
      <c r="C167" s="3" t="inlineStr">
        <is>
          <t>Reported-versus-comparator</t>
        </is>
      </c>
      <c r="D167" s="3" t="inlineStr">
        <is>
          <t>0.03 &gt; -0.18; endpoints are reversed.</t>
        </is>
      </c>
    </row>
    <row r="168" ht="48" customHeight="1">
      <c r="A168" s="2" t="inlineStr">
        <is>
          <t>2025::jama.2025.11178::C026</t>
        </is>
      </c>
      <c r="B168" s="2" t="n">
        <v>2</v>
      </c>
      <c r="C168" s="2" t="inlineStr">
        <is>
          <t>Calculation</t>
        </is>
      </c>
      <c r="D168" s="2" t="inlineStr">
        <is>
          <t>0.03 &gt; -0.18; endpoints are reversed.</t>
        </is>
      </c>
    </row>
    <row r="169" ht="48" customHeight="1">
      <c r="A169" s="3" t="inlineStr">
        <is>
          <t>2025::jama.2025.11178::C026</t>
        </is>
      </c>
      <c r="B169" s="3" t="n">
        <v>3</v>
      </c>
      <c r="C169" s="3" t="inlineStr">
        <is>
          <t>Alternative source-grounded interpretations</t>
        </is>
      </c>
      <c r="D169" s="3" t="inlineStr">
        <is>
          <t>Signs/order may be incorrect. Human question: What ordered CI is intended?</t>
        </is>
      </c>
    </row>
    <row r="170" ht="48" customHeight="1">
      <c r="A170" s="2" t="inlineStr">
        <is>
          <t>2025::jama.2025.11178::C027</t>
        </is>
      </c>
      <c r="B170" s="2" t="n">
        <v>0</v>
      </c>
      <c r="C170" s="2" t="inlineStr">
        <is>
          <t>Source evidence</t>
        </is>
      </c>
      <c r="D170" s="2" t="inlineStr">
        <is>
          <t>0.22 (0.16 to 0.05).</t>
        </is>
      </c>
    </row>
    <row r="171" ht="48" customHeight="1">
      <c r="A171" s="3" t="inlineStr">
        <is>
          <t>2025::jama.2025.11178::C027</t>
        </is>
      </c>
      <c r="B171" s="3" t="n">
        <v>1</v>
      </c>
      <c r="C171" s="3" t="inlineStr">
        <is>
          <t>Reported-versus-comparator</t>
        </is>
      </c>
      <c r="D171" s="3" t="inlineStr">
        <is>
          <t>0.16 &gt; 0.05; sorted interval [0.05,0.16] excludes 0.22.</t>
        </is>
      </c>
    </row>
    <row r="172" ht="48" customHeight="1">
      <c r="A172" s="2" t="inlineStr">
        <is>
          <t>2025::jama.2025.11178::C027</t>
        </is>
      </c>
      <c r="B172" s="2" t="n">
        <v>2</v>
      </c>
      <c r="C172" s="2" t="inlineStr">
        <is>
          <t>Calculation</t>
        </is>
      </c>
      <c r="D172" s="2" t="inlineStr">
        <is>
          <t>0.16 &gt; 0.05; sorted interval [0.05,0.16] excludes 0.22.</t>
        </is>
      </c>
    </row>
    <row r="173" ht="48" customHeight="1">
      <c r="A173" s="3" t="inlineStr">
        <is>
          <t>2025::jama.2025.11178::C027</t>
        </is>
      </c>
      <c r="B173" s="3" t="n">
        <v>3</v>
      </c>
      <c r="C173" s="3" t="inlineStr">
        <is>
          <t>Alternative source-grounded interpretations</t>
        </is>
      </c>
      <c r="D173" s="3" t="inlineStr">
        <is>
          <t>Endpoint order/signs or estimate/CI may be wrong. Human question: What estimate and ordered CI are intended?</t>
        </is>
      </c>
    </row>
    <row r="174" ht="48" customHeight="1">
      <c r="A174" s="2" t="inlineStr">
        <is>
          <t>2025::jama.2025.11178::C028</t>
        </is>
      </c>
      <c r="B174" s="2" t="n">
        <v>0</v>
      </c>
      <c r="C174" s="2" t="inlineStr">
        <is>
          <t>Source evidence</t>
        </is>
      </c>
      <c r="D174" s="2" t="inlineStr">
        <is>
          <t>0.20 (0.18 to -0.03).</t>
        </is>
      </c>
    </row>
    <row r="175" ht="48" customHeight="1">
      <c r="A175" s="3" t="inlineStr">
        <is>
          <t>2025::jama.2025.11178::C028</t>
        </is>
      </c>
      <c r="B175" s="3" t="n">
        <v>1</v>
      </c>
      <c r="C175" s="3" t="inlineStr">
        <is>
          <t>Reported-versus-comparator</t>
        </is>
      </c>
      <c r="D175" s="3" t="inlineStr">
        <is>
          <t>0.18 &gt; -0.03; sorted interval [-0.03,0.18] excludes 0.20.</t>
        </is>
      </c>
    </row>
    <row r="176" ht="48" customHeight="1">
      <c r="A176" s="2" t="inlineStr">
        <is>
          <t>2025::jama.2025.11178::C028</t>
        </is>
      </c>
      <c r="B176" s="2" t="n">
        <v>2</v>
      </c>
      <c r="C176" s="2" t="inlineStr">
        <is>
          <t>Calculation</t>
        </is>
      </c>
      <c r="D176" s="2" t="inlineStr">
        <is>
          <t>0.18 &gt; -0.03; sorted interval [-0.03,0.18] excludes 0.20.</t>
        </is>
      </c>
    </row>
    <row r="177" ht="48" customHeight="1">
      <c r="A177" s="3" t="inlineStr">
        <is>
          <t>2025::jama.2025.11178::C028</t>
        </is>
      </c>
      <c r="B177" s="3" t="n">
        <v>3</v>
      </c>
      <c r="C177" s="3" t="inlineStr">
        <is>
          <t>Alternative source-grounded interpretations</t>
        </is>
      </c>
      <c r="D177" s="3" t="inlineStr">
        <is>
          <t>Endpoint order/signs or estimate/CI may be wrong. Human question: What estimate and ordered CI are intended?</t>
        </is>
      </c>
    </row>
    <row r="178" ht="48" customHeight="1">
      <c r="A178" s="2" t="inlineStr">
        <is>
          <t>2025::jama.2025.11178::C029</t>
        </is>
      </c>
      <c r="B178" s="2" t="n">
        <v>0</v>
      </c>
      <c r="C178" s="2" t="inlineStr">
        <is>
          <t>Source evidence</t>
        </is>
      </c>
      <c r="D178" s="2" t="inlineStr">
        <is>
          <t>0.07 (0.04 to -0.16).</t>
        </is>
      </c>
    </row>
    <row r="179" ht="48" customHeight="1">
      <c r="A179" s="3" t="inlineStr">
        <is>
          <t>2025::jama.2025.11178::C029</t>
        </is>
      </c>
      <c r="B179" s="3" t="n">
        <v>1</v>
      </c>
      <c r="C179" s="3" t="inlineStr">
        <is>
          <t>Reported-versus-comparator</t>
        </is>
      </c>
      <c r="D179" s="3" t="inlineStr">
        <is>
          <t>0.04 &gt; -0.16; sorted interval [-0.16,0.04] excludes 0.07.</t>
        </is>
      </c>
    </row>
    <row r="180" ht="48" customHeight="1">
      <c r="A180" s="2" t="inlineStr">
        <is>
          <t>2025::jama.2025.11178::C029</t>
        </is>
      </c>
      <c r="B180" s="2" t="n">
        <v>2</v>
      </c>
      <c r="C180" s="2" t="inlineStr">
        <is>
          <t>Calculation</t>
        </is>
      </c>
      <c r="D180" s="2" t="inlineStr">
        <is>
          <t>0.04 &gt; -0.16; sorted interval [-0.16,0.04] excludes 0.07.</t>
        </is>
      </c>
    </row>
    <row r="181" ht="48" customHeight="1">
      <c r="A181" s="3" t="inlineStr">
        <is>
          <t>2025::jama.2025.11178::C029</t>
        </is>
      </c>
      <c r="B181" s="3" t="n">
        <v>3</v>
      </c>
      <c r="C181" s="3" t="inlineStr">
        <is>
          <t>Alternative source-grounded interpretations</t>
        </is>
      </c>
      <c r="D181" s="3" t="inlineStr">
        <is>
          <t>Endpoint order/signs or estimate/CI may be wrong. Human question: What estimate and ordered CI are intended?</t>
        </is>
      </c>
    </row>
    <row r="182" ht="48" customHeight="1">
      <c r="A182" s="2" t="inlineStr">
        <is>
          <t>2025::jama.2025.11178::C030</t>
        </is>
      </c>
      <c r="B182" s="2" t="n">
        <v>0</v>
      </c>
      <c r="C182" s="2" t="inlineStr">
        <is>
          <t>Source evidence</t>
        </is>
      </c>
      <c r="D182" s="2" t="inlineStr">
        <is>
          <t>0.27 (0.25 to 0.09).</t>
        </is>
      </c>
    </row>
    <row r="183" ht="48" customHeight="1">
      <c r="A183" s="3" t="inlineStr">
        <is>
          <t>2025::jama.2025.11178::C030</t>
        </is>
      </c>
      <c r="B183" s="3" t="n">
        <v>1</v>
      </c>
      <c r="C183" s="3" t="inlineStr">
        <is>
          <t>Reported-versus-comparator</t>
        </is>
      </c>
      <c r="D183" s="3" t="inlineStr">
        <is>
          <t>0.25 &gt; 0.09; sorted interval [0.09,0.25] excludes 0.27.</t>
        </is>
      </c>
    </row>
    <row r="184" ht="48" customHeight="1">
      <c r="A184" s="2" t="inlineStr">
        <is>
          <t>2025::jama.2025.11178::C030</t>
        </is>
      </c>
      <c r="B184" s="2" t="n">
        <v>2</v>
      </c>
      <c r="C184" s="2" t="inlineStr">
        <is>
          <t>Calculation</t>
        </is>
      </c>
      <c r="D184" s="2" t="inlineStr">
        <is>
          <t>0.25 &gt; 0.09; sorted interval [0.09,0.25] excludes 0.27.</t>
        </is>
      </c>
    </row>
    <row r="185" ht="48" customHeight="1">
      <c r="A185" s="3" t="inlineStr">
        <is>
          <t>2025::jama.2025.11178::C030</t>
        </is>
      </c>
      <c r="B185" s="3" t="n">
        <v>3</v>
      </c>
      <c r="C185" s="3" t="inlineStr">
        <is>
          <t>Alternative source-grounded interpretations</t>
        </is>
      </c>
      <c r="D185" s="3" t="inlineStr">
        <is>
          <t>Endpoint order/signs or estimate/CI may be wrong. Human question: What estimate and ordered CI are intended?</t>
        </is>
      </c>
    </row>
    <row r="186" ht="48" customHeight="1">
      <c r="A186" s="2" t="inlineStr">
        <is>
          <t>2025::jama.2025.11178::C031</t>
        </is>
      </c>
      <c r="B186" s="2" t="n">
        <v>0</v>
      </c>
      <c r="C186" s="2" t="inlineStr">
        <is>
          <t>Source evidence</t>
        </is>
      </c>
      <c r="D186" s="2" t="inlineStr">
        <is>
          <t>-0.55 (-0.50 to 0.05).</t>
        </is>
      </c>
    </row>
    <row r="187" ht="48" customHeight="1">
      <c r="A187" s="3" t="inlineStr">
        <is>
          <t>2025::jama.2025.11178::C031</t>
        </is>
      </c>
      <c r="B187" s="3" t="n">
        <v>1</v>
      </c>
      <c r="C187" s="3" t="inlineStr">
        <is>
          <t>Reported-versus-comparator</t>
        </is>
      </c>
      <c r="D187" s="3" t="inlineStr">
        <is>
          <t>-0.55 &lt; -0.50, outside CI.</t>
        </is>
      </c>
    </row>
    <row r="188" ht="48" customHeight="1">
      <c r="A188" s="2" t="inlineStr">
        <is>
          <t>2025::jama.2025.11178::C031</t>
        </is>
      </c>
      <c r="B188" s="2" t="n">
        <v>2</v>
      </c>
      <c r="C188" s="2" t="inlineStr">
        <is>
          <t>Calculation</t>
        </is>
      </c>
      <c r="D188" s="2" t="inlineStr">
        <is>
          <t>-0.55 &lt; -0.50, outside CI.</t>
        </is>
      </c>
    </row>
    <row r="189" ht="48" customHeight="1">
      <c r="A189" s="3" t="inlineStr">
        <is>
          <t>2025::jama.2025.11178::C031</t>
        </is>
      </c>
      <c r="B189" s="3" t="n">
        <v>3</v>
      </c>
      <c r="C189" s="3" t="inlineStr">
        <is>
          <t>Alternative source-grounded interpretations</t>
        </is>
      </c>
      <c r="D189" s="3" t="inlineStr">
        <is>
          <t>Estimate or endpoint may be incorrect. Human question: What matched CI is intended?</t>
        </is>
      </c>
    </row>
    <row r="190" ht="48" customHeight="1">
      <c r="A190" s="2" t="inlineStr">
        <is>
          <t>2025::jama.2025.11178::C032</t>
        </is>
      </c>
      <c r="B190" s="2" t="n">
        <v>0</v>
      </c>
      <c r="C190" s="2" t="inlineStr">
        <is>
          <t>Source evidence</t>
        </is>
      </c>
      <c r="D190" s="2" t="inlineStr">
        <is>
          <t>-0.57 (-0.54 to -0.08).</t>
        </is>
      </c>
    </row>
    <row r="191" ht="48" customHeight="1">
      <c r="A191" s="3" t="inlineStr">
        <is>
          <t>2025::jama.2025.11178::C032</t>
        </is>
      </c>
      <c r="B191" s="3" t="n">
        <v>1</v>
      </c>
      <c r="C191" s="3" t="inlineStr">
        <is>
          <t>Reported-versus-comparator</t>
        </is>
      </c>
      <c r="D191" s="3" t="inlineStr">
        <is>
          <t>-0.57 &lt; -0.54, outside CI.</t>
        </is>
      </c>
    </row>
    <row r="192" ht="48" customHeight="1">
      <c r="A192" s="2" t="inlineStr">
        <is>
          <t>2025::jama.2025.11178::C032</t>
        </is>
      </c>
      <c r="B192" s="2" t="n">
        <v>2</v>
      </c>
      <c r="C192" s="2" t="inlineStr">
        <is>
          <t>Calculation</t>
        </is>
      </c>
      <c r="D192" s="2" t="inlineStr">
        <is>
          <t>-0.57 &lt; -0.54, outside CI.</t>
        </is>
      </c>
    </row>
    <row r="193" ht="48" customHeight="1">
      <c r="A193" s="3" t="inlineStr">
        <is>
          <t>2025::jama.2025.11178::C032</t>
        </is>
      </c>
      <c r="B193" s="3" t="n">
        <v>3</v>
      </c>
      <c r="C193" s="3" t="inlineStr">
        <is>
          <t>Alternative source-grounded interpretations</t>
        </is>
      </c>
      <c r="D193" s="3" t="inlineStr">
        <is>
          <t>Estimate or endpoint may be incorrect. Human question: What matched CI is intended?</t>
        </is>
      </c>
    </row>
    <row r="194" ht="48" customHeight="1">
      <c r="A194" s="2" t="inlineStr">
        <is>
          <t>2025::jama.2025.11178::C033</t>
        </is>
      </c>
      <c r="B194" s="2" t="n">
        <v>0</v>
      </c>
      <c r="C194" s="2" t="inlineStr">
        <is>
          <t>Source evidence</t>
        </is>
      </c>
      <c r="D194" s="2" t="inlineStr">
        <is>
          <t>-0.29 (-0.25 to 0.14).</t>
        </is>
      </c>
    </row>
    <row r="195" ht="48" customHeight="1">
      <c r="A195" s="3" t="inlineStr">
        <is>
          <t>2025::jama.2025.11178::C033</t>
        </is>
      </c>
      <c r="B195" s="3" t="n">
        <v>1</v>
      </c>
      <c r="C195" s="3" t="inlineStr">
        <is>
          <t>Reported-versus-comparator</t>
        </is>
      </c>
      <c r="D195" s="3" t="inlineStr">
        <is>
          <t>-0.29 &lt; -0.25, outside CI.</t>
        </is>
      </c>
    </row>
    <row r="196" ht="48" customHeight="1">
      <c r="A196" s="2" t="inlineStr">
        <is>
          <t>2025::jama.2025.11178::C033</t>
        </is>
      </c>
      <c r="B196" s="2" t="n">
        <v>2</v>
      </c>
      <c r="C196" s="2" t="inlineStr">
        <is>
          <t>Calculation</t>
        </is>
      </c>
      <c r="D196" s="2" t="inlineStr">
        <is>
          <t>-0.29 &lt; -0.25, outside CI.</t>
        </is>
      </c>
    </row>
    <row r="197" ht="48" customHeight="1">
      <c r="A197" s="3" t="inlineStr">
        <is>
          <t>2025::jama.2025.11178::C033</t>
        </is>
      </c>
      <c r="B197" s="3" t="n">
        <v>3</v>
      </c>
      <c r="C197" s="3" t="inlineStr">
        <is>
          <t>Alternative source-grounded interpretations</t>
        </is>
      </c>
      <c r="D197" s="3" t="inlineStr">
        <is>
          <t>Estimate or endpoint may be incorrect. Human question: What matched CI is intended?</t>
        </is>
      </c>
    </row>
    <row r="198" ht="48" customHeight="1">
      <c r="A198" s="2" t="inlineStr">
        <is>
          <t>2025::jama.2025.11178::C034</t>
        </is>
      </c>
      <c r="B198" s="2" t="n">
        <v>0</v>
      </c>
      <c r="C198" s="2" t="inlineStr">
        <is>
          <t>Source evidence</t>
        </is>
      </c>
      <c r="D198" s="2" t="inlineStr">
        <is>
          <t>Abstract 1712 [74%] women; Table 1 female counts 571/776, 572/778, 569/777; workbook Overall 1713 (73.5).</t>
        </is>
      </c>
    </row>
    <row r="199" ht="58" customHeight="1">
      <c r="A199" s="3" t="inlineStr">
        <is>
          <t>2025::jama.2025.11178::C034</t>
        </is>
      </c>
      <c r="B199" s="3" t="n">
        <v>1</v>
      </c>
      <c r="C199" s="3" t="inlineStr">
        <is>
          <t>Reported-versus-comparator</t>
        </is>
      </c>
      <c r="D199" s="3" t="inlineStr">
        <is>
          <t>If Table 1 and the workbook intend the same sex variable for the same N=2331 cohort, their counts should agree: 571+572+569=1712, not workbook 1713. 1712/2331=73.444873...%, which rounds to 73.4% at one decimal; 1713/2331=73.487773...%, which rounds to 73.5%.</t>
        </is>
      </c>
    </row>
    <row r="200" ht="58" customHeight="1">
      <c r="A200" s="2" t="inlineStr">
        <is>
          <t>2025::jama.2025.11178::C034</t>
        </is>
      </c>
      <c r="B200" s="2" t="n">
        <v>2</v>
      </c>
      <c r="C200" s="2" t="inlineStr">
        <is>
          <t>Calculation</t>
        </is>
      </c>
      <c r="D200" s="2" t="inlineStr">
        <is>
          <t>If Table 1 and the workbook intend the same sex variable for the same N=2331 cohort, their counts should agree: 571+572+569=1712, not workbook 1713. 1712/2331=73.444873...%, which rounds to 73.4% at one decimal; 1713/2331=73.487773...%, which rounds to 73.5%.</t>
        </is>
      </c>
    </row>
    <row r="201" ht="74" customHeight="1">
      <c r="A201" s="3" t="inlineStr">
        <is>
          <t>2025::jama.2025.11178::C034</t>
        </is>
      </c>
      <c r="B201" s="3" t="n">
        <v>3</v>
      </c>
      <c r="C201" s="3" t="inlineStr">
        <is>
          <t>Alternative source-grounded interpretations</t>
        </is>
      </c>
      <c r="D201" s="3"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202" ht="48" customHeight="1">
      <c r="A202" s="2" t="inlineStr">
        <is>
          <t>2025::jama.2025.11178::C035</t>
        </is>
      </c>
      <c r="B202" s="2" t="n">
        <v>0</v>
      </c>
      <c r="C202" s="2" t="inlineStr">
        <is>
          <t>Source evidence</t>
        </is>
      </c>
      <c r="D202" s="2" t="inlineStr">
        <is>
          <t>Narrative 47.8%; Table 1 373/775, 373/777, 370/777; workbook 1116 (47.9).</t>
        </is>
      </c>
    </row>
    <row r="203" ht="48" customHeight="1">
      <c r="A203" s="3" t="inlineStr">
        <is>
          <t>2025::jama.2025.11178::C035</t>
        </is>
      </c>
      <c r="B203" s="3" t="n">
        <v>1</v>
      </c>
      <c r="C203" s="3" t="inlineStr">
        <is>
          <t>Reported-versus-comparator</t>
        </is>
      </c>
      <c r="D203" s="3" t="inlineStr">
        <is>
          <t>Same PHQ-8 &gt;=10 baseline definition; 1116/(775+777+777)=1116/2329=47.9176%, or 47.9% to one decimal, not 47.8%.</t>
        </is>
      </c>
    </row>
    <row r="204" ht="48" customHeight="1">
      <c r="A204" s="2" t="inlineStr">
        <is>
          <t>2025::jama.2025.11178::C035</t>
        </is>
      </c>
      <c r="B204" s="2" t="n">
        <v>2</v>
      </c>
      <c r="C204" s="2" t="inlineStr">
        <is>
          <t>Calculation</t>
        </is>
      </c>
      <c r="D204" s="2" t="inlineStr">
        <is>
          <t>Same PHQ-8 &gt;=10 baseline definition; 1116/(775+777+777)=1116/2329=47.9176%, or 47.9% to one decimal, not 47.8%.</t>
        </is>
      </c>
    </row>
    <row r="205" ht="48" customHeight="1">
      <c r="A205" s="3" t="inlineStr">
        <is>
          <t>2025::jama.2025.11178::C035</t>
        </is>
      </c>
      <c r="B205" s="3" t="n">
        <v>3</v>
      </c>
      <c r="C205" s="3" t="inlineStr">
        <is>
          <t>Alternative source-grounded interpretations</t>
        </is>
      </c>
      <c r="D205" s="3" t="inlineStr">
        <is>
          <t>Narrative may use an unprinted denominator or earlier data snapshot. Human question: What numerator/denominator generated the narrative value?</t>
        </is>
      </c>
    </row>
    <row r="206" ht="48" customHeight="1">
      <c r="A206" s="2" t="inlineStr">
        <is>
          <t>2025::jama.2025.11178::C036</t>
        </is>
      </c>
      <c r="B206" s="2" t="n">
        <v>0</v>
      </c>
      <c r="C206" s="2" t="inlineStr">
        <is>
          <t>Source evidence</t>
        </is>
      </c>
      <c r="D206" s="2" t="inlineStr">
        <is>
          <t>Narrative SMD -0.26; Table 3 painTRAINER vs usual care plus SMD -0.25 (-0.28 to -0.02).</t>
        </is>
      </c>
    </row>
    <row r="207" ht="48" customHeight="1">
      <c r="A207" s="3" t="inlineStr">
        <is>
          <t>2025::jama.2025.11178::C036</t>
        </is>
      </c>
      <c r="B207" s="3" t="n">
        <v>1</v>
      </c>
      <c r="C207" s="3" t="inlineStr">
        <is>
          <t>Reported-versus-comparator</t>
        </is>
      </c>
      <c r="D207" s="3" t="inlineStr">
        <is>
          <t>Same adjusted outcome/time/contrast/effect measure, explicitly cross-referenced; -0.26 != -0.25, displayed difference 0.01.</t>
        </is>
      </c>
    </row>
    <row r="208" ht="48" customHeight="1">
      <c r="A208" s="2" t="inlineStr">
        <is>
          <t>2025::jama.2025.11178::C036</t>
        </is>
      </c>
      <c r="B208" s="2" t="n">
        <v>2</v>
      </c>
      <c r="C208" s="2" t="inlineStr">
        <is>
          <t>Calculation</t>
        </is>
      </c>
      <c r="D208" s="2" t="inlineStr">
        <is>
          <t>Same adjusted outcome/time/contrast/effect measure, explicitly cross-referenced; -0.26 != -0.25, displayed difference 0.01.</t>
        </is>
      </c>
    </row>
    <row r="209" ht="48" customHeight="1">
      <c r="A209" s="3" t="inlineStr">
        <is>
          <t>2025::jama.2025.11178::C036</t>
        </is>
      </c>
      <c r="B209" s="3" t="n">
        <v>3</v>
      </c>
      <c r="C209" s="3" t="inlineStr">
        <is>
          <t>Alternative source-grounded interpretations</t>
        </is>
      </c>
      <c r="D209" s="3" t="inlineStr">
        <is>
          <t>Differently rounded source outputs are possible but not stated. Human question: Which 3-month SMD is authoritative?</t>
        </is>
      </c>
    </row>
    <row r="210" ht="48" customHeight="1">
      <c r="A210" s="2" t="inlineStr">
        <is>
          <t>2025::jama.2025.11178::C037</t>
        </is>
      </c>
      <c r="B210" s="2" t="n">
        <v>0</v>
      </c>
      <c r="C210" s="2" t="inlineStr">
        <is>
          <t>Source evidence</t>
        </is>
      </c>
      <c r="D210" s="2" t="inlineStr">
        <is>
          <t>Narrative SMD -0.36; Table 3 Health Coach vs usual care plus SMD -0.34 (-0.36 to -0.13).</t>
        </is>
      </c>
    </row>
    <row r="211" ht="48" customHeight="1">
      <c r="A211" s="3" t="inlineStr">
        <is>
          <t>2025::jama.2025.11178::C037</t>
        </is>
      </c>
      <c r="B211" s="3" t="n">
        <v>1</v>
      </c>
      <c r="C211" s="3" t="inlineStr">
        <is>
          <t>Reported-versus-comparator</t>
        </is>
      </c>
      <c r="D211" s="3" t="inlineStr">
        <is>
          <t>Same adjusted outcome/time/contrast/effect measure; -0.36 != -0.34, displayed difference 0.02.</t>
        </is>
      </c>
    </row>
    <row r="212" ht="48" customHeight="1">
      <c r="A212" s="2" t="inlineStr">
        <is>
          <t>2025::jama.2025.11178::C037</t>
        </is>
      </c>
      <c r="B212" s="2" t="n">
        <v>2</v>
      </c>
      <c r="C212" s="2" t="inlineStr">
        <is>
          <t>Calculation</t>
        </is>
      </c>
      <c r="D212" s="2" t="inlineStr">
        <is>
          <t>Same adjusted outcome/time/contrast/effect measure; -0.36 != -0.34, displayed difference 0.02.</t>
        </is>
      </c>
    </row>
    <row r="213" ht="48" customHeight="1">
      <c r="A213" s="3" t="inlineStr">
        <is>
          <t>2025::jama.2025.11178::C037</t>
        </is>
      </c>
      <c r="B213" s="3" t="n">
        <v>3</v>
      </c>
      <c r="C213" s="3" t="inlineStr">
        <is>
          <t>Alternative source-grounded interpretations</t>
        </is>
      </c>
      <c r="D213" s="3" t="inlineStr">
        <is>
          <t>Differently rounded source outputs are possible but not stated. Human question: Which 3-month SMD is authoritative?</t>
        </is>
      </c>
    </row>
    <row r="214" ht="48" customHeight="1">
      <c r="A214" s="2" t="inlineStr">
        <is>
          <t>2025::jama.2025.15185::C001</t>
        </is>
      </c>
      <c r="B214" s="2" t="n">
        <v>0</v>
      </c>
      <c r="C214" s="2" t="inlineStr">
        <is>
          <t>Source evidence</t>
        </is>
      </c>
      <c r="D214" s="2" t="inlineStr">
        <is>
          <t>Main Table 1 prints levodopa n=307: ischemic 260 (84.7%), hemorrhagic 47 (15.3%). eTable 1 prints levodopa n=307: ischemic 263 (85.7%), hemorrhagic 44 (14.3%); placebo values match.</t>
        </is>
      </c>
    </row>
    <row r="215" ht="48" customHeight="1">
      <c r="A215" s="3" t="inlineStr">
        <is>
          <t>2025::jama.2025.15185::C001</t>
        </is>
      </c>
      <c r="B215" s="3" t="n">
        <v>1</v>
      </c>
      <c r="C215" s="3" t="inlineStr">
        <is>
          <t>Reported-versus-comparator</t>
        </is>
      </c>
      <c r="D215" s="3" t="inlineStr">
        <is>
          <t>Main 260/47 versus supplement 263/44 for the same named arm and categories.</t>
        </is>
      </c>
    </row>
    <row r="216" ht="48" customHeight="1">
      <c r="A216" s="2" t="inlineStr">
        <is>
          <t>2025::jama.2025.15185::C001</t>
        </is>
      </c>
      <c r="B216" s="2" t="n">
        <v>2</v>
      </c>
      <c r="C216" s="2" t="inlineStr">
        <is>
          <t>Calculation</t>
        </is>
      </c>
      <c r="D216" s="2" t="inlineStr">
        <is>
          <t>260 + 47 = 307; 263 + 44 = 307; the category changes are +3/-3 at an unchanged arm total.</t>
        </is>
      </c>
    </row>
    <row r="217" ht="48" customHeight="1">
      <c r="A217" s="3" t="inlineStr">
        <is>
          <t>2025::jama.2025.15185::C001</t>
        </is>
      </c>
      <c r="B217" s="3" t="n">
        <v>3</v>
      </c>
      <c r="C217" s="3" t="inlineStr">
        <is>
          <t>Alternative source-grounded interpretations</t>
        </is>
      </c>
      <c r="D217" s="3" t="inlineStr">
        <is>
          <t>An unstated recoding or data cut could explain the difference; neither table identifies one.</t>
        </is>
      </c>
    </row>
    <row r="218" ht="48" customHeight="1">
      <c r="A218" s="2" t="inlineStr">
        <is>
          <t>2025::jama.2025.15185::C002</t>
        </is>
      </c>
      <c r="B218" s="2" t="n">
        <v>0</v>
      </c>
      <c r="C218" s="2" t="inlineStr">
        <is>
          <t>Source evidence</t>
        </is>
      </c>
      <c r="D218" s="2" t="inlineStr">
        <is>
          <t>Main values are median (IQR) 7 (5-11) levodopa, 8 (5-10) placebo, and overall 7 (5-10). eTable 1 labels Median NIHSS at randomization [IQR] yet prints 8.2 (3.9), 8.3 (3.8), and 8.2 (3.9).</t>
        </is>
      </c>
    </row>
    <row r="219" ht="48" customHeight="1">
      <c r="A219" s="3" t="inlineStr">
        <is>
          <t>2025::jama.2025.15185::C002</t>
        </is>
      </c>
      <c r="B219" s="3" t="n">
        <v>1</v>
      </c>
      <c r="C219" s="3" t="inlineStr">
        <is>
          <t>Reported-versus-comparator</t>
        </is>
      </c>
      <c r="D219" s="3" t="inlineStr">
        <is>
          <t>A labelled median/IQR row with two-endpoint main summaries versus one decimal and one parenthesized value in the supplement.</t>
        </is>
      </c>
    </row>
    <row r="220" ht="48" customHeight="1">
      <c r="A220" s="2" t="inlineStr">
        <is>
          <t>2025::jama.2025.15185::C002</t>
        </is>
      </c>
      <c r="B220" s="2" t="n">
        <v>2</v>
      </c>
      <c r="C220" s="2" t="inlineStr">
        <is>
          <t>Calculation</t>
        </is>
      </c>
      <c r="D220" s="2" t="inlineStr">
        <is>
          <t>Main summaries contain a central value and two IQR endpoints; each supplement summary has one central decimal and one parenthesized number, so mapping requires a missing definition.</t>
        </is>
      </c>
    </row>
    <row r="221" ht="48" customHeight="1">
      <c r="A221" s="3" t="inlineStr">
        <is>
          <t>2025::jama.2025.15185::C002</t>
        </is>
      </c>
      <c r="B221" s="3" t="n">
        <v>3</v>
      </c>
      <c r="C221" s="3" t="inlineStr">
        <is>
          <t>Alternative source-grounded interpretations</t>
        </is>
      </c>
      <c r="D221" s="3" t="inlineStr">
        <is>
          <t>The supplement values may be means (SDs) under a stale label, or may use an unstated one-number convention; neither interpretation is stated there.</t>
        </is>
      </c>
    </row>
    <row r="222" ht="48" customHeight="1">
      <c r="A222" s="2" t="inlineStr">
        <is>
          <t>2025::jama.2025.15185::C003</t>
        </is>
      </c>
      <c r="B222" s="2" t="n">
        <v>0</v>
      </c>
      <c r="C222" s="2" t="inlineStr">
        <is>
          <t>Source evidence</t>
        </is>
      </c>
      <c r="D222" s="2" t="inlineStr">
        <is>
          <t>Main prints Time from stroke onset to randomization, median (IQR), d: 3.0 (2.0-5.0) for both arms. eTable 1 prints 7 [5,10] overall, 8 [5,10] placebo, and 7 [5-11] levodopa without a visible unit.</t>
        </is>
      </c>
    </row>
    <row r="223" ht="48" customHeight="1">
      <c r="A223" s="3" t="inlineStr">
        <is>
          <t>2025::jama.2025.15185::C003</t>
        </is>
      </c>
      <c r="B223" s="3" t="n">
        <v>1</v>
      </c>
      <c r="C223" s="3" t="inlineStr">
        <is>
          <t>Reported-versus-comparator</t>
        </is>
      </c>
      <c r="D223" s="3" t="inlineStr">
        <is>
          <t>Main arm medians 3.0/3.0 versus supplement 8/7 for the same named variable.</t>
        </is>
      </c>
    </row>
    <row r="224" ht="48" customHeight="1">
      <c r="A224" s="2" t="inlineStr">
        <is>
          <t>2025::jama.2025.15185::C003</t>
        </is>
      </c>
      <c r="B224" s="2" t="n">
        <v>2</v>
      </c>
      <c r="C224" s="2" t="inlineStr">
        <is>
          <t>Calculation</t>
        </is>
      </c>
      <c r="D224" s="2" t="inlineStr">
        <is>
          <t>If the supplement values are days, levodopa differs by 7-3=4 days and placebo by 8-3=5 days; these are not rounding differences.</t>
        </is>
      </c>
    </row>
    <row r="225" ht="48" customHeight="1">
      <c r="A225" s="3" t="inlineStr">
        <is>
          <t>2025::jama.2025.15185::C003</t>
        </is>
      </c>
      <c r="B225" s="3" t="n">
        <v>3</v>
      </c>
      <c r="C225" s="3" t="inlineStr">
        <is>
          <t>Alternative source-grounded interpretations</t>
        </is>
      </c>
      <c r="D225" s="3" t="inlineStr">
        <is>
          <t>A different unstated unit, time origin, derivation, population, or data version may be used.</t>
        </is>
      </c>
    </row>
    <row r="226" ht="48" customHeight="1">
      <c r="A226" s="2" t="inlineStr">
        <is>
          <t>2025::jama.2025.15185::C004</t>
        </is>
      </c>
      <c r="B226" s="2" t="n">
        <v>0</v>
      </c>
      <c r="C226" s="2" t="inlineStr">
        <is>
          <t>Source evidence</t>
        </is>
      </c>
      <c r="D226" s="2" t="inlineStr">
        <is>
          <t>Narrative: 1.06 (95% CI, 0.86 to 1.25). Matched full-analysis-set composite row: 1.06 [0.86-1.26].</t>
        </is>
      </c>
    </row>
    <row r="227" ht="48" customHeight="1">
      <c r="A227" s="3" t="inlineStr">
        <is>
          <t>2025::jama.2025.15185::C004</t>
        </is>
      </c>
      <c r="B227" s="3" t="n">
        <v>1</v>
      </c>
      <c r="C227" s="3" t="inlineStr">
        <is>
          <t>Reported-versus-comparator</t>
        </is>
      </c>
      <c r="D227" s="3" t="inlineStr">
        <is>
          <t>Identical point estimate/lower endpoint with upper endpoint 1.25 versus 1.26.</t>
        </is>
      </c>
    </row>
    <row r="228" ht="48" customHeight="1">
      <c r="A228" s="2" t="inlineStr">
        <is>
          <t>2025::jama.2025.15185::C004</t>
        </is>
      </c>
      <c r="B228" s="2" t="n">
        <v>2</v>
      </c>
      <c r="C228" s="2" t="inlineStr">
        <is>
          <t>Calculation</t>
        </is>
      </c>
      <c r="D228" s="2" t="inlineStr">
        <is>
          <t>1.06=1.06, 0.86=0.86, and 1.26-1.25=0.01.</t>
        </is>
      </c>
    </row>
    <row r="229" ht="48" customHeight="1">
      <c r="A229" s="3" t="inlineStr">
        <is>
          <t>2025::jama.2025.15185::C004</t>
        </is>
      </c>
      <c r="B229" s="3" t="n">
        <v>3</v>
      </c>
      <c r="C229" s="3" t="inlineStr">
        <is>
          <t>Alternative source-grounded interpretations</t>
        </is>
      </c>
      <c r="D229" s="3" t="inlineStr">
        <is>
          <t>A rounding-boundary or one-hundredth transcription difference is possible; no unrounded output or separate calculation is supplied.</t>
        </is>
      </c>
    </row>
    <row r="230" ht="48" customHeight="1">
      <c r="A230" s="2" t="inlineStr">
        <is>
          <t>2025::jama.2025.15185::C005</t>
        </is>
      </c>
      <c r="B230" s="2" t="n">
        <v>0</v>
      </c>
      <c r="C230" s="2" t="inlineStr">
        <is>
          <t>Source evidence</t>
        </is>
      </c>
      <c r="D230" s="2" t="inlineStr">
        <is>
          <t>Main: levodopa 66 (14), placebo 65 (14). eTable: levodopa 64.74 (14.33), placebo 65.11 (13.79), effect -0.37.</t>
        </is>
      </c>
    </row>
    <row r="231" ht="48" customHeight="1">
      <c r="A231" s="3" t="inlineStr">
        <is>
          <t>2025::jama.2025.15185::C005</t>
        </is>
      </c>
      <c r="B231" s="3" t="n">
        <v>1</v>
      </c>
      <c r="C231" s="3" t="inlineStr">
        <is>
          <t>Reported-versus-comparator</t>
        </is>
      </c>
      <c r="D231" s="3" t="inlineStr">
        <is>
          <t>Main levodopa 66 (14) versus detailed 64.74 (14.33).</t>
        </is>
      </c>
    </row>
    <row r="232" ht="48" customHeight="1">
      <c r="A232" s="2" t="inlineStr">
        <is>
          <t>2025::jama.2025.15185::C005</t>
        </is>
      </c>
      <c r="B232" s="2" t="n">
        <v>2</v>
      </c>
      <c r="C232" s="2" t="inlineStr">
        <is>
          <t>Calculation</t>
        </is>
      </c>
      <c r="D232" s="2" t="inlineStr">
        <is>
          <t>64.74 rounds to 65, not 66; 64.74-65.11=-0.37, matching the eTable effect.</t>
        </is>
      </c>
    </row>
    <row r="233" ht="48" customHeight="1">
      <c r="A233" s="3" t="inlineStr">
        <is>
          <t>2025::jama.2025.15185::C005</t>
        </is>
      </c>
      <c r="B233" s="3" t="n">
        <v>3</v>
      </c>
      <c r="C233" s="3" t="inlineStr">
        <is>
          <t>Alternative source-grounded interpretations</t>
        </is>
      </c>
      <c r="D233" s="3" t="inlineStr">
        <is>
          <t>An unstated scoring transformation, analysis set, or descriptive-versus-model summary could differ.</t>
        </is>
      </c>
    </row>
    <row r="234" ht="48" customHeight="1">
      <c r="A234" s="2" t="inlineStr">
        <is>
          <t>2025::jama.2025.15185::C006</t>
        </is>
      </c>
      <c r="B234" s="2" t="n">
        <v>0</v>
      </c>
      <c r="C234" s="2" t="inlineStr">
        <is>
          <t>Source evidence</t>
        </is>
      </c>
      <c r="D234" s="2" t="inlineStr">
        <is>
          <t>Main prints 28 (6) in both arms. eTable prints placebo 29.87 (5.74) and levodopa 30.04 (5.73), with adjusted effect 0.18.</t>
        </is>
      </c>
    </row>
    <row r="235" ht="48" customHeight="1">
      <c r="A235" s="3" t="inlineStr">
        <is>
          <t>2025::jama.2025.15185::C006</t>
        </is>
      </c>
      <c r="B235" s="3" t="n">
        <v>1</v>
      </c>
      <c r="C235" s="3" t="inlineStr">
        <is>
          <t>Reported-versus-comparator</t>
        </is>
      </c>
      <c r="D235" s="3" t="inlineStr">
        <is>
          <t>Main 28 (6)/28 (6) versus eTable 29.87 (5.74)/30.04 (5.73).</t>
        </is>
      </c>
    </row>
    <row r="236" ht="48" customHeight="1">
      <c r="A236" s="2" t="inlineStr">
        <is>
          <t>2025::jama.2025.15185::C006</t>
        </is>
      </c>
      <c r="B236" s="2" t="n">
        <v>2</v>
      </c>
      <c r="C236" s="2" t="inlineStr">
        <is>
          <t>Calculation</t>
        </is>
      </c>
      <c r="D236" s="2" t="inlineStr">
        <is>
          <t>29.87 and 30.04 each round to 30, not 28; 30.04-29.87=0.17, while the labelled adjusted effect is 0.18.</t>
        </is>
      </c>
    </row>
    <row r="237" ht="48" customHeight="1">
      <c r="A237" s="3" t="inlineStr">
        <is>
          <t>2025::jama.2025.15185::C006</t>
        </is>
      </c>
      <c r="B237" s="3" t="n">
        <v>3</v>
      </c>
      <c r="C237" s="3" t="inlineStr">
        <is>
          <t>Alternative source-grounded interpretations</t>
        </is>
      </c>
      <c r="D237" s="3" t="inlineStr">
        <is>
          <t>An unstated PROMIS-10 scoring version or analysis population may differ.</t>
        </is>
      </c>
    </row>
    <row r="238" ht="48" customHeight="1">
      <c r="A238" s="2" t="inlineStr">
        <is>
          <t>2025::jama.2025.15185::C007</t>
        </is>
      </c>
      <c r="B238" s="2" t="n">
        <v>0</v>
      </c>
      <c r="C238" s="2" t="inlineStr">
        <is>
          <t>Source evidence</t>
        </is>
      </c>
      <c r="D238" s="2" t="inlineStr">
        <is>
          <t>Main placebo mean (SD) is 56 (26); eTable placebo is 56.27 (25.20). Levodopa 57 (27) aligns with 57.37 (26.70).</t>
        </is>
      </c>
    </row>
    <row r="239" ht="48" customHeight="1">
      <c r="A239" s="3" t="inlineStr">
        <is>
          <t>2025::jama.2025.15185::C007</t>
        </is>
      </c>
      <c r="B239" s="3" t="n">
        <v>1</v>
      </c>
      <c r="C239" s="3" t="inlineStr">
        <is>
          <t>Reported-versus-comparator</t>
        </is>
      </c>
      <c r="D239" s="3" t="inlineStr">
        <is>
          <t>Placebo SD 26 versus detailed 25.20.</t>
        </is>
      </c>
    </row>
    <row r="240" ht="48" customHeight="1">
      <c r="A240" s="2" t="inlineStr">
        <is>
          <t>2025::jama.2025.15185::C007</t>
        </is>
      </c>
      <c r="B240" s="2" t="n">
        <v>2</v>
      </c>
      <c r="C240" s="2" t="inlineStr">
        <is>
          <t>Calculation</t>
        </is>
      </c>
      <c r="D240" s="2" t="inlineStr">
        <is>
          <t>56.27 rounds to 56; 25.20 rounds to 25, not 26; levodopa 57.37 (26.70) rounds to 57 (27).</t>
        </is>
      </c>
    </row>
    <row r="241" ht="48" customHeight="1">
      <c r="A241" s="3" t="inlineStr">
        <is>
          <t>2025::jama.2025.15185::C007</t>
        </is>
      </c>
      <c r="B241" s="3" t="n">
        <v>3</v>
      </c>
      <c r="C241" s="3" t="inlineStr">
        <is>
          <t>Alternative source-grounded interpretations</t>
        </is>
      </c>
      <c r="D241" s="3" t="inlineStr">
        <is>
          <t>An unstated population, imputation summary, or SD convention could differ.</t>
        </is>
      </c>
    </row>
    <row r="242" ht="48" customHeight="1">
      <c r="A242" s="2" t="inlineStr">
        <is>
          <t>2025::jama.2025.15185::C008</t>
        </is>
      </c>
      <c r="B242" s="2" t="n">
        <v>0</v>
      </c>
      <c r="C242" s="2" t="inlineStr">
        <is>
          <t>Source evidence</t>
        </is>
      </c>
      <c r="D242" s="2" t="inlineStr">
        <is>
          <t>Main placebo is 52/270 (19%); eTable placebo is 51 (18.89%) (n=270). Levodopa is 51/276 in both.</t>
        </is>
      </c>
    </row>
    <row r="243" ht="48" customHeight="1">
      <c r="A243" s="3" t="inlineStr">
        <is>
          <t>2025::jama.2025.15185::C008</t>
        </is>
      </c>
      <c r="B243" s="3" t="n">
        <v>1</v>
      </c>
      <c r="C243" s="3" t="inlineStr">
        <is>
          <t>Reported-versus-comparator</t>
        </is>
      </c>
      <c r="D243" s="3" t="inlineStr">
        <is>
          <t>Same placebo denominator 270 with numerator 52 versus 51.</t>
        </is>
      </c>
    </row>
    <row r="244" ht="48" customHeight="1">
      <c r="A244" s="2" t="inlineStr">
        <is>
          <t>2025::jama.2025.15185::C008</t>
        </is>
      </c>
      <c r="B244" s="2" t="n">
        <v>2</v>
      </c>
      <c r="C244" s="2" t="inlineStr">
        <is>
          <t>Calculation</t>
        </is>
      </c>
      <c r="D244" s="2" t="inlineStr">
        <is>
          <t>51/270=18.888...%, matching 18.89%; 52/270=19.259...%, compatible with 19%. The printed numerator differs by one.</t>
        </is>
      </c>
    </row>
    <row r="245" ht="48" customHeight="1">
      <c r="A245" s="3" t="inlineStr">
        <is>
          <t>2025::jama.2025.15185::C008</t>
        </is>
      </c>
      <c r="B245" s="3" t="n">
        <v>3</v>
      </c>
      <c r="C245" s="3" t="inlineStr">
        <is>
          <t>Alternative source-grounded interpretations</t>
        </is>
      </c>
      <c r="D245" s="3" t="inlineStr">
        <is>
          <t>Different handling of no improvement and no relevant improvement could affect one record, but no distinct rule is supplied.</t>
        </is>
      </c>
    </row>
    <row r="246" ht="48" customHeight="1">
      <c r="A246" s="2" t="inlineStr">
        <is>
          <t>2025::jama.2025.15185::C009</t>
        </is>
      </c>
      <c r="B246" s="2" t="n">
        <v>0</v>
      </c>
      <c r="C246" s="2" t="inlineStr">
        <is>
          <t>Source evidence</t>
        </is>
      </c>
      <c r="D246" s="2" t="inlineStr">
        <is>
          <t>Main reports 146 events: 79 levodopa and 67 placebo. eTable header gives overall n=145, placebo 67, levodopa 79; its intensity, outcome, and relation rows also provide complete classifications.</t>
        </is>
      </c>
    </row>
    <row r="247" ht="48" customHeight="1">
      <c r="A247" s="3" t="inlineStr">
        <is>
          <t>2025::jama.2025.15185::C009</t>
        </is>
      </c>
      <c r="B247" s="3" t="n">
        <v>1</v>
      </c>
      <c r="C247" s="3" t="inlineStr">
        <is>
          <t>Reported-versus-comparator</t>
        </is>
      </c>
      <c r="D247" s="3" t="inlineStr">
        <is>
          <t>Header 145 versus arms and category sums 146.</t>
        </is>
      </c>
    </row>
    <row r="248" ht="48" customHeight="1">
      <c r="A248" s="2" t="inlineStr">
        <is>
          <t>2025::jama.2025.15185::C009</t>
        </is>
      </c>
      <c r="B248" s="2" t="n">
        <v>2</v>
      </c>
      <c r="C248" s="2" t="inlineStr">
        <is>
          <t>Calculation</t>
        </is>
      </c>
      <c r="D248" s="2" t="inlineStr">
        <is>
          <t>67+79=146; intensity 58+86+2=146; outcome 1+29+116=146; relation 2+66+23+2+39+14=146.</t>
        </is>
      </c>
    </row>
    <row r="249" ht="48" customHeight="1">
      <c r="A249" s="3" t="inlineStr">
        <is>
          <t>2025::jama.2025.15185::C009</t>
        </is>
      </c>
      <c r="B249" s="3" t="n">
        <v>3</v>
      </c>
      <c r="C249" s="3" t="inlineStr">
        <is>
          <t>Alternative source-grounded interpretations</t>
        </is>
      </c>
      <c r="D249" s="3" t="inlineStr">
        <is>
          <t>One event might be subject to an unstated exclusion or duplicate-event rule, but no footnote supports a different overall set.</t>
        </is>
      </c>
    </row>
    <row r="250" ht="48" customHeight="1">
      <c r="A250" s="2" t="inlineStr">
        <is>
          <t>2025::jama.2025.15185::C010</t>
        </is>
      </c>
      <c r="B250" s="2" t="n">
        <v>0</v>
      </c>
      <c r="C250" s="2" t="inlineStr">
        <is>
          <t>Source evidence</t>
        </is>
      </c>
      <c r="D250" s="2" t="inlineStr">
        <is>
          <t>eFigure 4 title/legend use FMA; its axis reads Adjusted Mean Difference (FMMA points). The SAP defines Fugl-Meyer Motor Assessment as FMMA.</t>
        </is>
      </c>
    </row>
    <row r="251" ht="48" customHeight="1">
      <c r="A251" s="3" t="inlineStr">
        <is>
          <t>2025::jama.2025.15185::C010</t>
        </is>
      </c>
      <c r="B251" s="3" t="n">
        <v>1</v>
      </c>
      <c r="C251" s="3" t="inlineStr">
        <is>
          <t>Reported-versus-comparator</t>
        </is>
      </c>
      <c r="D251" s="3" t="inlineStr">
        <is>
          <t>Within the same figure, FMA versus FMMA for the stated assessment.</t>
        </is>
      </c>
    </row>
    <row r="252" ht="48" customHeight="1">
      <c r="A252" s="2" t="inlineStr">
        <is>
          <t>2025::jama.2025.15185::C010</t>
        </is>
      </c>
      <c r="B252" s="2" t="n">
        <v>2</v>
      </c>
      <c r="C252" s="2" t="inlineStr">
        <is>
          <t>Calculation</t>
        </is>
      </c>
      <c r="D252" s="2" t="inlineStr">
        <is>
          <t>No numeric calculation applies; the reproduced comparison is the local unqualified abbreviation switch.</t>
        </is>
      </c>
    </row>
    <row r="253" ht="48" customHeight="1">
      <c r="A253" s="3" t="inlineStr">
        <is>
          <t>2025::jama.2025.15185::C010</t>
        </is>
      </c>
      <c r="B253" s="3" t="n">
        <v>3</v>
      </c>
      <c r="C253" s="3" t="inlineStr">
        <is>
          <t>Alternative source-grounded interpretations</t>
        </is>
      </c>
      <c r="D253" s="3" t="inlineStr">
        <is>
          <t>The SAP's explicit FMMA definition supports that FMMA may be an intentional synonym for the FMA used in the article; it is not evidence of a numeric error.</t>
        </is>
      </c>
    </row>
    <row r="254" ht="48" customHeight="1">
      <c r="A254" s="2" t="inlineStr">
        <is>
          <t>2025::jama.2025.15185::C011</t>
        </is>
      </c>
      <c r="B254" s="2" t="n">
        <v>0</v>
      </c>
      <c r="C254" s="2" t="inlineStr">
        <is>
          <t>Source evidence</t>
        </is>
      </c>
      <c r="D254" s="2" t="inlineStr">
        <is>
          <t>The heading reads Estimated Effect of Levodopa: Mean Difference on FMA, [CI]. Estimand 4 identifies a death-and-3-month-FMA composite summary as win ratio [95% CI] and prints 1.06 [0.86-1.26].</t>
        </is>
      </c>
    </row>
    <row r="255" ht="48" customHeight="1">
      <c r="A255" s="3" t="inlineStr">
        <is>
          <t>2025::jama.2025.15185::C011</t>
        </is>
      </c>
      <c r="B255" s="3" t="n">
        <v>1</v>
      </c>
      <c r="C255" s="3" t="inlineStr">
        <is>
          <t>Reported-versus-comparator</t>
        </is>
      </c>
      <c r="D255" s="3" t="inlineStr">
        <is>
          <t>A dimensionless win ratio row versus an FMA-point mean-difference heading.</t>
        </is>
      </c>
    </row>
    <row r="256" ht="48" customHeight="1">
      <c r="A256" s="2" t="inlineStr">
        <is>
          <t>2025::jama.2025.15185::C011</t>
        </is>
      </c>
      <c r="B256" s="2" t="n">
        <v>2</v>
      </c>
      <c r="C256" s="2" t="inlineStr">
        <is>
          <t>Calculation</t>
        </is>
      </c>
      <c r="D256" s="2" t="inlineStr">
        <is>
          <t>No arithmetic is required: a win ratio and an FMA-point mean difference are different measures/scales under the supplied labels.</t>
        </is>
      </c>
    </row>
    <row r="257" ht="48" customHeight="1">
      <c r="A257" s="3" t="inlineStr">
        <is>
          <t>2025::jama.2025.15185::C011</t>
        </is>
      </c>
      <c r="B257" s="3" t="n">
        <v>3</v>
      </c>
      <c r="C257" s="3" t="inlineStr">
        <is>
          <t>Alternative source-grounded interpretations</t>
        </is>
      </c>
      <c r="D257" s="3" t="inlineStr">
        <is>
          <t>The heading may be intended for all rows except Estimand 4, but no exception or qualifying footnote is shown.</t>
        </is>
      </c>
    </row>
    <row r="258" ht="48" customHeight="1">
      <c r="A258" s="2" t="inlineStr">
        <is>
          <t>2025::jama.2025.15185::C012</t>
        </is>
      </c>
      <c r="B258" s="2" t="n">
        <v>0</v>
      </c>
      <c r="C258" s="2" t="inlineStr">
        <is>
          <t>Source evidence</t>
        </is>
      </c>
      <c r="D258" s="2" t="inlineStr">
        <is>
          <t>Narrative calls 1.06 (95% CI, 0.86 to 1.25) an odds ratio; the matched full-analysis-set composite row calls 1.06 [0.86-1.26] a win ratio [95% CI].</t>
        </is>
      </c>
    </row>
    <row r="259" ht="48" customHeight="1">
      <c r="A259" s="3" t="inlineStr">
        <is>
          <t>2025::jama.2025.15185::C012</t>
        </is>
      </c>
      <c r="B259" s="3" t="n">
        <v>1</v>
      </c>
      <c r="C259" s="3" t="inlineStr">
        <is>
          <t>Reported-versus-comparator</t>
        </is>
      </c>
      <c r="D259" s="3" t="inlineStr">
        <is>
          <t>Odds ratio in prose versus win ratio in the matched table row.</t>
        </is>
      </c>
    </row>
    <row r="260" ht="48" customHeight="1">
      <c r="A260" s="2" t="inlineStr">
        <is>
          <t>2025::jama.2025.15185::C012</t>
        </is>
      </c>
      <c r="B260" s="2" t="n">
        <v>2</v>
      </c>
      <c r="C260" s="2" t="inlineStr">
        <is>
          <t>Calculation</t>
        </is>
      </c>
      <c r="D260" s="2" t="inlineStr">
        <is>
          <t>No arithmetic is required: odds ratio and win ratio are not interchangeable labels under the supplied definitions.</t>
        </is>
      </c>
    </row>
    <row r="261" ht="48" customHeight="1">
      <c r="A261" s="3" t="inlineStr">
        <is>
          <t>2025::jama.2025.15185::C012</t>
        </is>
      </c>
      <c r="B261" s="3" t="n">
        <v>3</v>
      </c>
      <c r="C261" s="3" t="inlineStr">
        <is>
          <t>Alternative source-grounded interpretations</t>
        </is>
      </c>
      <c r="D261" s="3" t="inlineStr">
        <is>
          <t>A modelling relationship may exist, but the supplied package does not define the terms as synonyms.</t>
        </is>
      </c>
    </row>
    <row r="262" ht="58" customHeight="1">
      <c r="A262" s="2" t="inlineStr">
        <is>
          <t>2025::jama.2025.15440::C001</t>
        </is>
      </c>
      <c r="B262" s="2" t="n">
        <v>0</v>
      </c>
      <c r="C262" s="2" t="inlineStr">
        <is>
          <t>Source evidence</t>
        </is>
      </c>
      <c r="D262" s="2" t="inlineStr">
        <is>
          <t>Page 1 prints patch 69 (2.7%) versus usual care 64 (2.5%), rate ratio 1.08 (95% CI 0.76-1.53). Pages 5 and 7 print the same 69 versus 64 and rate ratio 1.08 but 95% CI 0.77-1.51 for the 2.5-year any-stroke comparison.</t>
        </is>
      </c>
    </row>
    <row r="263" ht="48" customHeight="1">
      <c r="A263" s="3" t="inlineStr">
        <is>
          <t>2025::jama.2025.15440::C001</t>
        </is>
      </c>
      <c r="B263" s="3" t="n">
        <v>1</v>
      </c>
      <c r="C263" s="3" t="inlineStr">
        <is>
          <t>Reported-versus-comparator</t>
        </is>
      </c>
      <c r="D263" s="3" t="inlineStr">
        <is>
          <t>Abstract CI 0.76-1.53 versus detailed-results/Figure 4B CI 0.77-1.51 for the same displayed counts, follow-up context, and point estimate.</t>
        </is>
      </c>
    </row>
    <row r="264" ht="48" customHeight="1">
      <c r="A264" s="2" t="inlineStr">
        <is>
          <t>2025::jama.2025.15440::C001</t>
        </is>
      </c>
      <c r="B264" s="2" t="n">
        <v>2</v>
      </c>
      <c r="C264" s="2" t="inlineStr">
        <is>
          <t>Calculation</t>
        </is>
      </c>
      <c r="D264" s="2" t="inlineStr">
        <is>
          <t>Lower endpoints differ by 0.77 - 0.76 = 0.01; upper endpoints differ by 1.53 - 1.51 = 0.02. This direct printed-value comparison does not select either interval as correct.</t>
        </is>
      </c>
    </row>
    <row r="265" ht="58" customHeight="1">
      <c r="A265" s="3" t="inlineStr">
        <is>
          <t>2025::jama.2025.15440::C001</t>
        </is>
      </c>
      <c r="B265" s="3" t="n">
        <v>3</v>
      </c>
      <c r="C265" s="3" t="inlineStr">
        <is>
          <t>Alternative source-grounded interpretations</t>
        </is>
      </c>
      <c r="D265" s="3"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266" ht="74" customHeight="1">
      <c r="A266" s="2" t="inlineStr">
        <is>
          <t>2025::jama.2025.15440::C002</t>
        </is>
      </c>
      <c r="B266" s="2" t="n">
        <v>0</v>
      </c>
      <c r="C266" s="2" t="inlineStr">
        <is>
          <t>Source evidence</t>
        </is>
      </c>
      <c r="D266" s="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267" ht="48" customHeight="1">
      <c r="A267" s="3" t="inlineStr">
        <is>
          <t>2025::jama.2025.15440::C002</t>
        </is>
      </c>
      <c r="B267" s="3" t="n">
        <v>1</v>
      </c>
      <c r="C267" s="3" t="inlineStr">
        <is>
          <t>Reported-versus-comparator</t>
        </is>
      </c>
      <c r="D267" s="3" t="inlineStr">
        <is>
          <t>If subtype rows are mutually exclusive participant-level components counted under the same rule, patch subtypes total 72 versus Any stroke 69, while usual-care subtypes total 64 versus Any stroke 64.</t>
        </is>
      </c>
    </row>
    <row r="268" ht="58" customHeight="1">
      <c r="A268" s="2" t="inlineStr">
        <is>
          <t>2025::jama.2025.15440::C002</t>
        </is>
      </c>
      <c r="B268" s="2" t="n">
        <v>2</v>
      </c>
      <c r="C268" s="2" t="inlineStr">
        <is>
          <t>Calculation</t>
        </is>
      </c>
      <c r="D268" s="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269" ht="74" customHeight="1">
      <c r="A269" s="3" t="inlineStr">
        <is>
          <t>2025::jama.2025.15440::C002</t>
        </is>
      </c>
      <c r="B269" s="3" t="n">
        <v>3</v>
      </c>
      <c r="C269" s="3" t="inlineStr">
        <is>
          <t>Alternative source-grounded interpretations</t>
        </is>
      </c>
      <c r="D269" s="3"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270" ht="48" customHeight="1">
      <c r="A270" s="2" t="inlineStr">
        <is>
          <t>2025::jama.2025.16450::C001</t>
        </is>
      </c>
      <c r="B270" s="2" t="n">
        <v>0</v>
      </c>
      <c r="C270" s="2" t="inlineStr">
        <is>
          <t>Source evidence</t>
        </is>
      </c>
      <c r="D270" s="2" t="inlineStr">
        <is>
          <t>Page 7 prints Relative Risk (RR) or Mean Difference (MD) and PDA RR: 0.86 (0.75, 0.99); page 8 prints RR = risk difference while stating binary outcomes report relative risks.</t>
        </is>
      </c>
    </row>
    <row r="271" ht="48" customHeight="1">
      <c r="A271" s="3" t="inlineStr">
        <is>
          <t>2025::jama.2025.16450::C001</t>
        </is>
      </c>
      <c r="B271" s="3" t="n">
        <v>1</v>
      </c>
      <c r="C271" s="3" t="inlineStr">
        <is>
          <t>Reported-versus-comparator</t>
        </is>
      </c>
      <c r="D271" s="3" t="inlineStr">
        <is>
          <t>The abbreviation says risk difference; the table header, model description, and estimates say or use relative risk.</t>
        </is>
      </c>
    </row>
    <row r="272" ht="48" customHeight="1">
      <c r="A272" s="2" t="inlineStr">
        <is>
          <t>2025::jama.2025.16450::C001</t>
        </is>
      </c>
      <c r="B272" s="2" t="n">
        <v>2</v>
      </c>
      <c r="C272" s="2" t="inlineStr">
        <is>
          <t>Calculation</t>
        </is>
      </c>
      <c r="D272" s="2" t="inlineStr">
        <is>
          <t>From displayed PDA counts, (159/319)/(175/308) = 0.8772; 100 x (159/319 - 175/308) = -6.97 percentage points. The adjusted .86 is ratio-scale.</t>
        </is>
      </c>
    </row>
    <row r="273" ht="48" customHeight="1">
      <c r="A273" s="3" t="inlineStr">
        <is>
          <t>2025::jama.2025.16450::C001</t>
        </is>
      </c>
      <c r="B273" s="3" t="n">
        <v>3</v>
      </c>
      <c r="C273" s="3" t="inlineStr">
        <is>
          <t>Alternative source-grounded interpretations</t>
        </is>
      </c>
      <c r="D273" s="3" t="inlineStr">
        <is>
          <t>The p. 8 line may be an isolated copyediting or transcription error; the package does not establish cause.</t>
        </is>
      </c>
    </row>
    <row r="274" ht="48" customHeight="1">
      <c r="A274" s="2" t="inlineStr">
        <is>
          <t>2025::jama.2025.16450::C002</t>
        </is>
      </c>
      <c r="B274" s="2" t="n">
        <v>0</v>
      </c>
      <c r="C274" s="2" t="inlineStr">
        <is>
          <t>Source evidence</t>
        </is>
      </c>
      <c r="D274" s="2" t="inlineStr">
        <is>
          <t>The protocol directly prints 22 0/7 - 28 6/7 weeks gestation; the compared direct sources also print an upper bound of 28 weeks 6 days.</t>
        </is>
      </c>
    </row>
    <row r="275" ht="48" customHeight="1">
      <c r="A275" s="3" t="inlineStr">
        <is>
          <t>2025::jama.2025.16450::C002</t>
        </is>
      </c>
      <c r="B275" s="3" t="n">
        <v>1</v>
      </c>
      <c r="C275" s="3" t="inlineStr">
        <is>
          <t>Reported-versus-comparator</t>
        </is>
      </c>
      <c r="D275" s="3" t="inlineStr">
        <is>
          <t>Earlier ledger transcription 27 6/7 versus direct-page 28 6/7 in DOC-002 and every comparator.</t>
        </is>
      </c>
    </row>
    <row r="276" ht="48" customHeight="1">
      <c r="A276" s="2" t="inlineStr">
        <is>
          <t>2025::jama.2025.16450::C002</t>
        </is>
      </c>
      <c r="B276" s="2" t="n">
        <v>2</v>
      </c>
      <c r="C276" s="2" t="inlineStr">
        <is>
          <t>Calculation</t>
        </is>
      </c>
      <c r="D276" s="2" t="inlineStr">
        <is>
          <t>Pairwise upper-bound difference is 0 days, not 7 days.</t>
        </is>
      </c>
    </row>
    <row r="277" ht="48" customHeight="1">
      <c r="A277" s="3" t="inlineStr">
        <is>
          <t>2025::jama.2025.16450::C002</t>
        </is>
      </c>
      <c r="B277" s="3" t="n">
        <v>3</v>
      </c>
      <c r="C277" s="3" t="inlineStr">
        <is>
          <t>Alternative source-grounded interpretations</t>
        </is>
      </c>
      <c r="D277" s="3" t="inlineStr">
        <is>
          <t>The earlier extraction may have misread a custom-encoded 8 as 7; the mechanism is inferred, not established.</t>
        </is>
      </c>
    </row>
    <row r="278" ht="48" customHeight="1">
      <c r="A278" s="2" t="inlineStr">
        <is>
          <t>2025::jama.2025.16450::C003</t>
        </is>
      </c>
      <c r="B278" s="2" t="n">
        <v>0</v>
      </c>
      <c r="C278" s="2" t="inlineStr">
        <is>
          <t>Source evidence</t>
        </is>
      </c>
      <c r="D278" s="2" t="inlineStr">
        <is>
          <t>All cited pages identify 2.5 mL/kg as dose 1; the manual and results supplement identify 1.25 mL/kg as dose 2.</t>
        </is>
      </c>
    </row>
    <row r="279" ht="48" customHeight="1">
      <c r="A279" s="3" t="inlineStr">
        <is>
          <t>2025::jama.2025.16450::C003</t>
        </is>
      </c>
      <c r="B279" s="3" t="n">
        <v>1</v>
      </c>
      <c r="C279" s="3" t="inlineStr">
        <is>
          <t>Reported-versus-comparator</t>
        </is>
      </c>
      <c r="D279" s="3" t="inlineStr">
        <is>
          <t>Earlier first-dose transcription 1.25 mL/kg versus direct-source first-dose 2.5 mL/kg.</t>
        </is>
      </c>
    </row>
    <row r="280" ht="48" customHeight="1">
      <c r="A280" s="2" t="inlineStr">
        <is>
          <t>2025::jama.2025.16450::C003</t>
        </is>
      </c>
      <c r="B280" s="2" t="n">
        <v>2</v>
      </c>
      <c r="C280" s="2" t="inlineStr">
        <is>
          <t>Calculation</t>
        </is>
      </c>
      <c r="D280" s="2" t="inlineStr">
        <is>
          <t>2.5 / 2.5 = 1; difference 0 mL/kg for the compared first-dose values.</t>
        </is>
      </c>
    </row>
    <row r="281" ht="48" customHeight="1">
      <c r="A281" s="3" t="inlineStr">
        <is>
          <t>2025::jama.2025.16450::C003</t>
        </is>
      </c>
      <c r="B281" s="3" t="n">
        <v>3</v>
      </c>
      <c r="C281" s="3" t="inlineStr">
        <is>
          <t>Alternative source-grounded interpretations</t>
        </is>
      </c>
      <c r="D281" s="3" t="inlineStr">
        <is>
          <t>Earlier extraction may have transferred the second-dose value or misread the first-dose volume; cause is not documented.</t>
        </is>
      </c>
    </row>
    <row r="282" ht="48" customHeight="1">
      <c r="A282" s="2" t="inlineStr">
        <is>
          <t>2025::jama.2025.16450::C004</t>
        </is>
      </c>
      <c r="B282" s="2" t="n">
        <v>0</v>
      </c>
      <c r="C282" s="2" t="inlineStr">
        <is>
          <t>Source evidence</t>
        </is>
      </c>
      <c r="D282" s="2" t="inlineStr">
        <is>
          <t>The manual prints 3-5; the SAP prints 4-5/level 4-5 for the severe-NDI component.</t>
        </is>
      </c>
    </row>
    <row r="283" ht="48" customHeight="1">
      <c r="A283" s="3" t="inlineStr">
        <is>
          <t>2025::jama.2025.16450::C004</t>
        </is>
      </c>
      <c r="B283" s="3" t="n">
        <v>1</v>
      </c>
      <c r="C283" s="3" t="inlineStr">
        <is>
          <t>Reported-versus-comparator</t>
        </is>
      </c>
      <c r="D283" s="3" t="inlineStr">
        <is>
          <t>Manual threshold {3,4,5} versus SAP threshold {4,5}.</t>
        </is>
      </c>
    </row>
    <row r="284" ht="48" customHeight="1">
      <c r="A284" s="2" t="inlineStr">
        <is>
          <t>2025::jama.2025.16450::C004</t>
        </is>
      </c>
      <c r="B284" s="2" t="n">
        <v>2</v>
      </c>
      <c r="C284" s="2" t="inlineStr">
        <is>
          <t>Calculation</t>
        </is>
      </c>
      <c r="D284" s="2" t="inlineStr">
        <is>
          <t>Exact set difference is {3}; the cutoff shifts by one GMFCS level.</t>
        </is>
      </c>
    </row>
    <row r="285" ht="48" customHeight="1">
      <c r="A285" s="3" t="inlineStr">
        <is>
          <t>2025::jama.2025.16450::C004</t>
        </is>
      </c>
      <c r="B285" s="3" t="n">
        <v>3</v>
      </c>
      <c r="C285" s="3" t="inlineStr">
        <is>
          <t>Alternative source-grounded interpretations</t>
        </is>
      </c>
      <c r="D285" s="3" t="inlineStr">
        <is>
          <t>A versioned definition change is possible, but no governing amendment or implemented follow-up algorithm is supplied.</t>
        </is>
      </c>
    </row>
    <row r="286" ht="48" customHeight="1">
      <c r="A286" s="2" t="inlineStr">
        <is>
          <t>2025::jama.2025.16450::C005</t>
        </is>
      </c>
      <c r="B286" s="2" t="n">
        <v>0</v>
      </c>
      <c r="C286" s="2" t="inlineStr">
        <is>
          <t>Source evidence</t>
        </is>
      </c>
      <c r="D286" s="2" t="inlineStr">
        <is>
          <t>The cited passages print BSID-IV or 4th edition (BSID-IV) with cognitive score &lt;70; none prints Bayley-III.</t>
        </is>
      </c>
    </row>
    <row r="287" ht="48" customHeight="1">
      <c r="A287" s="3" t="inlineStr">
        <is>
          <t>2025::jama.2025.16450::C005</t>
        </is>
      </c>
      <c r="B287" s="3" t="n">
        <v>1</v>
      </c>
      <c r="C287" s="3" t="inlineStr">
        <is>
          <t>Reported-versus-comparator</t>
        </is>
      </c>
      <c r="D287" s="3" t="inlineStr">
        <is>
          <t>Earlier ledger Bayley-III transcription versus direct-source fourth-edition/BSID-IV wording.</t>
        </is>
      </c>
    </row>
    <row r="288" ht="48" customHeight="1">
      <c r="A288" s="2" t="inlineStr">
        <is>
          <t>2025::jama.2025.16450::C005</t>
        </is>
      </c>
      <c r="B288" s="2" t="n">
        <v>2</v>
      </c>
      <c r="C288" s="2" t="inlineStr">
        <is>
          <t>Calculation</t>
        </is>
      </c>
      <c r="D288" s="2" t="inlineStr">
        <is>
          <t>4th edition and BSID-IV are the same edition; all cited passages retain &lt;70.</t>
        </is>
      </c>
    </row>
    <row r="289" ht="48" customHeight="1">
      <c r="A289" s="3" t="inlineStr">
        <is>
          <t>2025::jama.2025.16450::C005</t>
        </is>
      </c>
      <c r="B289" s="3" t="n">
        <v>3</v>
      </c>
      <c r="C289" s="3" t="inlineStr">
        <is>
          <t>Alternative source-grounded interpretations</t>
        </is>
      </c>
      <c r="D289" s="3" t="inlineStr">
        <is>
          <t>The prior extraction may have read IV as III or carried text from another template; cause is not established.</t>
        </is>
      </c>
    </row>
    <row r="290" ht="48" customHeight="1">
      <c r="A290" s="2" t="inlineStr">
        <is>
          <t>2025::jama.2025.16450::C006</t>
        </is>
      </c>
      <c r="B290" s="2" t="n">
        <v>0</v>
      </c>
      <c r="C290" s="2" t="inlineStr">
        <is>
          <t>Source evidence</t>
        </is>
      </c>
      <c r="D290" s="2" t="inlineStr">
        <is>
          <t>Both schedules print first-look alpha 0.000015, followed by .0030, .0183, and .0440.</t>
        </is>
      </c>
    </row>
    <row r="291" ht="48" customHeight="1">
      <c r="A291" s="3" t="inlineStr">
        <is>
          <t>2025::jama.2025.16450::C006</t>
        </is>
      </c>
      <c r="B291" s="3" t="n">
        <v>1</v>
      </c>
      <c r="C291" s="3" t="inlineStr">
        <is>
          <t>Reported-versus-comparator</t>
        </is>
      </c>
      <c r="D291" s="3" t="inlineStr">
        <is>
          <t>Earlier protocol transcription 0.00015 versus direct protocol and SAP 0.000015.</t>
        </is>
      </c>
    </row>
    <row r="292" ht="48" customHeight="1">
      <c r="A292" s="2" t="inlineStr">
        <is>
          <t>2025::jama.2025.16450::C006</t>
        </is>
      </c>
      <c r="B292" s="2" t="n">
        <v>2</v>
      </c>
      <c r="C292" s="2" t="inlineStr">
        <is>
          <t>Calculation</t>
        </is>
      </c>
      <c r="D292" s="2" t="inlineStr">
        <is>
          <t>0.000015 / 0.000015 = 1; difference 0.</t>
        </is>
      </c>
    </row>
    <row r="293" ht="48" customHeight="1">
      <c r="A293" s="3" t="inlineStr">
        <is>
          <t>2025::jama.2025.16450::C006</t>
        </is>
      </c>
      <c r="B293" s="3" t="n">
        <v>3</v>
      </c>
      <c r="C293" s="3" t="inlineStr">
        <is>
          <t>Alternative source-grounded interpretations</t>
        </is>
      </c>
      <c r="D293" s="3" t="inlineStr">
        <is>
          <t>The earlier extraction may have dropped one zero in custom-encoded text; cause is inferred only.</t>
        </is>
      </c>
    </row>
    <row r="294" ht="48" customHeight="1">
      <c r="A294" s="2" t="inlineStr">
        <is>
          <t>2025::jama.2025.16450::C007</t>
        </is>
      </c>
      <c r="B294" s="2" t="n">
        <v>0</v>
      </c>
      <c r="C294" s="2" t="inlineStr">
        <is>
          <t>Source evidence</t>
        </is>
      </c>
      <c r="D294" s="2" t="inlineStr">
        <is>
          <t>Article text and Table 2 footnote state .049; the prospective schedules state .0440 for the planned final look.</t>
        </is>
      </c>
    </row>
    <row r="295" ht="48" customHeight="1">
      <c r="A295" s="3" t="inlineStr">
        <is>
          <t>2025::jama.2025.16450::C007</t>
        </is>
      </c>
      <c r="B295" s="3" t="n">
        <v>1</v>
      </c>
      <c r="C295" s="3" t="inlineStr">
        <is>
          <t>Reported-versus-comparator</t>
        </is>
      </c>
      <c r="D295" s="3" t="inlineStr">
        <is>
          <t>Executed article alpha .049 versus prospective planned final alpha .0440.</t>
        </is>
      </c>
    </row>
    <row r="296" ht="48" customHeight="1">
      <c r="A296" s="2" t="inlineStr">
        <is>
          <t>2025::jama.2025.16450::C007</t>
        </is>
      </c>
      <c r="B296" s="2" t="n">
        <v>2</v>
      </c>
      <c r="C296" s="2" t="inlineStr">
        <is>
          <t>Calculation</t>
        </is>
      </c>
      <c r="D296" s="2" t="inlineStr">
        <is>
          <t>.049 - .0440 = .0050; .049/.0440 = 1.1136.</t>
        </is>
      </c>
    </row>
    <row r="297" ht="48" customHeight="1">
      <c r="A297" s="3" t="inlineStr">
        <is>
          <t>2025::jama.2025.16450::C007</t>
        </is>
      </c>
      <c r="B297" s="3" t="n">
        <v>3</v>
      </c>
      <c r="C297" s="3" t="inlineStr">
        <is>
          <t>Alternative source-grounded interpretations</t>
        </is>
      </c>
      <c r="D297" s="3" t="inlineStr">
        <is>
          <t>A realized Lan-DeMets boundary, recovery of unspent alpha, different information timing, unperformed looks, or amendment could explain the values. Relevant execution output is absent.</t>
        </is>
      </c>
    </row>
    <row r="298" ht="48" customHeight="1">
      <c r="A298" s="2" t="inlineStr">
        <is>
          <t>2025::jama.2025.16450::C008</t>
        </is>
      </c>
      <c r="B298" s="2" t="n">
        <v>0</v>
      </c>
      <c r="C298" s="2" t="inlineStr">
        <is>
          <t>Source evidence</t>
        </is>
      </c>
      <c r="D298" s="2" t="inlineStr">
        <is>
          <t>DOC-001 reports 17 US centers; the prospective documents refer to 15 NRN centers/planned participation.</t>
        </is>
      </c>
    </row>
    <row r="299" ht="48" customHeight="1">
      <c r="A299" s="3" t="inlineStr">
        <is>
          <t>2025::jama.2025.16450::C008</t>
        </is>
      </c>
      <c r="B299" s="3" t="n">
        <v>1</v>
      </c>
      <c r="C299" s="3" t="inlineStr">
        <is>
          <t>Reported-versus-comparator</t>
        </is>
      </c>
      <c r="D299" s="3" t="inlineStr">
        <is>
          <t>Completed-study count 17 versus planned count 15.</t>
        </is>
      </c>
    </row>
    <row r="300" ht="48" customHeight="1">
      <c r="A300" s="2" t="inlineStr">
        <is>
          <t>2025::jama.2025.16450::C008</t>
        </is>
      </c>
      <c r="B300" s="2" t="n">
        <v>2</v>
      </c>
      <c r="C300" s="2" t="inlineStr">
        <is>
          <t>Calculation</t>
        </is>
      </c>
      <c r="D300" s="2" t="inlineStr">
        <is>
          <t>17 - 15 = 2 centers.</t>
        </is>
      </c>
    </row>
    <row r="301" ht="48" customHeight="1">
      <c r="A301" s="3" t="inlineStr">
        <is>
          <t>2025::jama.2025.16450::C008</t>
        </is>
      </c>
      <c r="B301" s="3" t="n">
        <v>3</v>
      </c>
      <c r="C301" s="3" t="inlineStr">
        <is>
          <t>Alternative source-grounded interpretations</t>
        </is>
      </c>
      <c r="D301" s="3" t="inlineStr">
        <is>
          <t>Later site activation or a different center/hospital/pooling definition is plausible; activation/enrollment records are absent.</t>
        </is>
      </c>
    </row>
    <row r="302" ht="48" customHeight="1">
      <c r="A302" s="2" t="inlineStr">
        <is>
          <t>2025::jama.2025.16450::C009</t>
        </is>
      </c>
      <c r="B302" s="2" t="n">
        <v>0</v>
      </c>
      <c r="C302" s="2" t="inlineStr">
        <is>
          <t>Source evidence</t>
        </is>
      </c>
      <c r="D302" s="2" t="inlineStr">
        <is>
          <t>The row prints RR: 0.69 (0.33 to 1.46) for 13/312 versus 18/299; footnote g names Mantel-Haenszel methods approximated by the common OR.</t>
        </is>
      </c>
    </row>
    <row r="303" ht="48" customHeight="1">
      <c r="A303" s="3" t="inlineStr">
        <is>
          <t>2025::jama.2025.16450::C009</t>
        </is>
      </c>
      <c r="B303" s="3" t="n">
        <v>1</v>
      </c>
      <c r="C303" s="3" t="inlineStr">
        <is>
          <t>Reported-versus-comparator</t>
        </is>
      </c>
      <c r="D303" s="3" t="inlineStr">
        <is>
          <t>RR row label versus common-OR approximation wording.</t>
        </is>
      </c>
    </row>
    <row r="304" ht="48" customHeight="1">
      <c r="A304" s="2" t="inlineStr">
        <is>
          <t>2025::jama.2025.16450::C009</t>
        </is>
      </c>
      <c r="B304" s="2" t="n">
        <v>2</v>
      </c>
      <c r="C304" s="2" t="inlineStr">
        <is>
          <t>Calculation</t>
        </is>
      </c>
      <c r="D304" s="2" t="inlineStr">
        <is>
          <t>Crude RR (13/312)/(18/299) = 0.6921; crude OR [13 x 281]/[299 x 18] = 0.6787.</t>
        </is>
      </c>
    </row>
    <row r="305" ht="48" customHeight="1">
      <c r="A305" s="3" t="inlineStr">
        <is>
          <t>2025::jama.2025.16450::C009</t>
        </is>
      </c>
      <c r="B305" s="3" t="n">
        <v>3</v>
      </c>
      <c r="C305" s="3" t="inlineStr">
        <is>
          <t>Alternative source-grounded interpretations</t>
        </is>
      </c>
      <c r="D305" s="3" t="inlineStr">
        <is>
          <t>The target estimand may be RR while a common OR was used as a sparse-event approximation. Stratum counts, weights, and model output are unavailable.</t>
        </is>
      </c>
    </row>
    <row r="306" ht="48" customHeight="1">
      <c r="A306" s="2" t="inlineStr">
        <is>
          <t>2025::jama.2025.16450::C010</t>
        </is>
      </c>
      <c r="B306" s="2" t="n">
        <v>0</v>
      </c>
      <c r="C306" s="2" t="inlineStr">
        <is>
          <t>Source evidence</t>
        </is>
      </c>
      <c r="D306" s="2" t="inlineStr">
        <is>
          <t>The header says Relative Risk (95% CI) or P-value; footnote b says marked low-prevalence rows use crude unadjusted odds ratios with exact 95% CIs as an approximation. Marked examples include .73, .65, and 2.64.</t>
        </is>
      </c>
    </row>
    <row r="307" ht="48" customHeight="1">
      <c r="A307" s="3" t="inlineStr">
        <is>
          <t>2025::jama.2025.16450::C010</t>
        </is>
      </c>
      <c r="B307" s="3" t="n">
        <v>1</v>
      </c>
      <c r="C307" s="3" t="inlineStr">
        <is>
          <t>Reported-versus-comparator</t>
        </is>
      </c>
      <c r="D307" s="3" t="inlineStr">
        <is>
          <t>Table-level RR header versus odds-ratio approximation footnote for superscript-b rows.</t>
        </is>
      </c>
    </row>
    <row r="308" ht="48" customHeight="1">
      <c r="A308" s="2" t="inlineStr">
        <is>
          <t>2025::jama.2025.16450::C010</t>
        </is>
      </c>
      <c r="B308" s="2" t="n">
        <v>2</v>
      </c>
      <c r="C308" s="2" t="inlineStr">
        <is>
          <t>Calculation</t>
        </is>
      </c>
      <c r="D308" s="2" t="inlineStr">
        <is>
          <t>(3 x 309)/(319 x 4) = 0.7265; (2 x 310)/(320 x 3) = 0.6458; (8 x 310)/(314 x 3) = 2.6327, close to .73, .65, and 2.64.</t>
        </is>
      </c>
    </row>
    <row r="309" ht="48" customHeight="1">
      <c r="A309" s="3" t="inlineStr">
        <is>
          <t>2025::jama.2025.16450::C010</t>
        </is>
      </c>
      <c r="B309" s="3" t="n">
        <v>3</v>
      </c>
      <c r="C309" s="3" t="inlineStr">
        <is>
          <t>Alternative source-grounded interpretations</t>
        </is>
      </c>
      <c r="D309" s="3" t="inlineStr">
        <is>
          <t>The header may name the target measure and the footnote the approximating estimator. Exact CI reproduction needs the specified exact-interval algorithm and row inputs.</t>
        </is>
      </c>
    </row>
    <row r="310" ht="74" customHeight="1">
      <c r="A310" s="2" t="inlineStr">
        <is>
          <t>2025::jama.2025.19563::C001</t>
        </is>
      </c>
      <c r="B310" s="2" t="n">
        <v>0</v>
      </c>
      <c r="C310" s="2" t="inlineStr">
        <is>
          <t>Source evidence</t>
        </is>
      </c>
      <c r="D310" s="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311" ht="48" customHeight="1">
      <c r="A311" s="3" t="inlineStr">
        <is>
          <t>2025::jama.2025.19563::C001</t>
        </is>
      </c>
      <c r="B311" s="3" t="n">
        <v>1</v>
      </c>
      <c r="C311" s="3" t="inlineStr">
        <is>
          <t>Reported-versus-comparator</t>
        </is>
      </c>
      <c r="D311" s="3" t="inlineStr">
        <is>
          <t>Protocol rule A or B or C versus reported/supplement rule (A or B or C) and D, where D means no diabetes-range A1C at the defined visits.</t>
        </is>
      </c>
    </row>
    <row r="312" ht="58" customHeight="1">
      <c r="A312" s="2" t="inlineStr">
        <is>
          <t>2025::jama.2025.19563::C001</t>
        </is>
      </c>
      <c r="B312" s="2" t="n">
        <v>2</v>
      </c>
      <c r="C312" s="2" t="inlineStr">
        <is>
          <t>Calculation</t>
        </is>
      </c>
      <c r="D312" s="2" t="inlineStr">
        <is>
          <t>A participant meeting A, B, or C while not meeting D is classified differently. The supplied table identifies 15 D-false instances, but does not show their component achievement; no affected count is calculated.</t>
        </is>
      </c>
    </row>
    <row r="313" ht="58" customHeight="1">
      <c r="A313" s="3" t="inlineStr">
        <is>
          <t>2025::jama.2025.19563::C001</t>
        </is>
      </c>
      <c r="B313" s="3" t="n">
        <v>3</v>
      </c>
      <c r="C313" s="3" t="inlineStr">
        <is>
          <t>Alternative source-grounded interpretations</t>
        </is>
      </c>
      <c r="D313" s="3" t="inlineStr">
        <is>
          <t>A dated protocol amendment or final SAP revision, not supplied, may have prospectively adopted the rule. The main-article grammar could be read narrowly, but the supplement's explicit global clause supports the broader reading.</t>
        </is>
      </c>
    </row>
    <row r="314" ht="48" customHeight="1">
      <c r="A314" s="2" t="inlineStr">
        <is>
          <t>2025::jama.2025.19563::C002</t>
        </is>
      </c>
      <c r="B314" s="2" t="n">
        <v>0</v>
      </c>
      <c r="C314" s="2" t="inlineStr">
        <is>
          <t>Source evidence</t>
        </is>
      </c>
      <c r="D314" s="2" t="inlineStr">
        <is>
          <t>The method rows list Afinion 282, A1CNow+ 30, and serum 0. The report states 313 complete outcomes; eTable 8c gives 26 and 29 missing A1C observations among 368 and states no missing A1C among completers.</t>
        </is>
      </c>
    </row>
    <row r="315" ht="48" customHeight="1">
      <c r="A315" s="3" t="inlineStr">
        <is>
          <t>2025::jama.2025.19563::C002</t>
        </is>
      </c>
      <c r="B315" s="3" t="n">
        <v>1</v>
      </c>
      <c r="C315" s="3" t="inlineStr">
        <is>
          <t>Reported-versus-comparator</t>
        </is>
      </c>
      <c r="D315" s="3" t="inlineStr">
        <is>
          <t>The follow-up device-method total versus the independently derived A1C-available/completer total in the same randomized arms and time point.</t>
        </is>
      </c>
    </row>
    <row r="316" ht="48" customHeight="1">
      <c r="A316" s="2" t="inlineStr">
        <is>
          <t>2025::jama.2025.19563::C002</t>
        </is>
      </c>
      <c r="B316" s="2" t="n">
        <v>2</v>
      </c>
      <c r="C316" s="2" t="inlineStr">
        <is>
          <t>Calculation</t>
        </is>
      </c>
      <c r="D316" s="2" t="inlineStr">
        <is>
          <t>282 + 30 + 0 = 312; 368 - (26 + 29) = 313; difference = 1. Baseline rows total 334 + 33 + 1 = 368, supporting but not proving exhaustiveness.</t>
        </is>
      </c>
    </row>
    <row r="317" ht="48" customHeight="1">
      <c r="A317" s="3" t="inlineStr">
        <is>
          <t>2025::jama.2025.19563::C002</t>
        </is>
      </c>
      <c r="B317" s="3" t="n">
        <v>3</v>
      </c>
      <c r="C317" s="3" t="inlineStr">
        <is>
          <t>Alternative source-grounded interpretations</t>
        </is>
      </c>
      <c r="D317" s="3" t="inlineStr">
        <is>
          <t>One result may use an unlisted method (the narrative names Siemens DCA Vantage), or the displayed table may omit an observation without changing availability.</t>
        </is>
      </c>
    </row>
    <row r="318" ht="48" customHeight="1">
      <c r="A318" s="2" t="inlineStr">
        <is>
          <t>2025::jama.2025.19563::C003</t>
        </is>
      </c>
      <c r="B318" s="2" t="n">
        <v>0</v>
      </c>
      <c r="C318" s="2" t="inlineStr">
        <is>
          <t>Source evidence</t>
        </is>
      </c>
      <c r="D318" s="2" t="inlineStr">
        <is>
          <t>Figure 3 prints AI 32.2 (28.2-35.9) and human 32.5 (29.3-37.7) kg/m² as baseline weight. Table 1 prints the identical triplets in its BMI row.</t>
        </is>
      </c>
    </row>
    <row r="319" ht="48" customHeight="1">
      <c r="A319" s="3" t="inlineStr">
        <is>
          <t>2025::jama.2025.19563::C003</t>
        </is>
      </c>
      <c r="B319" s="3" t="n">
        <v>1</v>
      </c>
      <c r="C319" s="3" t="inlineStr">
        <is>
          <t>Reported-versus-comparator</t>
        </is>
      </c>
      <c r="D319" s="3" t="inlineStr">
        <is>
          <t>Figure label/unit versus Table 1 measure label and exact arm-specific baseline values.</t>
        </is>
      </c>
    </row>
    <row r="320" ht="48" customHeight="1">
      <c r="A320" s="2" t="inlineStr">
        <is>
          <t>2025::jama.2025.19563::C003</t>
        </is>
      </c>
      <c r="B320" s="2" t="n">
        <v>2</v>
      </c>
      <c r="C320" s="2" t="inlineStr">
        <is>
          <t>Calculation</t>
        </is>
      </c>
      <c r="D320" s="2" t="inlineStr">
        <is>
          <t>All six displayed median/IQR values match exactly. No rounding tolerance or derived calculation is needed.</t>
        </is>
      </c>
    </row>
    <row r="321" ht="48" customHeight="1">
      <c r="A321" s="3" t="inlineStr">
        <is>
          <t>2025::jama.2025.19563::C003</t>
        </is>
      </c>
      <c r="B321" s="3" t="n">
        <v>3</v>
      </c>
      <c r="C321" s="3" t="inlineStr">
        <is>
          <t>Alternative source-grounded interpretations</t>
        </is>
      </c>
      <c r="D321" s="3" t="inlineStr">
        <is>
          <t>“Weight” may be shorthand or a carried-over figure label, but no literal weight-in-kilograms summary supports that interpretation.</t>
        </is>
      </c>
    </row>
    <row r="322" ht="58" customHeight="1">
      <c r="A322" s="2" t="inlineStr">
        <is>
          <t>2025::jama.2025.19563::C004</t>
        </is>
      </c>
      <c r="B322" s="2" t="n">
        <v>0</v>
      </c>
      <c r="C322" s="2" t="inlineStr">
        <is>
          <t>Source evidence</t>
        </is>
      </c>
      <c r="D322" s="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323" ht="58" customHeight="1">
      <c r="A323" s="3" t="inlineStr">
        <is>
          <t>2025::jama.2025.19563::C004</t>
        </is>
      </c>
      <c r="B323" s="3" t="n">
        <v>1</v>
      </c>
      <c r="C323" s="3" t="inlineStr">
        <is>
          <t>Reported-versus-comparator</t>
        </is>
      </c>
      <c r="D323" s="3" t="inlineStr">
        <is>
          <t>Repeated P-value text versus the distinct displayed contrasts beneath which it appears. A treatment-arm attribution is supported by the matched main Table 1 P = .01 at coarser precision, but is an inference rather than a direct eTable 3 observation.</t>
        </is>
      </c>
    </row>
    <row r="324" ht="48" customHeight="1">
      <c r="A324" s="2" t="inlineStr">
        <is>
          <t>2025::jama.2025.19563::C004</t>
        </is>
      </c>
      <c r="B324" s="2" t="n">
        <v>2</v>
      </c>
      <c r="C324" s="2" t="inlineStr">
        <is>
          <t>Calculation</t>
        </is>
      </c>
      <c r="D324" s="2" t="inlineStr">
        <is>
          <t>p = 0.014 is repeated four times. The site table's separately printed age p = 0.017 demonstrates a distinct table-specific contrast. Summary values cannot reproduce all relevant P values.</t>
        </is>
      </c>
    </row>
    <row r="325" ht="48" customHeight="1">
      <c r="A325" s="3" t="inlineStr">
        <is>
          <t>2025::jama.2025.19563::C004</t>
        </is>
      </c>
      <c r="B325" s="3" t="n">
        <v>3</v>
      </c>
      <c r="C325" s="3" t="inlineStr">
        <is>
          <t>Alternative source-grounded interpretations</t>
        </is>
      </c>
      <c r="D325" s="3" t="inlineStr">
        <is>
          <t>The note may intentionally restate a global randomized-arm fact, but placement does not state that scope; copied-footnote history is also possible.</t>
        </is>
      </c>
    </row>
    <row r="326" ht="48" customHeight="1">
      <c r="A326" s="2" t="inlineStr">
        <is>
          <t>2025::jama.2025.19563::C005</t>
        </is>
      </c>
      <c r="B326" s="2" t="n">
        <v>0</v>
      </c>
      <c r="C326" s="2" t="inlineStr">
        <is>
          <t>Source evidence</t>
        </is>
      </c>
      <c r="D326" s="2" t="inlineStr">
        <is>
          <t>Footnote 1 says no baseline characteristics were statistically significantly different between groups (p&lt;0.05). Footnote 2 says age differed (p = 0.014) and all other characteristics were similar (p &gt; 0.05).</t>
        </is>
      </c>
    </row>
    <row r="327" ht="48" customHeight="1">
      <c r="A327" s="3" t="inlineStr">
        <is>
          <t>2025::jama.2025.19563::C005</t>
        </is>
      </c>
      <c r="B327" s="3" t="n">
        <v>1</v>
      </c>
      <c r="C327" s="3" t="inlineStr">
        <is>
          <t>Reported-versus-comparator</t>
        </is>
      </c>
      <c r="D327" s="3" t="inlineStr">
        <is>
          <t>The no-significance sentence and its parenthetical inequality versus the same page's stated inequality convention.</t>
        </is>
      </c>
    </row>
    <row r="328" ht="48" customHeight="1">
      <c r="A328" s="2" t="inlineStr">
        <is>
          <t>2025::jama.2025.19563::C005</t>
        </is>
      </c>
      <c r="B328" s="2" t="n">
        <v>2</v>
      </c>
      <c r="C328" s="2" t="inlineStr">
        <is>
          <t>Calculation</t>
        </is>
      </c>
      <c r="D328" s="2" t="inlineStr">
        <is>
          <t>0.014 &lt; 0.05; the page calls that a difference and uses p &gt; 0.05 for similarity.</t>
        </is>
      </c>
    </row>
    <row r="329" ht="48" customHeight="1">
      <c r="A329" s="3" t="inlineStr">
        <is>
          <t>2025::jama.2025.19563::C005</t>
        </is>
      </c>
      <c r="B329" s="3" t="n">
        <v>3</v>
      </c>
      <c r="C329" s="3" t="inlineStr">
        <is>
          <t>Alternative source-grounded interpretations</t>
        </is>
      </c>
      <c r="D329" s="3" t="inlineStr">
        <is>
          <t>The less-than sign or sentence may be a typographical carryover, or an unstated test family/qualifier may be intended.</t>
        </is>
      </c>
    </row>
    <row r="330" ht="48" customHeight="1">
      <c r="A330" s="2" t="inlineStr">
        <is>
          <t>2025::jama.2025.19563::C006</t>
        </is>
      </c>
      <c r="B330" s="2" t="n">
        <v>0</v>
      </c>
      <c r="C330" s="2" t="inlineStr">
        <is>
          <t>Source evidence</t>
        </is>
      </c>
      <c r="D330" s="2" t="inlineStr">
        <is>
          <t>The method description specifies chi-squared for the between-group prohibited-medication proportion. eTable 10b prints AI 6/183 (3.3%), human 7/185 (3.8%), P = .793, with a Wilcoxon rank-sum footnote.</t>
        </is>
      </c>
    </row>
    <row r="331" ht="48" customHeight="1">
      <c r="A331" s="3" t="inlineStr">
        <is>
          <t>2025::jama.2025.19563::C006</t>
        </is>
      </c>
      <c r="B331" s="3" t="n">
        <v>1</v>
      </c>
      <c r="C331" s="3" t="inlineStr">
        <is>
          <t>Reported-versus-comparator</t>
        </is>
      </c>
      <c r="D331" s="3" t="inlineStr">
        <is>
          <t>The named-test label for the same randomized-arm binary proportion comparison in two supplement locations.</t>
        </is>
      </c>
    </row>
    <row r="332" ht="58" customHeight="1">
      <c r="A332" s="2" t="inlineStr">
        <is>
          <t>2025::jama.2025.19563::C006</t>
        </is>
      </c>
      <c r="B332" s="2" t="n">
        <v>2</v>
      </c>
      <c r="C332" s="2" t="inlineStr">
        <is>
          <t>Calculation</t>
        </is>
      </c>
      <c r="D332" s="2" t="inlineStr">
        <is>
          <t>6/183 = 3.28% and 7/185 = 3.78%, consistent with displayed percentages. An ordinary uncorrected two-proportion/Pearson diagnostic is approximately compatible with .793, but cannot identify the generating procedure.</t>
        </is>
      </c>
    </row>
    <row r="333" ht="48" customHeight="1">
      <c r="A333" s="3" t="inlineStr">
        <is>
          <t>2025::jama.2025.19563::C006</t>
        </is>
      </c>
      <c r="B333" s="3" t="n">
        <v>3</v>
      </c>
      <c r="C333" s="3" t="inlineStr">
        <is>
          <t>Alternative source-grounded interpretations</t>
        </is>
      </c>
      <c r="D333" s="3" t="inlineStr">
        <is>
          <t>The p. 29 description may be general, the p. 52 footnote may be copied, or a rank-based analysis of a binary indicator may have been used.</t>
        </is>
      </c>
    </row>
    <row r="334" ht="48" customHeight="1">
      <c r="A334" s="2" t="inlineStr">
        <is>
          <t>2025::jama.2025.19563::C007</t>
        </is>
      </c>
      <c r="B334" s="2" t="n">
        <v>0</v>
      </c>
      <c r="C334" s="2" t="inlineStr">
        <is>
          <t>Source evidence</t>
        </is>
      </c>
      <c r="D334" s="2" t="inlineStr">
        <is>
          <t>The methods describe 20-set MICE with Rubin's rules. eTable 16 gives MI-pooled percentages 32.2% (AI) and 31.9% (human), a risk difference of -1.1 percentage points, and a one-sided 95% lower bound of -11.5.</t>
        </is>
      </c>
    </row>
    <row r="335" ht="48" customHeight="1">
      <c r="A335" s="3" t="inlineStr">
        <is>
          <t>2025::jama.2025.19563::C007</t>
        </is>
      </c>
      <c r="B335" s="3" t="n">
        <v>1</v>
      </c>
      <c r="C335" s="3" t="inlineStr">
        <is>
          <t>Reported-versus-comparator</t>
        </is>
      </c>
      <c r="D335" s="3" t="inlineStr">
        <is>
          <t>The AI-minus-human risk-difference cell versus the direct subtraction of the displayed AI and human marginal percentages.</t>
        </is>
      </c>
    </row>
    <row r="336" ht="58" customHeight="1">
      <c r="A336" s="2" t="inlineStr">
        <is>
          <t>2025::jama.2025.19563::C007</t>
        </is>
      </c>
      <c r="B336" s="2" t="n">
        <v>2</v>
      </c>
      <c r="C336" s="2" t="inlineStr">
        <is>
          <t>Calculation</t>
        </is>
      </c>
      <c r="D336" s="2" t="inlineStr">
        <is>
          <t>32.2 - 31.9 = +0.3 percentage points. Values rounding to 32.2% and 31.9% imply an underlying displayed-value difference of approximately +0.2 to +0.4 percentage points, so ordinary one-decimal rounding cannot directly yield -1.1.</t>
        </is>
      </c>
    </row>
    <row r="337" ht="58" customHeight="1">
      <c r="A337" s="3" t="inlineStr">
        <is>
          <t>2025::jama.2025.19563::C007</t>
        </is>
      </c>
      <c r="B337" s="3" t="n">
        <v>3</v>
      </c>
      <c r="C337" s="3" t="inlineStr">
        <is>
          <t>Alternative source-grounded interpretations</t>
        </is>
      </c>
      <c r="D337" s="3" t="inlineStr">
        <is>
          <t>The risk difference may be adjusted or standardized under an unstated estimand, separately pooled on a different scale, use a reversed contrast, or reflect a production error. Full model, covariance, and per-imputation output are absent.</t>
        </is>
      </c>
    </row>
    <row r="338" ht="74" customHeight="1">
      <c r="A338" s="2" t="inlineStr">
        <is>
          <t>2025::jama.2025.19843::C001</t>
        </is>
      </c>
      <c r="B338" s="2" t="n">
        <v>0</v>
      </c>
      <c r="C338" s="2" t="inlineStr">
        <is>
          <t>Source evidence</t>
        </is>
      </c>
      <c r="D338" s="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339" ht="58" customHeight="1">
      <c r="A339" s="3" t="inlineStr">
        <is>
          <t>2025::jama.2025.19843::C001</t>
        </is>
      </c>
      <c r="B339" s="3" t="n">
        <v>1</v>
      </c>
      <c r="C339" s="3" t="inlineStr">
        <is>
          <t>Reported-versus-comparator</t>
        </is>
      </c>
      <c r="D339" s="3" t="inlineStr">
        <is>
          <t>Reported prose P value: .78 for the day-60 mortality result in DOC-001. Comparator: .56, expressly labelled Log-rank, for the matched day-60 mortality panel in DOC-004 eFigure 2. The matched counts, endpoint, time point, group labels, and treatment contrast align.</t>
        </is>
      </c>
    </row>
    <row r="340" ht="90" customHeight="1">
      <c r="A340" s="2" t="inlineStr">
        <is>
          <t>2025::jama.2025.19843::C001</t>
        </is>
      </c>
      <c r="B340" s="2" t="n">
        <v>2</v>
      </c>
      <c r="C340" s="2" t="inlineStr">
        <is>
          <t>Calculation</t>
        </is>
      </c>
      <c r="D340" s="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341" ht="74" customHeight="1">
      <c r="A341" s="3" t="inlineStr">
        <is>
          <t>2025::jama.2025.19843::C001</t>
        </is>
      </c>
      <c r="B341" s="3" t="n">
        <v>3</v>
      </c>
      <c r="C341" s="3" t="inlineStr">
        <is>
          <t>Alternative source-grounded interpretations</t>
        </is>
      </c>
      <c r="D341" s="3"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342" ht="48" customHeight="1">
      <c r="A342" s="2" t="inlineStr">
        <is>
          <t>2025::jama.2025.20765::C001</t>
        </is>
      </c>
      <c r="B342" s="2" t="n">
        <v>0</v>
      </c>
      <c r="C342" s="2" t="inlineStr">
        <is>
          <t>Source evidence</t>
        </is>
      </c>
      <c r="D342" s="2" t="inlineStr">
        <is>
          <t>Adjusted RR is printed as 2.8 (1.9 to 42); the same row's crude RR is 2.7 (1.8 to 4.1).</t>
        </is>
      </c>
    </row>
    <row r="343" ht="48" customHeight="1">
      <c r="A343" s="3" t="inlineStr">
        <is>
          <t>2025::jama.2025.20765::C001</t>
        </is>
      </c>
      <c r="B343" s="3" t="n">
        <v>1</v>
      </c>
      <c r="C343" s="3" t="inlineStr">
        <is>
          <t>Reported-versus-comparator</t>
        </is>
      </c>
      <c r="D343" s="3" t="inlineStr">
        <is>
          <t>Printed upper endpoint 42 versus the same-row estimate and companion interval context.</t>
        </is>
      </c>
    </row>
    <row r="344" ht="48" customHeight="1">
      <c r="A344" s="2" t="inlineStr">
        <is>
          <t>2025::jama.2025.20765::C001</t>
        </is>
      </c>
      <c r="B344" s="2" t="n">
        <v>2</v>
      </c>
      <c r="C344" s="2" t="inlineStr">
        <is>
          <t>Calculation</t>
        </is>
      </c>
      <c r="D344" s="2" t="inlineStr">
        <is>
          <t>42/2.8=15.0; 1.9/2.8=0.6786. Ordinary rounding cannot convert 42 to 4.2.</t>
        </is>
      </c>
    </row>
    <row r="345" ht="48" customHeight="1">
      <c r="A345" s="3" t="inlineStr">
        <is>
          <t>2025::jama.2025.20765::C001</t>
        </is>
      </c>
      <c r="B345" s="3" t="n">
        <v>3</v>
      </c>
      <c r="C345" s="3" t="inlineStr">
        <is>
          <t>Alternative source-grounded interpretations</t>
        </is>
      </c>
      <c r="D345" s="3" t="inlineStr">
        <is>
          <t>A genuinely wide asymmetric interval remains possible under the stated mixed-effects model; the package lacks coefficient, SE, and model-output details.</t>
        </is>
      </c>
    </row>
    <row r="346" ht="48" customHeight="1">
      <c r="A346" s="2" t="inlineStr">
        <is>
          <t>2025::jama.2025.20765::C002</t>
        </is>
      </c>
      <c r="B346" s="2" t="n">
        <v>0</v>
      </c>
      <c r="C346" s="2" t="inlineStr">
        <is>
          <t>Source evidence</t>
        </is>
      </c>
      <c r="D346" s="2" t="inlineStr">
        <is>
          <t>The discussion says 4.8% died of TB; Table 2 gives 25/720 and 27/360 deaths, and eTable 4 classifies 32/52 deaths as TB cause.</t>
        </is>
      </c>
    </row>
    <row r="347" ht="48" customHeight="1">
      <c r="A347" s="3" t="inlineStr">
        <is>
          <t>2025::jama.2025.20765::C002</t>
        </is>
      </c>
      <c r="B347" s="3" t="n">
        <v>1</v>
      </c>
      <c r="C347" s="3" t="inlineStr">
        <is>
          <t>Reported-versus-comparator</t>
        </is>
      </c>
      <c r="D347" s="3" t="inlineStr">
        <is>
          <t>4.8% labelled TB deaths versus 52/1080 all-cause deaths and 32/1080 TB-cause deaths.</t>
        </is>
      </c>
    </row>
    <row r="348" ht="48" customHeight="1">
      <c r="A348" s="2" t="inlineStr">
        <is>
          <t>2025::jama.2025.20765::C002</t>
        </is>
      </c>
      <c r="B348" s="2" t="n">
        <v>2</v>
      </c>
      <c r="C348" s="2" t="inlineStr">
        <is>
          <t>Calculation</t>
        </is>
      </c>
      <c r="D348" s="2" t="inlineStr">
        <is>
          <t>52/1080×100=4.81% (4.8%); 32/1080×100=2.96% (3.0%).</t>
        </is>
      </c>
    </row>
    <row r="349" ht="48" customHeight="1">
      <c r="A349" s="3" t="inlineStr">
        <is>
          <t>2025::jama.2025.20765::C002</t>
        </is>
      </c>
      <c r="B349" s="3" t="n">
        <v>3</v>
      </c>
      <c r="C349" s="3" t="inlineStr">
        <is>
          <t>Alternative source-grounded interpretations</t>
        </is>
      </c>
      <c r="D349" s="3" t="inlineStr">
        <is>
          <t>“Died of TB” could be loose contextual wording; eTable 4 is the explicit cause classification and no alternate TB-death denominator is supplied.</t>
        </is>
      </c>
    </row>
    <row r="350" ht="48" customHeight="1">
      <c r="A350" s="2" t="inlineStr">
        <is>
          <t>2025::jama.2025.20765::C003</t>
        </is>
      </c>
      <c r="B350" s="2" t="n">
        <v>0</v>
      </c>
      <c r="C350" s="2" t="inlineStr">
        <is>
          <t>Source evidence</t>
        </is>
      </c>
      <c r="D350" s="2" t="inlineStr">
        <is>
          <t>178 SMS over six months; first two months 4-5/day, next two 2-3/day, final two 1-2/week.</t>
        </is>
      </c>
    </row>
    <row r="351" ht="48" customHeight="1">
      <c r="A351" s="3" t="inlineStr">
        <is>
          <t>2025::jama.2025.20765::C003</t>
        </is>
      </c>
      <c r="B351" s="3" t="n">
        <v>1</v>
      </c>
      <c r="C351" s="3" t="inlineStr">
        <is>
          <t>Reported-versus-comparator</t>
        </is>
      </c>
      <c r="D351" s="3" t="inlineStr">
        <is>
          <t>Printed total 178 versus the schedule's conservative minimum.</t>
        </is>
      </c>
    </row>
    <row r="352" ht="48" customHeight="1">
      <c r="A352" s="2" t="inlineStr">
        <is>
          <t>2025::jama.2025.20765::C003</t>
        </is>
      </c>
      <c r="B352" s="2" t="n">
        <v>2</v>
      </c>
      <c r="C352" s="2" t="inlineStr">
        <is>
          <t>Calculation</t>
        </is>
      </c>
      <c r="D352" s="2" t="inlineStr">
        <is>
          <t>2×28×4 + 2×28×2 + 8×1=344, 166 above 178; at 30-day months, 368.</t>
        </is>
      </c>
    </row>
    <row r="353" ht="48" customHeight="1">
      <c r="A353" s="3" t="inlineStr">
        <is>
          <t>2025::jama.2025.20765::C003</t>
        </is>
      </c>
      <c r="B353" s="3" t="n">
        <v>3</v>
      </c>
      <c r="C353" s="3" t="inlineStr">
        <is>
          <t>Alternative source-grounded interpretations</t>
        </is>
      </c>
      <c r="D353" s="3" t="inlineStr">
        <is>
          <t>“Message” may mean a send, template, or another undefined unit; frequency, duration, or total may be from unlabelled plan states.</t>
        </is>
      </c>
    </row>
    <row r="354" ht="48" customHeight="1">
      <c r="A354" s="2" t="inlineStr">
        <is>
          <t>2025::jama.2025.20765::C004</t>
        </is>
      </c>
      <c r="B354" s="2" t="n">
        <v>0</v>
      </c>
      <c r="C354" s="2" t="inlineStr">
        <is>
          <t>Source evidence</t>
        </is>
      </c>
      <c r="D354" s="2" t="inlineStr">
        <is>
          <t>Both locations describe the 2,384-participant plan, approximately 50 recruits, 10% missing primary outcome, 16 pilot participants, and matching Phase-3/4 allocation assumptions, but list 44 and 48 sites.</t>
        </is>
      </c>
    </row>
    <row r="355" ht="48" customHeight="1">
      <c r="A355" s="3" t="inlineStr">
        <is>
          <t>2025::jama.2025.20765::C004</t>
        </is>
      </c>
      <c r="B355" s="3" t="n">
        <v>1</v>
      </c>
      <c r="C355" s="3" t="inlineStr">
        <is>
          <t>Reported-versus-comparator</t>
        </is>
      </c>
      <c r="D355" s="3" t="inlineStr">
        <is>
          <t>44 versus 48 sites for the same printed plan.</t>
        </is>
      </c>
    </row>
    <row r="356" ht="48" customHeight="1">
      <c r="A356" s="2" t="inlineStr">
        <is>
          <t>2025::jama.2025.20765::C004</t>
        </is>
      </c>
      <c r="B356" s="2" t="n">
        <v>2</v>
      </c>
      <c r="C356" s="2" t="inlineStr">
        <is>
          <t>Calculation</t>
        </is>
      </c>
      <c r="D356" s="2" t="inlineStr">
        <is>
          <t>2384/44=54.18; 2384/48=49.67; the latter aligns with approximately 50.</t>
        </is>
      </c>
    </row>
    <row r="357" ht="48" customHeight="1">
      <c r="A357" s="3" t="inlineStr">
        <is>
          <t>2025::jama.2025.20765::C004</t>
        </is>
      </c>
      <c r="B357" s="3" t="n">
        <v>3</v>
      </c>
      <c r="C357" s="3" t="inlineStr">
        <is>
          <t>Alternative source-grounded interpretations</t>
        </is>
      </c>
      <c r="D357" s="3" t="inlineStr">
        <is>
          <t>Facility/clinic definitions or amendment chronology may differ but are not supplied.</t>
        </is>
      </c>
    </row>
    <row r="358" ht="48" customHeight="1">
      <c r="A358" s="2" t="inlineStr">
        <is>
          <t>2025::jama.2025.20765::C005</t>
        </is>
      </c>
      <c r="B358" s="2" t="n">
        <v>0</v>
      </c>
      <c r="C358" s="2" t="inlineStr">
        <is>
          <t>Source evidence</t>
        </is>
      </c>
      <c r="D358" s="2" t="inlineStr">
        <is>
          <t>134 SMS over six months; first two months 4-5/day, next two 1-2/day, final two 1/week.</t>
        </is>
      </c>
    </row>
    <row r="359" ht="48" customHeight="1">
      <c r="A359" s="3" t="inlineStr">
        <is>
          <t>2025::jama.2025.20765::C005</t>
        </is>
      </c>
      <c r="B359" s="3" t="n">
        <v>1</v>
      </c>
      <c r="C359" s="3" t="inlineStr">
        <is>
          <t>Reported-versus-comparator</t>
        </is>
      </c>
      <c r="D359" s="3" t="inlineStr">
        <is>
          <t>Printed total 134 versus schedule minimum.</t>
        </is>
      </c>
    </row>
    <row r="360" ht="48" customHeight="1">
      <c r="A360" s="2" t="inlineStr">
        <is>
          <t>2025::jama.2025.20765::C005</t>
        </is>
      </c>
      <c r="B360" s="2" t="n">
        <v>2</v>
      </c>
      <c r="C360" s="2" t="inlineStr">
        <is>
          <t>Calculation</t>
        </is>
      </c>
      <c r="D360" s="2" t="inlineStr">
        <is>
          <t>2×28×4 + 2×28×1 + 8×1=288, 154 above 134; the 30-day calculation is 308.</t>
        </is>
      </c>
    </row>
    <row r="361" ht="48" customHeight="1">
      <c r="A361" s="3" t="inlineStr">
        <is>
          <t>2025::jama.2025.20765::C005</t>
        </is>
      </c>
      <c r="B361" s="3" t="n">
        <v>3</v>
      </c>
      <c r="C361" s="3" t="inlineStr">
        <is>
          <t>Alternative source-grounded interpretations</t>
        </is>
      </c>
      <c r="D361" s="3" t="inlineStr">
        <is>
          <t>Unique-template versus send units or an unlabelled version may explain the text; p. 80 has a different 134-message schedule but does not label p. 53 as a separate plan state.</t>
        </is>
      </c>
    </row>
    <row r="362" ht="48" customHeight="1">
      <c r="A362" s="2" t="inlineStr">
        <is>
          <t>2025::jama.2025.20765::C006</t>
        </is>
      </c>
      <c r="B362" s="2" t="n">
        <v>0</v>
      </c>
      <c r="C362" s="2" t="inlineStr">
        <is>
          <t>Source evidence</t>
        </is>
      </c>
      <c r="D362" s="2" t="inlineStr">
        <is>
          <t>Header 30%; narrative 20% in Phase 3 and all in Phase 4; equations 10×40×20%=80, 8×40×20%=64, 11×45=495, and 7×45=315.</t>
        </is>
      </c>
    </row>
    <row r="363" ht="48" customHeight="1">
      <c r="A363" s="3" t="inlineStr">
        <is>
          <t>2025::jama.2025.20765::C006</t>
        </is>
      </c>
      <c r="B363" s="3" t="n">
        <v>1</v>
      </c>
      <c r="C363" s="3" t="inlineStr">
        <is>
          <t>Reported-versus-comparator</t>
        </is>
      </c>
      <c r="D363" s="3" t="inlineStr">
        <is>
          <t>30% header versus 20%/100% phase-specific calculation.</t>
        </is>
      </c>
    </row>
    <row r="364" ht="48" customHeight="1">
      <c r="A364" s="2" t="inlineStr">
        <is>
          <t>2025::jama.2025.20765::C006</t>
        </is>
      </c>
      <c r="B364" s="2" t="n">
        <v>2</v>
      </c>
      <c r="C364" s="2" t="inlineStr">
        <is>
          <t>Calculation</t>
        </is>
      </c>
      <c r="D364" s="2" t="inlineStr">
        <is>
          <t>80+64=144=20% of 720 Phase-3 A participants; 495+315=810=100% of Phase-4 A participants.</t>
        </is>
      </c>
    </row>
    <row r="365" ht="48" customHeight="1">
      <c r="A365" s="3" t="inlineStr">
        <is>
          <t>2025::jama.2025.20765::C006</t>
        </is>
      </c>
      <c r="B365" s="3" t="n">
        <v>3</v>
      </c>
      <c r="C365" s="3" t="inlineStr">
        <is>
          <t>Alternative source-grounded interpretations</t>
        </is>
      </c>
      <c r="D365" s="3" t="inlineStr">
        <is>
          <t>30% could refer to an unstated pooled or earlier target.</t>
        </is>
      </c>
    </row>
    <row r="366" ht="48" customHeight="1">
      <c r="A366" s="2" t="inlineStr">
        <is>
          <t>2025::jama.2025.20765::C007</t>
        </is>
      </c>
      <c r="B366" s="2" t="n">
        <v>0</v>
      </c>
      <c r="C366" s="2" t="inlineStr">
        <is>
          <t>Source evidence</t>
        </is>
      </c>
      <c r="D366" s="2" t="inlineStr">
        <is>
          <t>p. 48 and the pp. 51-52 diagram give 2,716 participants, 63 sites (27+36), and approximately 43/site; p. 62 gives 2,716, approximately 50 from 48 clinics.</t>
        </is>
      </c>
    </row>
    <row r="367" ht="48" customHeight="1">
      <c r="A367" s="3" t="inlineStr">
        <is>
          <t>2025::jama.2025.20765::C007</t>
        </is>
      </c>
      <c r="B367" s="3" t="n">
        <v>1</v>
      </c>
      <c r="C367" s="3" t="inlineStr">
        <is>
          <t>Reported-versus-comparator</t>
        </is>
      </c>
      <c r="D367" s="3" t="inlineStr">
        <is>
          <t>Same plan total with 48/~50 versus 63/~43.</t>
        </is>
      </c>
    </row>
    <row r="368" ht="48" customHeight="1">
      <c r="A368" s="2" t="inlineStr">
        <is>
          <t>2025::jama.2025.20765::C007</t>
        </is>
      </c>
      <c r="B368" s="2" t="n">
        <v>2</v>
      </c>
      <c r="C368" s="2" t="inlineStr">
        <is>
          <t>Calculation</t>
        </is>
      </c>
      <c r="D368" s="2" t="inlineStr">
        <is>
          <t>2716/63=43.11; 2716/48=56.58; site counts differ by 15.</t>
        </is>
      </c>
    </row>
    <row r="369" ht="48" customHeight="1">
      <c r="A369" s="3" t="inlineStr">
        <is>
          <t>2025::jama.2025.20765::C007</t>
        </is>
      </c>
      <c r="B369" s="3" t="n">
        <v>3</v>
      </c>
      <c r="C369" s="3" t="inlineStr">
        <is>
          <t>Alternative source-grounded interpretations</t>
        </is>
      </c>
      <c r="D369" s="3" t="inlineStr">
        <is>
          <t>The 48 clinics may be an unstated subset or earlier plan.</t>
        </is>
      </c>
    </row>
    <row r="370" ht="48" customHeight="1">
      <c r="A370" s="2" t="inlineStr">
        <is>
          <t>2025::jama.2025.20765::C008</t>
        </is>
      </c>
      <c r="B370" s="2" t="n">
        <v>0</v>
      </c>
      <c r="C370" s="2" t="inlineStr">
        <is>
          <t>Source evidence</t>
        </is>
      </c>
      <c r="D370" s="2" t="inlineStr">
        <is>
          <t>864+(864×0.2)=1036; 1036/36=29; DE=1+0.02(29-1)=1.56; ESS=1036×1.56=1620; diagram 36×45=1620.</t>
        </is>
      </c>
    </row>
    <row r="371" ht="48" customHeight="1">
      <c r="A371" s="3" t="inlineStr">
        <is>
          <t>2025::jama.2025.20765::C008</t>
        </is>
      </c>
      <c r="B371" s="3" t="n">
        <v>1</v>
      </c>
      <c r="C371" s="3" t="inlineStr">
        <is>
          <t>Reported-versus-comparator</t>
        </is>
      </c>
      <c r="D371" s="3" t="inlineStr">
        <is>
          <t>Displayed 1036×1.56=1620 versus exact product and the separate site-target total.</t>
        </is>
      </c>
    </row>
    <row r="372" ht="48" customHeight="1">
      <c r="A372" s="2" t="inlineStr">
        <is>
          <t>2025::jama.2025.20765::C008</t>
        </is>
      </c>
      <c r="B372" s="2" t="n">
        <v>2</v>
      </c>
      <c r="C372" s="2" t="inlineStr">
        <is>
          <t>Calculation</t>
        </is>
      </c>
      <c r="D372" s="2" t="inlineStr">
        <is>
          <t>864×1.2=1036.8; 1036×1.56=1616.16; 36×45=1620.</t>
        </is>
      </c>
    </row>
    <row r="373" ht="48" customHeight="1">
      <c r="A373" s="3" t="inlineStr">
        <is>
          <t>2025::jama.2025.20765::C008</t>
        </is>
      </c>
      <c r="B373" s="3" t="n">
        <v>3</v>
      </c>
      <c r="C373" s="3" t="inlineStr">
        <is>
          <t>Alternative source-grounded interpretations</t>
        </is>
      </c>
      <c r="D373" s="3" t="inlineStr">
        <is>
          <t>A cluster-level ceiling/allocation step can explain 1,620 but is not stated.</t>
        </is>
      </c>
    </row>
    <row r="374" ht="48" customHeight="1">
      <c r="A374" s="2" t="inlineStr">
        <is>
          <t>2025::jama.2025.20765::C009</t>
        </is>
      </c>
      <c r="B374" s="2" t="n">
        <v>0</v>
      </c>
      <c r="C374" s="2" t="inlineStr">
        <is>
          <t>Source evidence</t>
        </is>
      </c>
      <c r="D374" s="2" t="inlineStr">
        <is>
          <t>Local text says Phase 4, noninferiority, A vs B, 36 sites, 1,620 participants; diagram says “Total clusters in Phase 3 (Superiority trial) = 36 sites.”</t>
        </is>
      </c>
    </row>
    <row r="375" ht="48" customHeight="1">
      <c r="A375" s="3" t="inlineStr">
        <is>
          <t>2025::jama.2025.20765::C009</t>
        </is>
      </c>
      <c r="B375" s="3" t="n">
        <v>1</v>
      </c>
      <c r="C375" s="3" t="inlineStr">
        <is>
          <t>Reported-versus-comparator</t>
        </is>
      </c>
      <c r="D375" s="3" t="inlineStr">
        <is>
          <t>Phase-3/Superiority label versus local Phase-4/noninferiority plan.</t>
        </is>
      </c>
    </row>
    <row r="376" ht="48" customHeight="1">
      <c r="A376" s="2" t="inlineStr">
        <is>
          <t>2025::jama.2025.20765::C009</t>
        </is>
      </c>
      <c r="B376" s="2" t="n">
        <v>2</v>
      </c>
      <c r="C376" s="2" t="inlineStr">
        <is>
          <t>Calculation</t>
        </is>
      </c>
      <c r="D376" s="2" t="inlineStr">
        <is>
          <t>18+18=36; 36×45=1620; the separate Phase-3 plan uses 27 sites and 1,080 participants.</t>
        </is>
      </c>
    </row>
    <row r="377" ht="48" customHeight="1">
      <c r="A377" s="3" t="inlineStr">
        <is>
          <t>2025::jama.2025.20765::C009</t>
        </is>
      </c>
      <c r="B377" s="3" t="n">
        <v>3</v>
      </c>
      <c r="C377" s="3" t="inlineStr">
        <is>
          <t>Alternative source-grounded interpretations</t>
        </is>
      </c>
      <c r="D377" s="3" t="inlineStr">
        <is>
          <t>A carry-over caption is plausible but not established by the supplied record.</t>
        </is>
      </c>
    </row>
    <row r="378" ht="48" customHeight="1">
      <c r="A378" s="2" t="inlineStr">
        <is>
          <t>2025::jama.2025.20765::C010</t>
        </is>
      </c>
      <c r="B378" s="2" t="n">
        <v>0</v>
      </c>
      <c r="C378" s="2" t="inlineStr">
        <is>
          <t>Source evidence</t>
        </is>
      </c>
      <c r="D378" s="2" t="inlineStr">
        <is>
          <t>p. 63 gives N=587+(587×0.2)=704, 27 sites, 704/27=26, DE=1+0.02(26−1)=1.50, and ESS=704×1.50≈1080 (40/site); p. 83 repeats 704, 26, DE 1.50, and 1080/40/site.</t>
        </is>
      </c>
    </row>
    <row r="379" ht="48" customHeight="1">
      <c r="A379" s="3" t="inlineStr">
        <is>
          <t>2025::jama.2025.20765::C010</t>
        </is>
      </c>
      <c r="B379" s="3" t="n">
        <v>1</v>
      </c>
      <c r="C379" s="3" t="inlineStr">
        <is>
          <t>Reported-versus-comparator</t>
        </is>
      </c>
      <c r="D379" s="3" t="inlineStr">
        <is>
          <t>704×1.50≈1080 and “effective sample size” versus exact multiplication and the independent 27×40=1080 cluster allocation.</t>
        </is>
      </c>
    </row>
    <row r="380" ht="48" customHeight="1">
      <c r="A380" s="2" t="inlineStr">
        <is>
          <t>2025::jama.2025.20765::C010</t>
        </is>
      </c>
      <c r="B380" s="2" t="n">
        <v>2</v>
      </c>
      <c r="C380" s="2" t="inlineStr">
        <is>
          <t>Calculation</t>
        </is>
      </c>
      <c r="D380" s="2" t="inlineStr">
        <is>
          <t>704×1.50=1056; 1080/704=1.5341; 27×40=1080.</t>
        </is>
      </c>
    </row>
    <row r="381" ht="48" customHeight="1">
      <c r="A381" s="3" t="inlineStr">
        <is>
          <t>2025::jama.2025.20765::C010</t>
        </is>
      </c>
      <c r="B381" s="3" t="n">
        <v>3</v>
      </c>
      <c r="C381" s="3" t="inlineStr">
        <is>
          <t>Alternative source-grounded interpretations</t>
        </is>
      </c>
      <c r="D381" s="3" t="inlineStr">
        <is>
          <t>The 1,056 design-effect-inflated target may have been rounded upward to 40 per site; that is plausible but unstated, and 1,080 is not asserted impossible.</t>
        </is>
      </c>
    </row>
    <row r="382" ht="48" customHeight="1">
      <c r="A382" s="2" t="inlineStr">
        <is>
          <t>2025::jama.2025.20765::C011</t>
        </is>
      </c>
      <c r="B382" s="2" t="n">
        <v>0</v>
      </c>
      <c r="C382" s="2" t="inlineStr">
        <is>
          <t>Source evidence</t>
        </is>
      </c>
      <c r="D382" s="2" t="inlineStr">
        <is>
          <t>MPSS has five domains rated on a 5-point scale and summed 5-35.</t>
        </is>
      </c>
    </row>
    <row r="383" ht="48" customHeight="1">
      <c r="A383" s="3" t="inlineStr">
        <is>
          <t>2025::jama.2025.20765::C011</t>
        </is>
      </c>
      <c r="B383" s="3" t="n">
        <v>1</v>
      </c>
      <c r="C383" s="3" t="inlineStr">
        <is>
          <t>Reported-versus-comparator</t>
        </is>
      </c>
      <c r="D383" s="3" t="inlineStr">
        <is>
          <t>Printed 5-35 range versus the stated five-domain 5-point description.</t>
        </is>
      </c>
    </row>
    <row r="384" ht="48" customHeight="1">
      <c r="A384" s="2" t="inlineStr">
        <is>
          <t>2025::jama.2025.20765::C011</t>
        </is>
      </c>
      <c r="B384" s="2" t="n">
        <v>2</v>
      </c>
      <c r="C384" s="2" t="inlineStr">
        <is>
          <t>Calculation</t>
        </is>
      </c>
      <c r="D384" s="2" t="inlineStr">
        <is>
          <t>Under ordinary 1-to-5 coding, five items span 5×1=5 to 5×5=25, not 35.</t>
        </is>
      </c>
    </row>
    <row r="385" ht="48" customHeight="1">
      <c r="A385" s="3" t="inlineStr">
        <is>
          <t>2025::jama.2025.20765::C011</t>
        </is>
      </c>
      <c r="B385" s="3" t="n">
        <v>3</v>
      </c>
      <c r="C385" s="3" t="inlineStr">
        <is>
          <t>Alternative source-grounded interpretations</t>
        </is>
      </c>
      <c r="D385" s="3" t="inlineStr">
        <is>
          <t>Additional items, non-unit coding, weights, anchors, or transformation could yield 35; none is supplied.</t>
        </is>
      </c>
    </row>
    <row r="386" ht="48" customHeight="1">
      <c r="A386" s="2" t="inlineStr">
        <is>
          <t>2025::jama.2025.20765::C012</t>
        </is>
      </c>
      <c r="B386" s="2" t="n">
        <v>0</v>
      </c>
      <c r="C386" s="2" t="inlineStr">
        <is>
          <t>Source evidence</t>
        </is>
      </c>
      <c r="D386" s="2" t="inlineStr">
        <is>
          <t>eTable 5 gives site 2008 recruitment/ITT denominator 40; eTable 6 gives 5 (7.5%) deaths without printing a denominator.</t>
        </is>
      </c>
    </row>
    <row r="387" ht="48" customHeight="1">
      <c r="A387" s="3" t="inlineStr">
        <is>
          <t>2025::jama.2025.20765::C012</t>
        </is>
      </c>
      <c r="B387" s="3" t="n">
        <v>1</v>
      </c>
      <c r="C387" s="3" t="inlineStr">
        <is>
          <t>Reported-versus-comparator</t>
        </is>
      </c>
      <c r="D387" s="3" t="inlineStr">
        <is>
          <t>5 deaths (7.5%) versus matched same-site 40-person recruitment/ITT denominator.</t>
        </is>
      </c>
    </row>
    <row r="388" ht="48" customHeight="1">
      <c r="A388" s="2" t="inlineStr">
        <is>
          <t>2025::jama.2025.20765::C012</t>
        </is>
      </c>
      <c r="B388" s="2" t="n">
        <v>2</v>
      </c>
      <c r="C388" s="2" t="inlineStr">
        <is>
          <t>Calculation</t>
        </is>
      </c>
      <c r="D388" s="2" t="inlineStr">
        <is>
          <t>If denominator is 40, 5/40×100=12.5%; 5/0.075=66.67, and no 66-67 site population is supplied.</t>
        </is>
      </c>
    </row>
    <row r="389" ht="48" customHeight="1">
      <c r="A389" s="3" t="inlineStr">
        <is>
          <t>2025::jama.2025.20765::C012</t>
        </is>
      </c>
      <c r="B389" s="3" t="n">
        <v>3</v>
      </c>
      <c r="C389" s="3" t="inlineStr">
        <is>
          <t>Alternative source-grounded interpretations</t>
        </is>
      </c>
      <c r="D389" s="3" t="inlineStr">
        <is>
          <t>A distinct unprinted death denominator may exist.</t>
        </is>
      </c>
    </row>
    <row r="390" ht="48" customHeight="1">
      <c r="A390" s="2" t="inlineStr">
        <is>
          <t>2025::jama.2025.20765::C013</t>
        </is>
      </c>
      <c r="B390" s="2" t="n">
        <v>0</v>
      </c>
      <c r="C390" s="2" t="inlineStr">
        <is>
          <t>Source evidence</t>
        </is>
      </c>
      <c r="D390" s="2" t="inlineStr">
        <is>
          <t>p. 16 says 178 SMS; pp. 53 and 80 say 134 with differing schedules; pp. 101-109 show a 1-134 log; main p. 3 reports 134 unique messages as 100+30+4.</t>
        </is>
      </c>
    </row>
    <row r="391" ht="48" customHeight="1">
      <c r="A391" s="3" t="inlineStr">
        <is>
          <t>2025::jama.2025.20765::C013</t>
        </is>
      </c>
      <c r="B391" s="3" t="n">
        <v>1</v>
      </c>
      <c r="C391" s="3" t="inlineStr">
        <is>
          <t>Reported-versus-comparator</t>
        </is>
      </c>
      <c r="D391" s="3" t="inlineStr">
        <is>
          <t>178 versus 134 for matched six-month intervention dose.</t>
        </is>
      </c>
    </row>
    <row r="392" ht="48" customHeight="1">
      <c r="A392" s="2" t="inlineStr">
        <is>
          <t>2025::jama.2025.20765::C013</t>
        </is>
      </c>
      <c r="B392" s="2" t="n">
        <v>2</v>
      </c>
      <c r="C392" s="2" t="inlineStr">
        <is>
          <t>Calculation</t>
        </is>
      </c>
      <c r="D392" s="2" t="inlineStr">
        <is>
          <t>178−134=44; 100+30+4=134; the log begins at 1 and ends at 134.</t>
        </is>
      </c>
    </row>
    <row r="393" ht="48" customHeight="1">
      <c r="A393" s="3" t="inlineStr">
        <is>
          <t>2025::jama.2025.20765::C013</t>
        </is>
      </c>
      <c r="B393" s="3" t="n">
        <v>3</v>
      </c>
      <c r="C393" s="3" t="inlineStr">
        <is>
          <t>Alternative source-grounded interpretations</t>
        </is>
      </c>
      <c r="D393" s="3" t="inlineStr">
        <is>
          <t>A formal amendment is plausible, but supplied material does not explicitly link the 178-message passage to the later 134-message regimen or establish what participants received.</t>
        </is>
      </c>
    </row>
    <row r="394" ht="48" customHeight="1">
      <c r="A394" s="2" t="inlineStr">
        <is>
          <t>2025::jama.2025.24175::C001</t>
        </is>
      </c>
      <c r="B394" s="2" t="n">
        <v>0</v>
      </c>
      <c r="C394" s="2" t="inlineStr">
        <is>
          <t>Source evidence</t>
        </is>
      </c>
      <c r="D394" s="2" t="inlineStr">
        <is>
          <t>Table 2 prints precision immunotherapy 52/131 (39.7%) versus placebo 34/145 (23.4%); the narrative prints 51 of 131 (39.7%) versus 34 of 145 (23.4%) for the same endpoint.</t>
        </is>
      </c>
    </row>
    <row r="395" ht="48" customHeight="1">
      <c r="A395" s="3" t="inlineStr">
        <is>
          <t>2025::jama.2025.24175::C001</t>
        </is>
      </c>
      <c r="B395" s="3" t="n">
        <v>1</v>
      </c>
      <c r="C395" s="3" t="inlineStr">
        <is>
          <t>Reported-versus-comparator</t>
        </is>
      </c>
      <c r="D395" s="3" t="inlineStr">
        <is>
          <t>52/131 versus 51/131, with the same displayed 39.7% and placebo comparator.</t>
        </is>
      </c>
    </row>
    <row r="396" ht="48" customHeight="1">
      <c r="A396" s="2" t="inlineStr">
        <is>
          <t>2025::jama.2025.24175::C001</t>
        </is>
      </c>
      <c r="B396" s="2" t="n">
        <v>2</v>
      </c>
      <c r="C396" s="2" t="inlineStr">
        <is>
          <t>Calculation</t>
        </is>
      </c>
      <c r="D396" s="2" t="inlineStr">
        <is>
          <t>52/131 = 39.6947% (39.7% rounded); 51/131 = 38.9313% (38.9% rounded). Table-2 counts yield crude OR (52x111)/(79x34) = 2.15.</t>
        </is>
      </c>
    </row>
    <row r="397" ht="48" customHeight="1">
      <c r="A397" s="3" t="inlineStr">
        <is>
          <t>2025::jama.2025.24175::C001</t>
        </is>
      </c>
      <c r="B397" s="3" t="n">
        <v>3</v>
      </c>
      <c r="C397" s="3" t="inlineStr">
        <is>
          <t>Alternative source-grounded interpretations</t>
        </is>
      </c>
      <c r="D397" s="3" t="inlineStr">
        <is>
          <t>A table or narrative transcription error is possible; an undocumented analysis-set distinction is possible but both locations print denominator 131.</t>
        </is>
      </c>
    </row>
    <row r="398" ht="48" customHeight="1">
      <c r="A398" s="2" t="inlineStr">
        <is>
          <t>2025::jama.2025.24175::C002</t>
        </is>
      </c>
      <c r="B398" s="2" t="n">
        <v>0</v>
      </c>
      <c r="C398" s="2" t="inlineStr">
        <is>
          <t>Source evidence</t>
        </is>
      </c>
      <c r="D398" s="2" t="inlineStr">
        <is>
          <t>Direct protocol rendering prints sc rhIFNgamma 100 micrograms once every other day; the report prints 100 micrograms every 48 hours for 15 days.</t>
        </is>
      </c>
    </row>
    <row r="399" ht="48" customHeight="1">
      <c r="A399" s="3" t="inlineStr">
        <is>
          <t>2025::jama.2025.24175::C002</t>
        </is>
      </c>
      <c r="B399" s="3" t="n">
        <v>1</v>
      </c>
      <c r="C399" s="3" t="inlineStr">
        <is>
          <t>Reported-versus-comparator</t>
        </is>
      </c>
      <c r="D399" s="3" t="inlineStr">
        <is>
          <t>Directly printed 100 micrograms versus 100 micrograms, not the prior 100-versus-20 comparison.</t>
        </is>
      </c>
    </row>
    <row r="400" ht="48" customHeight="1">
      <c r="A400" s="2" t="inlineStr">
        <is>
          <t>2025::jama.2025.24175::C002</t>
        </is>
      </c>
      <c r="B400" s="2" t="n">
        <v>2</v>
      </c>
      <c r="C400" s="2" t="inlineStr">
        <is>
          <t>Calculation</t>
        </is>
      </c>
      <c r="D400" s="2" t="inlineStr">
        <is>
          <t>100/100 = 1.</t>
        </is>
      </c>
    </row>
    <row r="401" ht="48" customHeight="1">
      <c r="A401" s="3" t="inlineStr">
        <is>
          <t>2025::jama.2025.24175::C002</t>
        </is>
      </c>
      <c r="B401" s="3" t="n">
        <v>3</v>
      </c>
      <c r="C401" s="3" t="inlineStr">
        <is>
          <t>Alternative source-grounded interpretations</t>
        </is>
      </c>
      <c r="D401" s="3" t="inlineStr">
        <is>
          <t>The 20-microgram locator transcription may reflect font encoding; an unsupplied approved protocol version remains unavailable.</t>
        </is>
      </c>
    </row>
    <row r="402" ht="48" customHeight="1">
      <c r="A402" s="2" t="inlineStr">
        <is>
          <t>2025::jama.2025.24175::C003</t>
        </is>
      </c>
      <c r="B402" s="2" t="n">
        <v>0</v>
      </c>
      <c r="C402" s="2" t="inlineStr">
        <is>
          <t>Source evidence</t>
        </is>
      </c>
      <c r="D402" s="2" t="inlineStr">
        <is>
          <t>Direct protocol, report, and SAP occurrences print a 1.4-point responder cutoff; SAP defines &gt;1.4 as achievement.</t>
        </is>
      </c>
    </row>
    <row r="403" ht="48" customHeight="1">
      <c r="A403" s="3" t="inlineStr">
        <is>
          <t>2025::jama.2025.24175::C003</t>
        </is>
      </c>
      <c r="B403" s="3" t="n">
        <v>1</v>
      </c>
      <c r="C403" s="3" t="inlineStr">
        <is>
          <t>Reported-versus-comparator</t>
        </is>
      </c>
      <c r="D403" s="3" t="inlineStr">
        <is>
          <t>1.4 versus 1.4 in matched supplied sources, not 1.5 versus 1.4.</t>
        </is>
      </c>
    </row>
    <row r="404" ht="48" customHeight="1">
      <c r="A404" s="2" t="inlineStr">
        <is>
          <t>2025::jama.2025.24175::C003</t>
        </is>
      </c>
      <c r="B404" s="2" t="n">
        <v>2</v>
      </c>
      <c r="C404" s="2" t="inlineStr">
        <is>
          <t>Calculation</t>
        </is>
      </c>
      <c r="D404" s="2" t="inlineStr">
        <is>
          <t>1.4 - 1.4 = 0.</t>
        </is>
      </c>
    </row>
    <row r="405" ht="48" customHeight="1">
      <c r="A405" s="3" t="inlineStr">
        <is>
          <t>2025::jama.2025.24175::C003</t>
        </is>
      </c>
      <c r="B405" s="3" t="n">
        <v>3</v>
      </c>
      <c r="C405" s="3" t="inlineStr">
        <is>
          <t>Alternative source-grounded interpretations</t>
        </is>
      </c>
      <c r="D405" s="3" t="inlineStr">
        <is>
          <t>The 1.5 value may be derivative-text recognition error; an unsupplied protocol version may differ.</t>
        </is>
      </c>
    </row>
    <row r="406" ht="48" customHeight="1">
      <c r="A406" s="2" t="inlineStr">
        <is>
          <t>2025::jama.2025.24175::C004</t>
        </is>
      </c>
      <c r="B406" s="2" t="n">
        <v>0</v>
      </c>
      <c r="C406" s="2" t="inlineStr">
        <is>
          <t>Source evidence</t>
        </is>
      </c>
      <c r="D406" s="2" t="inlineStr">
        <is>
          <t>Entry classification is ferritin at or below 4420 ng/mL plus HLA-DR below 5000 molecules/monocyte. SAP p. 69 prints restoration above 8000 for day-15 reversal.</t>
        </is>
      </c>
    </row>
    <row r="407" ht="48" customHeight="1">
      <c r="A407" s="3" t="inlineStr">
        <is>
          <t>2025::jama.2025.24175::C004</t>
        </is>
      </c>
      <c r="B407" s="3" t="n">
        <v>1</v>
      </c>
      <c r="C407" s="3" t="inlineStr">
        <is>
          <t>Reported-versus-comparator</t>
        </is>
      </c>
      <c r="D407" s="3" t="inlineStr">
        <is>
          <t>Entry threshold 5000 versus separately defined reversal threshold 8000.</t>
        </is>
      </c>
    </row>
    <row r="408" ht="48" customHeight="1">
      <c r="A408" s="2" t="inlineStr">
        <is>
          <t>2025::jama.2025.24175::C004</t>
        </is>
      </c>
      <c r="B408" s="2" t="n">
        <v>2</v>
      </c>
      <c r="C408" s="2" t="inlineStr">
        <is>
          <t>Calculation</t>
        </is>
      </c>
      <c r="D408" s="2" t="inlineStr">
        <is>
          <t>Matched entry sources agree at 5000; no 8000-versus-5000 entry comparison is present.</t>
        </is>
      </c>
    </row>
    <row r="409" ht="48" customHeight="1">
      <c r="A409" s="3" t="inlineStr">
        <is>
          <t>2025::jama.2025.24175::C004</t>
        </is>
      </c>
      <c r="B409" s="3" t="n">
        <v>3</v>
      </c>
      <c r="C409" s="3" t="inlineStr">
        <is>
          <t>Alternative source-grounded interpretations</t>
        </is>
      </c>
      <c r="D409" s="3" t="inlineStr">
        <is>
          <t>The prior record may have transferred the reversal value into entry classification; an unsupplied entry definition is unavailable.</t>
        </is>
      </c>
    </row>
    <row r="410" ht="48" customHeight="1">
      <c r="A410" s="2" t="inlineStr">
        <is>
          <t>2025::jama.2025.24175::C005</t>
        </is>
      </c>
      <c r="B410" s="2" t="n">
        <v>0</v>
      </c>
      <c r="C410" s="2" t="inlineStr">
        <is>
          <t>Source evidence</t>
        </is>
      </c>
      <c r="D410" s="2" t="inlineStr">
        <is>
          <t>The source does not print the prior 112-per-arm premise; it prints 117 patients per arm, about 15% dropout, and N=280.</t>
        </is>
      </c>
    </row>
    <row r="411" ht="48" customHeight="1">
      <c r="A411" s="3" t="inlineStr">
        <is>
          <t>2025::jama.2025.24175::C005</t>
        </is>
      </c>
      <c r="B411" s="3" t="n">
        <v>1</v>
      </c>
      <c r="C411" s="3" t="inlineStr">
        <is>
          <t>Reported-versus-comparator</t>
        </is>
      </c>
      <c r="D411" s="3" t="inlineStr">
        <is>
          <t>Required analyzable total 234 versus planned randomization 280 under an approximate attrition statement.</t>
        </is>
      </c>
    </row>
    <row r="412" ht="48" customHeight="1">
      <c r="A412" s="2" t="inlineStr">
        <is>
          <t>2025::jama.2025.24175::C005</t>
        </is>
      </c>
      <c r="B412" s="2" t="n">
        <v>2</v>
      </c>
      <c r="C412" s="2" t="inlineStr">
        <is>
          <t>Calculation</t>
        </is>
      </c>
      <c r="D412" s="2" t="inlineStr">
        <is>
          <t>2x117 = 234; 234/(1-.15) = 275.29 (conventionally at least 276); 1-234/280 = 16.43%.</t>
        </is>
      </c>
    </row>
    <row r="413" ht="48" customHeight="1">
      <c r="A413" s="3" t="inlineStr">
        <is>
          <t>2025::jama.2025.24175::C005</t>
        </is>
      </c>
      <c r="B413" s="3" t="n">
        <v>3</v>
      </c>
      <c r="C413" s="3" t="inlineStr">
        <is>
          <t>Alternative source-grounded interpretations</t>
        </is>
      </c>
      <c r="D413" s="3" t="inlineStr">
        <is>
          <t>Conservative rounding to 280, approximately 16.4% attrition, or unstated block/operational inflation could explain the residual.</t>
        </is>
      </c>
    </row>
    <row r="414" ht="48" customHeight="1">
      <c r="A414" s="2" t="inlineStr">
        <is>
          <t>2025::jama.2025.24175::C006</t>
        </is>
      </c>
      <c r="B414" s="2" t="n">
        <v>0</v>
      </c>
      <c r="C414" s="2" t="inlineStr">
        <is>
          <t>Source evidence</t>
        </is>
      </c>
      <c r="D414" s="2" t="inlineStr">
        <is>
          <t>Narrative reports 18/21 (85.7%) placebo and 14/15 (93.3%) personalized-immunotherapy deaths at 28 days; Figure 1 reports early termination because of death n=18 and n=11.</t>
        </is>
      </c>
    </row>
    <row r="415" ht="48" customHeight="1">
      <c r="A415" s="3" t="inlineStr">
        <is>
          <t>2025::jama.2025.24175::C006</t>
        </is>
      </c>
      <c r="B415" s="3" t="n">
        <v>1</v>
      </c>
      <c r="C415" s="3" t="inlineStr">
        <is>
          <t>Reported-versus-comparator</t>
        </is>
      </c>
      <c r="D415" s="3" t="inlineStr">
        <is>
          <t>Personalized arm 14 versus 11; placebo count 18 agrees.</t>
        </is>
      </c>
    </row>
    <row r="416" ht="48" customHeight="1">
      <c r="A416" s="2" t="inlineStr">
        <is>
          <t>2025::jama.2025.24175::C006</t>
        </is>
      </c>
      <c r="B416" s="2" t="n">
        <v>2</v>
      </c>
      <c r="C416" s="2" t="inlineStr">
        <is>
          <t>Calculation</t>
        </is>
      </c>
      <c r="D416" s="2" t="inlineStr">
        <is>
          <t>14/15 = 93.3%; 11/15 = 73.3%; difference = 3 people.</t>
        </is>
      </c>
    </row>
    <row r="417" ht="48" customHeight="1">
      <c r="A417" s="3" t="inlineStr">
        <is>
          <t>2025::jama.2025.24175::C006</t>
        </is>
      </c>
      <c r="B417" s="3" t="n">
        <v>3</v>
      </c>
      <c r="C417" s="3" t="inlineStr">
        <is>
          <t>Alternative source-grounded interpretations</t>
        </is>
      </c>
      <c r="D417" s="3" t="inlineStr">
        <is>
          <t>Figure 1 may represent a shorter intervention-termination window; its time window is not stated.</t>
        </is>
      </c>
    </row>
    <row r="418" ht="48" customHeight="1">
      <c r="A418" s="2" t="inlineStr">
        <is>
          <t>2025::jama.2025.24175::C007</t>
        </is>
      </c>
      <c r="B418" s="2" t="n">
        <v>0</v>
      </c>
      <c r="C418" s="2" t="inlineStr">
        <is>
          <t>Source evidence</t>
        </is>
      </c>
      <c r="D418" s="2" t="inlineStr">
        <is>
          <t>Placebo n=21, 18.2 +/- 8.7; personalized immunotherapy n=15, 30.5 +/- 9.4; P=.376; footnote identifies Student t test.</t>
        </is>
      </c>
    </row>
    <row r="419" ht="48" customHeight="1">
      <c r="A419" s="3" t="inlineStr">
        <is>
          <t>2025::jama.2025.24175::C007</t>
        </is>
      </c>
      <c r="B419" s="3" t="n">
        <v>1</v>
      </c>
      <c r="C419" s="3" t="inlineStr">
        <is>
          <t>Reported-versus-comparator</t>
        </is>
      </c>
      <c r="D419" s="3" t="inlineStr">
        <is>
          <t>Printed P=.376 versus diagnostics from the displayed group summaries and named test.</t>
        </is>
      </c>
    </row>
    <row r="420" ht="48" customHeight="1">
      <c r="A420" s="2" t="inlineStr">
        <is>
          <t>2025::jama.2025.24175::C007</t>
        </is>
      </c>
      <c r="B420" s="2" t="n">
        <v>2</v>
      </c>
      <c r="C420" s="2" t="inlineStr">
        <is>
          <t>Calculation</t>
        </is>
      </c>
      <c r="D420" s="2" t="inlineStr">
        <is>
          <t>Pooled SD about 9.00, SE about 3.04, t about 4.05 (34 df; two-sided P about .0003); Welch t about 3.99 (about 29 df; P about .0004).</t>
        </is>
      </c>
    </row>
    <row r="421" ht="48" customHeight="1">
      <c r="A421" s="3" t="inlineStr">
        <is>
          <t>2025::jama.2025.24175::C007</t>
        </is>
      </c>
      <c r="B421" s="3" t="n">
        <v>3</v>
      </c>
      <c r="C421" s="3" t="inlineStr">
        <is>
          <t>Alternative source-grounded interpretations</t>
        </is>
      </c>
      <c r="D421" s="3" t="inlineStr">
        <is>
          <t>P may be transposed, an input may be inaccurate, or an unreported transformed/different dataset analysis may have been used.</t>
        </is>
      </c>
    </row>
    <row r="422" ht="48" customHeight="1">
      <c r="A422" s="2" t="inlineStr">
        <is>
          <t>2025::jama.2025.24175::C008</t>
        </is>
      </c>
      <c r="B422" s="2" t="n">
        <v>0</v>
      </c>
      <c r="C422" s="2" t="inlineStr">
        <is>
          <t>Source evidence</t>
        </is>
      </c>
      <c r="D422" s="2" t="inlineStr">
        <is>
          <t>Parent septic shock =177; children MALS 44 (24.8%), immunoparalysis 2 (1.1%), intermediate 132 (74.0%).</t>
        </is>
      </c>
    </row>
    <row r="423" ht="48" customHeight="1">
      <c r="A423" s="3" t="inlineStr">
        <is>
          <t>2025::jama.2025.24175::C008</t>
        </is>
      </c>
      <c r="B423" s="3" t="n">
        <v>1</v>
      </c>
      <c r="C423" s="3" t="inlineStr">
        <is>
          <t>Reported-versus-comparator</t>
        </is>
      </c>
      <c r="D423" s="3" t="inlineStr">
        <is>
          <t>Parent 177 versus displayed child total 178.</t>
        </is>
      </c>
    </row>
    <row r="424" ht="48" customHeight="1">
      <c r="A424" s="2" t="inlineStr">
        <is>
          <t>2025::jama.2025.24175::C008</t>
        </is>
      </c>
      <c r="B424" s="2" t="n">
        <v>2</v>
      </c>
      <c r="C424" s="2" t="inlineStr">
        <is>
          <t>Calculation</t>
        </is>
      </c>
      <c r="D424" s="2" t="inlineStr">
        <is>
          <t>44+2+132 = 178; percentages total 99.9% from rounding, but integer children exceed parent by one.</t>
        </is>
      </c>
    </row>
    <row r="425" ht="48" customHeight="1">
      <c r="A425" s="3" t="inlineStr">
        <is>
          <t>2025::jama.2025.24175::C008</t>
        </is>
      </c>
      <c r="B425" s="3" t="n">
        <v>3</v>
      </c>
      <c r="C425" s="3" t="inlineStr">
        <is>
          <t>Alternative source-grounded interpretations</t>
        </is>
      </c>
      <c r="D425" s="3" t="inlineStr">
        <is>
          <t>One count or parent total may be typographic, or an unstated overlap/unclassified case may exist.</t>
        </is>
      </c>
    </row>
    <row r="426" ht="48" customHeight="1">
      <c r="A426" s="2" t="inlineStr">
        <is>
          <t>2025::jama.2025.24175::C009</t>
        </is>
      </c>
      <c r="B426" s="2" t="n">
        <v>0</v>
      </c>
      <c r="C426" s="2" t="inlineStr">
        <is>
          <t>Source evidence</t>
        </is>
      </c>
      <c r="D426" s="2" t="inlineStr">
        <is>
          <t>Protocol and SAP design print 24 sites, SAP model text says 31 participated, and the report prints 33 sites.</t>
        </is>
      </c>
    </row>
    <row r="427" ht="48" customHeight="1">
      <c r="A427" s="3" t="inlineStr">
        <is>
          <t>2025::jama.2025.24175::C009</t>
        </is>
      </c>
      <c r="B427" s="3" t="n">
        <v>1</v>
      </c>
      <c r="C427" s="3" t="inlineStr">
        <is>
          <t>Reported-versus-comparator</t>
        </is>
      </c>
      <c r="D427" s="3" t="inlineStr">
        <is>
          <t>Repaired direct values 24, 31, and 33; prior 28 and report p.1 citation were not reproduced.</t>
        </is>
      </c>
    </row>
    <row r="428" ht="48" customHeight="1">
      <c r="A428" s="2" t="inlineStr">
        <is>
          <t>2025::jama.2025.24175::C009</t>
        </is>
      </c>
      <c r="B428" s="2" t="n">
        <v>2</v>
      </c>
      <c r="C428" s="2" t="inlineStr">
        <is>
          <t>Calculation</t>
        </is>
      </c>
      <c r="D428" s="2" t="inlineStr">
        <is>
          <t>The three integers cannot be reconciled by rounding; protocol and SAP design share 24.</t>
        </is>
      </c>
    </row>
    <row r="429" ht="48" customHeight="1">
      <c r="A429" s="3" t="inlineStr">
        <is>
          <t>2025::jama.2025.24175::C009</t>
        </is>
      </c>
      <c r="B429" s="3" t="n">
        <v>3</v>
      </c>
      <c r="C429" s="3" t="inlineStr">
        <is>
          <t>Alternative source-grounded interpretations</t>
        </is>
      </c>
      <c r="D429" s="3" t="inlineStr">
        <is>
          <t>They may describe different operational milestones, but chronology and definitions are absent.</t>
        </is>
      </c>
    </row>
    <row r="430" ht="48" customHeight="1">
      <c r="A430" s="2" t="inlineStr">
        <is>
          <t>2025::jama.2025.24175::C010</t>
        </is>
      </c>
      <c r="B430" s="2" t="n">
        <v>0</v>
      </c>
      <c r="C430" s="2" t="inlineStr">
        <is>
          <t>Source evidence</t>
        </is>
      </c>
      <c r="D430" s="2" t="inlineStr">
        <is>
          <t>Figure 2C shows 69/103 deaths versus 37/89 and labels RR_death 2.82 (1.58-5.14), P&lt;.0001; Figure 3 prints HR 2.82 (1.58-5.14).</t>
        </is>
      </c>
    </row>
    <row r="431" ht="48" customHeight="1">
      <c r="A431" s="3" t="inlineStr">
        <is>
          <t>2025::jama.2025.24175::C010</t>
        </is>
      </c>
      <c r="B431" s="3" t="n">
        <v>1</v>
      </c>
      <c r="C431" s="3" t="inlineStr">
        <is>
          <t>Reported-versus-comparator</t>
        </is>
      </c>
      <c r="D431" s="3" t="inlineStr">
        <is>
          <t>RR label/value 2.82 versus crude RR 1.61 and identical nearby HR 2.82.</t>
        </is>
      </c>
    </row>
    <row r="432" ht="48" customHeight="1">
      <c r="A432" s="2" t="inlineStr">
        <is>
          <t>2025::jama.2025.24175::C010</t>
        </is>
      </c>
      <c r="B432" s="2" t="n">
        <v>2</v>
      </c>
      <c r="C432" s="2" t="inlineStr">
        <is>
          <t>Calculation</t>
        </is>
      </c>
      <c r="D432" s="2" t="inlineStr">
        <is>
          <t>(69/103)/(37/89) = 1.61; (69x52)/(34x37) = 2.85, compatible with 2.82.</t>
        </is>
      </c>
    </row>
    <row r="433" ht="48" customHeight="1">
      <c r="A433" s="3" t="inlineStr">
        <is>
          <t>2025::jama.2025.24175::C010</t>
        </is>
      </c>
      <c r="B433" s="3" t="n">
        <v>3</v>
      </c>
      <c r="C433" s="3" t="inlineStr">
        <is>
          <t>Alternative source-grounded interpretations</t>
        </is>
      </c>
      <c r="D433" s="3" t="inlineStr">
        <is>
          <t>The value may be HR, OR, another model output, or paired with count rows from a different analysis; source does not resolve it. P&lt;.0001 is threshold notation and not this card's basis.</t>
        </is>
      </c>
    </row>
    <row r="434" ht="48" customHeight="1">
      <c r="A434" s="2" t="inlineStr">
        <is>
          <t>2025::jama.2025.24175::C011</t>
        </is>
      </c>
      <c r="B434" s="2" t="n">
        <v>0</v>
      </c>
      <c r="C434" s="2" t="inlineStr">
        <is>
          <t>Source evidence</t>
        </is>
      </c>
      <c r="D434" s="2" t="inlineStr">
        <is>
          <t>SII day-15 row prints 40/106 versus 29/122, OR 1.194 (1.09-3.45), P=.030.</t>
        </is>
      </c>
    </row>
    <row r="435" ht="48" customHeight="1">
      <c r="A435" s="3" t="inlineStr">
        <is>
          <t>2025::jama.2025.24175::C011</t>
        </is>
      </c>
      <c r="B435" s="3" t="n">
        <v>1</v>
      </c>
      <c r="C435" s="3" t="inlineStr">
        <is>
          <t>Reported-versus-comparator</t>
        </is>
      </c>
      <c r="D435" s="3" t="inlineStr">
        <is>
          <t>Printed 1.194 versus count-derived OR about 1.94 and CI log midpoint about 1.94.</t>
        </is>
      </c>
    </row>
    <row r="436" ht="48" customHeight="1">
      <c r="A436" s="2" t="inlineStr">
        <is>
          <t>2025::jama.2025.24175::C011</t>
        </is>
      </c>
      <c r="B436" s="2" t="n">
        <v>2</v>
      </c>
      <c r="C436" s="2" t="inlineStr">
        <is>
          <t>Calculation</t>
        </is>
      </c>
      <c r="D436" s="2" t="inlineStr">
        <is>
          <t>(40x93)/(66x29) = 1.94; sqrt(1.09x3.45) about 1.94.</t>
        </is>
      </c>
    </row>
    <row r="437" ht="48" customHeight="1">
      <c r="A437" s="3" t="inlineStr">
        <is>
          <t>2025::jama.2025.24175::C011</t>
        </is>
      </c>
      <c r="B437" s="3" t="n">
        <v>3</v>
      </c>
      <c r="C437" s="3" t="inlineStr">
        <is>
          <t>Alternative source-grounded interpretations</t>
        </is>
      </c>
      <c r="D437" s="3" t="inlineStr">
        <is>
          <t>Decimal/transcription error or a differently defined analysis pairing may explain the row.</t>
        </is>
      </c>
    </row>
    <row r="438" ht="58" customHeight="1">
      <c r="A438" s="2" t="inlineStr">
        <is>
          <t>2025::jama.2025.24175::C012</t>
        </is>
      </c>
      <c r="B438" s="2" t="n">
        <v>0</v>
      </c>
      <c r="C438" s="2" t="inlineStr">
        <is>
          <t>Source evidence</t>
        </is>
      </c>
      <c r="D438" s="2" t="inlineStr">
        <is>
          <t>eFigure 7B prints APACHE 0.47 and interaction 1.85; CCI 0.22 and interaction 5.79; SOFA 0.56 and interaction 3.08, with their CIs/P values. eFigure 8B repeats all six rows exactly under a 28-day mortality caption; A panels have different event/total data.</t>
        </is>
      </c>
    </row>
    <row r="439" ht="48" customHeight="1">
      <c r="A439" s="3" t="inlineStr">
        <is>
          <t>2025::jama.2025.24175::C012</t>
        </is>
      </c>
      <c r="B439" s="3" t="n">
        <v>1</v>
      </c>
      <c r="C439" s="3" t="inlineStr">
        <is>
          <t>Reported-versus-comparator</t>
        </is>
      </c>
      <c r="D439" s="3" t="inlineStr">
        <is>
          <t>Complete six-row primary-endpoint output versus identical six-row 28-day-mortality output.</t>
        </is>
      </c>
    </row>
    <row r="440" ht="48" customHeight="1">
      <c r="A440" s="2" t="inlineStr">
        <is>
          <t>2025::jama.2025.24175::C012</t>
        </is>
      </c>
      <c r="B440" s="2" t="n">
        <v>2</v>
      </c>
      <c r="C440" s="2" t="inlineStr">
        <is>
          <t>Calculation</t>
        </is>
      </c>
      <c r="D440" s="2" t="inlineStr">
        <is>
          <t>Six point estimates, intervals, and P values are identical across the two panels.</t>
        </is>
      </c>
    </row>
    <row r="441" ht="48" customHeight="1">
      <c r="A441" s="3" t="inlineStr">
        <is>
          <t>2025::jama.2025.24175::C012</t>
        </is>
      </c>
      <c r="B441" s="3" t="n">
        <v>3</v>
      </c>
      <c r="C441" s="3" t="inlineStr">
        <is>
          <t>Alternative source-grounded interpretations</t>
        </is>
      </c>
      <c r="D441" s="3" t="inlineStr">
        <is>
          <t>A copied panel or incorrect caption is possible; source-production files are unavailable and no specific mechanism is established.</t>
        </is>
      </c>
    </row>
    <row r="442" ht="48" customHeight="1">
      <c r="A442" s="2" t="inlineStr">
        <is>
          <t>2025::jama.2025.24175::C013</t>
        </is>
      </c>
      <c r="B442" s="2" t="n">
        <v>0</v>
      </c>
      <c r="C442" s="2" t="inlineStr">
        <is>
          <t>Source evidence</t>
        </is>
      </c>
      <c r="D442" s="2" t="inlineStr">
        <is>
          <t>APACHE II &gt;=25 interaction row prints OR 0.11, 95% CI 0.36-3.42, P=.86.</t>
        </is>
      </c>
    </row>
    <row r="443" ht="48" customHeight="1">
      <c r="A443" s="3" t="inlineStr">
        <is>
          <t>2025::jama.2025.24175::C013</t>
        </is>
      </c>
      <c r="B443" s="3" t="n">
        <v>1</v>
      </c>
      <c r="C443" s="3" t="inlineStr">
        <is>
          <t>Reported-versus-comparator</t>
        </is>
      </c>
      <c r="D443" s="3" t="inlineStr">
        <is>
          <t>Point estimate 0.11 versus interval lower endpoint 0.36.</t>
        </is>
      </c>
    </row>
    <row r="444" ht="48" customHeight="1">
      <c r="A444" s="2" t="inlineStr">
        <is>
          <t>2025::jama.2025.24175::C013</t>
        </is>
      </c>
      <c r="B444" s="2" t="n">
        <v>2</v>
      </c>
      <c r="C444" s="2" t="inlineStr">
        <is>
          <t>Calculation</t>
        </is>
      </c>
      <c r="D444" s="2" t="inlineStr">
        <is>
          <t>0.11 &lt; 0.36; rounding cannot span the difference.</t>
        </is>
      </c>
    </row>
    <row r="445" ht="48" customHeight="1">
      <c r="A445" s="3" t="inlineStr">
        <is>
          <t>2025::jama.2025.24175::C013</t>
        </is>
      </c>
      <c r="B445" s="3" t="n">
        <v>3</v>
      </c>
      <c r="C445" s="3" t="inlineStr">
        <is>
          <t>Alternative source-grounded interpretations</t>
        </is>
      </c>
      <c r="D445" s="3" t="inlineStr">
        <is>
          <t>A point estimate, endpoint, or row alignment may be wrong; source does not identify which component.</t>
        </is>
      </c>
    </row>
    <row r="446" ht="48" customHeight="1">
      <c r="A446" s="2" t="inlineStr">
        <is>
          <t>2025::jama.2025.24175::C014</t>
        </is>
      </c>
      <c r="B446" s="2" t="n">
        <v>0</v>
      </c>
      <c r="C446" s="2" t="inlineStr">
        <is>
          <t>Source evidence</t>
        </is>
      </c>
      <c r="D446" s="2" t="inlineStr">
        <is>
          <t>Actual p.41 pairs are 18/21 (85.7%) and 14/15 (93.3%) and reconcile. The alleged p.42 pairs are absent; p.48 values 10 (47.6%) and 12 (80.0%) are unrelated rows.</t>
        </is>
      </c>
    </row>
    <row r="447" ht="48" customHeight="1">
      <c r="A447" s="3" t="inlineStr">
        <is>
          <t>2025::jama.2025.24175::C014</t>
        </is>
      </c>
      <c r="B447" s="3" t="n">
        <v>1</v>
      </c>
      <c r="C447" s="3" t="inlineStr">
        <is>
          <t>Reported-versus-comparator</t>
        </is>
      </c>
      <c r="D447" s="3" t="inlineStr">
        <is>
          <t>Unsupported assembled alleged pairs versus directly printed coherent p.41 mortality pairs.</t>
        </is>
      </c>
    </row>
    <row r="448" ht="48" customHeight="1">
      <c r="A448" s="2" t="inlineStr">
        <is>
          <t>2025::jama.2025.24175::C014</t>
        </is>
      </c>
      <c r="B448" s="2" t="n">
        <v>2</v>
      </c>
      <c r="C448" s="2" t="inlineStr">
        <is>
          <t>Calculation</t>
        </is>
      </c>
      <c r="D448" s="2" t="inlineStr">
        <is>
          <t>18/21 = 85.7%; 14/15 = 93.3%.</t>
        </is>
      </c>
    </row>
    <row r="449" ht="48" customHeight="1">
      <c r="A449" s="3" t="inlineStr">
        <is>
          <t>2025::jama.2025.24175::C014</t>
        </is>
      </c>
      <c r="B449" s="3" t="n">
        <v>3</v>
      </c>
      <c r="C449" s="3" t="inlineStr">
        <is>
          <t>Alternative source-grounded interpretations</t>
        </is>
      </c>
      <c r="D449" s="3" t="inlineStr">
        <is>
          <t>The prior record may have combined a Figure 1 count with unrelated Table 2 values and a shifted page citation; an outside source is unavailable.</t>
        </is>
      </c>
    </row>
    <row r="450" ht="74" customHeight="1">
      <c r="A450" s="2" t="inlineStr">
        <is>
          <t>2025::jama.2025.4390::C001</t>
        </is>
      </c>
      <c r="B450" s="2" t="n">
        <v>0</v>
      </c>
      <c r="C450" s="2" t="inlineStr">
        <is>
          <t>Source evidence</t>
        </is>
      </c>
      <c r="D450" s="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451" ht="48" customHeight="1">
      <c r="A451" s="3" t="inlineStr">
        <is>
          <t>2025::jama.2025.4390::C001</t>
        </is>
      </c>
      <c r="B451" s="3" t="n">
        <v>1</v>
      </c>
      <c r="C451" s="3" t="inlineStr">
        <is>
          <t>Reported-versus-comparator</t>
        </is>
      </c>
      <c r="D451" s="3" t="inlineStr">
        <is>
          <t>Reported Figure 3 values: 71.0/71.0 under the printed rate header. Matched comparator: Table 2 2.30/2.44 per 100 patient-years, with abstract/narrative rounding to 2.3/2.4.</t>
        </is>
      </c>
    </row>
    <row r="452" ht="74" customHeight="1">
      <c r="A452" s="2" t="inlineStr">
        <is>
          <t>2025::jama.2025.4390::C001</t>
        </is>
      </c>
      <c r="B452" s="2" t="n">
        <v>2</v>
      </c>
      <c r="C452" s="2" t="inlineStr">
        <is>
          <t>Calculation</t>
        </is>
      </c>
      <c r="D452" s="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453" ht="58" customHeight="1">
      <c r="A453" s="3" t="inlineStr">
        <is>
          <t>2025::jama.2025.4390::C001</t>
        </is>
      </c>
      <c r="B453" s="3" t="n">
        <v>3</v>
      </c>
      <c r="C453" s="3" t="inlineStr">
        <is>
          <t>Alternative source-grounded interpretations</t>
        </is>
      </c>
      <c r="D453" s="3"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454" ht="58" customHeight="1">
      <c r="A454" s="2" t="inlineStr">
        <is>
          <t>2025::jama.2025.4390::C002</t>
        </is>
      </c>
      <c r="B454" s="2" t="n">
        <v>0</v>
      </c>
      <c r="C454" s="2" t="inlineStr">
        <is>
          <t>Source evidence</t>
        </is>
      </c>
      <c r="D454" s="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455" ht="48" customHeight="1">
      <c r="A455" s="3" t="inlineStr">
        <is>
          <t>2025::jama.2025.4390::C002</t>
        </is>
      </c>
      <c r="B455" s="3" t="n">
        <v>1</v>
      </c>
      <c r="C455" s="3" t="inlineStr">
        <is>
          <t>Reported-versus-comparator</t>
        </is>
      </c>
      <c r="D455" s="3" t="inlineStr">
        <is>
          <t>Reported figure triplet: 278/138/8. Matched table triplet: 277/139/8 of 424, with the stated percentages.</t>
        </is>
      </c>
    </row>
    <row r="456" ht="74" customHeight="1">
      <c r="A456" s="2" t="inlineStr">
        <is>
          <t>2025::jama.2025.4390::C002</t>
        </is>
      </c>
      <c r="B456" s="2" t="n">
        <v>2</v>
      </c>
      <c r="C456" s="2" t="inlineStr">
        <is>
          <t>Calculation</t>
        </is>
      </c>
      <c r="D456" s="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457" ht="58" customHeight="1">
      <c r="A457" s="3" t="inlineStr">
        <is>
          <t>2025::jama.2025.4390::C002</t>
        </is>
      </c>
      <c r="B457" s="3" t="n">
        <v>3</v>
      </c>
      <c r="C457" s="3" t="inlineStr">
        <is>
          <t>Alternative source-grounded interpretations</t>
        </is>
      </c>
      <c r="D457" s="3"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458" ht="74" customHeight="1">
      <c r="A458" s="2" t="inlineStr">
        <is>
          <t>2025::jama.2025.4390::C003</t>
        </is>
      </c>
      <c r="B458" s="2" t="n">
        <v>0</v>
      </c>
      <c r="C458" s="2" t="inlineStr">
        <is>
          <t>Source evidence</t>
        </is>
      </c>
      <c r="D458" s="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459" ht="48" customHeight="1">
      <c r="A459" s="3" t="inlineStr">
        <is>
          <t>2025::jama.2025.4390::C003</t>
        </is>
      </c>
      <c r="B459" s="3" t="n">
        <v>1</v>
      </c>
      <c r="C459" s="3" t="inlineStr">
        <is>
          <t>Reported-versus-comparator</t>
        </is>
      </c>
      <c r="D459" s="3" t="inlineStr">
        <is>
          <t>Reported eTable 5 Other row: morning 40 (90.9%) and bedtime 53 (93.0%), identical to White/Caucasian. Matched parent-arm comparator: eTable 3 Other counts of 5 morning and 9 bedtime.</t>
        </is>
      </c>
    </row>
    <row r="460" ht="58" customHeight="1">
      <c r="A460" s="2" t="inlineStr">
        <is>
          <t>2025::jama.2025.4390::C003</t>
        </is>
      </c>
      <c r="B460" s="2" t="n">
        <v>2</v>
      </c>
      <c r="C460" s="2" t="inlineStr">
        <is>
          <t>Calculation</t>
        </is>
      </c>
      <c r="D460" s="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461" ht="58" customHeight="1">
      <c r="A461" s="3" t="inlineStr">
        <is>
          <t>2025::jama.2025.4390::C003</t>
        </is>
      </c>
      <c r="B461" s="3" t="n">
        <v>3</v>
      </c>
      <c r="C461" s="3" t="inlineStr">
        <is>
          <t>Alternative source-grounded interpretations</t>
        </is>
      </c>
      <c r="D461" s="3"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462" ht="58" customHeight="1">
      <c r="A462" s="2" t="inlineStr">
        <is>
          <t>2025::jama.2025.7583::C001</t>
        </is>
      </c>
      <c r="B462" s="2" t="n">
        <v>0</v>
      </c>
      <c r="C462" s="2" t="inlineStr">
        <is>
          <t>Source evidence</t>
        </is>
      </c>
      <c r="D462" s="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463" ht="48" customHeight="1">
      <c r="A463" s="3" t="inlineStr">
        <is>
          <t>2025::jama.2025.7583::C001</t>
        </is>
      </c>
      <c r="B463" s="3" t="n">
        <v>1</v>
      </c>
      <c r="C463" s="3" t="inlineStr">
        <is>
          <t>Reported-versus-comparator</t>
        </is>
      </c>
      <c r="D463" s="3" t="inlineStr">
        <is>
          <t>The inclusive &gt;=5 mm wording in the main article, protocol, and results supplement is compared with the SAP’s strict &gt;5 mm wording.</t>
        </is>
      </c>
    </row>
    <row r="464" ht="48" customHeight="1">
      <c r="A464" s="2" t="inlineStr">
        <is>
          <t>2025::jama.2025.7583::C001</t>
        </is>
      </c>
      <c r="B464" s="2" t="n">
        <v>2</v>
      </c>
      <c r="C464" s="2" t="inlineStr">
        <is>
          <t>Calculation</t>
        </is>
      </c>
      <c r="D464" s="2" t="inlineStr">
        <is>
          <t>For shift x, x &gt;= 5 includes x = 5; x &gt; 5 excludes x = 5. The set difference is the boundary value alone. Rounding cannot reconcile the two operators.</t>
        </is>
      </c>
    </row>
    <row r="465" ht="58" customHeight="1">
      <c r="A465" s="3" t="inlineStr">
        <is>
          <t>2025::jama.2025.7583::C001</t>
        </is>
      </c>
      <c r="B465" s="3" t="n">
        <v>3</v>
      </c>
      <c r="C465" s="3" t="inlineStr">
        <is>
          <t>Alternative source-grounded interpretations</t>
        </is>
      </c>
      <c r="D465" s="3"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466" ht="58" customHeight="1">
      <c r="A466" s="2" t="inlineStr">
        <is>
          <t>2025::jama.2025.7583::C002</t>
        </is>
      </c>
      <c r="B466" s="2" t="n">
        <v>0</v>
      </c>
      <c r="C466" s="2" t="inlineStr">
        <is>
          <t>Source evidence</t>
        </is>
      </c>
      <c r="D466" s="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467" ht="48" customHeight="1">
      <c r="A467" s="3" t="inlineStr">
        <is>
          <t>2025::jama.2025.7583::C002</t>
        </is>
      </c>
      <c r="B467" s="3" t="n">
        <v>1</v>
      </c>
      <c r="C467" s="3" t="inlineStr">
        <is>
          <t>Reported-versus-comparator</t>
        </is>
      </c>
      <c r="D467" s="3" t="inlineStr">
        <is>
          <t>Printed enrollment is 171 per group/342 total. The comparator is the enrollment required to retain 142 per group after a stated 20% loss fraction.</t>
        </is>
      </c>
    </row>
    <row r="468" ht="74" customHeight="1">
      <c r="A468" s="2" t="inlineStr">
        <is>
          <t>2025::jama.2025.7583::C002</t>
        </is>
      </c>
      <c r="B468" s="2" t="n">
        <v>2</v>
      </c>
      <c r="C468" s="2" t="inlineStr">
        <is>
          <t>Calculation</t>
        </is>
      </c>
      <c r="D468" s="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469" ht="58" customHeight="1">
      <c r="A469" s="3" t="inlineStr">
        <is>
          <t>2025::jama.2025.7583::C002</t>
        </is>
      </c>
      <c r="B469" s="3" t="n">
        <v>3</v>
      </c>
      <c r="C469" s="3" t="inlineStr">
        <is>
          <t>Alternative source-grounded interpretations</t>
        </is>
      </c>
      <c r="D469" s="3"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470" ht="58" customHeight="1">
      <c r="A470" s="2" t="inlineStr">
        <is>
          <t>2025::jama.2025.7583::C003</t>
        </is>
      </c>
      <c r="B470" s="2" t="n">
        <v>0</v>
      </c>
      <c r="C470" s="2" t="inlineStr">
        <is>
          <t>Source evidence</t>
        </is>
      </c>
      <c r="D470" s="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471" ht="48" customHeight="1">
      <c r="A471" s="3" t="inlineStr">
        <is>
          <t>2025::jama.2025.7583::C003</t>
        </is>
      </c>
      <c r="B471" s="3" t="n">
        <v>1</v>
      </c>
      <c r="C471" s="3" t="inlineStr">
        <is>
          <t>Reported-versus-comparator</t>
        </is>
      </c>
      <c r="D471" s="3" t="inlineStr">
        <is>
          <t>The two printed numerators, 146 and 18, are compared with their repeated denominator, 163, under the table’s participant-framed No./total No. (%) presentation.</t>
        </is>
      </c>
    </row>
    <row r="472" ht="58" customHeight="1">
      <c r="A472" s="2" t="inlineStr">
        <is>
          <t>2025::jama.2025.7583::C003</t>
        </is>
      </c>
      <c r="B472" s="2" t="n">
        <v>2</v>
      </c>
      <c r="C472" s="2" t="inlineStr">
        <is>
          <t>Calculation</t>
        </is>
      </c>
      <c r="D472" s="2" t="inlineStr">
        <is>
          <t>146 + 18 = 164, one above 163. 146 / 163 * 100 = 89.570...% rounds to 89.6%, and 18 / 163 * 100 = 11.042...% rounds to 11.0%; the printed percentages sum to 100.6%. Rounding cannot remove the one-membership integer excess.</t>
        </is>
      </c>
    </row>
    <row r="473" ht="58" customHeight="1">
      <c r="A473" s="3" t="inlineStr">
        <is>
          <t>2025::jama.2025.7583::C003</t>
        </is>
      </c>
      <c r="B473" s="3" t="n">
        <v>3</v>
      </c>
      <c r="C473" s="3" t="inlineStr">
        <is>
          <t>Alternative source-grounded interpretations</t>
        </is>
      </c>
      <c r="D473" s="3"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474" ht="74" customHeight="1">
      <c r="A474" s="2" t="inlineStr">
        <is>
          <t>2025::jama.2025.7710::C001</t>
        </is>
      </c>
      <c r="B474" s="2" t="n">
        <v>0</v>
      </c>
      <c r="C474" s="2" t="inlineStr">
        <is>
          <t>Source evidence</t>
        </is>
      </c>
      <c r="D474" s="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475" ht="48" customHeight="1">
      <c r="A475" s="3" t="inlineStr">
        <is>
          <t>2025::jama.2025.7710::C001</t>
        </is>
      </c>
      <c r="B475" s="3" t="n">
        <v>1</v>
      </c>
      <c r="C475" s="3" t="inlineStr">
        <is>
          <t>Reported-versus-comparator</t>
        </is>
      </c>
      <c r="D475" s="3" t="inlineStr">
        <is>
          <t>Reported: 2024/25 dollars (p. 16). Comparator: 2023/24 dollars (p. 17).</t>
        </is>
      </c>
    </row>
    <row r="476" ht="48" customHeight="1">
      <c r="A476" s="2" t="inlineStr">
        <is>
          <t>2025::jama.2025.7710::C001</t>
        </is>
      </c>
      <c r="B476" s="2" t="n">
        <v>2</v>
      </c>
      <c r="C476" s="2" t="inlineStr">
        <is>
          <t>Calculation</t>
        </is>
      </c>
      <c r="D476" s="2" t="inlineStr">
        <is>
          <t>2024/25 is not equal to 2023/24; no rounding or transformation is involved.</t>
        </is>
      </c>
    </row>
    <row r="477" ht="58" customHeight="1">
      <c r="A477" s="3" t="inlineStr">
        <is>
          <t>2025::jama.2025.7710::C001</t>
        </is>
      </c>
      <c r="B477" s="3" t="n">
        <v>3</v>
      </c>
      <c r="C477" s="3" t="inlineStr">
        <is>
          <t>Alternative source-grounded interpretations</t>
        </is>
      </c>
      <c r="D477" s="3" t="inlineStr">
        <is>
          <t>One section may retain wording from an intended price-year update, or the sections may have meant different explicitly converted analyses. The supplied protocol neither identifies a superseded section nor distinguishes separate price-year conventions.</t>
        </is>
      </c>
    </row>
    <row r="478" ht="74" customHeight="1">
      <c r="A478" s="2" t="inlineStr">
        <is>
          <t>2025::jama.2025.7710::C002</t>
        </is>
      </c>
      <c r="B478" s="2" t="n">
        <v>0</v>
      </c>
      <c r="C478" s="2" t="inlineStr">
        <is>
          <t>Source evidence</t>
        </is>
      </c>
      <c r="D478" s="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479" ht="48" customHeight="1">
      <c r="A479" s="3" t="inlineStr">
        <is>
          <t>2025::jama.2025.7710::C002</t>
        </is>
      </c>
      <c r="B479" s="3" t="n">
        <v>1</v>
      </c>
      <c r="C479" s="3" t="inlineStr">
        <is>
          <t>Reported-versus-comparator</t>
        </is>
      </c>
      <c r="D479" s="3" t="inlineStr">
        <is>
          <t>Reported list: ten displayed bullets. Comparator rationale: a total of ten attributed to expanding outcomes (i) and (viii).</t>
        </is>
      </c>
    </row>
    <row r="480" ht="58" customHeight="1">
      <c r="A480" s="2" t="inlineStr">
        <is>
          <t>2025::jama.2025.7710::C002</t>
        </is>
      </c>
      <c r="B480" s="2" t="n">
        <v>2</v>
      </c>
      <c r="C480" s="2" t="inlineStr">
        <is>
          <t>Calculation</t>
        </is>
      </c>
      <c r="D480" s="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481" ht="58" customHeight="1">
      <c r="A481" s="3" t="inlineStr">
        <is>
          <t>2025::jama.2025.7710::C002</t>
        </is>
      </c>
      <c r="B481" s="3" t="n">
        <v>3</v>
      </c>
      <c r="C481" s="3" t="inlineStr">
        <is>
          <t>Alternative source-grounded interpretations</t>
        </is>
      </c>
      <c r="D481" s="3" t="inlineStr">
        <is>
          <t>The 7.1.1 heading and Special Care/Intensive Care wording could reflect an older or unstated eight-group structure. That structure is not the displayed ten-bullet list, and the supplied materials do not provide a definitive numbered taxonomy.</t>
        </is>
      </c>
    </row>
    <row r="482" ht="58" customHeight="1">
      <c r="A482" s="2" t="inlineStr">
        <is>
          <t>2025::jama.2025.7710::C003</t>
        </is>
      </c>
      <c r="B482" s="2" t="n">
        <v>0</v>
      </c>
      <c r="C482" s="2" t="inlineStr">
        <is>
          <t>Source evidence</t>
        </is>
      </c>
      <c r="D482" s="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483" ht="48" customHeight="1">
      <c r="A483" s="3" t="inlineStr">
        <is>
          <t>2025::jama.2025.7710::C003</t>
        </is>
      </c>
      <c r="B483" s="3" t="n">
        <v>1</v>
      </c>
      <c r="C483" s="3" t="inlineStr">
        <is>
          <t>Reported-versus-comparator</t>
        </is>
      </c>
      <c r="D483" s="3" t="inlineStr">
        <is>
          <t>Reported economic label: CS vs standard care. Comparator description: SC versus placebo/standard care.</t>
        </is>
      </c>
    </row>
    <row r="484" ht="48" customHeight="1">
      <c r="A484" s="2" t="inlineStr">
        <is>
          <t>2025::jama.2025.7710::C003</t>
        </is>
      </c>
      <c r="B484" s="2" t="n">
        <v>2</v>
      </c>
      <c r="C484" s="2" t="inlineStr">
        <is>
          <t>Calculation</t>
        </is>
      </c>
      <c r="D484" s="2" t="inlineStr">
        <is>
          <t>Supplied mappings are SC = sildenafil citrate, CS = caesarean section, and control = matching placebo. Thus CS does not denote the same supplied intervention label as SC.</t>
        </is>
      </c>
    </row>
    <row r="485" ht="48" customHeight="1">
      <c r="A485" s="3" t="inlineStr">
        <is>
          <t>2025::jama.2025.7710::C003</t>
        </is>
      </c>
      <c r="B485" s="3" t="n">
        <v>3</v>
      </c>
      <c r="C485" s="3" t="inlineStr">
        <is>
          <t>Alternative source-grounded interpretations</t>
        </is>
      </c>
      <c r="D485" s="3" t="inlineStr">
        <is>
          <t>CS may be a transposition of SC, a locally intended abbreviation not defined at the cited location, or an insufficiently explained comparison. No completed economic analysis is supplied.</t>
        </is>
      </c>
    </row>
    <row r="486" ht="74" customHeight="1">
      <c r="A486" s="2" t="inlineStr">
        <is>
          <t>2025::jama.2025.7710::C004</t>
        </is>
      </c>
      <c r="B486" s="2" t="n">
        <v>0</v>
      </c>
      <c r="C486" s="2" t="inlineStr">
        <is>
          <t>Source evidence</t>
        </is>
      </c>
      <c r="D486" s="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487" ht="48" customHeight="1">
      <c r="A487" s="3" t="inlineStr">
        <is>
          <t>2025::jama.2025.7710::C004</t>
        </is>
      </c>
      <c r="B487" s="3" t="n">
        <v>1</v>
      </c>
      <c r="C487" s="3" t="inlineStr">
        <is>
          <t>Reported-versus-comparator</t>
        </is>
      </c>
      <c r="D487" s="3" t="inlineStr">
        <is>
          <t>Reported multiplicity treatment: no adjustment. Comparator planned treatment: adjusted P values for ten component comparisons.</t>
        </is>
      </c>
    </row>
    <row r="488" ht="74" customHeight="1">
      <c r="A488" s="2" t="inlineStr">
        <is>
          <t>2025::jama.2025.7710::C004</t>
        </is>
      </c>
      <c r="B488" s="2" t="n">
        <v>2</v>
      </c>
      <c r="C488" s="2" t="inlineStr">
        <is>
          <t>Calculation</t>
        </is>
      </c>
      <c r="D488" s="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489" ht="58" customHeight="1">
      <c r="A489" s="3" t="inlineStr">
        <is>
          <t>2025::jama.2025.7710::C004</t>
        </is>
      </c>
      <c r="B489" s="3" t="n">
        <v>3</v>
      </c>
      <c r="C489" s="3" t="inlineStr">
        <is>
          <t>Alternative source-grounded interpretations</t>
        </is>
      </c>
      <c r="D489" s="3"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490" ht="58" customHeight="1">
      <c r="A490" s="2" t="inlineStr">
        <is>
          <t>2025::jama.2025.9110::C001</t>
        </is>
      </c>
      <c r="B490" s="2" t="n">
        <v>0</v>
      </c>
      <c r="C490" s="2" t="inlineStr">
        <is>
          <t>Source evidence</t>
        </is>
      </c>
      <c r="D490" s="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491" ht="48" customHeight="1">
      <c r="A491" s="3" t="inlineStr">
        <is>
          <t>2025::jama.2025.9110::C001</t>
        </is>
      </c>
      <c r="B491" s="3" t="n">
        <v>1</v>
      </c>
      <c r="C491" s="3" t="inlineStr">
        <is>
          <t>Reported-versus-comparator</t>
        </is>
      </c>
      <c r="D491" s="3" t="inlineStr">
        <is>
          <t>The printed mean (SD) label is compared with the two-endpoint parenthetical displays and the supplementary median (IQR) presentation convention.</t>
        </is>
      </c>
    </row>
    <row r="492" ht="48" customHeight="1">
      <c r="A492" s="2" t="inlineStr">
        <is>
          <t>2025::jama.2025.9110::C001</t>
        </is>
      </c>
      <c r="B492" s="2" t="n">
        <v>2</v>
      </c>
      <c r="C492" s="2" t="inlineStr">
        <is>
          <t>Calculation</t>
        </is>
      </c>
      <c r="D492" s="2" t="inlineStr">
        <is>
          <t>35.0 &lt; 178.9 and 33.2 &lt; 161.0; each parenthesis has two ordered endpoints, not one SD. No rounding rule applies.</t>
        </is>
      </c>
    </row>
    <row r="493" ht="58" customHeight="1">
      <c r="A493" s="3" t="inlineStr">
        <is>
          <t>2025::jama.2025.9110::C001</t>
        </is>
      </c>
      <c r="B493" s="3" t="n">
        <v>3</v>
      </c>
      <c r="C493" s="3" t="inlineStr">
        <is>
          <t>Alternative source-grounded interpretations</t>
        </is>
      </c>
      <c r="D493" s="3" t="inlineStr">
        <is>
          <t>to or an endpoint may be a production error in an intended mean/SD display; alternatively the label may be wrong and the values may be a median-plus-interval summary. The supplied package does not define the endpoints.</t>
        </is>
      </c>
    </row>
    <row r="494" ht="48" customHeight="1">
      <c r="A494" s="2" t="inlineStr">
        <is>
          <t>2025::jama.2025.9110::C002</t>
        </is>
      </c>
      <c r="B494" s="2" t="n">
        <v>0</v>
      </c>
      <c r="C494" s="2" t="inlineStr">
        <is>
          <t>Source evidence</t>
        </is>
      </c>
      <c r="D494" s="2" t="inlineStr">
        <is>
          <t>The cell prints 383 (72, 3%); neighboring matched cells include 323 (67.3%), 258 (77.0%), 229 (76.8%), and 408 (74.0%).</t>
        </is>
      </c>
    </row>
    <row r="495" ht="48" customHeight="1">
      <c r="A495" s="3" t="inlineStr">
        <is>
          <t>2025::jama.2025.9110::C002</t>
        </is>
      </c>
      <c r="B495" s="3" t="n">
        <v>1</v>
      </c>
      <c r="C495" s="3" t="inlineStr">
        <is>
          <t>Reported-versus-comparator</t>
        </is>
      </c>
      <c r="D495" s="3" t="inlineStr">
        <is>
          <t>72, 3% is compared with the row's point-decimal convention and its printed count/denominator.</t>
        </is>
      </c>
    </row>
    <row r="496" ht="48" customHeight="1">
      <c r="A496" s="2" t="inlineStr">
        <is>
          <t>2025::jama.2025.9110::C002</t>
        </is>
      </c>
      <c r="B496" s="2" t="n">
        <v>2</v>
      </c>
      <c r="C496" s="2" t="inlineStr">
        <is>
          <t>Calculation</t>
        </is>
      </c>
      <c r="D496" s="2" t="inlineStr">
        <is>
          <t>383 / 530 × 100 = 72.2641509…%, which rounds to 72.3% at one decimal (rounding interval 72.25% to &lt;72.35%). The question is punctuation, not a numerator/denominator mismatch.</t>
        </is>
      </c>
    </row>
    <row r="497" ht="48" customHeight="1">
      <c r="A497" s="3" t="inlineStr">
        <is>
          <t>2025::jama.2025.9110::C002</t>
        </is>
      </c>
      <c r="B497" s="3" t="n">
        <v>3</v>
      </c>
      <c r="C497" s="3" t="inlineStr">
        <is>
          <t>Alternative source-grounded interpretations</t>
        </is>
      </c>
      <c r="D497" s="3" t="inlineStr">
        <is>
          <t>A comma can be a decimal separator in some locales and preserve the intended numeric value, but its isolated use in this point-decimal table remains a rendering inconsistency.</t>
        </is>
      </c>
    </row>
    <row r="498" ht="58" customHeight="1">
      <c r="A498" s="2" t="inlineStr">
        <is>
          <t>2025::jama.2025.9110::C003</t>
        </is>
      </c>
      <c r="B498" s="2" t="n">
        <v>0</v>
      </c>
      <c r="C498" s="2" t="inlineStr">
        <is>
          <t>Source evidence</t>
        </is>
      </c>
      <c r="D498" s="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499" ht="48" customHeight="1">
      <c r="A499" s="3" t="inlineStr">
        <is>
          <t>2025::jama.2025.9110::C003</t>
        </is>
      </c>
      <c r="B499" s="3" t="n">
        <v>1</v>
      </c>
      <c r="C499" s="3" t="inlineStr">
        <is>
          <t>Reported-versus-comparator</t>
        </is>
      </c>
      <c r="D499" s="3" t="inlineStr">
        <is>
          <t>The Table 2 mean (SD) group-summary label is compared with its own median-difference effect label, the final Bayesian method description, and the two-bound group displays.</t>
        </is>
      </c>
    </row>
    <row r="500" ht="48" customHeight="1">
      <c r="A500" s="2" t="inlineStr">
        <is>
          <t>2025::jama.2025.9110::C003</t>
        </is>
      </c>
      <c r="B500" s="2" t="n">
        <v>2</v>
      </c>
      <c r="C500" s="2" t="inlineStr">
        <is>
          <t>Calculation</t>
        </is>
      </c>
      <c r="D500" s="2" t="inlineStr">
        <is>
          <t>0 &lt; 77 in each group parenthesis, so each contains two bounds rather than one SD. The printed estimand is Median difference; no supplied text explains an intentional separate mean/SD convention.</t>
        </is>
      </c>
    </row>
    <row r="501" ht="58" customHeight="1">
      <c r="A501" s="3" t="inlineStr">
        <is>
          <t>2025::jama.2025.9110::C003</t>
        </is>
      </c>
      <c r="B501" s="3" t="n">
        <v>3</v>
      </c>
      <c r="C501" s="3" t="inlineStr">
        <is>
          <t>Alternative source-grounded interpretations</t>
        </is>
      </c>
      <c r="D501" s="3" t="inlineStr">
        <is>
          <t>The label may have carried over from the preceding linear-model row. Separately calculated means/SDs might have been intended alongside a median estimand, but the source neither defines that convention nor explains the two endpoints.</t>
        </is>
      </c>
    </row>
    <row r="502" ht="58" customHeight="1">
      <c r="A502" s="2" t="inlineStr">
        <is>
          <t>2025::jama.2025.9110::C004</t>
        </is>
      </c>
      <c r="B502" s="2" t="n">
        <v>0</v>
      </c>
      <c r="C502" s="2" t="inlineStr">
        <is>
          <t>Source evidence</t>
        </is>
      </c>
      <c r="D502" s="2" t="inlineStr">
        <is>
          <t>Results calls day-10 blood-urea values median (IQR): augmented protein 13.0 (8.2–18.8) versus usual protein 10.6 (7.1–15.4) mmol/L. Discussion says that mean urea concentrations at day 10 were higher in the augmented protein group.</t>
        </is>
      </c>
    </row>
    <row r="503" ht="48" customHeight="1">
      <c r="A503" s="3" t="inlineStr">
        <is>
          <t>2025::jama.2025.9110::C004</t>
        </is>
      </c>
      <c r="B503" s="3" t="n">
        <v>1</v>
      </c>
      <c r="C503" s="3" t="inlineStr">
        <is>
          <t>Reported-versus-comparator</t>
        </is>
      </c>
      <c r="D503" s="3" t="inlineStr">
        <is>
          <t>The Discussion's mean label is compared with the Results' matched analyte, day, groups, direction, unit, and median (IQR) description.</t>
        </is>
      </c>
    </row>
    <row r="504" ht="48" customHeight="1">
      <c r="A504" s="2" t="inlineStr">
        <is>
          <t>2025::jama.2025.9110::C004</t>
        </is>
      </c>
      <c r="B504" s="2" t="n">
        <v>2</v>
      </c>
      <c r="C504" s="2" t="inlineStr">
        <is>
          <t>Calculation</t>
        </is>
      </c>
      <c r="D504" s="2" t="inlineStr">
        <is>
          <t>No calculation is appropriate: mean and median are distinct summary-statistic labels, and no matched day-10 mean values are supplied.</t>
        </is>
      </c>
    </row>
    <row r="505" ht="48" customHeight="1">
      <c r="A505" s="3" t="inlineStr">
        <is>
          <t>2025::jama.2025.9110::C004</t>
        </is>
      </c>
      <c r="B505" s="3" t="n">
        <v>3</v>
      </c>
      <c r="C505" s="3" t="inlineStr">
        <is>
          <t>Alternative source-grounded interpretations</t>
        </is>
      </c>
      <c r="D505" s="3" t="inlineStr">
        <is>
          <t>Mean may be nontechnical prose, a copy-editing substitution, or a reference to unprinted group means. The supplied package does not report a distinct matched mean analysis.</t>
        </is>
      </c>
    </row>
    <row r="506" ht="48" customHeight="1">
      <c r="A506" s="2" t="inlineStr">
        <is>
          <t>2025::jama.2025.9110::C005</t>
        </is>
      </c>
      <c r="B506" s="2" t="n">
        <v>0</v>
      </c>
      <c r="C506" s="2" t="inlineStr">
        <is>
          <t>Source evidence</t>
        </is>
      </c>
      <c r="D506" s="2" t="inlineStr">
        <is>
          <t>The first four cells print 27 (5.6), 36 (10.7), 29 (9.7), and 24 (4.5) without %; the last four print 35 (6.4%), 38 (10.3%), 43 (12.2%), and 23 (4.8%) with %.</t>
        </is>
      </c>
    </row>
    <row r="507" ht="48" customHeight="1">
      <c r="A507" s="3" t="inlineStr">
        <is>
          <t>2025::jama.2025.9110::C005</t>
        </is>
      </c>
      <c r="B507" s="3" t="n">
        <v>1</v>
      </c>
      <c r="C507" s="3" t="inlineStr">
        <is>
          <t>Reported-versus-comparator</t>
        </is>
      </c>
      <c r="D507" s="3" t="inlineStr">
        <is>
          <t>All eight are percentage displays in one [n (%)] row, but the first four omit % and the last four include it.</t>
        </is>
      </c>
    </row>
    <row r="508" ht="58" customHeight="1">
      <c r="A508" s="2" t="inlineStr">
        <is>
          <t>2025::jama.2025.9110::C005</t>
        </is>
      </c>
      <c r="B508" s="2" t="n">
        <v>2</v>
      </c>
      <c r="C508" s="2" t="inlineStr">
        <is>
          <t>Calculation</t>
        </is>
      </c>
      <c r="D508" s="2" t="inlineStr">
        <is>
          <t>27/480×100=5.625%→5.6%; 36/335×100=10.746…%→10.7%; 29/298×100=9.732…%→9.7%; 24/530×100=4.528…%→4.5%. These reconcile at one decimal (0.05 percentage-point rounding tolerance); the issue is notation, not arithmetic.</t>
        </is>
      </c>
    </row>
    <row r="509" ht="48" customHeight="1">
      <c r="A509" s="3" t="inlineStr">
        <is>
          <t>2025::jama.2025.9110::C005</t>
        </is>
      </c>
      <c r="B509" s="3" t="n">
        <v>3</v>
      </c>
      <c r="C509" s="3" t="inlineStr">
        <is>
          <t>Alternative source-grounded interpretations</t>
        </is>
      </c>
      <c r="D509" s="3" t="inlineStr">
        <is>
          <t>The [n (%)] header makes the unsigned entries understandable, but it does not explain the within-row switch to explicit signs. Intended typography is not stated.</t>
        </is>
      </c>
    </row>
    <row r="510" ht="48" customHeight="1">
      <c r="A510" s="2" t="inlineStr">
        <is>
          <t>2025::jama.2025.9110::C006</t>
        </is>
      </c>
      <c r="B510" s="2" t="n">
        <v>0</v>
      </c>
      <c r="C510" s="2" t="inlineStr">
        <is>
          <t>Source evidence</t>
        </is>
      </c>
      <c r="D510" s="2" t="inlineStr">
        <is>
          <t>The first four cells print 33 (6.9), 26 (7.8), 22 (7.4), and 35 (6.6) without %; the last four print 38 (6.9%), 33 (9.0%), 29 (8.2%), and 33 (6.8%) with %.</t>
        </is>
      </c>
    </row>
    <row r="511" ht="48" customHeight="1">
      <c r="A511" s="3" t="inlineStr">
        <is>
          <t>2025::jama.2025.9110::C006</t>
        </is>
      </c>
      <c r="B511" s="3" t="n">
        <v>1</v>
      </c>
      <c r="C511" s="3" t="inlineStr">
        <is>
          <t>Reported-versus-comparator</t>
        </is>
      </c>
      <c r="D511" s="3" t="inlineStr">
        <is>
          <t>All eight are percentage displays within one [n (%)] row, but % is absent from the first four and present in the final four.</t>
        </is>
      </c>
    </row>
    <row r="512" ht="58" customHeight="1">
      <c r="A512" s="2" t="inlineStr">
        <is>
          <t>2025::jama.2025.9110::C006</t>
        </is>
      </c>
      <c r="B512" s="2" t="n">
        <v>2</v>
      </c>
      <c r="C512" s="2" t="inlineStr">
        <is>
          <t>Calculation</t>
        </is>
      </c>
      <c r="D512" s="2" t="inlineStr">
        <is>
          <t>33/480×100=6.875%→6.9%; 26/335×100=7.761…%→7.8%; 22/298×100=7.383…%→7.4%; 35/530×100=6.604…%→6.6%. All reconcile at one decimal (0.05 percentage-point rounding tolerance); the issue is notation, not a rate/count discrepancy.</t>
        </is>
      </c>
    </row>
    <row r="513" ht="48" customHeight="1">
      <c r="A513" s="3" t="inlineStr">
        <is>
          <t>2025::jama.2025.9110::C006</t>
        </is>
      </c>
      <c r="B513" s="3" t="n">
        <v>3</v>
      </c>
      <c r="C513" s="3" t="inlineStr">
        <is>
          <t>Alternative source-grounded interpretations</t>
        </is>
      </c>
      <c r="D513" s="3" t="inlineStr">
        <is>
          <t>The row header makes unsigned values interpretable as percentages, but the source gives no reason why only the final four cells carry % or which convention was intended.</t>
        </is>
      </c>
    </row>
    <row r="514" ht="74" customHeight="1">
      <c r="A514" s="2" t="inlineStr">
        <is>
          <t>2025::jama.2025.9663::C001</t>
        </is>
      </c>
      <c r="B514" s="2" t="n">
        <v>0</v>
      </c>
      <c r="C514" s="2" t="inlineStr">
        <is>
          <t>Source evidence</t>
        </is>
      </c>
      <c r="D514" s="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515" ht="58" customHeight="1">
      <c r="A515" s="3" t="inlineStr">
        <is>
          <t>2025::jama.2025.9663::C001</t>
        </is>
      </c>
      <c r="B515" s="3" t="n">
        <v>1</v>
      </c>
      <c r="C515" s="3" t="inlineStr">
        <is>
          <t>Reported-versus-comparator</t>
        </is>
      </c>
      <c r="D515" s="3" t="inlineStr">
        <is>
          <t>The reported DOC-001 usual-group first value has both a percent sign and a trailing pressure unit. The comparator labels the 95.1 (2.4) value as SpO2 on a percent scale and the 79.5 (17.9) value as PaO2 in mm Hg.</t>
        </is>
      </c>
    </row>
    <row r="516" ht="48" customHeight="1">
      <c r="A516" s="2" t="inlineStr">
        <is>
          <t>2025::jama.2025.9663::C001</t>
        </is>
      </c>
      <c r="B516" s="2" t="n">
        <v>2</v>
      </c>
      <c r="C516" s="2" t="inlineStr">
        <is>
          <t>Calculation</t>
        </is>
      </c>
      <c r="D516" s="2" t="inlineStr">
        <is>
          <t>No arithmetic; logical unit pairing reproduced.</t>
        </is>
      </c>
    </row>
    <row r="517" ht="58" customHeight="1">
      <c r="A517" s="3" t="inlineStr">
        <is>
          <t>2025::jama.2025.9663::C001</t>
        </is>
      </c>
      <c r="B517" s="3" t="n">
        <v>3</v>
      </c>
      <c r="C517" s="3" t="inlineStr">
        <is>
          <t>Alternative source-grounded interpretations</t>
        </is>
      </c>
      <c r="D517" s="3"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518" ht="90" customHeight="1">
      <c r="A518" s="2" t="inlineStr">
        <is>
          <t>2025::jama.2025.9663::C002</t>
        </is>
      </c>
      <c r="B518" s="2" t="n">
        <v>0</v>
      </c>
      <c r="C518" s="2" t="inlineStr">
        <is>
          <t>Source evidence</t>
        </is>
      </c>
      <c r="D518" s="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519" ht="58" customHeight="1">
      <c r="A519" s="3" t="inlineStr">
        <is>
          <t>2025::jama.2025.9663::C002</t>
        </is>
      </c>
      <c r="B519" s="3" t="n">
        <v>1</v>
      </c>
      <c r="C519" s="3" t="inlineStr">
        <is>
          <t>Reported-versus-comparator</t>
        </is>
      </c>
      <c r="D519" s="3"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520" ht="48" customHeight="1">
      <c r="A520" s="2" t="inlineStr">
        <is>
          <t>2025::jama.2025.9663::C002</t>
        </is>
      </c>
      <c r="B520" s="2" t="n">
        <v>2</v>
      </c>
      <c r="C520" s="2" t="inlineStr">
        <is>
          <t>Calculation</t>
        </is>
      </c>
      <c r="D520" s="2" t="inlineStr">
        <is>
          <t>No arithmetic; four same-number identity comparisons reproduced.</t>
        </is>
      </c>
    </row>
    <row r="521" ht="58" customHeight="1">
      <c r="A521" s="3" t="inlineStr">
        <is>
          <t>2025::jama.2025.9663::C002</t>
        </is>
      </c>
      <c r="B521" s="3" t="n">
        <v>3</v>
      </c>
      <c r="C521" s="3" t="inlineStr">
        <is>
          <t>Alternative source-grounded interpretations</t>
        </is>
      </c>
      <c r="D521" s="3" t="inlineStr">
        <is>
          <t>The contents titles may be retained from another document, shifted, or incompletely updated. These are possible explanations only; the supplied package does not establish the production history or intended replacement wording.</t>
        </is>
      </c>
    </row>
    <row r="522" ht="74" customHeight="1">
      <c r="A522" s="2" t="inlineStr">
        <is>
          <t>2025::jama.2025.9663::C003</t>
        </is>
      </c>
      <c r="B522" s="2" t="n">
        <v>0</v>
      </c>
      <c r="C522" s="2" t="inlineStr">
        <is>
          <t>Source evidence</t>
        </is>
      </c>
      <c r="D522" s="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523" ht="58" customHeight="1">
      <c r="A523" s="3" t="inlineStr">
        <is>
          <t>2025::jama.2025.9663::C003</t>
        </is>
      </c>
      <c r="B523" s="3" t="n">
        <v>1</v>
      </c>
      <c r="C523" s="3" t="inlineStr">
        <is>
          <t>Reported-versus-comparator</t>
        </is>
      </c>
      <c r="D523" s="3"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524" ht="48" customHeight="1">
      <c r="A524" s="2" t="inlineStr">
        <is>
          <t>2025::jama.2025.9663::C003</t>
        </is>
      </c>
      <c r="B524" s="2" t="n">
        <v>2</v>
      </c>
      <c r="C524" s="2" t="inlineStr">
        <is>
          <t>Calculation</t>
        </is>
      </c>
      <c r="D524" s="2" t="inlineStr">
        <is>
          <t>No arithmetic; one of two stated reference destinations is identifiable and the other is not.</t>
        </is>
      </c>
    </row>
    <row r="525" ht="58" customHeight="1">
      <c r="A525" s="3" t="inlineStr">
        <is>
          <t>2025::jama.2025.9663::C003</t>
        </is>
      </c>
      <c r="B525" s="3" t="n">
        <v>3</v>
      </c>
      <c r="C525" s="3" t="inlineStr">
        <is>
          <t>Alternative source-grounded interpretations</t>
        </is>
      </c>
      <c r="D525" s="3"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sheetProtection selectLockedCells="0" selectUnlockedCells="0" sheet="1" objects="0" insertRows="1" insertHyperlinks="1" autoFilter="0" scenarios="0" formatColumns="1" deleteColumns="1" insertColumns="1" pivotTables="1" deleteRows="1" formatCells="1" formatRows="1" sort="1"/>
  <autoFilter ref="A1:D525"/>
  <pageMargins left="0.75" right="0.75" top="1" bottom="1" header="0.5" footer="0.5"/>
  <pageSetup orientation="landscape" paperSize="8" fitToHeight="0" fitToWidth="1"/>
</worksheet>
</file>

<file path=xl/worksheets/sheet21.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1" t="inlineStr">
        <is>
          <t>Field name</t>
        </is>
      </c>
      <c r="B1" s="11" t="inlineStr">
        <is>
          <t>Option / value</t>
        </is>
      </c>
      <c r="C1" s="11" t="inlineStr">
        <is>
          <t>Requirement / scope</t>
        </is>
      </c>
      <c r="D1" s="11" t="inlineStr">
        <is>
          <t>Explanation and example</t>
        </is>
      </c>
      <c r="E1" s="11" t="inlineStr">
        <is>
          <t>Internal key</t>
        </is>
      </c>
    </row>
    <row r="2" ht="32" customHeight="1">
      <c r="A2" s="12" t="inlineStr">
        <is>
          <t>How to read this Codebook</t>
        </is>
      </c>
      <c r="B2" s="13" t="n"/>
      <c r="C2" s="13" t="n"/>
      <c r="D2" s="13" t="n"/>
      <c r="E2" s="14" t="n"/>
    </row>
    <row r="3" ht="100" customHeight="1">
      <c r="A3" s="15" t="inlineStr">
        <is>
          <t>Hierarchy and names</t>
        </is>
      </c>
      <c r="B3" s="15" t="inlineStr">
        <is>
          <t>GUIDE</t>
        </is>
      </c>
      <c r="C3" s="15" t="inlineStr">
        <is>
          <t>Field names match review headers exactly</t>
        </is>
      </c>
      <c r="D3" s="16" t="inlineStr">
        <is>
          <t>Dark bands identify modules. Pale bold rows identify fields. Indented option rows explain each dropdown value. Internal keys are for software only. Colors indicate structure, not scientific severity.</t>
        </is>
      </c>
      <c r="E3" s="15" t="inlineStr"/>
    </row>
    <row r="4" ht="100" customHeight="1">
      <c r="A4" s="17" t="inlineStr">
        <is>
          <t>Automatic defaults</t>
        </is>
      </c>
      <c r="B4" s="17" t="inlineStr">
        <is>
          <t>GUIDE</t>
        </is>
      </c>
      <c r="C4" s="17" t="inlineStr">
        <is>
          <t>Gray = inactive; yellow = required input; pale blue = optional input</t>
        </is>
      </c>
      <c r="D4" s="18" t="inlineStr">
        <is>
          <t>Default formulas show not_applicable outside the selected domain or after exclude/out_of_scope/discuss. Applicable questions start blank. Blank Disposition remains an unfinished decision. Changing the suggested domain changes untouched defaults.</t>
        </is>
      </c>
      <c r="E4" s="17" t="inlineStr"/>
    </row>
    <row r="5" ht="100" customHeight="1">
      <c r="A5" s="15" t="inlineStr">
        <is>
          <t>Blank, unknown, and not_applicable</t>
        </is>
      </c>
      <c r="B5" s="15" t="inlineStr">
        <is>
          <t>GUIDE</t>
        </is>
      </c>
      <c r="C5" s="15" t="inlineStr">
        <is>
          <t>Different meanings</t>
        </is>
      </c>
      <c r="D5" s="16"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5" t="inlineStr"/>
    </row>
    <row r="6" ht="100" customHeight="1">
      <c r="A6" s="17" t="inlineStr">
        <is>
          <t>Changing a domain after answering</t>
        </is>
      </c>
      <c r="B6" s="17" t="inlineStr">
        <is>
          <t>GUIDE</t>
        </is>
      </c>
      <c r="C6" s="17" t="inlineStr">
        <is>
          <t>Recheck the whole row</t>
        </is>
      </c>
      <c r="D6" s="18"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7" t="inlineStr"/>
    </row>
    <row r="7" ht="100" customHeight="1">
      <c r="A7" s="15" t="inlineStr">
        <is>
          <t>Checker defaults and inheritance</t>
        </is>
      </c>
      <c r="B7" s="15" t="inlineStr">
        <is>
          <t>GUIDE</t>
        </is>
      </c>
      <c r="C7" s="15" t="inlineStr">
        <is>
          <t>Only enter changes</t>
        </is>
      </c>
      <c r="D7" s="16"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5" t="inlineStr"/>
    </row>
    <row r="8" ht="32" customHeight="1">
      <c r="A8" s="12" t="inlineStr">
        <is>
          <t>1  |  Common decisions and optional notes</t>
        </is>
      </c>
      <c r="B8" s="13" t="n"/>
      <c r="C8" s="13" t="n"/>
      <c r="D8" s="13" t="n"/>
      <c r="E8" s="14" t="n"/>
    </row>
    <row r="9" ht="90" customHeight="1">
      <c r="A9" s="19" t="inlineStr">
        <is>
          <t>Disposition</t>
        </is>
      </c>
      <c r="B9" s="19" t="inlineStr">
        <is>
          <t>FIELD</t>
        </is>
      </c>
      <c r="C9" s="19" t="inlineStr">
        <is>
          <t>Required; all domains</t>
        </is>
      </c>
      <c r="D9" s="20" t="inlineStr">
        <is>
          <t>Keep, exclude, mark outside scope, or defer for discussion. Blank means untouched, not discuss. No AI disposition is preselected. Checker blanks inherit the primary answer.</t>
        </is>
      </c>
      <c r="E9" s="19" t="inlineStr">
        <is>
          <t>disposition</t>
        </is>
      </c>
    </row>
    <row r="10" outlineLevel="1" ht="52" customHeight="1">
      <c r="A10" s="17" t="inlineStr"/>
      <c r="B10" s="21" t="inlineStr">
        <is>
          <t>retain</t>
        </is>
      </c>
      <c r="C10" s="17" t="inlineStr">
        <is>
          <t>Option</t>
        </is>
      </c>
      <c r="D10" s="22" t="inlineStr">
        <is>
          <t>Retain candidate. After human review, keep this finding in the applicable review results; retaining a protocol discrepancy does not automatically confirm an error.</t>
        </is>
      </c>
      <c r="E10" s="17" t="inlineStr"/>
    </row>
    <row r="11" outlineLevel="1" ht="52" customHeight="1">
      <c r="A11" s="15" t="inlineStr"/>
      <c r="B11" s="23" t="inlineStr">
        <is>
          <t>exclude</t>
        </is>
      </c>
      <c r="C11" s="15" t="inlineStr">
        <is>
          <t>Option</t>
        </is>
      </c>
      <c r="D11" s="24" t="inlineStr">
        <is>
          <t>Do not retain. The candidate has been assessed and should not remain as a finding, for example because the apparent mismatch has a satisfactory explanation.</t>
        </is>
      </c>
      <c r="E11" s="15" t="inlineStr"/>
    </row>
    <row r="12" outlineLevel="1" ht="52" customHeight="1">
      <c r="A12" s="17" t="inlineStr"/>
      <c r="B12" s="21" t="inlineStr">
        <is>
          <t>out_of_scope</t>
        </is>
      </c>
      <c r="C12" s="17" t="inlineStr">
        <is>
          <t>Option</t>
        </is>
      </c>
      <c r="D12" s="22" t="inlineStr">
        <is>
          <t>Outside review scope. The candidate falls outside the agreed review question or eligible material, regardless of whether the observation is correct.</t>
        </is>
      </c>
      <c r="E12" s="17" t="inlineStr"/>
    </row>
    <row r="13" outlineLevel="1" ht="52" customHeight="1">
      <c r="A13" s="15" t="inlineStr"/>
      <c r="B13" s="23" t="inlineStr">
        <is>
          <t>discuss</t>
        </is>
      </c>
      <c r="C13" s="15" t="inlineStr">
        <is>
          <t>Option</t>
        </is>
      </c>
      <c r="D13" s="24" t="inlineStr">
        <is>
          <t>Needs discussion. The reviewer has considered the candidate but cannot settle the disposition without further discussion. This is a decision to defer, not an untouched blank.</t>
        </is>
      </c>
      <c r="E13" s="15" t="inlineStr"/>
    </row>
    <row r="14" ht="90" customHeight="1">
      <c r="A14" s="19" t="inlineStr">
        <is>
          <t>Review domain</t>
        </is>
      </c>
      <c r="B14" s="19" t="inlineStr">
        <is>
          <t>FIELD</t>
        </is>
      </c>
      <c r="C14" s="19" t="inlineStr">
        <is>
          <t>Required; all domains</t>
        </is>
      </c>
      <c r="D14" s="20" t="inlineStr">
        <is>
          <t>Choose the assessment branch first. It controls automatic not_applicable defaults and which judgments are required. All four choices are available; the frozen document relationship code does not change.</t>
        </is>
      </c>
      <c r="E14" s="19" t="inlineStr">
        <is>
          <t>domain</t>
        </is>
      </c>
    </row>
    <row r="15" outlineLevel="1" ht="52" customHeight="1">
      <c r="A15" s="15" t="inlineStr"/>
      <c r="B15" s="23" t="inlineStr">
        <is>
          <t>statistical_results</t>
        </is>
      </c>
      <c r="C15" s="15" t="inlineStr">
        <is>
          <t>Option</t>
        </is>
      </c>
      <c r="D15" s="24" t="inlineStr">
        <is>
          <t>Statistical results (S_C / S_W). Assess reported numbers, estimates, intervals, denominators or statistical claims in the current report materials.</t>
        </is>
      </c>
      <c r="E15" s="15" t="inlineStr"/>
    </row>
    <row r="16" outlineLevel="1" ht="52" customHeight="1">
      <c r="A16" s="17" t="inlineStr"/>
      <c r="B16" s="21" t="inlineStr">
        <is>
          <t>internal_nonstatistical</t>
        </is>
      </c>
      <c r="C16" s="17" t="inlineStr">
        <is>
          <t>Option</t>
        </is>
      </c>
      <c r="D16" s="22" t="inlineStr">
        <is>
          <t>Internal nonstatistical (S_C / S_W). Assess inconsistent labels, descriptions or other nonstatistical content within or between current report materials.</t>
        </is>
      </c>
      <c r="E16" s="17" t="inlineStr"/>
    </row>
    <row r="17" outlineLevel="1" ht="56" customHeight="1">
      <c r="A17" s="15" t="inlineStr"/>
      <c r="B17" s="23" t="inlineStr">
        <is>
          <t>protocol_report</t>
        </is>
      </c>
      <c r="C17" s="15" t="inlineStr">
        <is>
          <t>Option</t>
        </is>
      </c>
      <c r="D17" s="24" t="inlineStr">
        <is>
          <t>Protocol-report (P_R). Assess whether planned and reported conduct or analyses meaningfully differ, using the compared materials. No search for acknowledgment or reasons for changes is required.</t>
        </is>
      </c>
      <c r="E17" s="15" t="inlineStr"/>
    </row>
    <row r="18" outlineLevel="1" ht="56" customHeight="1">
      <c r="A18" s="17" t="inlineStr"/>
      <c r="B18" s="21" t="inlineStr">
        <is>
          <t>plan_material</t>
        </is>
      </c>
      <c r="C18" s="17" t="inlineStr">
        <is>
          <t>Option</t>
        </is>
      </c>
      <c r="D18" s="22" t="inlineStr">
        <is>
          <t>Plan material (P_P). Assess an inconsistency involving planning materials themselves rather than a planned-versus-reported result. The original relationship code remains unchanged.</t>
        </is>
      </c>
      <c r="E18" s="17" t="inlineStr"/>
    </row>
    <row r="19" ht="90" customHeight="1">
      <c r="A19" s="19" t="inlineStr">
        <is>
          <t>Complete</t>
        </is>
      </c>
      <c r="B19" s="19" t="inlineStr">
        <is>
          <t>FIELD</t>
        </is>
      </c>
      <c r="C19" s="19" t="inlineStr">
        <is>
          <t>Required; each stage</t>
        </is>
      </c>
      <c r="D19" s="20" t="inlineStr">
        <is>
          <t>Mark yes only after human review. Automatic defaults never complete a row. Reset to no after changing a completed assessment, then review again.</t>
        </is>
      </c>
      <c r="E19" s="19" t="inlineStr">
        <is>
          <t>reviewComplete</t>
        </is>
      </c>
    </row>
    <row r="20" outlineLevel="1" ht="52" customHeight="1">
      <c r="A20" s="17" t="inlineStr"/>
      <c r="B20" s="21" t="inlineStr">
        <is>
          <t>no</t>
        </is>
      </c>
      <c r="C20" s="17" t="inlineStr">
        <is>
          <t>Option</t>
        </is>
      </c>
      <c r="D20" s="22" t="inlineStr">
        <is>
          <t>Draft. This review stage is not yet confirmed complete; AI suggestions or partially filled fields do not count as completed human review.</t>
        </is>
      </c>
      <c r="E20" s="17" t="inlineStr"/>
    </row>
    <row r="21" outlineLevel="1" ht="52" customHeight="1">
      <c r="A21" s="15" t="inlineStr"/>
      <c r="B21" s="23" t="inlineStr">
        <is>
          <t>yes</t>
        </is>
      </c>
      <c r="C21" s="15" t="inlineStr">
        <is>
          <t>Option</t>
        </is>
      </c>
      <c r="D21" s="24" t="inlineStr">
        <is>
          <t>Human reviewed and complete. The reviewer has checked this row and its required fields. A discussion item may still be unresolved even though this review stage is complete.</t>
        </is>
      </c>
      <c r="E21" s="15" t="inlineStr"/>
    </row>
    <row r="22" ht="90" customHeight="1">
      <c r="A22" s="19" t="inlineStr">
        <is>
          <t>Validation hint</t>
        </is>
      </c>
      <c r="B22" s="19" t="inlineStr">
        <is>
          <t>FIELD</t>
        </is>
      </c>
      <c r="C22" s="19" t="inlineStr">
        <is>
          <t>Calculated; read only</t>
        </is>
      </c>
      <c r="D22" s="20" t="inlineStr">
        <is>
          <t>CHECK FIELDS means an applicable required judgment is missing or invalid. CLEAR INACTIVE VALUES means an old answer remains in an irrelevant field. This hint is not the full scientific or handoff validation.</t>
        </is>
      </c>
      <c r="E22" s="19" t="inlineStr">
        <is>
          <t>readiness</t>
        </is>
      </c>
    </row>
    <row r="23" ht="90" customHeight="1">
      <c r="A23" s="19" t="inlineStr">
        <is>
          <t>Related cluster (optional)</t>
        </is>
      </c>
      <c r="B23" s="19" t="inlineStr">
        <is>
          <t>FIELD</t>
        </is>
      </c>
      <c r="C23" s="19" t="inlineStr">
        <is>
          <t>Optional</t>
        </is>
      </c>
      <c r="D23" s="20" t="inlineStr">
        <is>
          <t>Connect distinct but related flags with a shared identifier. This does not merge, deduplicate, or reduce counts. In Checker, blank inherits; &lt;clear&gt; removes the inherited text.</t>
        </is>
      </c>
      <c r="E23" s="19" t="inlineStr">
        <is>
          <t>relatedClusterId</t>
        </is>
      </c>
    </row>
    <row r="24" ht="90" customHeight="1">
      <c r="A24" s="19" t="inlineStr">
        <is>
          <t>Notes (optional)</t>
        </is>
      </c>
      <c r="B24" s="19" t="inlineStr">
        <is>
          <t>FIELD</t>
        </is>
      </c>
      <c r="C24" s="19" t="inlineStr">
        <is>
          <t>Optional</t>
        </is>
      </c>
      <c r="D24" s="20" t="inlineStr">
        <is>
          <t>Add relevant context or uncertainty in English. No mandatory reproduction log or primary rationale. In Checker, blank inherits; &lt;clear&gt; removes the inherited text.</t>
        </is>
      </c>
      <c r="E24" s="19" t="inlineStr">
        <is>
          <t>notes</t>
        </is>
      </c>
    </row>
    <row r="25" ht="32" customHeight="1">
      <c r="A25" s="25" t="inlineStr">
        <is>
          <t>2  |  Statistical results: two required judgments</t>
        </is>
      </c>
      <c r="B25" s="13" t="n"/>
      <c r="C25" s="13" t="n"/>
      <c r="D25" s="13" t="n"/>
      <c r="E25" s="14" t="n"/>
    </row>
    <row r="26" ht="90" customHeight="1">
      <c r="A26" s="26" t="inlineStr">
        <is>
          <t>Statistical error</t>
        </is>
      </c>
      <c r="B26" s="26" t="inlineStr">
        <is>
          <t>FIELD</t>
        </is>
      </c>
      <c r="C26" s="26" t="inlineStr">
        <is>
          <t>Required; retained statistical_results</t>
        </is>
      </c>
      <c r="D26" s="27" t="inlineStr">
        <is>
          <t>Does a statistical reporting error exist? Example: a reported percentage conflicts with its stated numerator and denominator after checking definitions. Certainty is separate from importance.</t>
        </is>
      </c>
      <c r="E26" s="26" t="inlineStr">
        <is>
          <t>statisticalErrorStatus</t>
        </is>
      </c>
    </row>
    <row r="27" outlineLevel="1" ht="52" customHeight="1">
      <c r="A27" s="15" t="inlineStr"/>
      <c r="B27" s="28" t="inlineStr">
        <is>
          <t>confirmed_error</t>
        </is>
      </c>
      <c r="C27" s="15" t="inlineStr">
        <is>
          <t>Option</t>
        </is>
      </c>
      <c r="D27" s="24" t="inlineStr">
        <is>
          <t>Confirmed statistical reporting error. The available evidence establishes a reporting error or contradiction, even if the correct replacement value is not known.</t>
        </is>
      </c>
      <c r="E27" s="15" t="inlineStr"/>
    </row>
    <row r="28" outlineLevel="1" ht="52" customHeight="1">
      <c r="A28" s="17" t="inlineStr"/>
      <c r="B28" s="29" t="inlineStr">
        <is>
          <t>probable_error</t>
        </is>
      </c>
      <c r="C28" s="17" t="inlineStr">
        <is>
          <t>Option</t>
        </is>
      </c>
      <c r="D28" s="22" t="inlineStr">
        <is>
          <t>Probable statistical reporting error. The evidence favors a reporting error, but an unresolved limitation or plausible alternative prevents confirmation.</t>
        </is>
      </c>
      <c r="E28" s="17" t="inlineStr"/>
    </row>
    <row r="29" outlineLevel="1" ht="52" customHeight="1">
      <c r="A29" s="15" t="inlineStr"/>
      <c r="B29" s="28" t="inlineStr">
        <is>
          <t>not_error</t>
        </is>
      </c>
      <c r="C29" s="15" t="inlineStr">
        <is>
          <t>Option</t>
        </is>
      </c>
      <c r="D29" s="24" t="inlineStr">
        <is>
          <t>Not a statistical error. The apparent discrepancy is consistent with a valid calculation, definition, analysis method or reporting context.</t>
        </is>
      </c>
      <c r="E29" s="15" t="inlineStr"/>
    </row>
    <row r="30" outlineLevel="1" ht="52" customHeight="1">
      <c r="A30" s="17" t="inlineStr"/>
      <c r="B30" s="29" t="inlineStr">
        <is>
          <t>indeterminate</t>
        </is>
      </c>
      <c r="C30" s="17" t="inlineStr">
        <is>
          <t>Option</t>
        </is>
      </c>
      <c r="D30" s="22" t="inlineStr">
        <is>
          <t>Indeterminate. The available evidence does not support deciding whether a statistical reporting error exists; neither confirmation nor dismissal is justified.</t>
        </is>
      </c>
      <c r="E30" s="17" t="inlineStr"/>
    </row>
    <row r="31" outlineLevel="1" ht="56" customHeight="1">
      <c r="A31" s="15" t="inlineStr"/>
      <c r="B31" s="28" t="inlineStr">
        <is>
          <t>not_applicable</t>
        </is>
      </c>
      <c r="C31" s="15" t="inlineStr">
        <is>
          <t>Option</t>
        </is>
      </c>
      <c r="D31" s="24" t="inlineStr">
        <is>
          <t>Automatic default outside this field's review domain or for a non-retained candidate. It is not an error verdict, missing evidence, or an unanswered applicable question. Do not choose it for an applicable field.</t>
        </is>
      </c>
      <c r="E31" s="15" t="inlineStr"/>
    </row>
    <row r="32" ht="90" customHeight="1">
      <c r="A32" s="26" t="inlineStr">
        <is>
          <t>Substantiveness</t>
        </is>
      </c>
      <c r="B32" s="26" t="inlineStr">
        <is>
          <t>FIELD</t>
        </is>
      </c>
      <c r="C32" s="26" t="inlineStr">
        <is>
          <t>Required; retained statistical_results</t>
        </is>
      </c>
      <c r="D32" s="27" t="inlineStr">
        <is>
          <t>Could the issue meaningfully affect interpretation or data use? A harmless spacing typo is minor_presentation; an ambiguous extractable effect estimate may be substantive. An error can be confirmed yet minor.</t>
        </is>
      </c>
      <c r="E32" s="26" t="inlineStr">
        <is>
          <t>substantiveStatus</t>
        </is>
      </c>
    </row>
    <row r="33" outlineLevel="1" ht="52" customHeight="1">
      <c r="A33" s="15" t="inlineStr"/>
      <c r="B33" s="28" t="inlineStr">
        <is>
          <t>substantive</t>
        </is>
      </c>
      <c r="C33" s="15" t="inlineStr">
        <is>
          <t>Option</t>
        </is>
      </c>
      <c r="D33" s="24" t="inlineStr">
        <is>
          <t>Substantive. The issue could meaningfully change interpretation, data extraction or downstream analysis, rather than only the presentation of the result.</t>
        </is>
      </c>
      <c r="E33" s="15" t="inlineStr"/>
    </row>
    <row r="34" outlineLevel="1" ht="56" customHeight="1">
      <c r="A34" s="17" t="inlineStr"/>
      <c r="B34" s="29" t="inlineStr">
        <is>
          <t>minor_presentation</t>
        </is>
      </c>
      <c r="C34" s="17" t="inlineStr">
        <is>
          <t>Option</t>
        </is>
      </c>
      <c r="D34" s="22" t="inlineStr">
        <is>
          <t>Minor or presentation only. The intended result remains clear and the issue is a small formatting, labeling or typographic problem without a meaningful change in interpretation.</t>
        </is>
      </c>
      <c r="E34" s="17" t="inlineStr"/>
    </row>
    <row r="35" outlineLevel="1" ht="52" customHeight="1">
      <c r="A35" s="15" t="inlineStr"/>
      <c r="B35" s="28" t="inlineStr">
        <is>
          <t>indeterminate</t>
        </is>
      </c>
      <c r="C35" s="15" t="inlineStr">
        <is>
          <t>Option</t>
        </is>
      </c>
      <c r="D35" s="24" t="inlineStr">
        <is>
          <t>Indeterminate. There is not enough information to decide whether the issue is substantive or limited to presentation.</t>
        </is>
      </c>
      <c r="E35" s="15" t="inlineStr"/>
    </row>
    <row r="36" outlineLevel="1" ht="56" customHeight="1">
      <c r="A36" s="17" t="inlineStr"/>
      <c r="B36" s="29" t="inlineStr">
        <is>
          <t>not_applicable</t>
        </is>
      </c>
      <c r="C36" s="17" t="inlineStr">
        <is>
          <t>Option</t>
        </is>
      </c>
      <c r="D36" s="22" t="inlineStr">
        <is>
          <t>Automatic default outside this field's review domain or for a non-retained candidate. It is not an error verdict, missing evidence, or an unanswered applicable question. Do not choose it for an applicable field.</t>
        </is>
      </c>
      <c r="E36" s="17" t="inlineStr"/>
    </row>
    <row r="37" ht="90" customHeight="1">
      <c r="A37" s="26" t="inlineStr">
        <is>
          <t>Downstream impact</t>
        </is>
      </c>
      <c r="B37" s="26" t="inlineStr">
        <is>
          <t>FIELD</t>
        </is>
      </c>
      <c r="C37" s="26" t="inlineStr">
        <is>
          <t>Optional; retained statistical_results</t>
        </is>
      </c>
      <c r="D37" s="2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6" t="inlineStr">
        <is>
          <t>downstreamImpact</t>
        </is>
      </c>
    </row>
    <row r="38" outlineLevel="1" ht="56" customHeight="1">
      <c r="A38" s="17" t="inlineStr"/>
      <c r="B38" s="29" t="inlineStr">
        <is>
          <t>direct</t>
        </is>
      </c>
      <c r="C38" s="17" t="inlineStr">
        <is>
          <t>Option</t>
        </is>
      </c>
      <c r="D38" s="22" t="inlineStr">
        <is>
          <t>Direct extraction or analysis impact. The affected value or definition is itself an input to data extraction or subsequent analysis; this describes potential impact, not proven downstream harm.</t>
        </is>
      </c>
      <c r="E38" s="17" t="inlineStr"/>
    </row>
    <row r="39" outlineLevel="1" ht="52" customHeight="1">
      <c r="A39" s="15" t="inlineStr"/>
      <c r="B39" s="28" t="inlineStr">
        <is>
          <t>possible</t>
        </is>
      </c>
      <c r="C39" s="15" t="inlineStr">
        <is>
          <t>Option</t>
        </is>
      </c>
      <c r="D39" s="24" t="inlineStr">
        <is>
          <t>Possible downstream impact. A plausible route to affecting later interpretation, extraction or analysis exists, but the connection is indirect or uncertain.</t>
        </is>
      </c>
      <c r="E39" s="15" t="inlineStr"/>
    </row>
    <row r="40" outlineLevel="1" ht="52" customHeight="1">
      <c r="A40" s="17" t="inlineStr"/>
      <c r="B40" s="29" t="inlineStr">
        <is>
          <t>unlikely</t>
        </is>
      </c>
      <c r="C40" s="17" t="inlineStr">
        <is>
          <t>Option</t>
        </is>
      </c>
      <c r="D40" s="22" t="inlineStr">
        <is>
          <t>Unlikely downstream impact. The issue is unlikely to change extracted information or later analysis because the relevant result remains clear and usable.</t>
        </is>
      </c>
      <c r="E40" s="17" t="inlineStr"/>
    </row>
    <row r="41" outlineLevel="1" ht="52" customHeight="1">
      <c r="A41" s="15" t="inlineStr"/>
      <c r="B41" s="28" t="inlineStr">
        <is>
          <t>unknown</t>
        </is>
      </c>
      <c r="C41" s="15" t="inlineStr">
        <is>
          <t>Option</t>
        </is>
      </c>
      <c r="D41" s="24" t="inlineStr">
        <is>
          <t>Unable to assess. The materials do not establish enough about the affected information or its likely use to judge downstream impact.</t>
        </is>
      </c>
      <c r="E41" s="15" t="inlineStr"/>
    </row>
    <row r="42" outlineLevel="1" ht="56" customHeight="1">
      <c r="A42" s="17" t="inlineStr"/>
      <c r="B42" s="29" t="inlineStr">
        <is>
          <t>not_applicable</t>
        </is>
      </c>
      <c r="C42" s="17" t="inlineStr">
        <is>
          <t>Option</t>
        </is>
      </c>
      <c r="D42" s="22" t="inlineStr">
        <is>
          <t>Automatic default outside this field's review domain or for a non-retained candidate. It is not an error verdict, missing evidence, or an unanswered applicable question. Do not choose it for an applicable field.</t>
        </is>
      </c>
      <c r="E42" s="17" t="inlineStr"/>
    </row>
    <row r="43" outlineLevel="1" ht="52" customHeight="1">
      <c r="A43" s="15" t="inlineStr"/>
      <c r="B43" s="28" t="inlineStr">
        <is>
          <t>&lt;clear&gt;</t>
        </is>
      </c>
      <c r="C43" s="15" t="inlineStr">
        <is>
          <t>Option</t>
        </is>
      </c>
      <c r="D43" s="24" t="inlineStr">
        <is>
          <t>Checker only: remove an inherited optional judgment. This is a control value, not an assessment option for primary review. The final optional answer becomes blank.</t>
        </is>
      </c>
      <c r="E43" s="15" t="inlineStr"/>
    </row>
    <row r="44" ht="32" customHeight="1">
      <c r="A44" s="30" t="inlineStr">
        <is>
          <t>3  |  Internal or planning materials: one required judgment</t>
        </is>
      </c>
      <c r="B44" s="13" t="n"/>
      <c r="C44" s="13" t="n"/>
      <c r="D44" s="13" t="n"/>
      <c r="E44" s="14" t="n"/>
    </row>
    <row r="45" ht="90" customHeight="1">
      <c r="A45" s="31" t="inlineStr">
        <is>
          <t>Internal or plan assessment</t>
        </is>
      </c>
      <c r="B45" s="31" t="inlineStr">
        <is>
          <t>FIELD</t>
        </is>
      </c>
      <c r="C45" s="31" t="inlineStr">
        <is>
          <t>Required; retained internal_nonstatistical or plan_material</t>
        </is>
      </c>
      <c r="D45" s="32" t="inlineStr">
        <is>
          <t>One verdict on whether descriptions conflict and how much that matters. Covers nonstatistical inconsistencies within/between submitted report materials, and inconsistencies between planning materials such as protocol versus protocol or SAP. Plan versus final report belongs to protocol_report, not this field. Statistical-result problems use Statistical error and Substantiveness.</t>
        </is>
      </c>
      <c r="E45" s="31" t="inlineStr">
        <is>
          <t>internalStatus</t>
        </is>
      </c>
    </row>
    <row r="46" outlineLevel="1" ht="52" customHeight="1">
      <c r="A46" s="17" t="inlineStr"/>
      <c r="B46" s="33" t="inlineStr">
        <is>
          <t>substantive_inconsistency</t>
        </is>
      </c>
      <c r="C46" s="17" t="inlineStr">
        <is>
          <t>Option</t>
        </is>
      </c>
      <c r="D46" s="22" t="inlineStr">
        <is>
          <t>Substantive inconsistency. The conflicting descriptions or planning statements could materially change how the study, population, procedures or results are understood.</t>
        </is>
      </c>
      <c r="E46" s="17" t="inlineStr"/>
    </row>
    <row r="47" outlineLevel="1" ht="52" customHeight="1">
      <c r="A47" s="15" t="inlineStr"/>
      <c r="B47" s="34" t="inlineStr">
        <is>
          <t>minor_presentation</t>
        </is>
      </c>
      <c r="C47" s="15" t="inlineStr">
        <is>
          <t>Option</t>
        </is>
      </c>
      <c r="D47" s="24" t="inlineStr">
        <is>
          <t>Minor presentation inconsistency. A real discrepancy exists, but it mainly affects presentation and the intended meaning remains clear.</t>
        </is>
      </c>
      <c r="E47" s="15" t="inlineStr"/>
    </row>
    <row r="48" outlineLevel="1" ht="52" customHeight="1">
      <c r="A48" s="17" t="inlineStr"/>
      <c r="B48" s="33" t="inlineStr">
        <is>
          <t>wording_only</t>
        </is>
      </c>
      <c r="C48" s="17" t="inlineStr">
        <is>
          <t>Option</t>
        </is>
      </c>
      <c r="D48" s="22" t="inlineStr">
        <is>
          <t>Wording only. Different phrases express the same substantive meaning; there is no meaningful conflict between the statements.</t>
        </is>
      </c>
      <c r="E48" s="17" t="inlineStr"/>
    </row>
    <row r="49" outlineLevel="1" ht="52" customHeight="1">
      <c r="A49" s="15" t="inlineStr"/>
      <c r="B49" s="34" t="inlineStr">
        <is>
          <t>not_inconsistency</t>
        </is>
      </c>
      <c r="C49" s="15" t="inlineStr">
        <is>
          <t>Option</t>
        </is>
      </c>
      <c r="D49" s="24" t="inlineStr">
        <is>
          <t>Not an inconsistency. The statements are compatible once their definitions, populations, time points or other context are taken into account.</t>
        </is>
      </c>
      <c r="E49" s="15" t="inlineStr"/>
    </row>
    <row r="50" outlineLevel="1" ht="52" customHeight="1">
      <c r="A50" s="17" t="inlineStr"/>
      <c r="B50" s="33" t="inlineStr">
        <is>
          <t>indeterminate</t>
        </is>
      </c>
      <c r="C50" s="17" t="inlineStr">
        <is>
          <t>Option</t>
        </is>
      </c>
      <c r="D50" s="22" t="inlineStr">
        <is>
          <t>Indeterminate. The available material is insufficient to establish whether the statements conflict or how important any conflict is.</t>
        </is>
      </c>
      <c r="E50" s="17" t="inlineStr"/>
    </row>
    <row r="51" outlineLevel="1" ht="56" customHeight="1">
      <c r="A51" s="15" t="inlineStr"/>
      <c r="B51" s="34" t="inlineStr">
        <is>
          <t>not_applicable</t>
        </is>
      </c>
      <c r="C51" s="15" t="inlineStr">
        <is>
          <t>Option</t>
        </is>
      </c>
      <c r="D51" s="24" t="inlineStr">
        <is>
          <t>Automatic default outside this field's review domain or for a non-retained candidate. It is not an error verdict, missing evidence, or an unanswered applicable question. Do not choose it for an applicable field.</t>
        </is>
      </c>
      <c r="E51" s="15" t="inlineStr"/>
    </row>
    <row r="52" ht="32" customHeight="1">
      <c r="A52" s="35" t="inlineStr">
        <is>
          <t>4  |  Protocol versus report: optional description only</t>
        </is>
      </c>
      <c r="B52" s="13" t="n"/>
      <c r="C52" s="13" t="n"/>
      <c r="D52" s="13" t="n"/>
      <c r="E52" s="14" t="n"/>
    </row>
    <row r="53" ht="90" customHeight="1">
      <c r="A53" s="36" t="inlineStr">
        <is>
          <t>Protocol interpretation</t>
        </is>
      </c>
      <c r="B53" s="36" t="inlineStr">
        <is>
          <t>FIELD</t>
        </is>
      </c>
      <c r="C53" s="36" t="inlineStr">
        <is>
          <t>Optional; retained protocol_report</t>
        </is>
      </c>
      <c r="D53" s="37"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6" t="inlineStr">
        <is>
          <t>protocolInterpretation</t>
        </is>
      </c>
    </row>
    <row r="54" outlineLevel="1" ht="72" customHeight="1">
      <c r="A54" s="17" t="inlineStr"/>
      <c r="B54" s="38" t="inlineStr">
        <is>
          <t>substantive_difference</t>
        </is>
      </c>
      <c r="C54" s="17" t="inlineStr">
        <is>
          <t>Option</t>
        </is>
      </c>
      <c r="D54" s="22"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7" t="inlineStr"/>
    </row>
    <row r="55" outlineLevel="1" ht="52" customHeight="1">
      <c r="A55" s="15" t="inlineStr"/>
      <c r="B55" s="39" t="inlineStr">
        <is>
          <t>wording_only</t>
        </is>
      </c>
      <c r="C55" s="15" t="inlineStr">
        <is>
          <t>Option</t>
        </is>
      </c>
      <c r="D55" s="24" t="inlineStr">
        <is>
          <t>Wording only. The apparent planned-versus-reported difference does not represent a substantive change in meaning or conduct.</t>
        </is>
      </c>
      <c r="E55" s="15" t="inlineStr"/>
    </row>
    <row r="56" outlineLevel="1" ht="52" customHeight="1">
      <c r="A56" s="17" t="inlineStr"/>
      <c r="B56" s="38" t="inlineStr">
        <is>
          <t>version_timing</t>
        </is>
      </c>
      <c r="C56" s="17" t="inlineStr">
        <is>
          <t>Option</t>
        </is>
      </c>
      <c r="D56" s="22" t="inlineStr">
        <is>
          <t>Version or timing ambiguity. The difference may reflect which protocol version or date is being compared; the sequence cannot be resolved from the available material.</t>
        </is>
      </c>
      <c r="E56" s="17" t="inlineStr"/>
    </row>
    <row r="57" outlineLevel="1" ht="56" customHeight="1">
      <c r="A57" s="15" t="inlineStr"/>
      <c r="B57" s="39" t="inlineStr">
        <is>
          <t>not_discrepancy</t>
        </is>
      </c>
      <c r="C57" s="15" t="inlineStr">
        <is>
          <t>Option</t>
        </is>
      </c>
      <c r="D57" s="24" t="inlineStr">
        <is>
          <t>No actual discrepancy. The compared statements are compatible after checking the population, definitions, time points, or context. Normally consider Disposition=exclude for this candidate.</t>
        </is>
      </c>
      <c r="E57" s="15" t="inlineStr"/>
    </row>
    <row r="58" outlineLevel="1" ht="52" customHeight="1">
      <c r="A58" s="17" t="inlineStr"/>
      <c r="B58" s="38" t="inlineStr">
        <is>
          <t>indeterminate</t>
        </is>
      </c>
      <c r="C58" s="17" t="inlineStr">
        <is>
          <t>Option</t>
        </is>
      </c>
      <c r="D58" s="22" t="inlineStr">
        <is>
          <t>Indeterminate. The available evidence cannot support a more specific interpretation of the planned-versus-reported difference.</t>
        </is>
      </c>
      <c r="E58" s="17" t="inlineStr"/>
    </row>
    <row r="59" outlineLevel="1" ht="56" customHeight="1">
      <c r="A59" s="15" t="inlineStr"/>
      <c r="B59" s="39" t="inlineStr">
        <is>
          <t>not_applicable</t>
        </is>
      </c>
      <c r="C59" s="15" t="inlineStr">
        <is>
          <t>Option</t>
        </is>
      </c>
      <c r="D59" s="24" t="inlineStr">
        <is>
          <t>Automatic default outside this field's review domain or for a non-retained candidate. It is not an error verdict, missing evidence, or an unanswered applicable question. Do not choose it for an applicable field.</t>
        </is>
      </c>
      <c r="E59" s="15" t="inlineStr"/>
    </row>
    <row r="60" outlineLevel="1" ht="52" customHeight="1">
      <c r="A60" s="17" t="inlineStr"/>
      <c r="B60" s="38" t="inlineStr">
        <is>
          <t>&lt;clear&gt;</t>
        </is>
      </c>
      <c r="C60" s="17" t="inlineStr">
        <is>
          <t>Option</t>
        </is>
      </c>
      <c r="D60" s="22" t="inlineStr">
        <is>
          <t>Checker only: remove an inherited optional judgment. This is a control value, not an assessment option for primary review. The final optional answer becomes blank.</t>
        </is>
      </c>
      <c r="E60" s="17" t="inlineStr"/>
    </row>
    <row r="61" ht="32" customHeight="1">
      <c r="A61" s="40" t="inlineStr">
        <is>
          <t>5  |  Second-person checking and discussion</t>
        </is>
      </c>
      <c r="B61" s="13" t="n"/>
      <c r="C61" s="13" t="n"/>
      <c r="D61" s="13" t="n"/>
      <c r="E61" s="14" t="n"/>
    </row>
    <row r="62" ht="90" customHeight="1">
      <c r="A62" s="41" t="inlineStr">
        <is>
          <t>Checker result</t>
        </is>
      </c>
      <c r="B62" s="41" t="inlineStr">
        <is>
          <t>FIELD</t>
        </is>
      </c>
      <c r="C62" s="41" t="inlineStr">
        <is>
          <t>Required; completed Checker</t>
        </is>
      </c>
      <c r="D62" s="42" t="inlineStr">
        <is>
          <t>The checker sees primary answers. For an unchanged agreement, select agree and Complete=yes only. Other choices need a Checker comment. This is not blinded independent rating.</t>
        </is>
      </c>
      <c r="E62" s="41" t="inlineStr">
        <is>
          <t>checkStatus</t>
        </is>
      </c>
    </row>
    <row r="63" outlineLevel="1" ht="52" customHeight="1">
      <c r="A63" s="15" t="inlineStr"/>
      <c r="B63" s="43" t="inlineStr">
        <is>
          <t>agree</t>
        </is>
      </c>
      <c r="C63" s="15" t="inlineStr">
        <is>
          <t>Option</t>
        </is>
      </c>
      <c r="D63" s="24" t="inlineStr">
        <is>
          <t>Agree, assessment unchanged. Accept the primary assessment as recorded. Leave override cells blank; no checker comment is required.</t>
        </is>
      </c>
      <c r="E63" s="15" t="inlineStr"/>
    </row>
    <row r="64" outlineLevel="1" ht="52" customHeight="1">
      <c r="A64" s="17" t="inlineStr"/>
      <c r="B64" s="44" t="inlineStr">
        <is>
          <t>agree_clarification</t>
        </is>
      </c>
      <c r="C64" s="17" t="inlineStr">
        <is>
          <t>Option</t>
        </is>
      </c>
      <c r="D64" s="22" t="inlineStr">
        <is>
          <t>Agree with clarification. Accept the main assessment but add context or a clarifying amendment. Explain it in a checker comment and fill only any changed fields.</t>
        </is>
      </c>
      <c r="E64" s="17" t="inlineStr"/>
    </row>
    <row r="65" outlineLevel="1" ht="56" customHeight="1">
      <c r="A65" s="15" t="inlineStr"/>
      <c r="B65" s="43" t="inlineStr">
        <is>
          <t>disagree</t>
        </is>
      </c>
      <c r="C65" s="15" t="inlineStr">
        <is>
          <t>Option</t>
        </is>
      </c>
      <c r="D65" s="24" t="inlineStr">
        <is>
          <t>Disagree, proposal pending discussion. Recommend a different assessment, explain why in a comment, and enter proposed changes. The proposal is not final consensus until discussion is resolved.</t>
        </is>
      </c>
      <c r="E65" s="15" t="inlineStr"/>
    </row>
    <row r="66" outlineLevel="1" ht="52" customHeight="1">
      <c r="A66" s="17" t="inlineStr"/>
      <c r="B66" s="44" t="inlineStr">
        <is>
          <t>unable</t>
        </is>
      </c>
      <c r="C66" s="17" t="inlineStr">
        <is>
          <t>Option</t>
        </is>
      </c>
      <c r="D66" s="22" t="inlineStr">
        <is>
          <t>Unable to resolve. The checker cannot settle the issue from the available information. State what remains uncertain in a comment and refer it for discussion.</t>
        </is>
      </c>
      <c r="E66" s="17" t="inlineStr"/>
    </row>
    <row r="67" ht="90" customHeight="1">
      <c r="A67" s="41" t="inlineStr">
        <is>
          <t>Checker comment</t>
        </is>
      </c>
      <c r="B67" s="41" t="inlineStr">
        <is>
          <t>FIELD</t>
        </is>
      </c>
      <c r="C67" s="41" t="inlineStr">
        <is>
          <t>Required unless Checker result is agree</t>
        </is>
      </c>
      <c r="D67" s="42" t="inlineStr">
        <is>
          <t>Explain the clarification, disagreement, or uncertainty in English. An unchanged agreement does not require a comment.</t>
        </is>
      </c>
      <c r="E67" s="41" t="inlineStr">
        <is>
          <t>checkerComment</t>
        </is>
      </c>
    </row>
    <row r="68" ht="90" customHeight="1">
      <c r="A68" s="41" t="inlineStr">
        <is>
          <t>Discussion resolution</t>
        </is>
      </c>
      <c r="B68" s="41" t="inlineStr">
        <is>
          <t>FIELD</t>
        </is>
      </c>
      <c r="C68" s="41" t="inlineStr">
        <is>
          <t>Conditional; discussion</t>
        </is>
      </c>
      <c r="D68" s="42" t="inlineStr">
        <is>
          <t>Use resolved only after joint discussion settles a disagreement, an unable result, or a primary discuss changed to a decision. Record who participated and the conclusion in Resolution note.</t>
        </is>
      </c>
      <c r="E68" s="41" t="inlineStr">
        <is>
          <t>resolutionStatus</t>
        </is>
      </c>
    </row>
    <row r="69" outlineLevel="1" ht="52" customHeight="1">
      <c r="A69" s="15" t="inlineStr"/>
      <c r="B69" s="43" t="inlineStr">
        <is>
          <t>pending</t>
        </is>
      </c>
      <c r="C69" s="15" t="inlineStr">
        <is>
          <t>Option</t>
        </is>
      </c>
      <c r="D69" s="24" t="inlineStr">
        <is>
          <t>Discussion not resolved. A required discussion is not yet settled. For an unchanged agreement this default can be left as-is because no separate resolution is required.</t>
        </is>
      </c>
      <c r="E69" s="15" t="inlineStr"/>
    </row>
    <row r="70" outlineLevel="1" ht="52" customHeight="1">
      <c r="A70" s="17" t="inlineStr"/>
      <c r="B70" s="44" t="inlineStr">
        <is>
          <t>resolved</t>
        </is>
      </c>
      <c r="C70" s="17" t="inlineStr">
        <is>
          <t>Option</t>
        </is>
      </c>
      <c r="D70" s="22" t="inlineStr">
        <is>
          <t>Joint discussion resolved. Record the participants and agreed conclusion in Resolution note, update the proposed assessment, and do not leave disposition as discuss.</t>
        </is>
      </c>
      <c r="E70" s="17" t="inlineStr"/>
    </row>
    <row r="71" ht="90" customHeight="1">
      <c r="A71" s="41" t="inlineStr">
        <is>
          <t>Resolution note</t>
        </is>
      </c>
      <c r="B71" s="41" t="inlineStr">
        <is>
          <t>FIELD</t>
        </is>
      </c>
      <c r="C71" s="41" t="inlineStr">
        <is>
          <t>Required when resolved</t>
        </is>
      </c>
      <c r="D71" s="42" t="inlineStr">
        <is>
          <t>Record participants and the agreed conclusion in English. Update proposed judgments and do not leave Disposition=discuss. Checker completion alone does not settle disagreement.</t>
        </is>
      </c>
      <c r="E71" s="41" t="inlineStr">
        <is>
          <t>resolutionNote</t>
        </is>
      </c>
    </row>
    <row r="72" ht="32" customHeight="1">
      <c r="A72" s="45" t="inlineStr">
        <is>
          <t>6  |  Candidate context</t>
        </is>
      </c>
      <c r="B72" s="13" t="n"/>
      <c r="C72" s="13" t="n"/>
      <c r="D72" s="13" t="n"/>
      <c r="E72" s="14" t="n"/>
    </row>
    <row r="73" ht="90" customHeight="1">
      <c r="A73" s="46" t="inlineStr">
        <is>
          <t>Candidate key</t>
        </is>
      </c>
      <c r="B73" s="46" t="inlineStr">
        <is>
          <t>FIELD</t>
        </is>
      </c>
      <c r="C73" s="46" t="inlineStr">
        <is>
          <t>Read only</t>
        </is>
      </c>
      <c r="D73" s="47" t="inlineStr">
        <is>
          <t>Unique candidate identity used for matching, even after complete rows are reordered. Never edit this value.</t>
        </is>
      </c>
      <c r="E73" s="46" t="inlineStr">
        <is>
          <t>key</t>
        </is>
      </c>
    </row>
    <row r="74" ht="90" customHeight="1">
      <c r="A74" s="46" t="inlineStr">
        <is>
          <t>Candidate title</t>
        </is>
      </c>
      <c r="B74" s="46" t="inlineStr">
        <is>
          <t>FIELD</t>
        </is>
      </c>
      <c r="C74" s="46" t="inlineStr">
        <is>
          <t>Read only</t>
        </is>
      </c>
      <c r="D74" s="47" t="inlineStr">
        <is>
          <t>Short candidate title. A candidate is an AI flag for human assessment, not a confirmed error.</t>
        </is>
      </c>
      <c r="E74" s="46" t="inlineStr">
        <is>
          <t>title</t>
        </is>
      </c>
    </row>
    <row r="75" ht="90" customHeight="1">
      <c r="A75" s="46" t="inlineStr">
        <is>
          <t>Source location</t>
        </is>
      </c>
      <c r="B75" s="46" t="inlineStr">
        <is>
          <t>FIELD</t>
        </is>
      </c>
      <c r="C75" s="46" t="inlineStr">
        <is>
          <t>Read only; both roles</t>
        </is>
      </c>
      <c r="D75" s="47" t="inlineStr">
        <is>
          <t>Where to check the source claim. Both Primary and Checker show this column in the same position. Use Candidates and Evidence for context and the shared paper folders for originals.</t>
        </is>
      </c>
      <c r="E75" s="46" t="inlineStr">
        <is>
          <t>locations</t>
        </is>
      </c>
    </row>
    <row r="76" ht="90" customHeight="1">
      <c r="A76" s="46" t="inlineStr">
        <is>
          <t>Primary assessment (read only)</t>
        </is>
      </c>
      <c r="B76" s="46" t="inlineStr">
        <is>
          <t>FIELD</t>
        </is>
      </c>
      <c r="C76" s="46" t="inlineStr">
        <is>
          <t>Read only; Checker</t>
        </is>
      </c>
      <c r="D76" s="47" t="inlineStr">
        <is>
          <t>Snapshot of the completed primary judgments for this candidate. Review this summary before choosing Checker result. Blank applicable judgment cells inherit the matching snapshot. AWAITING PRIMARY HANDOFF means this is a layout template; prepare it from a completed primary file before checking.</t>
        </is>
      </c>
      <c r="E76" s="46"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22.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v.2.1.3</t>
        </is>
      </c>
    </row>
    <row r="3" ht="30" customHeight="1">
      <c r="A3" s="3" t="inlineStr">
        <is>
          <t>schema</t>
        </is>
      </c>
      <c r="B3" s="3" t="inlineStr">
        <is>
          <t>xlsx-adjudication-5</t>
        </is>
      </c>
    </row>
    <row r="4" ht="30" customHeight="1">
      <c r="A4" s="2" t="inlineStr">
        <is>
          <t>stage</t>
        </is>
      </c>
      <c r="B4" s="2" t="inlineStr">
        <is>
          <t>primary</t>
        </is>
      </c>
    </row>
    <row r="5" ht="30" customHeight="1">
      <c r="A5" s="3" t="inlineStr">
        <is>
          <t>year</t>
        </is>
      </c>
      <c r="B5" s="3" t="inlineStr">
        <is>
          <t>2025</t>
        </is>
      </c>
    </row>
    <row r="6" ht="30" customHeight="1">
      <c r="A6" s="2" t="inlineStr">
        <is>
          <t>createdAt</t>
        </is>
      </c>
      <c r="B6" s="2" t="inlineStr">
        <is>
          <t>2026-09-13T23:51:57+00:00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4ed0447220940d2c7ae0df8340eed8f01877a07b769edd5456515f5b135ffd95</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v.2.1.3</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23.xml><?xml version="1.0" encoding="utf-8"?>
<worksheet xmlns="http://schemas.openxmlformats.org/spreadsheetml/2006/main">
  <sheetPr>
    <outlinePr summaryBelow="1" summaryRight="1"/>
    <pageSetUpPr fitToPage="1"/>
  </sheetPr>
  <dimension ref="A1:E33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2025::jama.2024.24764::C001</t>
        </is>
      </c>
      <c r="B2" s="2" t="inlineStr">
        <is>
          <t>sourceLinks</t>
        </is>
      </c>
      <c r="C2" s="2" t="n">
        <v>0</v>
      </c>
      <c r="D2" s="2" t="inlineStr">
        <is>
          <t>jama_atherton_2025_oi_240145_1741627844.85412.pdf — PDF p. 5, Table 1</t>
        </is>
      </c>
      <c r="E2" s="2" t="inlineStr">
        <is>
          <t>../../2025/jama.2024.24764/jama_atherton_2025_oi_240145_1741627844.85412.pdf#page=5</t>
        </is>
      </c>
    </row>
    <row r="3" ht="40" customHeight="1">
      <c r="A3" s="3" t="inlineStr">
        <is>
          <t>2025::jama.2024.24764::C002</t>
        </is>
      </c>
      <c r="B3" s="3" t="inlineStr">
        <is>
          <t>sourceLinks</t>
        </is>
      </c>
      <c r="C3" s="3" t="n">
        <v>0</v>
      </c>
      <c r="D3" s="3" t="inlineStr">
        <is>
          <t>jama_atherton_2025_oi_240145_1741627844.85412.pdf — PDF p. 7, Table 2</t>
        </is>
      </c>
      <c r="E3" s="3" t="inlineStr">
        <is>
          <t>../../2025/jama.2024.24764/jama_atherton_2025_oi_240145_1741627844.85412.pdf#page=7</t>
        </is>
      </c>
    </row>
    <row r="4" ht="40" customHeight="1">
      <c r="A4" s="2" t="inlineStr">
        <is>
          <t>2025::jama.2024.24764::C003</t>
        </is>
      </c>
      <c r="B4" s="2" t="inlineStr">
        <is>
          <t>sourceLinks</t>
        </is>
      </c>
      <c r="C4" s="2" t="n">
        <v>0</v>
      </c>
      <c r="D4" s="2" t="inlineStr">
        <is>
          <t>jama_atherton_2025_oi_240145_1741627844.85412.pdf — PDF p. 7, Table 2 continuation</t>
        </is>
      </c>
      <c r="E4" s="2" t="inlineStr">
        <is>
          <t>../../2025/jama.2024.24764/jama_atherton_2025_oi_240145_1741627844.85412.pdf#page=7</t>
        </is>
      </c>
    </row>
    <row r="5" ht="40" customHeight="1">
      <c r="A5" s="3" t="inlineStr">
        <is>
          <t>2025::jama.2024.24764::C004</t>
        </is>
      </c>
      <c r="B5" s="3" t="inlineStr">
        <is>
          <t>sourceLinks</t>
        </is>
      </c>
      <c r="C5" s="3" t="n">
        <v>0</v>
      </c>
      <c r="D5" s="3" t="inlineStr">
        <is>
          <t>jama_atherton_2025_oi_240145_1741627844.85412.pdf — PDF p. 7, Table 2 continuation</t>
        </is>
      </c>
      <c r="E5" s="3" t="inlineStr">
        <is>
          <t>../../2025/jama.2024.24764/jama_atherton_2025_oi_240145_1741627844.85412.pdf#page=7</t>
        </is>
      </c>
    </row>
    <row r="6" ht="40" customHeight="1">
      <c r="A6" s="2" t="inlineStr">
        <is>
          <t>2025::jama.2024.24764::C005</t>
        </is>
      </c>
      <c r="B6" s="2" t="inlineStr">
        <is>
          <t>sourceLinks</t>
        </is>
      </c>
      <c r="C6" s="2" t="n">
        <v>0</v>
      </c>
      <c r="D6" s="2" t="inlineStr">
        <is>
          <t>jama_atherton_2025_oi_240145_1741627844.85412.pdf — PDF p. 3, Figure 1</t>
        </is>
      </c>
      <c r="E6" s="2" t="inlineStr">
        <is>
          <t>../../2025/jama.2024.24764/jama_atherton_2025_oi_240145_1741627844.85412.pdf#page=3</t>
        </is>
      </c>
    </row>
    <row r="7" ht="30" customHeight="1">
      <c r="A7" s="3" t="inlineStr">
        <is>
          <t>2025::jama.2024.24764::C005</t>
        </is>
      </c>
      <c r="B7" s="3" t="inlineStr">
        <is>
          <t>sourceLinks</t>
        </is>
      </c>
      <c r="C7" s="3" t="n">
        <v>1</v>
      </c>
      <c r="D7" s="3" t="inlineStr">
        <is>
          <t>PDF p. 6, safety narrative</t>
        </is>
      </c>
      <c r="E7" s="3" t="inlineStr">
        <is>
          <t>../../2025/jama.2024.24764/jama_atherton_2025_oi_240145_1741627844.85412.pdf#page=6</t>
        </is>
      </c>
    </row>
    <row r="8" ht="30" customHeight="1">
      <c r="A8" s="2" t="inlineStr">
        <is>
          <t>2025::jama.2024.24764::C005</t>
        </is>
      </c>
      <c r="B8" s="2" t="inlineStr">
        <is>
          <t>sourceLinks</t>
        </is>
      </c>
      <c r="C8" s="2" t="n">
        <v>2</v>
      </c>
      <c r="D8" s="2" t="inlineStr">
        <is>
          <t>PDF p. 8, Table 3</t>
        </is>
      </c>
      <c r="E8" s="2" t="inlineStr">
        <is>
          <t>../../2025/jama.2024.24764/jama_atherton_2025_oi_240145_1741627844.85412.pdf#page=8</t>
        </is>
      </c>
    </row>
    <row r="9" ht="40" customHeight="1">
      <c r="A9" s="3" t="inlineStr">
        <is>
          <t>2025::jama.2024.24764::C005</t>
        </is>
      </c>
      <c r="B9" s="3" t="inlineStr">
        <is>
          <t>evidencePaths</t>
        </is>
      </c>
      <c r="C9" s="3" t="n">
        <v>0</v>
      </c>
      <c r="D9" s="3" t="inlineStr">
        <is>
          <t>2025/jama.2024.24764/.ai_paper_validation/review_1_5_3/verification/evidence_recheck.md</t>
        </is>
      </c>
      <c r="E9" s="3" t="inlineStr">
        <is>
          <t>../../2025/jama.2024.24764/.ai_paper_validation/review_1_5_3/verification/evidence_recheck.md</t>
        </is>
      </c>
    </row>
    <row r="10" ht="30" customHeight="1">
      <c r="A10" s="2" t="inlineStr">
        <is>
          <t>2025::jama.2024.24764::C006</t>
        </is>
      </c>
      <c r="B10" s="2" t="inlineStr">
        <is>
          <t>sourceLinks</t>
        </is>
      </c>
      <c r="C10" s="2" t="n">
        <v>0</v>
      </c>
      <c r="D10" s="2" t="inlineStr">
        <is>
          <t>joi240145supp1_prod_1741627844.87412.pdf — PDF p. 26, SAP</t>
        </is>
      </c>
      <c r="E10" s="2" t="inlineStr">
        <is>
          <t>../../2025/jama.2024.24764/joi240145supp1_prod_1741627844.87412.pdf#page=26</t>
        </is>
      </c>
    </row>
    <row r="11" ht="40" customHeight="1">
      <c r="A11" s="3" t="inlineStr">
        <is>
          <t>2025::jama.2024.24764::C006</t>
        </is>
      </c>
      <c r="B11" s="3" t="inlineStr">
        <is>
          <t>sourceLinks</t>
        </is>
      </c>
      <c r="C11" s="3" t="n">
        <v>1</v>
      </c>
      <c r="D11" s="3" t="inlineStr">
        <is>
          <t>jama_atherton_2025_oi_240145_1741627844.85412.pdf — PDF p. 4, Statistical Analysis</t>
        </is>
      </c>
      <c r="E11" s="3" t="inlineStr">
        <is>
          <t>../../2025/jama.2024.24764/jama_atherton_2025_oi_240145_1741627844.85412.pdf#page=4</t>
        </is>
      </c>
    </row>
    <row r="12" ht="40" customHeight="1">
      <c r="A12" s="2" t="inlineStr">
        <is>
          <t>2025::jama.2024.24764::C006</t>
        </is>
      </c>
      <c r="B12" s="2" t="inlineStr">
        <is>
          <t>evidencePaths</t>
        </is>
      </c>
      <c r="C12" s="2" t="n">
        <v>0</v>
      </c>
      <c r="D12" s="2" t="inlineStr">
        <is>
          <t>2025/jama.2024.24764/.ai_paper_validation/review_1_5_3/verification/evidence_recheck.md</t>
        </is>
      </c>
      <c r="E12" s="2" t="inlineStr">
        <is>
          <t>../../2025/jama.2024.24764/.ai_paper_validation/review_1_5_3/verification/evidence_recheck.md</t>
        </is>
      </c>
    </row>
    <row r="13" ht="30" customHeight="1">
      <c r="A13" s="3" t="inlineStr">
        <is>
          <t>2025::jama.2024.24764::C007</t>
        </is>
      </c>
      <c r="B13" s="3" t="inlineStr">
        <is>
          <t>sourceLinks</t>
        </is>
      </c>
      <c r="C13" s="3" t="n">
        <v>0</v>
      </c>
      <c r="D13" s="3" t="inlineStr">
        <is>
          <t>joi240145supp1_prod_1741627844.87412.pdf — PDF p. 25, SAP</t>
        </is>
      </c>
      <c r="E13" s="3" t="inlineStr">
        <is>
          <t>../../2025/jama.2024.24764/joi240145supp1_prod_1741627844.87412.pdf#page=25</t>
        </is>
      </c>
    </row>
    <row r="14" ht="40" customHeight="1">
      <c r="A14" s="2" t="inlineStr">
        <is>
          <t>2025::jama.2024.24764::C007</t>
        </is>
      </c>
      <c r="B14" s="2" t="inlineStr">
        <is>
          <t>sourceLinks</t>
        </is>
      </c>
      <c r="C14" s="2" t="n">
        <v>1</v>
      </c>
      <c r="D14" s="2" t="inlineStr">
        <is>
          <t>joi240145supp4_prod_1741627844.90412.pdf — PDF p. 39, protocol</t>
        </is>
      </c>
      <c r="E14" s="2" t="inlineStr">
        <is>
          <t>../../2025/jama.2024.24764/joi240145supp4_prod_1741627844.90412.pdf#page=39</t>
        </is>
      </c>
    </row>
    <row r="15" ht="40" customHeight="1">
      <c r="A15" s="3" t="inlineStr">
        <is>
          <t>2025::jama.2024.24764::C007</t>
        </is>
      </c>
      <c r="B15" s="3" t="inlineStr">
        <is>
          <t>sourceLinks</t>
        </is>
      </c>
      <c r="C15" s="3" t="n">
        <v>2</v>
      </c>
      <c r="D15" s="3" t="inlineStr">
        <is>
          <t>jama_atherton_2025_oi_240145_1741627844.85412.pdf — PDF p. 4</t>
        </is>
      </c>
      <c r="E15" s="3" t="inlineStr">
        <is>
          <t>../../2025/jama.2024.24764/jama_atherton_2025_oi_240145_1741627844.85412.pdf#page=4</t>
        </is>
      </c>
    </row>
    <row r="16" ht="30" customHeight="1">
      <c r="A16" s="2" t="inlineStr">
        <is>
          <t>2025::jama.2024.24764::C007</t>
        </is>
      </c>
      <c r="B16" s="2" t="inlineStr">
        <is>
          <t>sourceLinks</t>
        </is>
      </c>
      <c r="C16" s="2" t="n">
        <v>3</v>
      </c>
      <c r="D16" s="2" t="inlineStr">
        <is>
          <t>PDF p. 8, Table 3</t>
        </is>
      </c>
      <c r="E16" s="2" t="inlineStr">
        <is>
          <t>../../2025/jama.2024.24764/jama_atherton_2025_oi_240145_1741627844.85412.pdf#page=8</t>
        </is>
      </c>
    </row>
    <row r="17" ht="40" customHeight="1">
      <c r="A17" s="3" t="inlineStr">
        <is>
          <t>2025::jama.2024.24764::C007</t>
        </is>
      </c>
      <c r="B17" s="3" t="inlineStr">
        <is>
          <t>evidencePaths</t>
        </is>
      </c>
      <c r="C17" s="3" t="n">
        <v>0</v>
      </c>
      <c r="D17" s="3" t="inlineStr">
        <is>
          <t>2025/jama.2024.24764/.ai_paper_validation/review_1_5_3/verification/evidence_recheck.md</t>
        </is>
      </c>
      <c r="E17" s="3" t="inlineStr">
        <is>
          <t>../../2025/jama.2024.24764/.ai_paper_validation/review_1_5_3/verification/evidence_recheck.md</t>
        </is>
      </c>
    </row>
    <row r="18" ht="40" customHeight="1">
      <c r="A18" s="2" t="inlineStr">
        <is>
          <t>2025::jama.2024.24764::C008</t>
        </is>
      </c>
      <c r="B18" s="2" t="inlineStr">
        <is>
          <t>sourceLinks</t>
        </is>
      </c>
      <c r="C18" s="2" t="n">
        <v>0</v>
      </c>
      <c r="D18" s="2" t="inlineStr">
        <is>
          <t>joi240145supp1_prod_1741627844.87412.pdf — PDF p. 18, SAP endpoint</t>
        </is>
      </c>
      <c r="E18" s="2" t="inlineStr">
        <is>
          <t>../../2025/jama.2024.24764/joi240145supp1_prod_1741627844.87412.pdf#page=18</t>
        </is>
      </c>
    </row>
    <row r="19" ht="30" customHeight="1">
      <c r="A19" s="3" t="inlineStr">
        <is>
          <t>2025::jama.2024.24764::C008</t>
        </is>
      </c>
      <c r="B19" s="3" t="inlineStr">
        <is>
          <t>sourceLinks</t>
        </is>
      </c>
      <c r="C19" s="3" t="n">
        <v>1</v>
      </c>
      <c r="D19" s="3" t="inlineStr">
        <is>
          <t>PDF p. 25, SAP population</t>
        </is>
      </c>
      <c r="E19" s="3" t="inlineStr">
        <is>
          <t>../../2025/jama.2024.24764/joi240145supp1_prod_1741627844.87412.pdf#page=25</t>
        </is>
      </c>
    </row>
    <row r="20" ht="40" customHeight="1">
      <c r="A20" s="2" t="inlineStr">
        <is>
          <t>2025::jama.2024.24764::C008</t>
        </is>
      </c>
      <c r="B20" s="2" t="inlineStr">
        <is>
          <t>sourceLinks</t>
        </is>
      </c>
      <c r="C20" s="2" t="n">
        <v>2</v>
      </c>
      <c r="D20" s="2" t="inlineStr">
        <is>
          <t>joi240145supp4_prod_1741627844.90412.pdf — PDF p. 24, protocol</t>
        </is>
      </c>
      <c r="E20" s="2" t="inlineStr">
        <is>
          <t>../../2025/jama.2024.24764/joi240145supp4_prod_1741627844.90412.pdf#page=24</t>
        </is>
      </c>
    </row>
    <row r="21" ht="40" customHeight="1">
      <c r="A21" s="3" t="inlineStr">
        <is>
          <t>2025::jama.2024.24764::C008</t>
        </is>
      </c>
      <c r="B21" s="3" t="inlineStr">
        <is>
          <t>sourceLinks</t>
        </is>
      </c>
      <c r="C21" s="3" t="n">
        <v>3</v>
      </c>
      <c r="D21" s="3" t="inlineStr">
        <is>
          <t>jama_atherton_2025_oi_240145_1741627844.85412.pdf — PDF p. 1, abstract</t>
        </is>
      </c>
      <c r="E21" s="3" t="inlineStr">
        <is>
          <t>../../2025/jama.2024.24764/jama_atherton_2025_oi_240145_1741627844.85412.pdf#page=1</t>
        </is>
      </c>
    </row>
    <row r="22" ht="30" customHeight="1">
      <c r="A22" s="2" t="inlineStr">
        <is>
          <t>2025::jama.2024.24764::C008</t>
        </is>
      </c>
      <c r="B22" s="2" t="inlineStr">
        <is>
          <t>sourceLinks</t>
        </is>
      </c>
      <c r="C22" s="2" t="n">
        <v>4</v>
      </c>
      <c r="D22" s="2" t="inlineStr">
        <is>
          <t>PDF p. 8, Table 3</t>
        </is>
      </c>
      <c r="E22" s="2" t="inlineStr">
        <is>
          <t>../../2025/jama.2024.24764/jama_atherton_2025_oi_240145_1741627844.85412.pdf#page=8</t>
        </is>
      </c>
    </row>
    <row r="23" ht="40" customHeight="1">
      <c r="A23" s="3" t="inlineStr">
        <is>
          <t>2025::jama.2024.24764::C008</t>
        </is>
      </c>
      <c r="B23" s="3" t="inlineStr">
        <is>
          <t>evidencePaths</t>
        </is>
      </c>
      <c r="C23" s="3" t="n">
        <v>0</v>
      </c>
      <c r="D23" s="3" t="inlineStr">
        <is>
          <t>2025/jama.2024.24764/.ai_paper_validation/review_1_5_3/verification/evidence_recheck.md</t>
        </is>
      </c>
      <c r="E23" s="3" t="inlineStr">
        <is>
          <t>../../2025/jama.2024.24764/.ai_paper_validation/review_1_5_3/verification/evidence_recheck.md</t>
        </is>
      </c>
    </row>
    <row r="24" ht="40" customHeight="1">
      <c r="A24" s="2" t="inlineStr">
        <is>
          <t>2025::jama.2024.27643::C001</t>
        </is>
      </c>
      <c r="B24" s="2" t="inlineStr">
        <is>
          <t>sourceLinks</t>
        </is>
      </c>
      <c r="C24" s="2" t="n">
        <v>0</v>
      </c>
      <c r="D24" s="2" t="inlineStr">
        <is>
          <t>jama_berry_2025_oi_240158_1742927563.7361.pdf — Table 1 and footnote b, PDF p. 6</t>
        </is>
      </c>
      <c r="E24" s="2" t="inlineStr">
        <is>
          <t>../../2025/jama.2024.27643/jama_berry_2025_oi_240158_1742927563.7361.pdf#page=6</t>
        </is>
      </c>
    </row>
    <row r="25" ht="40" customHeight="1">
      <c r="A25" s="3" t="inlineStr">
        <is>
          <t>2025::jama.2024.27643::C002</t>
        </is>
      </c>
      <c r="B25" s="3" t="inlineStr">
        <is>
          <t>sourceLinks</t>
        </is>
      </c>
      <c r="C25" s="3" t="n">
        <v>0</v>
      </c>
      <c r="D25" s="3" t="inlineStr">
        <is>
          <t>jama_berry_2025_oi_240158_1742927563.7361.pdf — Secondary Efficacy Outcomes, PDF p. 4</t>
        </is>
      </c>
      <c r="E25" s="3" t="inlineStr">
        <is>
          <t>../../2025/jama.2024.27643/jama_berry_2025_oi_240158_1742927563.7361.pdf#page=4</t>
        </is>
      </c>
    </row>
    <row r="26" ht="40" customHeight="1">
      <c r="A26" s="2" t="inlineStr">
        <is>
          <t>2025::jama.2024.27643::C002</t>
        </is>
      </c>
      <c r="B26" s="2" t="inlineStr">
        <is>
          <t>sourceLinks</t>
        </is>
      </c>
      <c r="C26" s="2" t="n">
        <v>1</v>
      </c>
      <c r="D26" s="2" t="inlineStr">
        <is>
          <t>joi240158supp3_prod_1742927563.7911.pdf — eTable 3A, PDF p. 16</t>
        </is>
      </c>
      <c r="E26" s="2" t="inlineStr">
        <is>
          <t>../../2025/jama.2024.27643/joi240158supp3_prod_1742927563.7911.pdf#page=16</t>
        </is>
      </c>
    </row>
    <row r="27" ht="40" customHeight="1">
      <c r="A27" s="3" t="inlineStr">
        <is>
          <t>2025::jama.2024.27643::C003</t>
        </is>
      </c>
      <c r="B27" s="3" t="inlineStr">
        <is>
          <t>sourceLinks</t>
        </is>
      </c>
      <c r="C27" s="3" t="n">
        <v>0</v>
      </c>
      <c r="D27" s="3" t="inlineStr">
        <is>
          <t>jama_berry_2025_oi_240158_1742927563.7361.pdf — Primary Efficacy Outcome, PDF p. 4</t>
        </is>
      </c>
      <c r="E27" s="3" t="inlineStr">
        <is>
          <t>../../2025/jama.2024.27643/jama_berry_2025_oi_240158_1742927563.7361.pdf#page=4</t>
        </is>
      </c>
    </row>
    <row r="28" ht="40" customHeight="1">
      <c r="A28" s="2" t="inlineStr">
        <is>
          <t>2025::jama.2024.27643::C003</t>
        </is>
      </c>
      <c r="B28" s="2" t="inlineStr">
        <is>
          <t>sourceLinks</t>
        </is>
      </c>
      <c r="C28" s="2" t="n">
        <v>1</v>
      </c>
      <c r="D28" s="2" t="inlineStr">
        <is>
          <t>joi240158supp3_prod_1742927563.7911.pdf — eTable 2, PDF p. 15</t>
        </is>
      </c>
      <c r="E28" s="2" t="inlineStr">
        <is>
          <t>../../2025/jama.2024.27643/joi240158supp3_prod_1742927563.7911.pdf#page=15</t>
        </is>
      </c>
    </row>
    <row r="29" ht="40" customHeight="1">
      <c r="A29" s="3" t="inlineStr">
        <is>
          <t>2025::jama.2024.27643::C004</t>
        </is>
      </c>
      <c r="B29" s="3" t="inlineStr">
        <is>
          <t>sourceLinks</t>
        </is>
      </c>
      <c r="C29" s="3" t="n">
        <v>0</v>
      </c>
      <c r="D29" s="3" t="inlineStr">
        <is>
          <t>jama_berry_2025_oi_240158_1742927563.7361.pdf — Primary Efficacy Outcome, PDF p. 4</t>
        </is>
      </c>
      <c r="E29" s="3" t="inlineStr">
        <is>
          <t>../../2025/jama.2024.27643/jama_berry_2025_oi_240158_1742927563.7361.pdf#page=4</t>
        </is>
      </c>
    </row>
    <row r="30" ht="40" customHeight="1">
      <c r="A30" s="2" t="inlineStr">
        <is>
          <t>2025::jama.2024.27643::C004</t>
        </is>
      </c>
      <c r="B30" s="2" t="inlineStr">
        <is>
          <t>sourceLinks</t>
        </is>
      </c>
      <c r="C30" s="2" t="n">
        <v>1</v>
      </c>
      <c r="D30" s="2" t="inlineStr">
        <is>
          <t>joi240158supp3_prod_1742927563.7911.pdf — eTable 2, PDF p. 15</t>
        </is>
      </c>
      <c r="E30" s="2" t="inlineStr">
        <is>
          <t>../../2025/jama.2024.27643/joi240158supp3_prod_1742927563.7911.pdf#page=15</t>
        </is>
      </c>
    </row>
    <row r="31" ht="40" customHeight="1">
      <c r="A31" s="3" t="inlineStr">
        <is>
          <t>2025::jama.2024.27643::C005</t>
        </is>
      </c>
      <c r="B31" s="3" t="inlineStr">
        <is>
          <t>sourceLinks</t>
        </is>
      </c>
      <c r="C31" s="3" t="n">
        <v>0</v>
      </c>
      <c r="D31" s="3" t="inlineStr">
        <is>
          <t>jama_berry_2025_oi_240158_1742927563.7361.pdf — Primary Efficacy Outcome, PDF p. 4</t>
        </is>
      </c>
      <c r="E31" s="3" t="inlineStr">
        <is>
          <t>../../2025/jama.2024.27643/jama_berry_2025_oi_240158_1742927563.7361.pdf#page=4</t>
        </is>
      </c>
    </row>
    <row r="32" ht="40" customHeight="1">
      <c r="A32" s="2" t="inlineStr">
        <is>
          <t>2025::jama.2024.27643::C005</t>
        </is>
      </c>
      <c r="B32" s="2" t="inlineStr">
        <is>
          <t>sourceLinks</t>
        </is>
      </c>
      <c r="C32" s="2" t="n">
        <v>1</v>
      </c>
      <c r="D32" s="2" t="inlineStr">
        <is>
          <t>joi240158supp3_prod_1742927563.7911.pdf — eTable 2, PDF p. 15</t>
        </is>
      </c>
      <c r="E32" s="2" t="inlineStr">
        <is>
          <t>../../2025/jama.2024.27643/joi240158supp3_prod_1742927563.7911.pdf#page=15</t>
        </is>
      </c>
    </row>
    <row r="33" ht="40" customHeight="1">
      <c r="A33" s="3" t="inlineStr">
        <is>
          <t>2025::jama.2024.27643::C006</t>
        </is>
      </c>
      <c r="B33" s="3" t="inlineStr">
        <is>
          <t>sourceLinks</t>
        </is>
      </c>
      <c r="C33" s="3" t="n">
        <v>0</v>
      </c>
      <c r="D33" s="3" t="inlineStr">
        <is>
          <t>jama_berry_2025_oi_240158_1742927563.7361.pdf — Figure 3 and Biomarker Analyses, PDF p. 8</t>
        </is>
      </c>
      <c r="E33" s="3" t="inlineStr">
        <is>
          <t>../../2025/jama.2024.27643/jama_berry_2025_oi_240158_1742927563.7361.pdf#page=8</t>
        </is>
      </c>
    </row>
    <row r="34" ht="40" customHeight="1">
      <c r="A34" s="2" t="inlineStr">
        <is>
          <t>2025::jama.2024.27643::C006</t>
        </is>
      </c>
      <c r="B34" s="2" t="inlineStr">
        <is>
          <t>sourceLinks</t>
        </is>
      </c>
      <c r="C34" s="2" t="n">
        <v>1</v>
      </c>
      <c r="D34" s="2" t="inlineStr">
        <is>
          <t>joi240158supp3_prod_1742927563.7911.pdf — eTable 3B, PDF p. 17</t>
        </is>
      </c>
      <c r="E34" s="2" t="inlineStr">
        <is>
          <t>../../2025/jama.2024.27643/joi240158supp3_prod_1742927563.7911.pdf#page=17</t>
        </is>
      </c>
    </row>
    <row r="35" ht="40" customHeight="1">
      <c r="A35" s="3" t="inlineStr">
        <is>
          <t>2025::jama.2024.27643::C007</t>
        </is>
      </c>
      <c r="B35" s="3" t="inlineStr">
        <is>
          <t>sourceLinks</t>
        </is>
      </c>
      <c r="C35" s="3" t="n">
        <v>0</v>
      </c>
      <c r="D35" s="3" t="inlineStr">
        <is>
          <t>jama_berry_2025_oi_240158_1742927563.7361.pdf — Figure 3 and Biomarker Analyses, PDF p. 8</t>
        </is>
      </c>
      <c r="E35" s="3" t="inlineStr">
        <is>
          <t>../../2025/jama.2024.27643/jama_berry_2025_oi_240158_1742927563.7361.pdf#page=8</t>
        </is>
      </c>
    </row>
    <row r="36" ht="40" customHeight="1">
      <c r="A36" s="2" t="inlineStr">
        <is>
          <t>2025::jama.2024.27643::C007</t>
        </is>
      </c>
      <c r="B36" s="2" t="inlineStr">
        <is>
          <t>sourceLinks</t>
        </is>
      </c>
      <c r="C36" s="2" t="n">
        <v>1</v>
      </c>
      <c r="D36" s="2" t="inlineStr">
        <is>
          <t>joi240158supp3_prod_1742927563.7911.pdf — eTable 3B, PDF p. 17</t>
        </is>
      </c>
      <c r="E36" s="2" t="inlineStr">
        <is>
          <t>../../2025/jama.2024.27643/joi240158supp3_prod_1742927563.7911.pdf#page=17</t>
        </is>
      </c>
    </row>
    <row r="37" ht="40" customHeight="1">
      <c r="A37" s="3" t="inlineStr">
        <is>
          <t>2025::jama.2024.27643::C008</t>
        </is>
      </c>
      <c r="B37" s="3" t="inlineStr">
        <is>
          <t>sourceLinks</t>
        </is>
      </c>
      <c r="C37" s="3" t="n">
        <v>0</v>
      </c>
      <c r="D37" s="3" t="inlineStr">
        <is>
          <t>jama_berry_2025_oi_240158_1742927563.7361.pdf — Table 2, PDF p. 7</t>
        </is>
      </c>
      <c r="E37" s="3" t="inlineStr">
        <is>
          <t>../../2025/jama.2024.27643/jama_berry_2025_oi_240158_1742927563.7361.pdf#page=7</t>
        </is>
      </c>
    </row>
    <row r="38" ht="40" customHeight="1">
      <c r="A38" s="2" t="inlineStr">
        <is>
          <t>2025::jama.2024.27643::C008</t>
        </is>
      </c>
      <c r="B38" s="2" t="inlineStr">
        <is>
          <t>sourceLinks</t>
        </is>
      </c>
      <c r="C38" s="2" t="n">
        <v>1</v>
      </c>
      <c r="D38" s="2" t="inlineStr">
        <is>
          <t>jama_berry_2025_oi_240158_1742927563.7361.pdf — Discussion, PDF p. 9</t>
        </is>
      </c>
      <c r="E38" s="2" t="inlineStr">
        <is>
          <t>../../2025/jama.2024.27643/jama_berry_2025_oi_240158_1742927563.7361.pdf#page=9</t>
        </is>
      </c>
    </row>
    <row r="39" ht="30" customHeight="1">
      <c r="A39" s="3" t="inlineStr">
        <is>
          <t>2025::jama.2025.11178::C001</t>
        </is>
      </c>
      <c r="B39" s="3" t="inlineStr">
        <is>
          <t>sourceLinks</t>
        </is>
      </c>
      <c r="C39" s="3" t="n">
        <v>0</v>
      </c>
      <c r="D39" s="3" t="inlineStr">
        <is>
          <t>main article — PDF p. 5</t>
        </is>
      </c>
      <c r="E39" s="3" t="inlineStr">
        <is>
          <t>../../2025/jama.2025.11178/jama_debar_2025_oi_250046_1755300121.13587.pdf#page=5</t>
        </is>
      </c>
    </row>
    <row r="40" ht="30" customHeight="1">
      <c r="A40" s="2" t="inlineStr">
        <is>
          <t>2025::jama.2025.11178::C002</t>
        </is>
      </c>
      <c r="B40" s="2" t="inlineStr">
        <is>
          <t>sourceLinks</t>
        </is>
      </c>
      <c r="C40" s="2" t="n">
        <v>0</v>
      </c>
      <c r="D40" s="2" t="inlineStr">
        <is>
          <t>results supplement — PDF p. 7</t>
        </is>
      </c>
      <c r="E40" s="2" t="inlineStr">
        <is>
          <t>../../2025/jama.2025.11178/joi250046supp4_prod_1755300121.15587.pdf#page=7</t>
        </is>
      </c>
    </row>
    <row r="41" ht="30" customHeight="1">
      <c r="A41" s="3" t="inlineStr">
        <is>
          <t>2025::jama.2025.11178::C003</t>
        </is>
      </c>
      <c r="B41" s="3" t="inlineStr">
        <is>
          <t>sourceLinks</t>
        </is>
      </c>
      <c r="C41" s="3" t="n">
        <v>0</v>
      </c>
      <c r="D41" s="3" t="inlineStr">
        <is>
          <t>results supplement — PDF p. 7</t>
        </is>
      </c>
      <c r="E41" s="3" t="inlineStr">
        <is>
          <t>../../2025/jama.2025.11178/joi250046supp4_prod_1755300121.15587.pdf#page=7</t>
        </is>
      </c>
    </row>
    <row r="42" ht="30" customHeight="1">
      <c r="A42" s="2" t="inlineStr">
        <is>
          <t>2025::jama.2025.11178::C004</t>
        </is>
      </c>
      <c r="B42" s="2" t="inlineStr">
        <is>
          <t>sourceLinks</t>
        </is>
      </c>
      <c r="C42" s="2" t="n">
        <v>0</v>
      </c>
      <c r="D42" s="2" t="inlineStr">
        <is>
          <t>results supplement — PDF p. 7</t>
        </is>
      </c>
      <c r="E42" s="2" t="inlineStr">
        <is>
          <t>../../2025/jama.2025.11178/joi250046supp4_prod_1755300121.15587.pdf#page=7</t>
        </is>
      </c>
    </row>
    <row r="43" ht="30" customHeight="1">
      <c r="A43" s="3" t="inlineStr">
        <is>
          <t>2025::jama.2025.11178::C005</t>
        </is>
      </c>
      <c r="B43" s="3" t="inlineStr">
        <is>
          <t>sourceLinks</t>
        </is>
      </c>
      <c r="C43" s="3" t="n">
        <v>0</v>
      </c>
      <c r="D43" s="3" t="inlineStr">
        <is>
          <t>workbook</t>
        </is>
      </c>
      <c r="E43" s="3" t="inlineStr">
        <is>
          <t>../../2025/jama.2025.11178/joi250046supp5_prod_1755300121.16087.xlsx</t>
        </is>
      </c>
    </row>
    <row r="44" ht="30" customHeight="1">
      <c r="A44" s="2" t="inlineStr">
        <is>
          <t>2025::jama.2025.11178::C006</t>
        </is>
      </c>
      <c r="B44" s="2" t="inlineStr">
        <is>
          <t>sourceLinks</t>
        </is>
      </c>
      <c r="C44" s="2" t="n">
        <v>0</v>
      </c>
      <c r="D44" s="2" t="inlineStr">
        <is>
          <t>workbook</t>
        </is>
      </c>
      <c r="E44" s="2" t="inlineStr">
        <is>
          <t>../../2025/jama.2025.11178/joi250046supp5_prod_1755300121.16087.xlsx</t>
        </is>
      </c>
    </row>
    <row r="45" ht="30" customHeight="1">
      <c r="A45" s="3" t="inlineStr">
        <is>
          <t>2025::jama.2025.11178::C007</t>
        </is>
      </c>
      <c r="B45" s="3" t="inlineStr">
        <is>
          <t>sourceLinks</t>
        </is>
      </c>
      <c r="C45" s="3" t="n">
        <v>0</v>
      </c>
      <c r="D45" s="3" t="inlineStr">
        <is>
          <t>workbook</t>
        </is>
      </c>
      <c r="E45" s="3" t="inlineStr">
        <is>
          <t>../../2025/jama.2025.11178/joi250046supp5_prod_1755300121.16087.xlsx</t>
        </is>
      </c>
    </row>
    <row r="46" ht="30" customHeight="1">
      <c r="A46" s="2" t="inlineStr">
        <is>
          <t>2025::jama.2025.11178::C008</t>
        </is>
      </c>
      <c r="B46" s="2" t="inlineStr">
        <is>
          <t>sourceLinks</t>
        </is>
      </c>
      <c r="C46" s="2" t="n">
        <v>0</v>
      </c>
      <c r="D46" s="2" t="inlineStr">
        <is>
          <t>main article — PDF p. 10</t>
        </is>
      </c>
      <c r="E46" s="2" t="inlineStr">
        <is>
          <t>../../2025/jama.2025.11178/jama_debar_2025_oi_250046_1755300121.13587.pdf#page=10</t>
        </is>
      </c>
    </row>
    <row r="47" ht="30" customHeight="1">
      <c r="A47" s="3" t="inlineStr">
        <is>
          <t>2025::jama.2025.11178::C009</t>
        </is>
      </c>
      <c r="B47" s="3" t="inlineStr">
        <is>
          <t>sourceLinks</t>
        </is>
      </c>
      <c r="C47" s="3" t="n">
        <v>0</v>
      </c>
      <c r="D47" s="3" t="inlineStr">
        <is>
          <t>main article — PDF p. 10</t>
        </is>
      </c>
      <c r="E47" s="3" t="inlineStr">
        <is>
          <t>../../2025/jama.2025.11178/jama_debar_2025_oi_250046_1755300121.13587.pdf#page=10</t>
        </is>
      </c>
    </row>
    <row r="48" ht="30" customHeight="1">
      <c r="A48" s="2" t="inlineStr">
        <is>
          <t>2025::jama.2025.11178::C010</t>
        </is>
      </c>
      <c r="B48" s="2" t="inlineStr">
        <is>
          <t>sourceLinks</t>
        </is>
      </c>
      <c r="C48" s="2" t="n">
        <v>0</v>
      </c>
      <c r="D48" s="2" t="inlineStr">
        <is>
          <t>main article — PDF p. 10</t>
        </is>
      </c>
      <c r="E48" s="2" t="inlineStr">
        <is>
          <t>../../2025/jama.2025.11178/jama_debar_2025_oi_250046_1755300121.13587.pdf#page=10</t>
        </is>
      </c>
    </row>
    <row r="49" ht="30" customHeight="1">
      <c r="A49" s="3" t="inlineStr">
        <is>
          <t>2025::jama.2025.11178::C011</t>
        </is>
      </c>
      <c r="B49" s="3" t="inlineStr">
        <is>
          <t>sourceLinks</t>
        </is>
      </c>
      <c r="C49" s="3" t="n">
        <v>0</v>
      </c>
      <c r="D49" s="3" t="inlineStr">
        <is>
          <t>main article — PDF p. 10</t>
        </is>
      </c>
      <c r="E49" s="3" t="inlineStr">
        <is>
          <t>../../2025/jama.2025.11178/jama_debar_2025_oi_250046_1755300121.13587.pdf#page=10</t>
        </is>
      </c>
    </row>
    <row r="50" ht="30" customHeight="1">
      <c r="A50" s="2" t="inlineStr">
        <is>
          <t>2025::jama.2025.11178::C012</t>
        </is>
      </c>
      <c r="B50" s="2" t="inlineStr">
        <is>
          <t>sourceLinks</t>
        </is>
      </c>
      <c r="C50" s="2" t="n">
        <v>0</v>
      </c>
      <c r="D50" s="2" t="inlineStr">
        <is>
          <t>main article — PDF p. 10</t>
        </is>
      </c>
      <c r="E50" s="2" t="inlineStr">
        <is>
          <t>../../2025/jama.2025.11178/jama_debar_2025_oi_250046_1755300121.13587.pdf#page=10</t>
        </is>
      </c>
    </row>
    <row r="51" ht="30" customHeight="1">
      <c r="A51" s="3" t="inlineStr">
        <is>
          <t>2025::jama.2025.11178::C013</t>
        </is>
      </c>
      <c r="B51" s="3" t="inlineStr">
        <is>
          <t>sourceLinks</t>
        </is>
      </c>
      <c r="C51" s="3" t="n">
        <v>0</v>
      </c>
      <c r="D51" s="3" t="inlineStr">
        <is>
          <t>main article — PDF p. 10</t>
        </is>
      </c>
      <c r="E51" s="3" t="inlineStr">
        <is>
          <t>../../2025/jama.2025.11178/jama_debar_2025_oi_250046_1755300121.13587.pdf#page=10</t>
        </is>
      </c>
    </row>
    <row r="52" ht="30" customHeight="1">
      <c r="A52" s="2" t="inlineStr">
        <is>
          <t>2025::jama.2025.11178::C014</t>
        </is>
      </c>
      <c r="B52" s="2" t="inlineStr">
        <is>
          <t>sourceLinks</t>
        </is>
      </c>
      <c r="C52" s="2" t="n">
        <v>0</v>
      </c>
      <c r="D52" s="2" t="inlineStr">
        <is>
          <t>main article — PDF p. 10</t>
        </is>
      </c>
      <c r="E52" s="2" t="inlineStr">
        <is>
          <t>../../2025/jama.2025.11178/jama_debar_2025_oi_250046_1755300121.13587.pdf#page=10</t>
        </is>
      </c>
    </row>
    <row r="53" ht="30" customHeight="1">
      <c r="A53" s="3" t="inlineStr">
        <is>
          <t>2025::jama.2025.11178::C015</t>
        </is>
      </c>
      <c r="B53" s="3" t="inlineStr">
        <is>
          <t>sourceLinks</t>
        </is>
      </c>
      <c r="C53" s="3" t="n">
        <v>0</v>
      </c>
      <c r="D53" s="3" t="inlineStr">
        <is>
          <t>main article — PDF p. 10</t>
        </is>
      </c>
      <c r="E53" s="3" t="inlineStr">
        <is>
          <t>../../2025/jama.2025.11178/jama_debar_2025_oi_250046_1755300121.13587.pdf#page=10</t>
        </is>
      </c>
    </row>
    <row r="54" ht="30" customHeight="1">
      <c r="A54" s="2" t="inlineStr">
        <is>
          <t>2025::jama.2025.11178::C016</t>
        </is>
      </c>
      <c r="B54" s="2" t="inlineStr">
        <is>
          <t>sourceLinks</t>
        </is>
      </c>
      <c r="C54" s="2" t="n">
        <v>0</v>
      </c>
      <c r="D54" s="2" t="inlineStr">
        <is>
          <t>main article — PDF p. 10</t>
        </is>
      </c>
      <c r="E54" s="2" t="inlineStr">
        <is>
          <t>../../2025/jama.2025.11178/jama_debar_2025_oi_250046_1755300121.13587.pdf#page=10</t>
        </is>
      </c>
    </row>
    <row r="55" ht="30" customHeight="1">
      <c r="A55" s="3" t="inlineStr">
        <is>
          <t>2025::jama.2025.11178::C017</t>
        </is>
      </c>
      <c r="B55" s="3" t="inlineStr">
        <is>
          <t>sourceLinks</t>
        </is>
      </c>
      <c r="C55" s="3" t="n">
        <v>0</v>
      </c>
      <c r="D55" s="3" t="inlineStr">
        <is>
          <t>main article — PDF p. 10</t>
        </is>
      </c>
      <c r="E55" s="3" t="inlineStr">
        <is>
          <t>../../2025/jama.2025.11178/jama_debar_2025_oi_250046_1755300121.13587.pdf#page=10</t>
        </is>
      </c>
    </row>
    <row r="56" ht="30" customHeight="1">
      <c r="A56" s="2" t="inlineStr">
        <is>
          <t>2025::jama.2025.11178::C018</t>
        </is>
      </c>
      <c r="B56" s="2" t="inlineStr">
        <is>
          <t>sourceLinks</t>
        </is>
      </c>
      <c r="C56" s="2" t="n">
        <v>0</v>
      </c>
      <c r="D56" s="2" t="inlineStr">
        <is>
          <t>main article — PDF p. 10</t>
        </is>
      </c>
      <c r="E56" s="2" t="inlineStr">
        <is>
          <t>../../2025/jama.2025.11178/jama_debar_2025_oi_250046_1755300121.13587.pdf#page=10</t>
        </is>
      </c>
    </row>
    <row r="57" ht="30" customHeight="1">
      <c r="A57" s="3" t="inlineStr">
        <is>
          <t>2025::jama.2025.11178::C019</t>
        </is>
      </c>
      <c r="B57" s="3" t="inlineStr">
        <is>
          <t>sourceLinks</t>
        </is>
      </c>
      <c r="C57" s="3" t="n">
        <v>0</v>
      </c>
      <c r="D57" s="3" t="inlineStr">
        <is>
          <t>main article — PDF p. 10</t>
        </is>
      </c>
      <c r="E57" s="3" t="inlineStr">
        <is>
          <t>../../2025/jama.2025.11178/jama_debar_2025_oi_250046_1755300121.13587.pdf#page=10</t>
        </is>
      </c>
    </row>
    <row r="58" ht="30" customHeight="1">
      <c r="A58" s="2" t="inlineStr">
        <is>
          <t>2025::jama.2025.11178::C020</t>
        </is>
      </c>
      <c r="B58" s="2" t="inlineStr">
        <is>
          <t>sourceLinks</t>
        </is>
      </c>
      <c r="C58" s="2" t="n">
        <v>0</v>
      </c>
      <c r="D58" s="2" t="inlineStr">
        <is>
          <t>main article — PDF p. 10</t>
        </is>
      </c>
      <c r="E58" s="2" t="inlineStr">
        <is>
          <t>../../2025/jama.2025.11178/jama_debar_2025_oi_250046_1755300121.13587.pdf#page=10</t>
        </is>
      </c>
    </row>
    <row r="59" ht="30" customHeight="1">
      <c r="A59" s="3" t="inlineStr">
        <is>
          <t>2025::jama.2025.11178::C021</t>
        </is>
      </c>
      <c r="B59" s="3" t="inlineStr">
        <is>
          <t>sourceLinks</t>
        </is>
      </c>
      <c r="C59" s="3" t="n">
        <v>0</v>
      </c>
      <c r="D59" s="3" t="inlineStr">
        <is>
          <t>main article — PDF p. 10</t>
        </is>
      </c>
      <c r="E59" s="3" t="inlineStr">
        <is>
          <t>../../2025/jama.2025.11178/jama_debar_2025_oi_250046_1755300121.13587.pdf#page=10</t>
        </is>
      </c>
    </row>
    <row r="60" ht="30" customHeight="1">
      <c r="A60" s="2" t="inlineStr">
        <is>
          <t>2025::jama.2025.11178::C022</t>
        </is>
      </c>
      <c r="B60" s="2" t="inlineStr">
        <is>
          <t>sourceLinks</t>
        </is>
      </c>
      <c r="C60" s="2" t="n">
        <v>0</v>
      </c>
      <c r="D60" s="2" t="inlineStr">
        <is>
          <t>main article — PDF p. 10</t>
        </is>
      </c>
      <c r="E60" s="2" t="inlineStr">
        <is>
          <t>../../2025/jama.2025.11178/jama_debar_2025_oi_250046_1755300121.13587.pdf#page=10</t>
        </is>
      </c>
    </row>
    <row r="61" ht="30" customHeight="1">
      <c r="A61" s="3" t="inlineStr">
        <is>
          <t>2025::jama.2025.11178::C023</t>
        </is>
      </c>
      <c r="B61" s="3" t="inlineStr">
        <is>
          <t>sourceLinks</t>
        </is>
      </c>
      <c r="C61" s="3" t="n">
        <v>0</v>
      </c>
      <c r="D61" s="3" t="inlineStr">
        <is>
          <t>main article — PDF p. 10</t>
        </is>
      </c>
      <c r="E61" s="3" t="inlineStr">
        <is>
          <t>../../2025/jama.2025.11178/jama_debar_2025_oi_250046_1755300121.13587.pdf#page=10</t>
        </is>
      </c>
    </row>
    <row r="62" ht="30" customHeight="1">
      <c r="A62" s="2" t="inlineStr">
        <is>
          <t>2025::jama.2025.11178::C024</t>
        </is>
      </c>
      <c r="B62" s="2" t="inlineStr">
        <is>
          <t>sourceLinks</t>
        </is>
      </c>
      <c r="C62" s="2" t="n">
        <v>0</v>
      </c>
      <c r="D62" s="2" t="inlineStr">
        <is>
          <t>main article — PDF p. 10</t>
        </is>
      </c>
      <c r="E62" s="2" t="inlineStr">
        <is>
          <t>../../2025/jama.2025.11178/jama_debar_2025_oi_250046_1755300121.13587.pdf#page=10</t>
        </is>
      </c>
    </row>
    <row r="63" ht="30" customHeight="1">
      <c r="A63" s="3" t="inlineStr">
        <is>
          <t>2025::jama.2025.11178::C025</t>
        </is>
      </c>
      <c r="B63" s="3" t="inlineStr">
        <is>
          <t>sourceLinks</t>
        </is>
      </c>
      <c r="C63" s="3" t="n">
        <v>0</v>
      </c>
      <c r="D63" s="3" t="inlineStr">
        <is>
          <t>main article — PDF p. 10</t>
        </is>
      </c>
      <c r="E63" s="3" t="inlineStr">
        <is>
          <t>../../2025/jama.2025.11178/jama_debar_2025_oi_250046_1755300121.13587.pdf#page=10</t>
        </is>
      </c>
    </row>
    <row r="64" ht="30" customHeight="1">
      <c r="A64" s="2" t="inlineStr">
        <is>
          <t>2025::jama.2025.11178::C026</t>
        </is>
      </c>
      <c r="B64" s="2" t="inlineStr">
        <is>
          <t>sourceLinks</t>
        </is>
      </c>
      <c r="C64" s="2" t="n">
        <v>0</v>
      </c>
      <c r="D64" s="2" t="inlineStr">
        <is>
          <t>main article — PDF p. 10</t>
        </is>
      </c>
      <c r="E64" s="2" t="inlineStr">
        <is>
          <t>../../2025/jama.2025.11178/jama_debar_2025_oi_250046_1755300121.13587.pdf#page=10</t>
        </is>
      </c>
    </row>
    <row r="65" ht="30" customHeight="1">
      <c r="A65" s="3" t="inlineStr">
        <is>
          <t>2025::jama.2025.11178::C027</t>
        </is>
      </c>
      <c r="B65" s="3" t="inlineStr">
        <is>
          <t>sourceLinks</t>
        </is>
      </c>
      <c r="C65" s="3" t="n">
        <v>0</v>
      </c>
      <c r="D65" s="3" t="inlineStr">
        <is>
          <t>main article — PDF p. 10</t>
        </is>
      </c>
      <c r="E65" s="3" t="inlineStr">
        <is>
          <t>../../2025/jama.2025.11178/jama_debar_2025_oi_250046_1755300121.13587.pdf#page=10</t>
        </is>
      </c>
    </row>
    <row r="66" ht="30" customHeight="1">
      <c r="A66" s="2" t="inlineStr">
        <is>
          <t>2025::jama.2025.11178::C028</t>
        </is>
      </c>
      <c r="B66" s="2" t="inlineStr">
        <is>
          <t>sourceLinks</t>
        </is>
      </c>
      <c r="C66" s="2" t="n">
        <v>0</v>
      </c>
      <c r="D66" s="2" t="inlineStr">
        <is>
          <t>main article — PDF p. 10</t>
        </is>
      </c>
      <c r="E66" s="2" t="inlineStr">
        <is>
          <t>../../2025/jama.2025.11178/jama_debar_2025_oi_250046_1755300121.13587.pdf#page=10</t>
        </is>
      </c>
    </row>
    <row r="67" ht="30" customHeight="1">
      <c r="A67" s="3" t="inlineStr">
        <is>
          <t>2025::jama.2025.11178::C029</t>
        </is>
      </c>
      <c r="B67" s="3" t="inlineStr">
        <is>
          <t>sourceLinks</t>
        </is>
      </c>
      <c r="C67" s="3" t="n">
        <v>0</v>
      </c>
      <c r="D67" s="3" t="inlineStr">
        <is>
          <t>main article — PDF p. 10</t>
        </is>
      </c>
      <c r="E67" s="3" t="inlineStr">
        <is>
          <t>../../2025/jama.2025.11178/jama_debar_2025_oi_250046_1755300121.13587.pdf#page=10</t>
        </is>
      </c>
    </row>
    <row r="68" ht="30" customHeight="1">
      <c r="A68" s="2" t="inlineStr">
        <is>
          <t>2025::jama.2025.11178::C030</t>
        </is>
      </c>
      <c r="B68" s="2" t="inlineStr">
        <is>
          <t>sourceLinks</t>
        </is>
      </c>
      <c r="C68" s="2" t="n">
        <v>0</v>
      </c>
      <c r="D68" s="2" t="inlineStr">
        <is>
          <t>main article — PDF p. 10</t>
        </is>
      </c>
      <c r="E68" s="2" t="inlineStr">
        <is>
          <t>../../2025/jama.2025.11178/jama_debar_2025_oi_250046_1755300121.13587.pdf#page=10</t>
        </is>
      </c>
    </row>
    <row r="69" ht="30" customHeight="1">
      <c r="A69" s="3" t="inlineStr">
        <is>
          <t>2025::jama.2025.11178::C031</t>
        </is>
      </c>
      <c r="B69" s="3" t="inlineStr">
        <is>
          <t>sourceLinks</t>
        </is>
      </c>
      <c r="C69" s="3" t="n">
        <v>0</v>
      </c>
      <c r="D69" s="3" t="inlineStr">
        <is>
          <t>main article — PDF p. 11</t>
        </is>
      </c>
      <c r="E69" s="3" t="inlineStr">
        <is>
          <t>../../2025/jama.2025.11178/jama_debar_2025_oi_250046_1755300121.13587.pdf#page=11</t>
        </is>
      </c>
    </row>
    <row r="70" ht="30" customHeight="1">
      <c r="A70" s="2" t="inlineStr">
        <is>
          <t>2025::jama.2025.11178::C032</t>
        </is>
      </c>
      <c r="B70" s="2" t="inlineStr">
        <is>
          <t>sourceLinks</t>
        </is>
      </c>
      <c r="C70" s="2" t="n">
        <v>0</v>
      </c>
      <c r="D70" s="2" t="inlineStr">
        <is>
          <t>main article — PDF p. 11</t>
        </is>
      </c>
      <c r="E70" s="2" t="inlineStr">
        <is>
          <t>../../2025/jama.2025.11178/jama_debar_2025_oi_250046_1755300121.13587.pdf#page=11</t>
        </is>
      </c>
    </row>
    <row r="71" ht="30" customHeight="1">
      <c r="A71" s="3" t="inlineStr">
        <is>
          <t>2025::jama.2025.11178::C033</t>
        </is>
      </c>
      <c r="B71" s="3" t="inlineStr">
        <is>
          <t>sourceLinks</t>
        </is>
      </c>
      <c r="C71" s="3" t="n">
        <v>0</v>
      </c>
      <c r="D71" s="3" t="inlineStr">
        <is>
          <t>main article — PDF p. 11</t>
        </is>
      </c>
      <c r="E71" s="3" t="inlineStr">
        <is>
          <t>../../2025/jama.2025.11178/jama_debar_2025_oi_250046_1755300121.13587.pdf#page=11</t>
        </is>
      </c>
    </row>
    <row r="72" ht="30" customHeight="1">
      <c r="A72" s="2" t="inlineStr">
        <is>
          <t>2025::jama.2025.11178::C034</t>
        </is>
      </c>
      <c r="B72" s="2" t="inlineStr">
        <is>
          <t>sourceLinks</t>
        </is>
      </c>
      <c r="C72" s="2" t="n">
        <v>0</v>
      </c>
      <c r="D72" s="2" t="inlineStr">
        <is>
          <t>main article — PDF p. 1</t>
        </is>
      </c>
      <c r="E72" s="2" t="inlineStr">
        <is>
          <t>../../2025/jama.2025.11178/jama_debar_2025_oi_250046_1755300121.13587.pdf#page=1</t>
        </is>
      </c>
    </row>
    <row r="73" ht="30" customHeight="1">
      <c r="A73" s="3" t="inlineStr">
        <is>
          <t>2025::jama.2025.11178::C034</t>
        </is>
      </c>
      <c r="B73" s="3" t="inlineStr">
        <is>
          <t>sourceLinks</t>
        </is>
      </c>
      <c r="C73" s="3" t="n">
        <v>1</v>
      </c>
      <c r="D73" s="3" t="inlineStr">
        <is>
          <t>main article — PDF p. 6</t>
        </is>
      </c>
      <c r="E73" s="3" t="inlineStr">
        <is>
          <t>../../2025/jama.2025.11178/jama_debar_2025_oi_250046_1755300121.13587.pdf#page=6</t>
        </is>
      </c>
    </row>
    <row r="74" ht="30" customHeight="1">
      <c r="A74" s="2" t="inlineStr">
        <is>
          <t>2025::jama.2025.11178::C034</t>
        </is>
      </c>
      <c r="B74" s="2" t="inlineStr">
        <is>
          <t>sourceLinks</t>
        </is>
      </c>
      <c r="C74" s="2" t="n">
        <v>2</v>
      </c>
      <c r="D74" s="2" t="inlineStr">
        <is>
          <t>workbook</t>
        </is>
      </c>
      <c r="E74" s="2" t="inlineStr">
        <is>
          <t>../../2025/jama.2025.11178/joi250046supp5_prod_1755300121.16087.xlsx</t>
        </is>
      </c>
    </row>
    <row r="75" ht="40" customHeight="1">
      <c r="A75" s="3" t="inlineStr">
        <is>
          <t>2025::jama.2025.11178::C034</t>
        </is>
      </c>
      <c r="B75" s="3" t="inlineStr">
        <is>
          <t>evidencePaths</t>
        </is>
      </c>
      <c r="C75" s="3" t="n">
        <v>0</v>
      </c>
      <c r="D75" s="3" t="inlineStr">
        <is>
          <t>2025/jama.2025.11178/.ai_paper_validation/review_1_5_1/verification/evidence_recheck.md</t>
        </is>
      </c>
      <c r="E75" s="3" t="inlineStr">
        <is>
          <t>../../2025/jama.2025.11178/.ai_paper_validation/review_1_5_1/verification/evidence_recheck.md</t>
        </is>
      </c>
    </row>
    <row r="76" ht="30" customHeight="1">
      <c r="A76" s="2" t="inlineStr">
        <is>
          <t>2025::jama.2025.11178::C035</t>
        </is>
      </c>
      <c r="B76" s="2" t="inlineStr">
        <is>
          <t>sourceLinks</t>
        </is>
      </c>
      <c r="C76" s="2" t="n">
        <v>0</v>
      </c>
      <c r="D76" s="2" t="inlineStr">
        <is>
          <t>main article — PDF p. 4</t>
        </is>
      </c>
      <c r="E76" s="2" t="inlineStr">
        <is>
          <t>../../2025/jama.2025.11178/jama_debar_2025_oi_250046_1755300121.13587.pdf#page=4</t>
        </is>
      </c>
    </row>
    <row r="77" ht="30" customHeight="1">
      <c r="A77" s="3" t="inlineStr">
        <is>
          <t>2025::jama.2025.11178::C035</t>
        </is>
      </c>
      <c r="B77" s="3" t="inlineStr">
        <is>
          <t>sourceLinks</t>
        </is>
      </c>
      <c r="C77" s="3" t="n">
        <v>1</v>
      </c>
      <c r="D77" s="3" t="inlineStr">
        <is>
          <t>main article — PDF p. 6</t>
        </is>
      </c>
      <c r="E77" s="3" t="inlineStr">
        <is>
          <t>../../2025/jama.2025.11178/jama_debar_2025_oi_250046_1755300121.13587.pdf#page=6</t>
        </is>
      </c>
    </row>
    <row r="78" ht="30" customHeight="1">
      <c r="A78" s="2" t="inlineStr">
        <is>
          <t>2025::jama.2025.11178::C035</t>
        </is>
      </c>
      <c r="B78" s="2" t="inlineStr">
        <is>
          <t>sourceLinks</t>
        </is>
      </c>
      <c r="C78" s="2" t="n">
        <v>2</v>
      </c>
      <c r="D78" s="2" t="inlineStr">
        <is>
          <t>workbook</t>
        </is>
      </c>
      <c r="E78" s="2" t="inlineStr">
        <is>
          <t>../../2025/jama.2025.11178/joi250046supp5_prod_1755300121.16087.xlsx</t>
        </is>
      </c>
    </row>
    <row r="79" ht="40" customHeight="1">
      <c r="A79" s="3" t="inlineStr">
        <is>
          <t>2025::jama.2025.11178::C035</t>
        </is>
      </c>
      <c r="B79" s="3" t="inlineStr">
        <is>
          <t>evidencePaths</t>
        </is>
      </c>
      <c r="C79" s="3" t="n">
        <v>0</v>
      </c>
      <c r="D79" s="3" t="inlineStr">
        <is>
          <t>2025/jama.2025.11178/.ai_paper_validation/review_1_5_1/verification/evidence_recheck.md</t>
        </is>
      </c>
      <c r="E79" s="3" t="inlineStr">
        <is>
          <t>../../2025/jama.2025.11178/.ai_paper_validation/review_1_5_1/verification/evidence_recheck.md</t>
        </is>
      </c>
    </row>
    <row r="80" ht="30" customHeight="1">
      <c r="A80" s="2" t="inlineStr">
        <is>
          <t>2025::jama.2025.11178::C036</t>
        </is>
      </c>
      <c r="B80" s="2" t="inlineStr">
        <is>
          <t>sourceLinks</t>
        </is>
      </c>
      <c r="C80" s="2" t="n">
        <v>0</v>
      </c>
      <c r="D80" s="2" t="inlineStr">
        <is>
          <t>main article — PDF p. 7</t>
        </is>
      </c>
      <c r="E80" s="2" t="inlineStr">
        <is>
          <t>../../2025/jama.2025.11178/jama_debar_2025_oi_250046_1755300121.13587.pdf#page=7</t>
        </is>
      </c>
    </row>
    <row r="81" ht="30" customHeight="1">
      <c r="A81" s="3" t="inlineStr">
        <is>
          <t>2025::jama.2025.11178::C036</t>
        </is>
      </c>
      <c r="B81" s="3" t="inlineStr">
        <is>
          <t>sourceLinks</t>
        </is>
      </c>
      <c r="C81" s="3" t="n">
        <v>1</v>
      </c>
      <c r="D81" s="3" t="inlineStr">
        <is>
          <t>main article — PDF p. 10</t>
        </is>
      </c>
      <c r="E81" s="3" t="inlineStr">
        <is>
          <t>../../2025/jama.2025.11178/jama_debar_2025_oi_250046_1755300121.13587.pdf#page=10</t>
        </is>
      </c>
    </row>
    <row r="82" ht="30" customHeight="1">
      <c r="A82" s="2" t="inlineStr">
        <is>
          <t>2025::jama.2025.11178::C037</t>
        </is>
      </c>
      <c r="B82" s="2" t="inlineStr">
        <is>
          <t>sourceLinks</t>
        </is>
      </c>
      <c r="C82" s="2" t="n">
        <v>0</v>
      </c>
      <c r="D82" s="2" t="inlineStr">
        <is>
          <t>main article — PDF p. 7</t>
        </is>
      </c>
      <c r="E82" s="2" t="inlineStr">
        <is>
          <t>../../2025/jama.2025.11178/jama_debar_2025_oi_250046_1755300121.13587.pdf#page=7</t>
        </is>
      </c>
    </row>
    <row r="83" ht="30" customHeight="1">
      <c r="A83" s="3" t="inlineStr">
        <is>
          <t>2025::jama.2025.11178::C037</t>
        </is>
      </c>
      <c r="B83" s="3" t="inlineStr">
        <is>
          <t>sourceLinks</t>
        </is>
      </c>
      <c r="C83" s="3" t="n">
        <v>1</v>
      </c>
      <c r="D83" s="3" t="inlineStr">
        <is>
          <t>main article — PDF p. 10</t>
        </is>
      </c>
      <c r="E83" s="3" t="inlineStr">
        <is>
          <t>../../2025/jama.2025.11178/jama_debar_2025_oi_250046_1755300121.13587.pdf#page=10</t>
        </is>
      </c>
    </row>
    <row r="84" ht="30" customHeight="1">
      <c r="A84" s="2" t="inlineStr">
        <is>
          <t>2025::jama.2025.15185::C001</t>
        </is>
      </c>
      <c r="B84" s="2" t="inlineStr">
        <is>
          <t>sourceLinks</t>
        </is>
      </c>
      <c r="C84" s="2" t="n">
        <v>0</v>
      </c>
      <c r="D84" s="2" t="inlineStr">
        <is>
          <t>main article — PDF p. 4</t>
        </is>
      </c>
      <c r="E84" s="2" t="inlineStr">
        <is>
          <t>../../2025/jama.2025.15185/jama_engelter_2025_oi_250066_1761597796.45511.pdf#page=4</t>
        </is>
      </c>
    </row>
    <row r="85" ht="30" customHeight="1">
      <c r="A85" s="3" t="inlineStr">
        <is>
          <t>2025::jama.2025.15185::C001</t>
        </is>
      </c>
      <c r="B85" s="3" t="inlineStr">
        <is>
          <t>sourceLinks</t>
        </is>
      </c>
      <c r="C85" s="3" t="n">
        <v>1</v>
      </c>
      <c r="D85" s="3" t="inlineStr">
        <is>
          <t>Supplement 3 — PDF p. 10</t>
        </is>
      </c>
      <c r="E85" s="3" t="inlineStr">
        <is>
          <t>../../2025/jama.2025.15185/joi250066supp3_prod_1761597796.4701.pdf#page=10</t>
        </is>
      </c>
    </row>
    <row r="86" ht="30" customHeight="1">
      <c r="A86" s="2" t="inlineStr">
        <is>
          <t>2025::jama.2025.15185::C001</t>
        </is>
      </c>
      <c r="B86" s="2" t="inlineStr">
        <is>
          <t>sourceLinks</t>
        </is>
      </c>
      <c r="C86" s="2" t="n">
        <v>2</v>
      </c>
      <c r="D86" s="2" t="inlineStr">
        <is>
          <t>PDF p. 11</t>
        </is>
      </c>
      <c r="E86" s="2" t="inlineStr">
        <is>
          <t>../../2025/jama.2025.15185/joi250066supp3_prod_1761597796.4701.pdf#page=11</t>
        </is>
      </c>
    </row>
    <row r="87" ht="30" customHeight="1">
      <c r="A87" s="3" t="inlineStr">
        <is>
          <t>2025::jama.2025.15185::C002</t>
        </is>
      </c>
      <c r="B87" s="3" t="inlineStr">
        <is>
          <t>sourceLinks</t>
        </is>
      </c>
      <c r="C87" s="3" t="n">
        <v>0</v>
      </c>
      <c r="D87" s="3" t="inlineStr">
        <is>
          <t>main article — PDF p. 4</t>
        </is>
      </c>
      <c r="E87" s="3" t="inlineStr">
        <is>
          <t>../../2025/jama.2025.15185/jama_engelter_2025_oi_250066_1761597796.45511.pdf#page=4</t>
        </is>
      </c>
    </row>
    <row r="88" ht="30" customHeight="1">
      <c r="A88" s="2" t="inlineStr">
        <is>
          <t>2025::jama.2025.15185::C002</t>
        </is>
      </c>
      <c r="B88" s="2" t="inlineStr">
        <is>
          <t>sourceLinks</t>
        </is>
      </c>
      <c r="C88" s="2" t="n">
        <v>1</v>
      </c>
      <c r="D88" s="2" t="inlineStr">
        <is>
          <t>PDF p. 5</t>
        </is>
      </c>
      <c r="E88" s="2" t="inlineStr">
        <is>
          <t>../../2025/jama.2025.15185/jama_engelter_2025_oi_250066_1761597796.45511.pdf#page=5</t>
        </is>
      </c>
    </row>
    <row r="89" ht="30" customHeight="1">
      <c r="A89" s="3" t="inlineStr">
        <is>
          <t>2025::jama.2025.15185::C002</t>
        </is>
      </c>
      <c r="B89" s="3" t="inlineStr">
        <is>
          <t>sourceLinks</t>
        </is>
      </c>
      <c r="C89" s="3" t="n">
        <v>2</v>
      </c>
      <c r="D89" s="3" t="inlineStr">
        <is>
          <t>Supplement 3 — PDF p. 11</t>
        </is>
      </c>
      <c r="E89" s="3" t="inlineStr">
        <is>
          <t>../../2025/jama.2025.15185/joi250066supp3_prod_1761597796.4701.pdf#page=11</t>
        </is>
      </c>
    </row>
    <row r="90" ht="30" customHeight="1">
      <c r="A90" s="2" t="inlineStr">
        <is>
          <t>2025::jama.2025.15185::C003</t>
        </is>
      </c>
      <c r="B90" s="2" t="inlineStr">
        <is>
          <t>sourceLinks</t>
        </is>
      </c>
      <c r="C90" s="2" t="n">
        <v>0</v>
      </c>
      <c r="D90" s="2" t="inlineStr">
        <is>
          <t>main article — PDF p. 4</t>
        </is>
      </c>
      <c r="E90" s="2" t="inlineStr">
        <is>
          <t>../../2025/jama.2025.15185/jama_engelter_2025_oi_250066_1761597796.45511.pdf#page=4</t>
        </is>
      </c>
    </row>
    <row r="91" ht="30" customHeight="1">
      <c r="A91" s="3" t="inlineStr">
        <is>
          <t>2025::jama.2025.15185::C003</t>
        </is>
      </c>
      <c r="B91" s="3" t="inlineStr">
        <is>
          <t>sourceLinks</t>
        </is>
      </c>
      <c r="C91" s="3" t="n">
        <v>1</v>
      </c>
      <c r="D91" s="3" t="inlineStr">
        <is>
          <t>Supplement 3 — PDF p. 11</t>
        </is>
      </c>
      <c r="E91" s="3" t="inlineStr">
        <is>
          <t>../../2025/jama.2025.15185/joi250066supp3_prod_1761597796.4701.pdf#page=11</t>
        </is>
      </c>
    </row>
    <row r="92" ht="30" customHeight="1">
      <c r="A92" s="2" t="inlineStr">
        <is>
          <t>2025::jama.2025.15185::C004</t>
        </is>
      </c>
      <c r="B92" s="2" t="inlineStr">
        <is>
          <t>sourceLinks</t>
        </is>
      </c>
      <c r="C92" s="2" t="n">
        <v>0</v>
      </c>
      <c r="D92" s="2" t="inlineStr">
        <is>
          <t>Supplement 3 — PDF p. 12</t>
        </is>
      </c>
      <c r="E92" s="2" t="inlineStr">
        <is>
          <t>../../2025/jama.2025.15185/joi250066supp3_prod_1761597796.4701.pdf#page=12</t>
        </is>
      </c>
    </row>
    <row r="93" ht="30" customHeight="1">
      <c r="A93" s="3" t="inlineStr">
        <is>
          <t>2025::jama.2025.15185::C004</t>
        </is>
      </c>
      <c r="B93" s="3" t="inlineStr">
        <is>
          <t>sourceLinks</t>
        </is>
      </c>
      <c r="C93" s="3" t="n">
        <v>1</v>
      </c>
      <c r="D93" s="3" t="inlineStr">
        <is>
          <t>PDF p. 13</t>
        </is>
      </c>
      <c r="E93" s="3" t="inlineStr">
        <is>
          <t>../../2025/jama.2025.15185/joi250066supp3_prod_1761597796.4701.pdf#page=13</t>
        </is>
      </c>
    </row>
    <row r="94" ht="30" customHeight="1">
      <c r="A94" s="2" t="inlineStr">
        <is>
          <t>2025::jama.2025.15185::C005</t>
        </is>
      </c>
      <c r="B94" s="2" t="inlineStr">
        <is>
          <t>sourceLinks</t>
        </is>
      </c>
      <c r="C94" s="2" t="n">
        <v>0</v>
      </c>
      <c r="D94" s="2" t="inlineStr">
        <is>
          <t>main article — PDF p. 6</t>
        </is>
      </c>
      <c r="E94" s="2" t="inlineStr">
        <is>
          <t>../../2025/jama.2025.15185/jama_engelter_2025_oi_250066_1761597796.45511.pdf#page=6</t>
        </is>
      </c>
    </row>
    <row r="95" ht="30" customHeight="1">
      <c r="A95" s="3" t="inlineStr">
        <is>
          <t>2025::jama.2025.15185::C005</t>
        </is>
      </c>
      <c r="B95" s="3" t="inlineStr">
        <is>
          <t>sourceLinks</t>
        </is>
      </c>
      <c r="C95" s="3" t="n">
        <v>1</v>
      </c>
      <c r="D95" s="3" t="inlineStr">
        <is>
          <t>Supplement 3 — PDF p. 15</t>
        </is>
      </c>
      <c r="E95" s="3" t="inlineStr">
        <is>
          <t>../../2025/jama.2025.15185/joi250066supp3_prod_1761597796.4701.pdf#page=15</t>
        </is>
      </c>
    </row>
    <row r="96" ht="30" customHeight="1">
      <c r="A96" s="2" t="inlineStr">
        <is>
          <t>2025::jama.2025.15185::C006</t>
        </is>
      </c>
      <c r="B96" s="2" t="inlineStr">
        <is>
          <t>sourceLinks</t>
        </is>
      </c>
      <c r="C96" s="2" t="n">
        <v>0</v>
      </c>
      <c r="D96" s="2" t="inlineStr">
        <is>
          <t>main article — PDF p. 6</t>
        </is>
      </c>
      <c r="E96" s="2" t="inlineStr">
        <is>
          <t>../../2025/jama.2025.15185/jama_engelter_2025_oi_250066_1761597796.45511.pdf#page=6</t>
        </is>
      </c>
    </row>
    <row r="97" ht="30" customHeight="1">
      <c r="A97" s="3" t="inlineStr">
        <is>
          <t>2025::jama.2025.15185::C006</t>
        </is>
      </c>
      <c r="B97" s="3" t="inlineStr">
        <is>
          <t>sourceLinks</t>
        </is>
      </c>
      <c r="C97" s="3" t="n">
        <v>1</v>
      </c>
      <c r="D97" s="3" t="inlineStr">
        <is>
          <t>Supplement 3 — PDF p. 15</t>
        </is>
      </c>
      <c r="E97" s="3" t="inlineStr">
        <is>
          <t>../../2025/jama.2025.15185/joi250066supp3_prod_1761597796.4701.pdf#page=15</t>
        </is>
      </c>
    </row>
    <row r="98" ht="30" customHeight="1">
      <c r="A98" s="2" t="inlineStr">
        <is>
          <t>2025::jama.2025.15185::C007</t>
        </is>
      </c>
      <c r="B98" s="2" t="inlineStr">
        <is>
          <t>sourceLinks</t>
        </is>
      </c>
      <c r="C98" s="2" t="n">
        <v>0</v>
      </c>
      <c r="D98" s="2" t="inlineStr">
        <is>
          <t>main article — PDF p. 6</t>
        </is>
      </c>
      <c r="E98" s="2" t="inlineStr">
        <is>
          <t>../../2025/jama.2025.15185/jama_engelter_2025_oi_250066_1761597796.45511.pdf#page=6</t>
        </is>
      </c>
    </row>
    <row r="99" ht="30" customHeight="1">
      <c r="A99" s="3" t="inlineStr">
        <is>
          <t>2025::jama.2025.15185::C007</t>
        </is>
      </c>
      <c r="B99" s="3" t="inlineStr">
        <is>
          <t>sourceLinks</t>
        </is>
      </c>
      <c r="C99" s="3" t="n">
        <v>1</v>
      </c>
      <c r="D99" s="3" t="inlineStr">
        <is>
          <t>Supplement 3 — PDF p. 15</t>
        </is>
      </c>
      <c r="E99" s="3" t="inlineStr">
        <is>
          <t>../../2025/jama.2025.15185/joi250066supp3_prod_1761597796.4701.pdf#page=15</t>
        </is>
      </c>
    </row>
    <row r="100" ht="30" customHeight="1">
      <c r="A100" s="2" t="inlineStr">
        <is>
          <t>2025::jama.2025.15185::C008</t>
        </is>
      </c>
      <c r="B100" s="2" t="inlineStr">
        <is>
          <t>sourceLinks</t>
        </is>
      </c>
      <c r="C100" s="2" t="n">
        <v>0</v>
      </c>
      <c r="D100" s="2" t="inlineStr">
        <is>
          <t>main article — PDF p. 6</t>
        </is>
      </c>
      <c r="E100" s="2" t="inlineStr">
        <is>
          <t>../../2025/jama.2025.15185/jama_engelter_2025_oi_250066_1761597796.45511.pdf#page=6</t>
        </is>
      </c>
    </row>
    <row r="101" ht="30" customHeight="1">
      <c r="A101" s="3" t="inlineStr">
        <is>
          <t>2025::jama.2025.15185::C008</t>
        </is>
      </c>
      <c r="B101" s="3" t="inlineStr">
        <is>
          <t>sourceLinks</t>
        </is>
      </c>
      <c r="C101" s="3" t="n">
        <v>1</v>
      </c>
      <c r="D101" s="3" t="inlineStr">
        <is>
          <t>Supplement 3 — PDF p. 15</t>
        </is>
      </c>
      <c r="E101" s="3" t="inlineStr">
        <is>
          <t>../../2025/jama.2025.15185/joi250066supp3_prod_1761597796.4701.pdf#page=15</t>
        </is>
      </c>
    </row>
    <row r="102" ht="30" customHeight="1">
      <c r="A102" s="2" t="inlineStr">
        <is>
          <t>2025::jama.2025.15185::C009</t>
        </is>
      </c>
      <c r="B102" s="2" t="inlineStr">
        <is>
          <t>sourceLinks</t>
        </is>
      </c>
      <c r="C102" s="2" t="n">
        <v>0</v>
      </c>
      <c r="D102" s="2" t="inlineStr">
        <is>
          <t>main article — PDF p. 6</t>
        </is>
      </c>
      <c r="E102" s="2" t="inlineStr">
        <is>
          <t>../../2025/jama.2025.15185/jama_engelter_2025_oi_250066_1761597796.45511.pdf#page=6</t>
        </is>
      </c>
    </row>
    <row r="103" ht="30" customHeight="1">
      <c r="A103" s="3" t="inlineStr">
        <is>
          <t>2025::jama.2025.15185::C009</t>
        </is>
      </c>
      <c r="B103" s="3" t="inlineStr">
        <is>
          <t>sourceLinks</t>
        </is>
      </c>
      <c r="C103" s="3" t="n">
        <v>1</v>
      </c>
      <c r="D103" s="3" t="inlineStr">
        <is>
          <t>PDF p. 7</t>
        </is>
      </c>
      <c r="E103" s="3" t="inlineStr">
        <is>
          <t>../../2025/jama.2025.15185/jama_engelter_2025_oi_250066_1761597796.45511.pdf#page=7</t>
        </is>
      </c>
    </row>
    <row r="104" ht="30" customHeight="1">
      <c r="A104" s="2" t="inlineStr">
        <is>
          <t>2025::jama.2025.15185::C009</t>
        </is>
      </c>
      <c r="B104" s="2" t="inlineStr">
        <is>
          <t>sourceLinks</t>
        </is>
      </c>
      <c r="C104" s="2" t="n">
        <v>2</v>
      </c>
      <c r="D104" s="2" t="inlineStr">
        <is>
          <t>Supplement 3 — PDF p. 17</t>
        </is>
      </c>
      <c r="E104" s="2" t="inlineStr">
        <is>
          <t>../../2025/jama.2025.15185/joi250066supp3_prod_1761597796.4701.pdf#page=17</t>
        </is>
      </c>
    </row>
    <row r="105" ht="40" customHeight="1">
      <c r="A105" s="3" t="inlineStr">
        <is>
          <t>2025::jama.2025.15185::C009</t>
        </is>
      </c>
      <c r="B105" s="3" t="inlineStr">
        <is>
          <t>evidencePaths</t>
        </is>
      </c>
      <c r="C105" s="3" t="n">
        <v>0</v>
      </c>
      <c r="D105" s="3" t="inlineStr">
        <is>
          <t>2025/jama.2025.15185/.ai_paper_validation/review_1_5_1/verification/evidence_recheck.md</t>
        </is>
      </c>
      <c r="E105" s="3" t="inlineStr">
        <is>
          <t>../../2025/jama.2025.15185/.ai_paper_validation/review_1_5_1/verification/evidence_recheck.md</t>
        </is>
      </c>
    </row>
    <row r="106" ht="30" customHeight="1">
      <c r="A106" s="2" t="inlineStr">
        <is>
          <t>2025::jama.2025.15185::C010</t>
        </is>
      </c>
      <c r="B106" s="2" t="inlineStr">
        <is>
          <t>sourceLinks</t>
        </is>
      </c>
      <c r="C106" s="2" t="n">
        <v>0</v>
      </c>
      <c r="D106" s="2" t="inlineStr">
        <is>
          <t>Supplement 3 — PDF p. 23</t>
        </is>
      </c>
      <c r="E106" s="2" t="inlineStr">
        <is>
          <t>../../2025/jama.2025.15185/joi250066supp3_prod_1761597796.4701.pdf#page=23</t>
        </is>
      </c>
    </row>
    <row r="107" ht="30" customHeight="1">
      <c r="A107" s="3" t="inlineStr">
        <is>
          <t>2025::jama.2025.15185::C010</t>
        </is>
      </c>
      <c r="B107" s="3" t="inlineStr">
        <is>
          <t>sourceLinks</t>
        </is>
      </c>
      <c r="C107" s="3" t="n">
        <v>1</v>
      </c>
      <c r="D107" s="3" t="inlineStr">
        <is>
          <t>Supplement 2 — PDF p. 2</t>
        </is>
      </c>
      <c r="E107" s="3" t="inlineStr">
        <is>
          <t>../../2025/jama.2025.15185/joi250066supp2_prod_1761597796.4701.pdf#page=2</t>
        </is>
      </c>
    </row>
    <row r="108" ht="30" customHeight="1">
      <c r="A108" s="2" t="inlineStr">
        <is>
          <t>2025::jama.2025.15185::C010</t>
        </is>
      </c>
      <c r="B108" s="2" t="inlineStr">
        <is>
          <t>sourceLinks</t>
        </is>
      </c>
      <c r="C108" s="2" t="n">
        <v>2</v>
      </c>
      <c r="D108" s="2" t="inlineStr">
        <is>
          <t>main article — PDF p. 1</t>
        </is>
      </c>
      <c r="E108" s="2" t="inlineStr">
        <is>
          <t>../../2025/jama.2025.15185/jama_engelter_2025_oi_250066_1761597796.45511.pdf#page=1</t>
        </is>
      </c>
    </row>
    <row r="109" ht="30" customHeight="1">
      <c r="A109" s="3" t="inlineStr">
        <is>
          <t>2025::jama.2025.15185::C010</t>
        </is>
      </c>
      <c r="B109" s="3" t="inlineStr">
        <is>
          <t>sourceLinks</t>
        </is>
      </c>
      <c r="C109" s="3" t="n">
        <v>3</v>
      </c>
      <c r="D109" s="3" t="inlineStr">
        <is>
          <t>PDF p. 3</t>
        </is>
      </c>
      <c r="E109" s="3" t="inlineStr">
        <is>
          <t>../../2025/jama.2025.15185/jama_engelter_2025_oi_250066_1761597796.45511.pdf#page=3</t>
        </is>
      </c>
    </row>
    <row r="110" ht="30" customHeight="1">
      <c r="A110" s="2" t="inlineStr">
        <is>
          <t>2025::jama.2025.15185::C010</t>
        </is>
      </c>
      <c r="B110" s="2" t="inlineStr">
        <is>
          <t>sourceLinks</t>
        </is>
      </c>
      <c r="C110" s="2" t="n">
        <v>4</v>
      </c>
      <c r="D110" s="2" t="inlineStr">
        <is>
          <t>PDF p. 6</t>
        </is>
      </c>
      <c r="E110" s="2" t="inlineStr">
        <is>
          <t>../../2025/jama.2025.15185/jama_engelter_2025_oi_250066_1761597796.45511.pdf#page=6</t>
        </is>
      </c>
    </row>
    <row r="111" ht="40" customHeight="1">
      <c r="A111" s="3" t="inlineStr">
        <is>
          <t>2025::jama.2025.15185::C010</t>
        </is>
      </c>
      <c r="B111" s="3" t="inlineStr">
        <is>
          <t>evidencePaths</t>
        </is>
      </c>
      <c r="C111" s="3" t="n">
        <v>0</v>
      </c>
      <c r="D111" s="3" t="inlineStr">
        <is>
          <t>2025/jama.2025.15185/.ai_paper_validation/review_1_5_1/verification/evidence_recheck.md</t>
        </is>
      </c>
      <c r="E111" s="3" t="inlineStr">
        <is>
          <t>../../2025/jama.2025.15185/.ai_paper_validation/review_1_5_1/verification/evidence_recheck.md</t>
        </is>
      </c>
    </row>
    <row r="112" ht="30" customHeight="1">
      <c r="A112" s="2" t="inlineStr">
        <is>
          <t>2025::jama.2025.15185::C011</t>
        </is>
      </c>
      <c r="B112" s="2" t="inlineStr">
        <is>
          <t>sourceLinks</t>
        </is>
      </c>
      <c r="C112" s="2" t="n">
        <v>0</v>
      </c>
      <c r="D112" s="2" t="inlineStr">
        <is>
          <t>Supplement 3 — PDF p. 13</t>
        </is>
      </c>
      <c r="E112" s="2" t="inlineStr">
        <is>
          <t>../../2025/jama.2025.15185/joi250066supp3_prod_1761597796.4701.pdf#page=13</t>
        </is>
      </c>
    </row>
    <row r="113" ht="30" customHeight="1">
      <c r="A113" s="3" t="inlineStr">
        <is>
          <t>2025::jama.2025.15185::C012</t>
        </is>
      </c>
      <c r="B113" s="3" t="inlineStr">
        <is>
          <t>sourceLinks</t>
        </is>
      </c>
      <c r="C113" s="3" t="n">
        <v>0</v>
      </c>
      <c r="D113" s="3" t="inlineStr">
        <is>
          <t>Supplement 3 — PDF p. 12</t>
        </is>
      </c>
      <c r="E113" s="3" t="inlineStr">
        <is>
          <t>../../2025/jama.2025.15185/joi250066supp3_prod_1761597796.4701.pdf#page=12</t>
        </is>
      </c>
    </row>
    <row r="114" ht="30" customHeight="1">
      <c r="A114" s="2" t="inlineStr">
        <is>
          <t>2025::jama.2025.15185::C012</t>
        </is>
      </c>
      <c r="B114" s="2" t="inlineStr">
        <is>
          <t>sourceLinks</t>
        </is>
      </c>
      <c r="C114" s="2" t="n">
        <v>1</v>
      </c>
      <c r="D114" s="2" t="inlineStr">
        <is>
          <t>PDF p. 13</t>
        </is>
      </c>
      <c r="E114" s="2" t="inlineStr">
        <is>
          <t>../../2025/jama.2025.15185/joi250066supp3_prod_1761597796.4701.pdf#page=13</t>
        </is>
      </c>
    </row>
    <row r="115" ht="40" customHeight="1">
      <c r="A115" s="3" t="inlineStr">
        <is>
          <t>2025::jama.2025.15440::C001</t>
        </is>
      </c>
      <c r="B115" s="3" t="inlineStr">
        <is>
          <t>sourceLinks</t>
        </is>
      </c>
      <c r="C115" s="3" t="n">
        <v>0</v>
      </c>
      <c r="D115" s="3" t="inlineStr">
        <is>
          <t>jama_wijesurendra_2025_oi_250068_1760999665.28362.pdf — PDF p. 1</t>
        </is>
      </c>
      <c r="E115" s="3" t="inlineStr">
        <is>
          <t>../../2025/jama.2025.15440/jama_wijesurendra_2025_oi_250068_1760999665.28362.pdf#page=1</t>
        </is>
      </c>
    </row>
    <row r="116" ht="30" customHeight="1">
      <c r="A116" s="2" t="inlineStr">
        <is>
          <t>2025::jama.2025.15440::C001</t>
        </is>
      </c>
      <c r="B116" s="2" t="inlineStr">
        <is>
          <t>sourceLinks</t>
        </is>
      </c>
      <c r="C116" s="2" t="n">
        <v>1</v>
      </c>
      <c r="D116" s="2" t="inlineStr">
        <is>
          <t>PDF p. 5</t>
        </is>
      </c>
      <c r="E116" s="2" t="inlineStr">
        <is>
          <t>../../2025/jama.2025.15440/jama_wijesurendra_2025_oi_250068_1760999665.28362.pdf#page=5</t>
        </is>
      </c>
    </row>
    <row r="117" ht="30" customHeight="1">
      <c r="A117" s="3" t="inlineStr">
        <is>
          <t>2025::jama.2025.15440::C001</t>
        </is>
      </c>
      <c r="B117" s="3" t="inlineStr">
        <is>
          <t>sourceLinks</t>
        </is>
      </c>
      <c r="C117" s="3" t="n">
        <v>2</v>
      </c>
      <c r="D117" s="3" t="inlineStr">
        <is>
          <t>PDF p. 7</t>
        </is>
      </c>
      <c r="E117" s="3" t="inlineStr">
        <is>
          <t>../../2025/jama.2025.15440/jama_wijesurendra_2025_oi_250068_1760999665.28362.pdf#page=7</t>
        </is>
      </c>
    </row>
    <row r="118" ht="40" customHeight="1">
      <c r="A118" s="2" t="inlineStr">
        <is>
          <t>2025::jama.2025.15440::C002</t>
        </is>
      </c>
      <c r="B118" s="2" t="inlineStr">
        <is>
          <t>sourceLinks</t>
        </is>
      </c>
      <c r="C118" s="2" t="n">
        <v>0</v>
      </c>
      <c r="D118" s="2" t="inlineStr">
        <is>
          <t>jama_wijesurendra_2025_oi_250068_1760999665.28362.pdf — PDF p. 7</t>
        </is>
      </c>
      <c r="E118" s="2" t="inlineStr">
        <is>
          <t>../../2025/jama.2025.15440/jama_wijesurendra_2025_oi_250068_1760999665.28362.pdf#page=7</t>
        </is>
      </c>
    </row>
    <row r="119" ht="30" customHeight="1">
      <c r="A119" s="3" t="inlineStr">
        <is>
          <t>2025::jama.2025.15440::C002</t>
        </is>
      </c>
      <c r="B119" s="3" t="inlineStr">
        <is>
          <t>sourceLinks</t>
        </is>
      </c>
      <c r="C119" s="3" t="n">
        <v>1</v>
      </c>
      <c r="D119" s="3" t="inlineStr">
        <is>
          <t>PDF p. 5</t>
        </is>
      </c>
      <c r="E119" s="3" t="inlineStr">
        <is>
          <t>../../2025/jama.2025.15440/jama_wijesurendra_2025_oi_250068_1760999665.28362.pdf#page=5</t>
        </is>
      </c>
    </row>
    <row r="120" ht="30" customHeight="1">
      <c r="A120" s="2" t="inlineStr">
        <is>
          <t>2025::jama.2025.15440::C002</t>
        </is>
      </c>
      <c r="B120" s="2" t="inlineStr">
        <is>
          <t>sourceLinks</t>
        </is>
      </c>
      <c r="C120" s="2" t="n">
        <v>2</v>
      </c>
      <c r="D120" s="2" t="inlineStr">
        <is>
          <t>PDF p. 1</t>
        </is>
      </c>
      <c r="E120" s="2" t="inlineStr">
        <is>
          <t>../../2025/jama.2025.15440/jama_wijesurendra_2025_oi_250068_1760999665.28362.pdf#page=1</t>
        </is>
      </c>
    </row>
    <row r="121" ht="30" customHeight="1">
      <c r="A121" s="3" t="inlineStr">
        <is>
          <t>2025::jama.2025.16450::C001</t>
        </is>
      </c>
      <c r="B121" s="3" t="inlineStr">
        <is>
          <t>sourceLinks</t>
        </is>
      </c>
      <c r="C121" s="3" t="n">
        <v>0</v>
      </c>
      <c r="D121" s="3" t="inlineStr">
        <is>
          <t>results supplement — PDF p. 7</t>
        </is>
      </c>
      <c r="E121" s="3" t="inlineStr">
        <is>
          <t>../../2025/jama.2025.16450/joi250072supp4_prod_1761000786.6988.pdf#page=7</t>
        </is>
      </c>
    </row>
    <row r="122" ht="30" customHeight="1">
      <c r="A122" s="2" t="inlineStr">
        <is>
          <t>2025::jama.2025.16450::C001</t>
        </is>
      </c>
      <c r="B122" s="2" t="inlineStr">
        <is>
          <t>sourceLinks</t>
        </is>
      </c>
      <c r="C122" s="2" t="n">
        <v>1</v>
      </c>
      <c r="D122" s="2" t="inlineStr">
        <is>
          <t>results supplement — PDF p. 8</t>
        </is>
      </c>
      <c r="E122" s="2" t="inlineStr">
        <is>
          <t>../../2025/jama.2025.16450/joi250072supp4_prod_1761000786.6988.pdf#page=8</t>
        </is>
      </c>
    </row>
    <row r="123" ht="40" customHeight="1">
      <c r="A123" s="3" t="inlineStr">
        <is>
          <t>2025::jama.2025.16450::C001</t>
        </is>
      </c>
      <c r="B123" s="3" t="inlineStr">
        <is>
          <t>evidencePaths</t>
        </is>
      </c>
      <c r="C123" s="3" t="n">
        <v>0</v>
      </c>
      <c r="D123" s="3" t="inlineStr">
        <is>
          <t>2025/jama.2025.16450/.ai_paper_validation/review_1_5_1/verification/evidence_recheck.md</t>
        </is>
      </c>
      <c r="E123" s="3" t="inlineStr">
        <is>
          <t>../../2025/jama.2025.16450/.ai_paper_validation/review_1_5_1/verification/evidence_recheck.md</t>
        </is>
      </c>
    </row>
    <row r="124" ht="30" customHeight="1">
      <c r="A124" s="2" t="inlineStr">
        <is>
          <t>2025::jama.2025.16450::C002</t>
        </is>
      </c>
      <c r="B124" s="2" t="inlineStr">
        <is>
          <t>sourceLinks</t>
        </is>
      </c>
      <c r="C124" s="2" t="n">
        <v>0</v>
      </c>
      <c r="D124" s="2" t="inlineStr">
        <is>
          <t>protocol — PDF p. 4</t>
        </is>
      </c>
      <c r="E124" s="2" t="inlineStr">
        <is>
          <t>../../2025/jama.2025.16450/joi250072supp1_prod_1761000786.68881.pdf#page=4</t>
        </is>
      </c>
    </row>
    <row r="125" ht="30" customHeight="1">
      <c r="A125" s="3" t="inlineStr">
        <is>
          <t>2025::jama.2025.16450::C002</t>
        </is>
      </c>
      <c r="B125" s="3" t="inlineStr">
        <is>
          <t>sourceLinks</t>
        </is>
      </c>
      <c r="C125" s="3" t="n">
        <v>1</v>
      </c>
      <c r="D125" s="3" t="inlineStr">
        <is>
          <t>manual — PDF p. 7</t>
        </is>
      </c>
      <c r="E125" s="3" t="inlineStr">
        <is>
          <t>../../2025/jama.2025.16450/joi250072supp2_prod_1761000786.6938.pdf#page=7</t>
        </is>
      </c>
    </row>
    <row r="126" ht="30" customHeight="1">
      <c r="A126" s="2" t="inlineStr">
        <is>
          <t>2025::jama.2025.16450::C002</t>
        </is>
      </c>
      <c r="B126" s="2" t="inlineStr">
        <is>
          <t>sourceLinks</t>
        </is>
      </c>
      <c r="C126" s="2" t="n">
        <v>2</v>
      </c>
      <c r="D126" s="2" t="inlineStr">
        <is>
          <t>SAP — PDF p. 8</t>
        </is>
      </c>
      <c r="E126" s="2" t="inlineStr">
        <is>
          <t>../../2025/jama.2025.16450/joi250072supp3_prod_1761000786.6988.pdf#page=8</t>
        </is>
      </c>
    </row>
    <row r="127" ht="30" customHeight="1">
      <c r="A127" s="3" t="inlineStr">
        <is>
          <t>2025::jama.2025.16450::C002</t>
        </is>
      </c>
      <c r="B127" s="3" t="inlineStr">
        <is>
          <t>sourceLinks</t>
        </is>
      </c>
      <c r="C127" s="3" t="n">
        <v>3</v>
      </c>
      <c r="D127" s="3" t="inlineStr">
        <is>
          <t>SAP — PDF p. 15</t>
        </is>
      </c>
      <c r="E127" s="3" t="inlineStr">
        <is>
          <t>../../2025/jama.2025.16450/joi250072supp3_prod_1761000786.6988.pdf#page=15</t>
        </is>
      </c>
    </row>
    <row r="128" ht="30" customHeight="1">
      <c r="A128" s="2" t="inlineStr">
        <is>
          <t>2025::jama.2025.16450::C002</t>
        </is>
      </c>
      <c r="B128" s="2" t="inlineStr">
        <is>
          <t>sourceLinks</t>
        </is>
      </c>
      <c r="C128" s="2" t="n">
        <v>4</v>
      </c>
      <c r="D128" s="2" t="inlineStr">
        <is>
          <t>main article — PDF p. 2</t>
        </is>
      </c>
      <c r="E128" s="2" t="inlineStr">
        <is>
          <t>../../2025/jama.2025.16450/jama_ambalavanan_2025_oi_250072_1761000786.6838.pdf#page=2</t>
        </is>
      </c>
    </row>
    <row r="129" ht="40" customHeight="1">
      <c r="A129" s="3" t="inlineStr">
        <is>
          <t>2025::jama.2025.16450::C002</t>
        </is>
      </c>
      <c r="B129" s="3" t="inlineStr">
        <is>
          <t>evidencePaths</t>
        </is>
      </c>
      <c r="C129" s="3" t="n">
        <v>0</v>
      </c>
      <c r="D129" s="3" t="inlineStr">
        <is>
          <t>2025/jama.2025.16450/.ai_paper_validation/review_1_5_1/verification/evidence_recheck.md</t>
        </is>
      </c>
      <c r="E129" s="3" t="inlineStr">
        <is>
          <t>../../2025/jama.2025.16450/.ai_paper_validation/review_1_5_1/verification/evidence_recheck.md</t>
        </is>
      </c>
    </row>
    <row r="130" ht="30" customHeight="1">
      <c r="A130" s="2" t="inlineStr">
        <is>
          <t>2025::jama.2025.16450::C003</t>
        </is>
      </c>
      <c r="B130" s="2" t="inlineStr">
        <is>
          <t>sourceLinks</t>
        </is>
      </c>
      <c r="C130" s="2" t="n">
        <v>0</v>
      </c>
      <c r="D130" s="2" t="inlineStr">
        <is>
          <t>protocol — PDF p. 4</t>
        </is>
      </c>
      <c r="E130" s="2" t="inlineStr">
        <is>
          <t>../../2025/jama.2025.16450/joi250072supp1_prod_1761000786.68881.pdf#page=4</t>
        </is>
      </c>
    </row>
    <row r="131" ht="30" customHeight="1">
      <c r="A131" s="3" t="inlineStr">
        <is>
          <t>2025::jama.2025.16450::C003</t>
        </is>
      </c>
      <c r="B131" s="3" t="inlineStr">
        <is>
          <t>sourceLinks</t>
        </is>
      </c>
      <c r="C131" s="3" t="n">
        <v>1</v>
      </c>
      <c r="D131" s="3" t="inlineStr">
        <is>
          <t>manual — PDF p. 7</t>
        </is>
      </c>
      <c r="E131" s="3" t="inlineStr">
        <is>
          <t>../../2025/jama.2025.16450/joi250072supp2_prod_1761000786.6938.pdf#page=7</t>
        </is>
      </c>
    </row>
    <row r="132" ht="30" customHeight="1">
      <c r="A132" s="2" t="inlineStr">
        <is>
          <t>2025::jama.2025.16450::C003</t>
        </is>
      </c>
      <c r="B132" s="2" t="inlineStr">
        <is>
          <t>sourceLinks</t>
        </is>
      </c>
      <c r="C132" s="2" t="n">
        <v>2</v>
      </c>
      <c r="D132" s="2" t="inlineStr">
        <is>
          <t>manual — PDF p. 12</t>
        </is>
      </c>
      <c r="E132" s="2" t="inlineStr">
        <is>
          <t>../../2025/jama.2025.16450/joi250072supp2_prod_1761000786.6938.pdf#page=12</t>
        </is>
      </c>
    </row>
    <row r="133" ht="30" customHeight="1">
      <c r="A133" s="3" t="inlineStr">
        <is>
          <t>2025::jama.2025.16450::C003</t>
        </is>
      </c>
      <c r="B133" s="3" t="inlineStr">
        <is>
          <t>sourceLinks</t>
        </is>
      </c>
      <c r="C133" s="3" t="n">
        <v>3</v>
      </c>
      <c r="D133" s="3" t="inlineStr">
        <is>
          <t>SAP — PDF p. 8</t>
        </is>
      </c>
      <c r="E133" s="3" t="inlineStr">
        <is>
          <t>../../2025/jama.2025.16450/joi250072supp3_prod_1761000786.6988.pdf#page=8</t>
        </is>
      </c>
    </row>
    <row r="134" ht="30" customHeight="1">
      <c r="A134" s="2" t="inlineStr">
        <is>
          <t>2025::jama.2025.16450::C003</t>
        </is>
      </c>
      <c r="B134" s="2" t="inlineStr">
        <is>
          <t>sourceLinks</t>
        </is>
      </c>
      <c r="C134" s="2" t="n">
        <v>4</v>
      </c>
      <c r="D134" s="2" t="inlineStr">
        <is>
          <t>main article — PDF p. 2</t>
        </is>
      </c>
      <c r="E134" s="2" t="inlineStr">
        <is>
          <t>../../2025/jama.2025.16450/jama_ambalavanan_2025_oi_250072_1761000786.6838.pdf#page=2</t>
        </is>
      </c>
    </row>
    <row r="135" ht="30" customHeight="1">
      <c r="A135" s="3" t="inlineStr">
        <is>
          <t>2025::jama.2025.16450::C003</t>
        </is>
      </c>
      <c r="B135" s="3" t="inlineStr">
        <is>
          <t>sourceLinks</t>
        </is>
      </c>
      <c r="C135" s="3" t="n">
        <v>5</v>
      </c>
      <c r="D135" s="3" t="inlineStr">
        <is>
          <t>results supplement — PDF p. 4</t>
        </is>
      </c>
      <c r="E135" s="3" t="inlineStr">
        <is>
          <t>../../2025/jama.2025.16450/joi250072supp4_prod_1761000786.6988.pdf#page=4</t>
        </is>
      </c>
    </row>
    <row r="136" ht="40" customHeight="1">
      <c r="A136" s="2" t="inlineStr">
        <is>
          <t>2025::jama.2025.16450::C003</t>
        </is>
      </c>
      <c r="B136" s="2" t="inlineStr">
        <is>
          <t>evidencePaths</t>
        </is>
      </c>
      <c r="C136" s="2" t="n">
        <v>0</v>
      </c>
      <c r="D136" s="2" t="inlineStr">
        <is>
          <t>2025/jama.2025.16450/.ai_paper_validation/review_1_5_1/verification/evidence_recheck.md</t>
        </is>
      </c>
      <c r="E136" s="2" t="inlineStr">
        <is>
          <t>../../2025/jama.2025.16450/.ai_paper_validation/review_1_5_1/verification/evidence_recheck.md</t>
        </is>
      </c>
    </row>
    <row r="137" ht="30" customHeight="1">
      <c r="A137" s="3" t="inlineStr">
        <is>
          <t>2025::jama.2025.16450::C004</t>
        </is>
      </c>
      <c r="B137" s="3" t="inlineStr">
        <is>
          <t>sourceLinks</t>
        </is>
      </c>
      <c r="C137" s="3" t="n">
        <v>0</v>
      </c>
      <c r="D137" s="3" t="inlineStr">
        <is>
          <t>manual — PDF p. 14</t>
        </is>
      </c>
      <c r="E137" s="3" t="inlineStr">
        <is>
          <t>../../2025/jama.2025.16450/joi250072supp2_prod_1761000786.6938.pdf#page=14</t>
        </is>
      </c>
    </row>
    <row r="138" ht="30" customHeight="1">
      <c r="A138" s="2" t="inlineStr">
        <is>
          <t>2025::jama.2025.16450::C004</t>
        </is>
      </c>
      <c r="B138" s="2" t="inlineStr">
        <is>
          <t>sourceLinks</t>
        </is>
      </c>
      <c r="C138" s="2" t="n">
        <v>1</v>
      </c>
      <c r="D138" s="2" t="inlineStr">
        <is>
          <t>manual — PDF p. 16</t>
        </is>
      </c>
      <c r="E138" s="2" t="inlineStr">
        <is>
          <t>../../2025/jama.2025.16450/joi250072supp2_prod_1761000786.6938.pdf#page=16</t>
        </is>
      </c>
    </row>
    <row r="139" ht="30" customHeight="1">
      <c r="A139" s="3" t="inlineStr">
        <is>
          <t>2025::jama.2025.16450::C004</t>
        </is>
      </c>
      <c r="B139" s="3" t="inlineStr">
        <is>
          <t>sourceLinks</t>
        </is>
      </c>
      <c r="C139" s="3" t="n">
        <v>2</v>
      </c>
      <c r="D139" s="3" t="inlineStr">
        <is>
          <t>SAP — PDF p. 10</t>
        </is>
      </c>
      <c r="E139" s="3" t="inlineStr">
        <is>
          <t>../../2025/jama.2025.16450/joi250072supp3_prod_1761000786.6988.pdf#page=10</t>
        </is>
      </c>
    </row>
    <row r="140" ht="30" customHeight="1">
      <c r="A140" s="2" t="inlineStr">
        <is>
          <t>2025::jama.2025.16450::C004</t>
        </is>
      </c>
      <c r="B140" s="2" t="inlineStr">
        <is>
          <t>sourceLinks</t>
        </is>
      </c>
      <c r="C140" s="2" t="n">
        <v>3</v>
      </c>
      <c r="D140" s="2" t="inlineStr">
        <is>
          <t>SAP — PDF p. 33</t>
        </is>
      </c>
      <c r="E140" s="2" t="inlineStr">
        <is>
          <t>../../2025/jama.2025.16450/joi250072supp3_prod_1761000786.6988.pdf#page=33</t>
        </is>
      </c>
    </row>
    <row r="141" ht="40" customHeight="1">
      <c r="A141" s="3" t="inlineStr">
        <is>
          <t>2025::jama.2025.16450::C004</t>
        </is>
      </c>
      <c r="B141" s="3" t="inlineStr">
        <is>
          <t>evidencePaths</t>
        </is>
      </c>
      <c r="C141" s="3" t="n">
        <v>0</v>
      </c>
      <c r="D141" s="3" t="inlineStr">
        <is>
          <t>2025/jama.2025.16450/.ai_paper_validation/review_1_5_1/verification/evidence_recheck.md</t>
        </is>
      </c>
      <c r="E141" s="3" t="inlineStr">
        <is>
          <t>../../2025/jama.2025.16450/.ai_paper_validation/review_1_5_1/verification/evidence_recheck.md</t>
        </is>
      </c>
    </row>
    <row r="142" ht="30" customHeight="1">
      <c r="A142" s="2" t="inlineStr">
        <is>
          <t>2025::jama.2025.16450::C005</t>
        </is>
      </c>
      <c r="B142" s="2" t="inlineStr">
        <is>
          <t>sourceLinks</t>
        </is>
      </c>
      <c r="C142" s="2" t="n">
        <v>0</v>
      </c>
      <c r="D142" s="2" t="inlineStr">
        <is>
          <t>manual — PDF p. 14</t>
        </is>
      </c>
      <c r="E142" s="2" t="inlineStr">
        <is>
          <t>../../2025/jama.2025.16450/joi250072supp2_prod_1761000786.6938.pdf#page=14</t>
        </is>
      </c>
    </row>
    <row r="143" ht="30" customHeight="1">
      <c r="A143" s="3" t="inlineStr">
        <is>
          <t>2025::jama.2025.16450::C005</t>
        </is>
      </c>
      <c r="B143" s="3" t="inlineStr">
        <is>
          <t>sourceLinks</t>
        </is>
      </c>
      <c r="C143" s="3" t="n">
        <v>1</v>
      </c>
      <c r="D143" s="3" t="inlineStr">
        <is>
          <t>manual — PDF p. 16</t>
        </is>
      </c>
      <c r="E143" s="3" t="inlineStr">
        <is>
          <t>../../2025/jama.2025.16450/joi250072supp2_prod_1761000786.6938.pdf#page=16</t>
        </is>
      </c>
    </row>
    <row r="144" ht="30" customHeight="1">
      <c r="A144" s="2" t="inlineStr">
        <is>
          <t>2025::jama.2025.16450::C005</t>
        </is>
      </c>
      <c r="B144" s="2" t="inlineStr">
        <is>
          <t>sourceLinks</t>
        </is>
      </c>
      <c r="C144" s="2" t="n">
        <v>2</v>
      </c>
      <c r="D144" s="2" t="inlineStr">
        <is>
          <t>SAP — PDF p. 10</t>
        </is>
      </c>
      <c r="E144" s="2" t="inlineStr">
        <is>
          <t>../../2025/jama.2025.16450/joi250072supp3_prod_1761000786.6988.pdf#page=10</t>
        </is>
      </c>
    </row>
    <row r="145" ht="30" customHeight="1">
      <c r="A145" s="3" t="inlineStr">
        <is>
          <t>2025::jama.2025.16450::C005</t>
        </is>
      </c>
      <c r="B145" s="3" t="inlineStr">
        <is>
          <t>sourceLinks</t>
        </is>
      </c>
      <c r="C145" s="3" t="n">
        <v>3</v>
      </c>
      <c r="D145" s="3" t="inlineStr">
        <is>
          <t>SAP — PDF p. 33</t>
        </is>
      </c>
      <c r="E145" s="3" t="inlineStr">
        <is>
          <t>../../2025/jama.2025.16450/joi250072supp3_prod_1761000786.6988.pdf#page=33</t>
        </is>
      </c>
    </row>
    <row r="146" ht="30" customHeight="1">
      <c r="A146" s="2" t="inlineStr">
        <is>
          <t>2025::jama.2025.16450::C005</t>
        </is>
      </c>
      <c r="B146" s="2" t="inlineStr">
        <is>
          <t>sourceLinks</t>
        </is>
      </c>
      <c r="C146" s="2" t="n">
        <v>4</v>
      </c>
      <c r="D146" s="2" t="inlineStr">
        <is>
          <t>SAP — PDF p. 34</t>
        </is>
      </c>
      <c r="E146" s="2" t="inlineStr">
        <is>
          <t>../../2025/jama.2025.16450/joi250072supp3_prod_1761000786.6988.pdf#page=34</t>
        </is>
      </c>
    </row>
    <row r="147" ht="40" customHeight="1">
      <c r="A147" s="3" t="inlineStr">
        <is>
          <t>2025::jama.2025.16450::C005</t>
        </is>
      </c>
      <c r="B147" s="3" t="inlineStr">
        <is>
          <t>evidencePaths</t>
        </is>
      </c>
      <c r="C147" s="3" t="n">
        <v>0</v>
      </c>
      <c r="D147" s="3" t="inlineStr">
        <is>
          <t>2025/jama.2025.16450/.ai_paper_validation/review_1_5_1/verification/evidence_recheck.md</t>
        </is>
      </c>
      <c r="E147" s="3" t="inlineStr">
        <is>
          <t>../../2025/jama.2025.16450/.ai_paper_validation/review_1_5_1/verification/evidence_recheck.md</t>
        </is>
      </c>
    </row>
    <row r="148" ht="30" customHeight="1">
      <c r="A148" s="2" t="inlineStr">
        <is>
          <t>2025::jama.2025.16450::C006</t>
        </is>
      </c>
      <c r="B148" s="2" t="inlineStr">
        <is>
          <t>sourceLinks</t>
        </is>
      </c>
      <c r="C148" s="2" t="n">
        <v>0</v>
      </c>
      <c r="D148" s="2" t="inlineStr">
        <is>
          <t>protocol — PDF p. 29</t>
        </is>
      </c>
      <c r="E148" s="2" t="inlineStr">
        <is>
          <t>../../2025/jama.2025.16450/joi250072supp1_prod_1761000786.68881.pdf#page=29</t>
        </is>
      </c>
    </row>
    <row r="149" ht="30" customHeight="1">
      <c r="A149" s="3" t="inlineStr">
        <is>
          <t>2025::jama.2025.16450::C006</t>
        </is>
      </c>
      <c r="B149" s="3" t="inlineStr">
        <is>
          <t>sourceLinks</t>
        </is>
      </c>
      <c r="C149" s="3" t="n">
        <v>1</v>
      </c>
      <c r="D149" s="3" t="inlineStr">
        <is>
          <t>SAP — PDF p. 26</t>
        </is>
      </c>
      <c r="E149" s="3" t="inlineStr">
        <is>
          <t>../../2025/jama.2025.16450/joi250072supp3_prod_1761000786.6988.pdf#page=26</t>
        </is>
      </c>
    </row>
    <row r="150" ht="40" customHeight="1">
      <c r="A150" s="2" t="inlineStr">
        <is>
          <t>2025::jama.2025.16450::C006</t>
        </is>
      </c>
      <c r="B150" s="2" t="inlineStr">
        <is>
          <t>evidencePaths</t>
        </is>
      </c>
      <c r="C150" s="2" t="n">
        <v>0</v>
      </c>
      <c r="D150" s="2" t="inlineStr">
        <is>
          <t>2025/jama.2025.16450/.ai_paper_validation/review_1_5_1/verification/evidence_recheck.md</t>
        </is>
      </c>
      <c r="E150" s="2" t="inlineStr">
        <is>
          <t>../../2025/jama.2025.16450/.ai_paper_validation/review_1_5_1/verification/evidence_recheck.md</t>
        </is>
      </c>
    </row>
    <row r="151" ht="30" customHeight="1">
      <c r="A151" s="3" t="inlineStr">
        <is>
          <t>2025::jama.2025.16450::C007</t>
        </is>
      </c>
      <c r="B151" s="3" t="inlineStr">
        <is>
          <t>sourceLinks</t>
        </is>
      </c>
      <c r="C151" s="3" t="n">
        <v>0</v>
      </c>
      <c r="D151" s="3" t="inlineStr">
        <is>
          <t>main article — PDF p. 3</t>
        </is>
      </c>
      <c r="E151" s="3" t="inlineStr">
        <is>
          <t>../../2025/jama.2025.16450/jama_ambalavanan_2025_oi_250072_1761000786.6838.pdf#page=3</t>
        </is>
      </c>
    </row>
    <row r="152" ht="30" customHeight="1">
      <c r="A152" s="2" t="inlineStr">
        <is>
          <t>2025::jama.2025.16450::C007</t>
        </is>
      </c>
      <c r="B152" s="2" t="inlineStr">
        <is>
          <t>sourceLinks</t>
        </is>
      </c>
      <c r="C152" s="2" t="n">
        <v>1</v>
      </c>
      <c r="D152" s="2" t="inlineStr">
        <is>
          <t>main article — PDF p. 7</t>
        </is>
      </c>
      <c r="E152" s="2" t="inlineStr">
        <is>
          <t>../../2025/jama.2025.16450/jama_ambalavanan_2025_oi_250072_1761000786.6838.pdf#page=7</t>
        </is>
      </c>
    </row>
    <row r="153" ht="30" customHeight="1">
      <c r="A153" s="3" t="inlineStr">
        <is>
          <t>2025::jama.2025.16450::C007</t>
        </is>
      </c>
      <c r="B153" s="3" t="inlineStr">
        <is>
          <t>sourceLinks</t>
        </is>
      </c>
      <c r="C153" s="3" t="n">
        <v>2</v>
      </c>
      <c r="D153" s="3" t="inlineStr">
        <is>
          <t>protocol — PDF p. 29</t>
        </is>
      </c>
      <c r="E153" s="3" t="inlineStr">
        <is>
          <t>../../2025/jama.2025.16450/joi250072supp1_prod_1761000786.68881.pdf#page=29</t>
        </is>
      </c>
    </row>
    <row r="154" ht="30" customHeight="1">
      <c r="A154" s="2" t="inlineStr">
        <is>
          <t>2025::jama.2025.16450::C007</t>
        </is>
      </c>
      <c r="B154" s="2" t="inlineStr">
        <is>
          <t>sourceLinks</t>
        </is>
      </c>
      <c r="C154" s="2" t="n">
        <v>3</v>
      </c>
      <c r="D154" s="2" t="inlineStr">
        <is>
          <t>SAP — PDF p. 26</t>
        </is>
      </c>
      <c r="E154" s="2" t="inlineStr">
        <is>
          <t>../../2025/jama.2025.16450/joi250072supp3_prod_1761000786.6988.pdf#page=26</t>
        </is>
      </c>
    </row>
    <row r="155" ht="40" customHeight="1">
      <c r="A155" s="3" t="inlineStr">
        <is>
          <t>2025::jama.2025.16450::C007</t>
        </is>
      </c>
      <c r="B155" s="3" t="inlineStr">
        <is>
          <t>evidencePaths</t>
        </is>
      </c>
      <c r="C155" s="3" t="n">
        <v>0</v>
      </c>
      <c r="D155" s="3" t="inlineStr">
        <is>
          <t>2025/jama.2025.16450/.ai_paper_validation/review_1_5_1/verification/evidence_recheck.md</t>
        </is>
      </c>
      <c r="E155" s="3" t="inlineStr">
        <is>
          <t>../../2025/jama.2025.16450/.ai_paper_validation/review_1_5_1/verification/evidence_recheck.md</t>
        </is>
      </c>
    </row>
    <row r="156" ht="30" customHeight="1">
      <c r="A156" s="2" t="inlineStr">
        <is>
          <t>2025::jama.2025.16450::C008</t>
        </is>
      </c>
      <c r="B156" s="2" t="inlineStr">
        <is>
          <t>sourceLinks</t>
        </is>
      </c>
      <c r="C156" s="2" t="n">
        <v>0</v>
      </c>
      <c r="D156" s="2" t="inlineStr">
        <is>
          <t>main article — PDF p. 1</t>
        </is>
      </c>
      <c r="E156" s="2" t="inlineStr">
        <is>
          <t>../../2025/jama.2025.16450/jama_ambalavanan_2025_oi_250072_1761000786.6838.pdf#page=1</t>
        </is>
      </c>
    </row>
    <row r="157" ht="30" customHeight="1">
      <c r="A157" s="3" t="inlineStr">
        <is>
          <t>2025::jama.2025.16450::C008</t>
        </is>
      </c>
      <c r="B157" s="3" t="inlineStr">
        <is>
          <t>sourceLinks</t>
        </is>
      </c>
      <c r="C157" s="3" t="n">
        <v>1</v>
      </c>
      <c r="D157" s="3" t="inlineStr">
        <is>
          <t>protocol — PDF p. 29</t>
        </is>
      </c>
      <c r="E157" s="3" t="inlineStr">
        <is>
          <t>../../2025/jama.2025.16450/joi250072supp1_prod_1761000786.68881.pdf#page=29</t>
        </is>
      </c>
    </row>
    <row r="158" ht="30" customHeight="1">
      <c r="A158" s="2" t="inlineStr">
        <is>
          <t>2025::jama.2025.16450::C008</t>
        </is>
      </c>
      <c r="B158" s="2" t="inlineStr">
        <is>
          <t>sourceLinks</t>
        </is>
      </c>
      <c r="C158" s="2" t="n">
        <v>2</v>
      </c>
      <c r="D158" s="2" t="inlineStr">
        <is>
          <t>SAP — PDF p. 8</t>
        </is>
      </c>
      <c r="E158" s="2" t="inlineStr">
        <is>
          <t>../../2025/jama.2025.16450/joi250072supp3_prod_1761000786.6988.pdf#page=8</t>
        </is>
      </c>
    </row>
    <row r="159" ht="40" customHeight="1">
      <c r="A159" s="3" t="inlineStr">
        <is>
          <t>2025::jama.2025.16450::C008</t>
        </is>
      </c>
      <c r="B159" s="3" t="inlineStr">
        <is>
          <t>evidencePaths</t>
        </is>
      </c>
      <c r="C159" s="3" t="n">
        <v>0</v>
      </c>
      <c r="D159" s="3" t="inlineStr">
        <is>
          <t>2025/jama.2025.16450/.ai_paper_validation/review_1_5_1/verification/evidence_recheck.md</t>
        </is>
      </c>
      <c r="E159" s="3" t="inlineStr">
        <is>
          <t>../../2025/jama.2025.16450/.ai_paper_validation/review_1_5_1/verification/evidence_recheck.md</t>
        </is>
      </c>
    </row>
    <row r="160" ht="30" customHeight="1">
      <c r="A160" s="2" t="inlineStr">
        <is>
          <t>2025::jama.2025.16450::C009</t>
        </is>
      </c>
      <c r="B160" s="2" t="inlineStr">
        <is>
          <t>sourceLinks</t>
        </is>
      </c>
      <c r="C160" s="2" t="n">
        <v>0</v>
      </c>
      <c r="D160" s="2" t="inlineStr">
        <is>
          <t>main article — PDF p. 8</t>
        </is>
      </c>
      <c r="E160" s="2" t="inlineStr">
        <is>
          <t>../../2025/jama.2025.16450/jama_ambalavanan_2025_oi_250072_1761000786.6838.pdf#page=8</t>
        </is>
      </c>
    </row>
    <row r="161" ht="40" customHeight="1">
      <c r="A161" s="3" t="inlineStr">
        <is>
          <t>2025::jama.2025.16450::C009</t>
        </is>
      </c>
      <c r="B161" s="3" t="inlineStr">
        <is>
          <t>evidencePaths</t>
        </is>
      </c>
      <c r="C161" s="3" t="n">
        <v>0</v>
      </c>
      <c r="D161" s="3" t="inlineStr">
        <is>
          <t>2025/jama.2025.16450/.ai_paper_validation/review_1_5_1/verification/evidence_recheck.md</t>
        </is>
      </c>
      <c r="E161" s="3" t="inlineStr">
        <is>
          <t>../../2025/jama.2025.16450/.ai_paper_validation/review_1_5_1/verification/evidence_recheck.md</t>
        </is>
      </c>
    </row>
    <row r="162" ht="30" customHeight="1">
      <c r="A162" s="2" t="inlineStr">
        <is>
          <t>2025::jama.2025.16450::C010</t>
        </is>
      </c>
      <c r="B162" s="2" t="inlineStr">
        <is>
          <t>sourceLinks</t>
        </is>
      </c>
      <c r="C162" s="2" t="n">
        <v>0</v>
      </c>
      <c r="D162" s="2" t="inlineStr">
        <is>
          <t>results supplement — PDF p. 5</t>
        </is>
      </c>
      <c r="E162" s="2" t="inlineStr">
        <is>
          <t>../../2025/jama.2025.16450/joi250072supp4_prod_1761000786.6988.pdf#page=5</t>
        </is>
      </c>
    </row>
    <row r="163" ht="30" customHeight="1">
      <c r="A163" s="3" t="inlineStr">
        <is>
          <t>2025::jama.2025.16450::C010</t>
        </is>
      </c>
      <c r="B163" s="3" t="inlineStr">
        <is>
          <t>sourceLinks</t>
        </is>
      </c>
      <c r="C163" s="3" t="n">
        <v>1</v>
      </c>
      <c r="D163" s="3" t="inlineStr">
        <is>
          <t>results supplement — PDF p. 6</t>
        </is>
      </c>
      <c r="E163" s="3" t="inlineStr">
        <is>
          <t>../../2025/jama.2025.16450/joi250072supp4_prod_1761000786.6988.pdf#page=6</t>
        </is>
      </c>
    </row>
    <row r="164" ht="40" customHeight="1">
      <c r="A164" s="2" t="inlineStr">
        <is>
          <t>2025::jama.2025.16450::C010</t>
        </is>
      </c>
      <c r="B164" s="2" t="inlineStr">
        <is>
          <t>evidencePaths</t>
        </is>
      </c>
      <c r="C164" s="2" t="n">
        <v>0</v>
      </c>
      <c r="D164" s="2" t="inlineStr">
        <is>
          <t>2025/jama.2025.16450/.ai_paper_validation/review_1_5_1/verification/evidence_recheck.md</t>
        </is>
      </c>
      <c r="E164" s="2" t="inlineStr">
        <is>
          <t>../../2025/jama.2025.16450/.ai_paper_validation/review_1_5_1/verification/evidence_recheck.md</t>
        </is>
      </c>
    </row>
    <row r="165" ht="30" customHeight="1">
      <c r="A165" s="3" t="inlineStr">
        <is>
          <t>2025::jama.2025.19563::C001</t>
        </is>
      </c>
      <c r="B165" s="3" t="inlineStr">
        <is>
          <t>sourceLinks</t>
        </is>
      </c>
      <c r="C165" s="3" t="n">
        <v>0</v>
      </c>
      <c r="D165" s="3" t="inlineStr">
        <is>
          <t>DOC-002 protocol — PDF p. 15</t>
        </is>
      </c>
      <c r="E165" s="3" t="inlineStr">
        <is>
          <t>../../2025/jama.2025.19563/joi250084supp1_prod_1765403089.61351.pdf#page=15</t>
        </is>
      </c>
    </row>
    <row r="166" ht="30" customHeight="1">
      <c r="A166" s="2" t="inlineStr">
        <is>
          <t>2025::jama.2025.19563::C001</t>
        </is>
      </c>
      <c r="B166" s="2" t="inlineStr">
        <is>
          <t>sourceLinks</t>
        </is>
      </c>
      <c r="C166" s="2" t="n">
        <v>1</v>
      </c>
      <c r="D166" s="2" t="inlineStr">
        <is>
          <t>DOC-001 main article — PDF p. 4</t>
        </is>
      </c>
      <c r="E166" s="2" t="inlineStr">
        <is>
          <t>../../2025/jama.2025.19563/jama_mathioudakis_2025_oi_250084_1765403089.60451.pdf#page=4</t>
        </is>
      </c>
    </row>
    <row r="167" ht="30" customHeight="1">
      <c r="A167" s="3" t="inlineStr">
        <is>
          <t>2025::jama.2025.19563::C001</t>
        </is>
      </c>
      <c r="B167" s="3" t="inlineStr">
        <is>
          <t>sourceLinks</t>
        </is>
      </c>
      <c r="C167" s="3" t="n">
        <v>2</v>
      </c>
      <c r="D167" s="3" t="inlineStr">
        <is>
          <t>DOC-003 supplement — PDF p. 30</t>
        </is>
      </c>
      <c r="E167" s="3" t="inlineStr">
        <is>
          <t>../../2025/jama.2025.19563/joi250084supp2_prod_1765403089.61751.pdf#page=30</t>
        </is>
      </c>
    </row>
    <row r="168" ht="30" customHeight="1">
      <c r="A168" s="2" t="inlineStr">
        <is>
          <t>2025::jama.2025.19563::C001</t>
        </is>
      </c>
      <c r="B168" s="2" t="inlineStr">
        <is>
          <t>sourceLinks</t>
        </is>
      </c>
      <c r="C168" s="2" t="n">
        <v>3</v>
      </c>
      <c r="D168" s="2" t="inlineStr">
        <is>
          <t>DOC-003 supplement — PDF p. 56</t>
        </is>
      </c>
      <c r="E168" s="2" t="inlineStr">
        <is>
          <t>../../2025/jama.2025.19563/joi250084supp2_prod_1765403089.61751.pdf#page=56</t>
        </is>
      </c>
    </row>
    <row r="169" ht="40" customHeight="1">
      <c r="A169" s="3" t="inlineStr">
        <is>
          <t>2025::jama.2025.19563::C001</t>
        </is>
      </c>
      <c r="B169" s="3" t="inlineStr">
        <is>
          <t>evidencePaths</t>
        </is>
      </c>
      <c r="C169" s="3" t="n">
        <v>0</v>
      </c>
      <c r="D169" s="3" t="inlineStr">
        <is>
          <t>2025/jama.2025.19563/.ai_paper_validation/review_1_5_1/verification/evidence_recheck.md</t>
        </is>
      </c>
      <c r="E169" s="3" t="inlineStr">
        <is>
          <t>../../2025/jama.2025.19563/.ai_paper_validation/review_1_5_1/verification/evidence_recheck.md</t>
        </is>
      </c>
    </row>
    <row r="170" ht="30" customHeight="1">
      <c r="A170" s="2" t="inlineStr">
        <is>
          <t>2025::jama.2025.19563::C002</t>
        </is>
      </c>
      <c r="B170" s="2" t="inlineStr">
        <is>
          <t>sourceLinks</t>
        </is>
      </c>
      <c r="C170" s="2" t="n">
        <v>0</v>
      </c>
      <c r="D170" s="2" t="inlineStr">
        <is>
          <t>DOC-003 supplement — PDF p. 8</t>
        </is>
      </c>
      <c r="E170" s="2" t="inlineStr">
        <is>
          <t>../../2025/jama.2025.19563/joi250084supp2_prod_1765403089.61751.pdf#page=8</t>
        </is>
      </c>
    </row>
    <row r="171" ht="30" customHeight="1">
      <c r="A171" s="3" t="inlineStr">
        <is>
          <t>2025::jama.2025.19563::C002</t>
        </is>
      </c>
      <c r="B171" s="3" t="inlineStr">
        <is>
          <t>sourceLinks</t>
        </is>
      </c>
      <c r="C171" s="3" t="n">
        <v>1</v>
      </c>
      <c r="D171" s="3" t="inlineStr">
        <is>
          <t>DOC-001 main article — PDF p. 4</t>
        </is>
      </c>
      <c r="E171" s="3" t="inlineStr">
        <is>
          <t>../../2025/jama.2025.19563/jama_mathioudakis_2025_oi_250084_1765403089.60451.pdf#page=4</t>
        </is>
      </c>
    </row>
    <row r="172" ht="30" customHeight="1">
      <c r="A172" s="2" t="inlineStr">
        <is>
          <t>2025::jama.2025.19563::C002</t>
        </is>
      </c>
      <c r="B172" s="2" t="inlineStr">
        <is>
          <t>sourceLinks</t>
        </is>
      </c>
      <c r="C172" s="2" t="n">
        <v>2</v>
      </c>
      <c r="D172" s="2" t="inlineStr">
        <is>
          <t>DOC-001 main article — PDF p. 5</t>
        </is>
      </c>
      <c r="E172" s="2" t="inlineStr">
        <is>
          <t>../../2025/jama.2025.19563/jama_mathioudakis_2025_oi_250084_1765403089.60451.pdf#page=5</t>
        </is>
      </c>
    </row>
    <row r="173" ht="30" customHeight="1">
      <c r="A173" s="3" t="inlineStr">
        <is>
          <t>2025::jama.2025.19563::C002</t>
        </is>
      </c>
      <c r="B173" s="3" t="inlineStr">
        <is>
          <t>sourceLinks</t>
        </is>
      </c>
      <c r="C173" s="3" t="n">
        <v>3</v>
      </c>
      <c r="D173" s="3" t="inlineStr">
        <is>
          <t>DOC-003 supplement — PDF p. 50</t>
        </is>
      </c>
      <c r="E173" s="3" t="inlineStr">
        <is>
          <t>../../2025/jama.2025.19563/joi250084supp2_prod_1765403089.61751.pdf#page=50</t>
        </is>
      </c>
    </row>
    <row r="174" ht="40" customHeight="1">
      <c r="A174" s="2" t="inlineStr">
        <is>
          <t>2025::jama.2025.19563::C002</t>
        </is>
      </c>
      <c r="B174" s="2" t="inlineStr">
        <is>
          <t>evidencePaths</t>
        </is>
      </c>
      <c r="C174" s="2" t="n">
        <v>0</v>
      </c>
      <c r="D174" s="2" t="inlineStr">
        <is>
          <t>2025/jama.2025.19563/.ai_paper_validation/review_1_5_1/verification/evidence_recheck.md</t>
        </is>
      </c>
      <c r="E174" s="2" t="inlineStr">
        <is>
          <t>../../2025/jama.2025.19563/.ai_paper_validation/review_1_5_1/verification/evidence_recheck.md</t>
        </is>
      </c>
    </row>
    <row r="175" ht="30" customHeight="1">
      <c r="A175" s="3" t="inlineStr">
        <is>
          <t>2025::jama.2025.19563::C003</t>
        </is>
      </c>
      <c r="B175" s="3" t="inlineStr">
        <is>
          <t>sourceLinks</t>
        </is>
      </c>
      <c r="C175" s="3" t="n">
        <v>0</v>
      </c>
      <c r="D175" s="3" t="inlineStr">
        <is>
          <t>DOC-001 main article — PDF p. 8</t>
        </is>
      </c>
      <c r="E175" s="3" t="inlineStr">
        <is>
          <t>../../2025/jama.2025.19563/jama_mathioudakis_2025_oi_250084_1765403089.60451.pdf#page=8</t>
        </is>
      </c>
    </row>
    <row r="176" ht="30" customHeight="1">
      <c r="A176" s="2" t="inlineStr">
        <is>
          <t>2025::jama.2025.19563::C003</t>
        </is>
      </c>
      <c r="B176" s="2" t="inlineStr">
        <is>
          <t>sourceLinks</t>
        </is>
      </c>
      <c r="C176" s="2" t="n">
        <v>1</v>
      </c>
      <c r="D176" s="2" t="inlineStr">
        <is>
          <t>DOC-001 main article — PDF p. 6</t>
        </is>
      </c>
      <c r="E176" s="2" t="inlineStr">
        <is>
          <t>../../2025/jama.2025.19563/jama_mathioudakis_2025_oi_250084_1765403089.60451.pdf#page=6</t>
        </is>
      </c>
    </row>
    <row r="177" ht="30" customHeight="1">
      <c r="A177" s="3" t="inlineStr">
        <is>
          <t>2025::jama.2025.19563::C003</t>
        </is>
      </c>
      <c r="B177" s="3" t="inlineStr">
        <is>
          <t>sourceLinks</t>
        </is>
      </c>
      <c r="C177" s="3" t="n">
        <v>2</v>
      </c>
      <c r="D177" s="3" t="inlineStr">
        <is>
          <t>DOC-003 supplement — PDF p. 53</t>
        </is>
      </c>
      <c r="E177" s="3" t="inlineStr">
        <is>
          <t>../../2025/jama.2025.19563/joi250084supp2_prod_1765403089.61751.pdf#page=53</t>
        </is>
      </c>
    </row>
    <row r="178" ht="30" customHeight="1">
      <c r="A178" s="2" t="inlineStr">
        <is>
          <t>2025::jama.2025.19563::C004</t>
        </is>
      </c>
      <c r="B178" s="2" t="inlineStr">
        <is>
          <t>sourceLinks</t>
        </is>
      </c>
      <c r="C178" s="2" t="n">
        <v>0</v>
      </c>
      <c r="D178" s="2" t="inlineStr">
        <is>
          <t>DOC-003 supplement — PDF p. 39</t>
        </is>
      </c>
      <c r="E178" s="2" t="inlineStr">
        <is>
          <t>../../2025/jama.2025.19563/joi250084supp2_prod_1765403089.61751.pdf#page=39</t>
        </is>
      </c>
    </row>
    <row r="179" ht="30" customHeight="1">
      <c r="A179" s="3" t="inlineStr">
        <is>
          <t>2025::jama.2025.19563::C004</t>
        </is>
      </c>
      <c r="B179" s="3" t="inlineStr">
        <is>
          <t>sourceLinks</t>
        </is>
      </c>
      <c r="C179" s="3" t="n">
        <v>1</v>
      </c>
      <c r="D179" s="3" t="inlineStr">
        <is>
          <t>DOC-003 supplement — PDF p. 43</t>
        </is>
      </c>
      <c r="E179" s="3" t="inlineStr">
        <is>
          <t>../../2025/jama.2025.19563/joi250084supp2_prod_1765403089.61751.pdf#page=43</t>
        </is>
      </c>
    </row>
    <row r="180" ht="30" customHeight="1">
      <c r="A180" s="2" t="inlineStr">
        <is>
          <t>2025::jama.2025.19563::C004</t>
        </is>
      </c>
      <c r="B180" s="2" t="inlineStr">
        <is>
          <t>sourceLinks</t>
        </is>
      </c>
      <c r="C180" s="2" t="n">
        <v>2</v>
      </c>
      <c r="D180" s="2" t="inlineStr">
        <is>
          <t>DOC-003 supplement — PDF p. 45</t>
        </is>
      </c>
      <c r="E180" s="2" t="inlineStr">
        <is>
          <t>../../2025/jama.2025.19563/joi250084supp2_prod_1765403089.61751.pdf#page=45</t>
        </is>
      </c>
    </row>
    <row r="181" ht="30" customHeight="1">
      <c r="A181" s="3" t="inlineStr">
        <is>
          <t>2025::jama.2025.19563::C004</t>
        </is>
      </c>
      <c r="B181" s="3" t="inlineStr">
        <is>
          <t>sourceLinks</t>
        </is>
      </c>
      <c r="C181" s="3" t="n">
        <v>3</v>
      </c>
      <c r="D181" s="3" t="inlineStr">
        <is>
          <t>DOC-003 supplement — PDF p. 47</t>
        </is>
      </c>
      <c r="E181" s="3" t="inlineStr">
        <is>
          <t>../../2025/jama.2025.19563/joi250084supp2_prod_1765403089.61751.pdf#page=47</t>
        </is>
      </c>
    </row>
    <row r="182" ht="30" customHeight="1">
      <c r="A182" s="2" t="inlineStr">
        <is>
          <t>2025::jama.2025.19563::C004</t>
        </is>
      </c>
      <c r="B182" s="2" t="inlineStr">
        <is>
          <t>sourceLinks</t>
        </is>
      </c>
      <c r="C182" s="2" t="n">
        <v>4</v>
      </c>
      <c r="D182" s="2" t="inlineStr">
        <is>
          <t>DOC-001 main article — PDF p. 6</t>
        </is>
      </c>
      <c r="E182" s="2" t="inlineStr">
        <is>
          <t>../../2025/jama.2025.19563/jama_mathioudakis_2025_oi_250084_1765403089.60451.pdf#page=6</t>
        </is>
      </c>
    </row>
    <row r="183" ht="40" customHeight="1">
      <c r="A183" s="3" t="inlineStr">
        <is>
          <t>2025::jama.2025.19563::C004</t>
        </is>
      </c>
      <c r="B183" s="3" t="inlineStr">
        <is>
          <t>evidencePaths</t>
        </is>
      </c>
      <c r="C183" s="3" t="n">
        <v>0</v>
      </c>
      <c r="D183" s="3" t="inlineStr">
        <is>
          <t>2025/jama.2025.19563/.ai_paper_validation/review_1_5_1/verification/evidence_recheck.md</t>
        </is>
      </c>
      <c r="E183" s="3" t="inlineStr">
        <is>
          <t>../../2025/jama.2025.19563/.ai_paper_validation/review_1_5_1/verification/evidence_recheck.md</t>
        </is>
      </c>
    </row>
    <row r="184" ht="30" customHeight="1">
      <c r="A184" s="2" t="inlineStr">
        <is>
          <t>2025::jama.2025.19563::C005</t>
        </is>
      </c>
      <c r="B184" s="2" t="inlineStr">
        <is>
          <t>sourceLinks</t>
        </is>
      </c>
      <c r="C184" s="2" t="n">
        <v>0</v>
      </c>
      <c r="D184" s="2" t="inlineStr">
        <is>
          <t>DOC-003 supplement — PDF p. 46</t>
        </is>
      </c>
      <c r="E184" s="2" t="inlineStr">
        <is>
          <t>../../2025/jama.2025.19563/joi250084supp2_prod_1765403089.61751.pdf#page=46</t>
        </is>
      </c>
    </row>
    <row r="185" ht="30" customHeight="1">
      <c r="A185" s="3" t="inlineStr">
        <is>
          <t>2025::jama.2025.19563::C005</t>
        </is>
      </c>
      <c r="B185" s="3" t="inlineStr">
        <is>
          <t>sourceLinks</t>
        </is>
      </c>
      <c r="C185" s="3" t="n">
        <v>1</v>
      </c>
      <c r="D185" s="3" t="inlineStr">
        <is>
          <t>DOC-003 supplement — PDF p. 47</t>
        </is>
      </c>
      <c r="E185" s="3" t="inlineStr">
        <is>
          <t>../../2025/jama.2025.19563/joi250084supp2_prod_1765403089.61751.pdf#page=47</t>
        </is>
      </c>
    </row>
    <row r="186" ht="30" customHeight="1">
      <c r="A186" s="2" t="inlineStr">
        <is>
          <t>2025::jama.2025.19563::C006</t>
        </is>
      </c>
      <c r="B186" s="2" t="inlineStr">
        <is>
          <t>sourceLinks</t>
        </is>
      </c>
      <c r="C186" s="2" t="n">
        <v>0</v>
      </c>
      <c r="D186" s="2" t="inlineStr">
        <is>
          <t>DOC-003 supplement — PDF p. 29</t>
        </is>
      </c>
      <c r="E186" s="2" t="inlineStr">
        <is>
          <t>../../2025/jama.2025.19563/joi250084supp2_prod_1765403089.61751.pdf#page=29</t>
        </is>
      </c>
    </row>
    <row r="187" ht="30" customHeight="1">
      <c r="A187" s="3" t="inlineStr">
        <is>
          <t>2025::jama.2025.19563::C006</t>
        </is>
      </c>
      <c r="B187" s="3" t="inlineStr">
        <is>
          <t>sourceLinks</t>
        </is>
      </c>
      <c r="C187" s="3" t="n">
        <v>1</v>
      </c>
      <c r="D187" s="3" t="inlineStr">
        <is>
          <t>DOC-003 supplement — PDF p. 52</t>
        </is>
      </c>
      <c r="E187" s="3" t="inlineStr">
        <is>
          <t>../../2025/jama.2025.19563/joi250084supp2_prod_1765403089.61751.pdf#page=52</t>
        </is>
      </c>
    </row>
    <row r="188" ht="30" customHeight="1">
      <c r="A188" s="2" t="inlineStr">
        <is>
          <t>2025::jama.2025.19563::C007</t>
        </is>
      </c>
      <c r="B188" s="2" t="inlineStr">
        <is>
          <t>sourceLinks</t>
        </is>
      </c>
      <c r="C188" s="2" t="n">
        <v>0</v>
      </c>
      <c r="D188" s="2" t="inlineStr">
        <is>
          <t>DOC-003 supplement — PDF p. 30</t>
        </is>
      </c>
      <c r="E188" s="2" t="inlineStr">
        <is>
          <t>../../2025/jama.2025.19563/joi250084supp2_prod_1765403089.61751.pdf#page=30</t>
        </is>
      </c>
    </row>
    <row r="189" ht="30" customHeight="1">
      <c r="A189" s="3" t="inlineStr">
        <is>
          <t>2025::jama.2025.19563::C007</t>
        </is>
      </c>
      <c r="B189" s="3" t="inlineStr">
        <is>
          <t>sourceLinks</t>
        </is>
      </c>
      <c r="C189" s="3" t="n">
        <v>1</v>
      </c>
      <c r="D189" s="3" t="inlineStr">
        <is>
          <t>DOC-003 supplement — PDF p. 59</t>
        </is>
      </c>
      <c r="E189" s="3" t="inlineStr">
        <is>
          <t>../../2025/jama.2025.19563/joi250084supp2_prod_1765403089.61751.pdf#page=59</t>
        </is>
      </c>
    </row>
    <row r="190" ht="30" customHeight="1">
      <c r="A190" s="2" t="inlineStr">
        <is>
          <t>2025::jama.2025.19843::C001</t>
        </is>
      </c>
      <c r="B190" s="2" t="inlineStr">
        <is>
          <t>sourceLinks</t>
        </is>
      </c>
      <c r="C190" s="2" t="n">
        <v>0</v>
      </c>
      <c r="D190" s="2" t="inlineStr">
        <is>
          <t>DOC-001 — PDF p. 1</t>
        </is>
      </c>
      <c r="E190" s="2" t="inlineStr">
        <is>
          <t>../../2025/jama.2025.19843/jama_combes_2025_oi_250087_1766516490.94011.pdf#page=1</t>
        </is>
      </c>
    </row>
    <row r="191" ht="30" customHeight="1">
      <c r="A191" s="3" t="inlineStr">
        <is>
          <t>2025::jama.2025.19843::C001</t>
        </is>
      </c>
      <c r="B191" s="3" t="inlineStr">
        <is>
          <t>sourceLinks</t>
        </is>
      </c>
      <c r="C191" s="3" t="n">
        <v>1</v>
      </c>
      <c r="D191" s="3" t="inlineStr">
        <is>
          <t>DOC-001 — PDF p. 3</t>
        </is>
      </c>
      <c r="E191" s="3" t="inlineStr">
        <is>
          <t>../../2025/jama.2025.19843/jama_combes_2025_oi_250087_1766516490.94011.pdf#page=3</t>
        </is>
      </c>
    </row>
    <row r="192" ht="30" customHeight="1">
      <c r="A192" s="2" t="inlineStr">
        <is>
          <t>2025::jama.2025.19843::C001</t>
        </is>
      </c>
      <c r="B192" s="2" t="inlineStr">
        <is>
          <t>sourceLinks</t>
        </is>
      </c>
      <c r="C192" s="2" t="n">
        <v>2</v>
      </c>
      <c r="D192" s="2" t="inlineStr">
        <is>
          <t>DOC-001 — PDF p. 4</t>
        </is>
      </c>
      <c r="E192" s="2" t="inlineStr">
        <is>
          <t>../../2025/jama.2025.19843/jama_combes_2025_oi_250087_1766516490.94011.pdf#page=4</t>
        </is>
      </c>
    </row>
    <row r="193" ht="30" customHeight="1">
      <c r="A193" s="3" t="inlineStr">
        <is>
          <t>2025::jama.2025.19843::C001</t>
        </is>
      </c>
      <c r="B193" s="3" t="inlineStr">
        <is>
          <t>sourceLinks</t>
        </is>
      </c>
      <c r="C193" s="3" t="n">
        <v>3</v>
      </c>
      <c r="D193" s="3" t="inlineStr">
        <is>
          <t>DOC-003 — PDF p. 7</t>
        </is>
      </c>
      <c r="E193" s="3" t="inlineStr">
        <is>
          <t>../../2025/jama.2025.19843/joi250087supp2_prod_1766516490.96511.pdf#page=7</t>
        </is>
      </c>
    </row>
    <row r="194" ht="30" customHeight="1">
      <c r="A194" s="2" t="inlineStr">
        <is>
          <t>2025::jama.2025.19843::C001</t>
        </is>
      </c>
      <c r="B194" s="2" t="inlineStr">
        <is>
          <t>sourceLinks</t>
        </is>
      </c>
      <c r="C194" s="2" t="n">
        <v>4</v>
      </c>
      <c r="D194" s="2" t="inlineStr">
        <is>
          <t>DOC-004 — PDF p. 11</t>
        </is>
      </c>
      <c r="E194" s="2" t="inlineStr">
        <is>
          <t>../../2025/jama.2025.19843/joi250087supp3_prod_1766516490.97011.pdf#page=11</t>
        </is>
      </c>
    </row>
    <row r="195" ht="40" customHeight="1">
      <c r="A195" s="3" t="inlineStr">
        <is>
          <t>2025::jama.2025.19843::C001</t>
        </is>
      </c>
      <c r="B195" s="3" t="inlineStr">
        <is>
          <t>evidencePaths</t>
        </is>
      </c>
      <c r="C195" s="3" t="n">
        <v>0</v>
      </c>
      <c r="D195" s="3" t="inlineStr">
        <is>
          <t>2025/jama.2025.19843/.ai_paper_validation/review_1_5_1/verification/evidence_recheck.md</t>
        </is>
      </c>
      <c r="E195" s="3" t="inlineStr">
        <is>
          <t>../../2025/jama.2025.19843/.ai_paper_validation/review_1_5_1/verification/evidence_recheck.md</t>
        </is>
      </c>
    </row>
    <row r="196" ht="30" customHeight="1">
      <c r="A196" s="2" t="inlineStr">
        <is>
          <t>2025::jama.2025.20765::C001</t>
        </is>
      </c>
      <c r="B196" s="2" t="inlineStr">
        <is>
          <t>sourceLinks</t>
        </is>
      </c>
      <c r="C196" s="2" t="n">
        <v>0</v>
      </c>
      <c r="D196" s="2" t="inlineStr">
        <is>
          <t>main article — PDF p. 6</t>
        </is>
      </c>
      <c r="E196" s="2" t="inlineStr">
        <is>
          <t>../../2025/jama.2025.20765/jama_zahid_2025_oi_250093_1768590553.08463.pdf#page=6</t>
        </is>
      </c>
    </row>
    <row r="197" ht="30" customHeight="1">
      <c r="A197" s="3" t="inlineStr">
        <is>
          <t>2025::jama.2025.20765::C002</t>
        </is>
      </c>
      <c r="B197" s="3" t="inlineStr">
        <is>
          <t>sourceLinks</t>
        </is>
      </c>
      <c r="C197" s="3" t="n">
        <v>0</v>
      </c>
      <c r="D197" s="3" t="inlineStr">
        <is>
          <t>main article — PDF p. 8</t>
        </is>
      </c>
      <c r="E197" s="3" t="inlineStr">
        <is>
          <t>../../2025/jama.2025.20765/jama_zahid_2025_oi_250093_1768590553.08463.pdf#page=8</t>
        </is>
      </c>
    </row>
    <row r="198" ht="30" customHeight="1">
      <c r="A198" s="2" t="inlineStr">
        <is>
          <t>2025::jama.2025.20765::C002</t>
        </is>
      </c>
      <c r="B198" s="2" t="inlineStr">
        <is>
          <t>sourceLinks</t>
        </is>
      </c>
      <c r="C198" s="2" t="n">
        <v>1</v>
      </c>
      <c r="D198" s="2" t="inlineStr">
        <is>
          <t>PDF p. 5</t>
        </is>
      </c>
      <c r="E198" s="2" t="inlineStr">
        <is>
          <t>../../2025/jama.2025.20765/jama_zahid_2025_oi_250093_1768590553.08463.pdf#page=5</t>
        </is>
      </c>
    </row>
    <row r="199" ht="30" customHeight="1">
      <c r="A199" s="3" t="inlineStr">
        <is>
          <t>2025::jama.2025.20765::C002</t>
        </is>
      </c>
      <c r="B199" s="3" t="inlineStr">
        <is>
          <t>sourceLinks</t>
        </is>
      </c>
      <c r="C199" s="3" t="n">
        <v>2</v>
      </c>
      <c r="D199" s="3" t="inlineStr">
        <is>
          <t>PDF p. 6</t>
        </is>
      </c>
      <c r="E199" s="3" t="inlineStr">
        <is>
          <t>../../2025/jama.2025.20765/jama_zahid_2025_oi_250093_1768590553.08463.pdf#page=6</t>
        </is>
      </c>
    </row>
    <row r="200" ht="30" customHeight="1">
      <c r="A200" s="2" t="inlineStr">
        <is>
          <t>2025::jama.2025.20765::C002</t>
        </is>
      </c>
      <c r="B200" s="2" t="inlineStr">
        <is>
          <t>sourceLinks</t>
        </is>
      </c>
      <c r="C200" s="2" t="n">
        <v>3</v>
      </c>
      <c r="D200" s="2" t="inlineStr">
        <is>
          <t>Supplement 2 — PDF p. 6</t>
        </is>
      </c>
      <c r="E200" s="2" t="inlineStr">
        <is>
          <t>../../2025/jama.2025.20765/joi250093supp2_prod_1768590553.09463.pdf#page=6</t>
        </is>
      </c>
    </row>
    <row r="201" ht="30" customHeight="1">
      <c r="A201" s="3" t="inlineStr">
        <is>
          <t>2025::jama.2025.20765::C003</t>
        </is>
      </c>
      <c r="B201" s="3" t="inlineStr">
        <is>
          <t>sourceLinks</t>
        </is>
      </c>
      <c r="C201" s="3" t="n">
        <v>0</v>
      </c>
      <c r="D201" s="3" t="inlineStr">
        <is>
          <t>Supplement 1 — PDF p. 16</t>
        </is>
      </c>
      <c r="E201" s="3" t="inlineStr">
        <is>
          <t>../../2025/jama.2025.20765/joi250093supp1_prod_1768590553.08963.pdf#page=16</t>
        </is>
      </c>
    </row>
    <row r="202" ht="30" customHeight="1">
      <c r="A202" s="2" t="inlineStr">
        <is>
          <t>2025::jama.2025.20765::C004</t>
        </is>
      </c>
      <c r="B202" s="2" t="inlineStr">
        <is>
          <t>sourceLinks</t>
        </is>
      </c>
      <c r="C202" s="2" t="n">
        <v>0</v>
      </c>
      <c r="D202" s="2" t="inlineStr">
        <is>
          <t>Supplement 1 — PDF p. 10</t>
        </is>
      </c>
      <c r="E202" s="2" t="inlineStr">
        <is>
          <t>../../2025/jama.2025.20765/joi250093supp1_prod_1768590553.08963.pdf#page=10</t>
        </is>
      </c>
    </row>
    <row r="203" ht="30" customHeight="1">
      <c r="A203" s="3" t="inlineStr">
        <is>
          <t>2025::jama.2025.20765::C004</t>
        </is>
      </c>
      <c r="B203" s="3" t="inlineStr">
        <is>
          <t>sourceLinks</t>
        </is>
      </c>
      <c r="C203" s="3" t="n">
        <v>1</v>
      </c>
      <c r="D203" s="3" t="inlineStr">
        <is>
          <t>PDF p. 26</t>
        </is>
      </c>
      <c r="E203" s="3" t="inlineStr">
        <is>
          <t>../../2025/jama.2025.20765/joi250093supp1_prod_1768590553.08963.pdf#page=26</t>
        </is>
      </c>
    </row>
    <row r="204" ht="30" customHeight="1">
      <c r="A204" s="2" t="inlineStr">
        <is>
          <t>2025::jama.2025.20765::C005</t>
        </is>
      </c>
      <c r="B204" s="2" t="inlineStr">
        <is>
          <t>sourceLinks</t>
        </is>
      </c>
      <c r="C204" s="2" t="n">
        <v>0</v>
      </c>
      <c r="D204" s="2" t="inlineStr">
        <is>
          <t>Supplement 1 — PDF p. 53</t>
        </is>
      </c>
      <c r="E204" s="2" t="inlineStr">
        <is>
          <t>../../2025/jama.2025.20765/joi250093supp1_prod_1768590553.08963.pdf#page=53</t>
        </is>
      </c>
    </row>
    <row r="205" ht="30" customHeight="1">
      <c r="A205" s="3" t="inlineStr">
        <is>
          <t>2025::jama.2025.20765::C006</t>
        </is>
      </c>
      <c r="B205" s="3" t="inlineStr">
        <is>
          <t>sourceLinks</t>
        </is>
      </c>
      <c r="C205" s="3" t="n">
        <v>0</v>
      </c>
      <c r="D205" s="3" t="inlineStr">
        <is>
          <t>Supplement 1 — PDF p. 55</t>
        </is>
      </c>
      <c r="E205" s="3" t="inlineStr">
        <is>
          <t>../../2025/jama.2025.20765/joi250093supp1_prod_1768590553.08963.pdf#page=55</t>
        </is>
      </c>
    </row>
    <row r="206" ht="40" customHeight="1">
      <c r="A206" s="2" t="inlineStr">
        <is>
          <t>2025::jama.2025.20765::C006</t>
        </is>
      </c>
      <c r="B206" s="2" t="inlineStr">
        <is>
          <t>evidencePaths</t>
        </is>
      </c>
      <c r="C206" s="2" t="n">
        <v>0</v>
      </c>
      <c r="D206" s="2" t="inlineStr">
        <is>
          <t>2025/jama.2025.20765/.ai_paper_validation/review_1_5_1/verification/evidence_recheck.md</t>
        </is>
      </c>
      <c r="E206" s="2" t="inlineStr">
        <is>
          <t>../../2025/jama.2025.20765/.ai_paper_validation/review_1_5_1/verification/evidence_recheck.md</t>
        </is>
      </c>
    </row>
    <row r="207" ht="30" customHeight="1">
      <c r="A207" s="3" t="inlineStr">
        <is>
          <t>2025::jama.2025.20765::C007</t>
        </is>
      </c>
      <c r="B207" s="3" t="inlineStr">
        <is>
          <t>sourceLinks</t>
        </is>
      </c>
      <c r="C207" s="3" t="n">
        <v>0</v>
      </c>
      <c r="D207" s="3" t="inlineStr">
        <is>
          <t>Supplement 1 — PDF p. 48</t>
        </is>
      </c>
      <c r="E207" s="3" t="inlineStr">
        <is>
          <t>../../2025/jama.2025.20765/joi250093supp1_prod_1768590553.08963.pdf#page=48</t>
        </is>
      </c>
    </row>
    <row r="208" ht="30" customHeight="1">
      <c r="A208" s="2" t="inlineStr">
        <is>
          <t>2025::jama.2025.20765::C007</t>
        </is>
      </c>
      <c r="B208" s="2" t="inlineStr">
        <is>
          <t>sourceLinks</t>
        </is>
      </c>
      <c r="C208" s="2" t="n">
        <v>1</v>
      </c>
      <c r="D208" s="2" t="inlineStr">
        <is>
          <t>PDF p. 51</t>
        </is>
      </c>
      <c r="E208" s="2" t="inlineStr">
        <is>
          <t>../../2025/jama.2025.20765/joi250093supp1_prod_1768590553.08963.pdf#page=51</t>
        </is>
      </c>
    </row>
    <row r="209" ht="30" customHeight="1">
      <c r="A209" s="3" t="inlineStr">
        <is>
          <t>2025::jama.2025.20765::C007</t>
        </is>
      </c>
      <c r="B209" s="3" t="inlineStr">
        <is>
          <t>sourceLinks</t>
        </is>
      </c>
      <c r="C209" s="3" t="n">
        <v>2</v>
      </c>
      <c r="D209" s="3" t="inlineStr">
        <is>
          <t>PDF p. 52</t>
        </is>
      </c>
      <c r="E209" s="3" t="inlineStr">
        <is>
          <t>../../2025/jama.2025.20765/joi250093supp1_prod_1768590553.08963.pdf#page=52</t>
        </is>
      </c>
    </row>
    <row r="210" ht="30" customHeight="1">
      <c r="A210" s="2" t="inlineStr">
        <is>
          <t>2025::jama.2025.20765::C007</t>
        </is>
      </c>
      <c r="B210" s="2" t="inlineStr">
        <is>
          <t>sourceLinks</t>
        </is>
      </c>
      <c r="C210" s="2" t="n">
        <v>3</v>
      </c>
      <c r="D210" s="2" t="inlineStr">
        <is>
          <t>PDF p. 62</t>
        </is>
      </c>
      <c r="E210" s="2" t="inlineStr">
        <is>
          <t>../../2025/jama.2025.20765/joi250093supp1_prod_1768590553.08963.pdf#page=62</t>
        </is>
      </c>
    </row>
    <row r="211" ht="30" customHeight="1">
      <c r="A211" s="3" t="inlineStr">
        <is>
          <t>2025::jama.2025.20765::C008</t>
        </is>
      </c>
      <c r="B211" s="3" t="inlineStr">
        <is>
          <t>sourceLinks</t>
        </is>
      </c>
      <c r="C211" s="3" t="n">
        <v>0</v>
      </c>
      <c r="D211" s="3" t="inlineStr">
        <is>
          <t>Supplement 1 — PDF p. 64</t>
        </is>
      </c>
      <c r="E211" s="3" t="inlineStr">
        <is>
          <t>../../2025/jama.2025.20765/joi250093supp1_prod_1768590553.08963.pdf#page=64</t>
        </is>
      </c>
    </row>
    <row r="212" ht="30" customHeight="1">
      <c r="A212" s="2" t="inlineStr">
        <is>
          <t>2025::jama.2025.20765::C009</t>
        </is>
      </c>
      <c r="B212" s="2" t="inlineStr">
        <is>
          <t>sourceLinks</t>
        </is>
      </c>
      <c r="C212" s="2" t="n">
        <v>0</v>
      </c>
      <c r="D212" s="2" t="inlineStr">
        <is>
          <t>Supplement 1 — PDF p. 64</t>
        </is>
      </c>
      <c r="E212" s="2" t="inlineStr">
        <is>
          <t>../../2025/jama.2025.20765/joi250093supp1_prod_1768590553.08963.pdf#page=64</t>
        </is>
      </c>
    </row>
    <row r="213" ht="30" customHeight="1">
      <c r="A213" s="3" t="inlineStr">
        <is>
          <t>2025::jama.2025.20765::C010</t>
        </is>
      </c>
      <c r="B213" s="3" t="inlineStr">
        <is>
          <t>sourceLinks</t>
        </is>
      </c>
      <c r="C213" s="3" t="n">
        <v>0</v>
      </c>
      <c r="D213" s="3" t="inlineStr">
        <is>
          <t>Supplement 1 — PDF p. 63</t>
        </is>
      </c>
      <c r="E213" s="3" t="inlineStr">
        <is>
          <t>../../2025/jama.2025.20765/joi250093supp1_prod_1768590553.08963.pdf#page=63</t>
        </is>
      </c>
    </row>
    <row r="214" ht="30" customHeight="1">
      <c r="A214" s="2" t="inlineStr">
        <is>
          <t>2025::jama.2025.20765::C010</t>
        </is>
      </c>
      <c r="B214" s="2" t="inlineStr">
        <is>
          <t>sourceLinks</t>
        </is>
      </c>
      <c r="C214" s="2" t="n">
        <v>1</v>
      </c>
      <c r="D214" s="2" t="inlineStr">
        <is>
          <t>PDF p. 83</t>
        </is>
      </c>
      <c r="E214" s="2" t="inlineStr">
        <is>
          <t>../../2025/jama.2025.20765/joi250093supp1_prod_1768590553.08963.pdf#page=83</t>
        </is>
      </c>
    </row>
    <row r="215" ht="30" customHeight="1">
      <c r="A215" s="3" t="inlineStr">
        <is>
          <t>2025::jama.2025.20765::C011</t>
        </is>
      </c>
      <c r="B215" s="3" t="inlineStr">
        <is>
          <t>sourceLinks</t>
        </is>
      </c>
      <c r="C215" s="3" t="n">
        <v>0</v>
      </c>
      <c r="D215" s="3" t="inlineStr">
        <is>
          <t>Supplement 1 — PDF p. 85</t>
        </is>
      </c>
      <c r="E215" s="3" t="inlineStr">
        <is>
          <t>../../2025/jama.2025.20765/joi250093supp1_prod_1768590553.08963.pdf#page=85</t>
        </is>
      </c>
    </row>
    <row r="216" ht="30" customHeight="1">
      <c r="A216" s="2" t="inlineStr">
        <is>
          <t>2025::jama.2025.20765::C012</t>
        </is>
      </c>
      <c r="B216" s="2" t="inlineStr">
        <is>
          <t>sourceLinks</t>
        </is>
      </c>
      <c r="C216" s="2" t="n">
        <v>0</v>
      </c>
      <c r="D216" s="2" t="inlineStr">
        <is>
          <t>Supplement 2 — PDF p. 8</t>
        </is>
      </c>
      <c r="E216" s="2" t="inlineStr">
        <is>
          <t>../../2025/jama.2025.20765/joi250093supp2_prod_1768590553.09463.pdf#page=8</t>
        </is>
      </c>
    </row>
    <row r="217" ht="30" customHeight="1">
      <c r="A217" s="3" t="inlineStr">
        <is>
          <t>2025::jama.2025.20765::C012</t>
        </is>
      </c>
      <c r="B217" s="3" t="inlineStr">
        <is>
          <t>sourceLinks</t>
        </is>
      </c>
      <c r="C217" s="3" t="n">
        <v>1</v>
      </c>
      <c r="D217" s="3" t="inlineStr">
        <is>
          <t>PDF p. 9</t>
        </is>
      </c>
      <c r="E217" s="3" t="inlineStr">
        <is>
          <t>../../2025/jama.2025.20765/joi250093supp2_prod_1768590553.09463.pdf#page=9</t>
        </is>
      </c>
    </row>
    <row r="218" ht="30" customHeight="1">
      <c r="A218" s="2" t="inlineStr">
        <is>
          <t>2025::jama.2025.20765::C013</t>
        </is>
      </c>
      <c r="B218" s="2" t="inlineStr">
        <is>
          <t>sourceLinks</t>
        </is>
      </c>
      <c r="C218" s="2" t="n">
        <v>0</v>
      </c>
      <c r="D218" s="2" t="inlineStr">
        <is>
          <t>Supplement 1 — PDF p. 16</t>
        </is>
      </c>
      <c r="E218" s="2" t="inlineStr">
        <is>
          <t>../../2025/jama.2025.20765/joi250093supp1_prod_1768590553.08963.pdf#page=16</t>
        </is>
      </c>
    </row>
    <row r="219" ht="30" customHeight="1">
      <c r="A219" s="3" t="inlineStr">
        <is>
          <t>2025::jama.2025.20765::C013</t>
        </is>
      </c>
      <c r="B219" s="3" t="inlineStr">
        <is>
          <t>sourceLinks</t>
        </is>
      </c>
      <c r="C219" s="3" t="n">
        <v>1</v>
      </c>
      <c r="D219" s="3" t="inlineStr">
        <is>
          <t>PDF p. 53</t>
        </is>
      </c>
      <c r="E219" s="3" t="inlineStr">
        <is>
          <t>../../2025/jama.2025.20765/joi250093supp1_prod_1768590553.08963.pdf#page=53</t>
        </is>
      </c>
    </row>
    <row r="220" ht="30" customHeight="1">
      <c r="A220" s="2" t="inlineStr">
        <is>
          <t>2025::jama.2025.20765::C013</t>
        </is>
      </c>
      <c r="B220" s="2" t="inlineStr">
        <is>
          <t>sourceLinks</t>
        </is>
      </c>
      <c r="C220" s="2" t="n">
        <v>2</v>
      </c>
      <c r="D220" s="2" t="inlineStr">
        <is>
          <t>PDF p. 80</t>
        </is>
      </c>
      <c r="E220" s="2" t="inlineStr">
        <is>
          <t>../../2025/jama.2025.20765/joi250093supp1_prod_1768590553.08963.pdf#page=80</t>
        </is>
      </c>
    </row>
    <row r="221" ht="30" customHeight="1">
      <c r="A221" s="3" t="inlineStr">
        <is>
          <t>2025::jama.2025.20765::C013</t>
        </is>
      </c>
      <c r="B221" s="3" t="inlineStr">
        <is>
          <t>sourceLinks</t>
        </is>
      </c>
      <c r="C221" s="3" t="n">
        <v>3</v>
      </c>
      <c r="D221" s="3" t="inlineStr">
        <is>
          <t>PDF p. 101</t>
        </is>
      </c>
      <c r="E221" s="3" t="inlineStr">
        <is>
          <t>../../2025/jama.2025.20765/joi250093supp1_prod_1768590553.08963.pdf#page=101</t>
        </is>
      </c>
    </row>
    <row r="222" ht="30" customHeight="1">
      <c r="A222" s="2" t="inlineStr">
        <is>
          <t>2025::jama.2025.20765::C013</t>
        </is>
      </c>
      <c r="B222" s="2" t="inlineStr">
        <is>
          <t>sourceLinks</t>
        </is>
      </c>
      <c r="C222" s="2" t="n">
        <v>4</v>
      </c>
      <c r="D222" s="2" t="inlineStr">
        <is>
          <t>PDF p. 109</t>
        </is>
      </c>
      <c r="E222" s="2" t="inlineStr">
        <is>
          <t>../../2025/jama.2025.20765/joi250093supp1_prod_1768590553.08963.pdf#page=109</t>
        </is>
      </c>
    </row>
    <row r="223" ht="30" customHeight="1">
      <c r="A223" s="3" t="inlineStr">
        <is>
          <t>2025::jama.2025.20765::C013</t>
        </is>
      </c>
      <c r="B223" s="3" t="inlineStr">
        <is>
          <t>sourceLinks</t>
        </is>
      </c>
      <c r="C223" s="3" t="n">
        <v>5</v>
      </c>
      <c r="D223" s="3" t="inlineStr">
        <is>
          <t>main article — PDF p. 3</t>
        </is>
      </c>
      <c r="E223" s="3" t="inlineStr">
        <is>
          <t>../../2025/jama.2025.20765/jama_zahid_2025_oi_250093_1768590553.08463.pdf#page=3</t>
        </is>
      </c>
    </row>
    <row r="224" ht="40" customHeight="1">
      <c r="A224" s="2" t="inlineStr">
        <is>
          <t>2025::jama.2025.20765::C013</t>
        </is>
      </c>
      <c r="B224" s="2" t="inlineStr">
        <is>
          <t>evidencePaths</t>
        </is>
      </c>
      <c r="C224" s="2" t="n">
        <v>0</v>
      </c>
      <c r="D224" s="2" t="inlineStr">
        <is>
          <t>2025/jama.2025.20765/.ai_paper_validation/review_1_5_1/verification/evidence_recheck.md</t>
        </is>
      </c>
      <c r="E224" s="2" t="inlineStr">
        <is>
          <t>../../2025/jama.2025.20765/.ai_paper_validation/review_1_5_1/verification/evidence_recheck.md</t>
        </is>
      </c>
    </row>
    <row r="225" ht="40" customHeight="1">
      <c r="A225" s="3" t="inlineStr">
        <is>
          <t>2025::jama.2025.24175::C001</t>
        </is>
      </c>
      <c r="B225" s="3" t="inlineStr">
        <is>
          <t>sourceLinks</t>
        </is>
      </c>
      <c r="C225" s="3" t="n">
        <v>0</v>
      </c>
      <c r="D225" s="3" t="inlineStr">
        <is>
          <t>DOC-001 Table 2, PDF p. 6</t>
        </is>
      </c>
      <c r="E225" s="3" t="inlineStr">
        <is>
          <t>../../2025/jama.2025.24175/jama_giamarellosbourboulis_2025_oi_250116_1771885794.23757.pdf#page=6</t>
        </is>
      </c>
    </row>
    <row r="226" ht="40" customHeight="1">
      <c r="A226" s="2" t="inlineStr">
        <is>
          <t>2025::jama.2025.24175::C001</t>
        </is>
      </c>
      <c r="B226" s="2" t="inlineStr">
        <is>
          <t>sourceLinks</t>
        </is>
      </c>
      <c r="C226" s="2" t="n">
        <v>1</v>
      </c>
      <c r="D226" s="2" t="inlineStr">
        <is>
          <t>DOC-001 Results narrative, PDF p. 7</t>
        </is>
      </c>
      <c r="E226" s="2" t="inlineStr">
        <is>
          <t>../../2025/jama.2025.24175/jama_giamarellosbourboulis_2025_oi_250116_1771885794.23757.pdf#page=7</t>
        </is>
      </c>
    </row>
    <row r="227" ht="40" customHeight="1">
      <c r="A227" s="3" t="inlineStr">
        <is>
          <t>2025::jama.2025.24175::C001</t>
        </is>
      </c>
      <c r="B227" s="3" t="inlineStr">
        <is>
          <t>evidencePaths</t>
        </is>
      </c>
      <c r="C227" s="3" t="n">
        <v>0</v>
      </c>
      <c r="D227" s="3" t="inlineStr">
        <is>
          <t>2025/jama.2025.24175/.ai_paper_validation/review_1_5_1/verification/evidence_recheck.md</t>
        </is>
      </c>
      <c r="E227" s="3" t="inlineStr">
        <is>
          <t>../../2025/jama.2025.24175/.ai_paper_validation/review_1_5_1/verification/evidence_recheck.md</t>
        </is>
      </c>
    </row>
    <row r="228" ht="30" customHeight="1">
      <c r="A228" s="2" t="inlineStr">
        <is>
          <t>2025::jama.2025.24175::C002</t>
        </is>
      </c>
      <c r="B228" s="2" t="inlineStr">
        <is>
          <t>sourceLinks</t>
        </is>
      </c>
      <c r="C228" s="2" t="n">
        <v>0</v>
      </c>
      <c r="D228" s="2" t="inlineStr">
        <is>
          <t>DOC-002 protocol, PDF p. 6</t>
        </is>
      </c>
      <c r="E228" s="2" t="inlineStr">
        <is>
          <t>../../2025/jama.2025.24175/joi250116supp1_prod_1771885794.26255.pdf#page=6</t>
        </is>
      </c>
    </row>
    <row r="229" ht="40" customHeight="1">
      <c r="A229" s="3" t="inlineStr">
        <is>
          <t>2025::jama.2025.24175::C002</t>
        </is>
      </c>
      <c r="B229" s="3" t="inlineStr">
        <is>
          <t>sourceLinks</t>
        </is>
      </c>
      <c r="C229" s="3" t="n">
        <v>1</v>
      </c>
      <c r="D229" s="3" t="inlineStr">
        <is>
          <t>DOC-001 regimen, PDF p. 2</t>
        </is>
      </c>
      <c r="E229" s="3" t="inlineStr">
        <is>
          <t>../../2025/jama.2025.24175/jama_giamarellosbourboulis_2025_oi_250116_1771885794.23757.pdf#page=2</t>
        </is>
      </c>
    </row>
    <row r="230" ht="40" customHeight="1">
      <c r="A230" s="2" t="inlineStr">
        <is>
          <t>2025::jama.2025.24175::C002</t>
        </is>
      </c>
      <c r="B230" s="2" t="inlineStr">
        <is>
          <t>evidencePaths</t>
        </is>
      </c>
      <c r="C230" s="2" t="n">
        <v>0</v>
      </c>
      <c r="D230" s="2" t="inlineStr">
        <is>
          <t>2025/jama.2025.24175/.ai_paper_validation/review_1_5_1/verification/evidence_recheck.md</t>
        </is>
      </c>
      <c r="E230" s="2" t="inlineStr">
        <is>
          <t>../../2025/jama.2025.24175/.ai_paper_validation/review_1_5_1/verification/evidence_recheck.md</t>
        </is>
      </c>
    </row>
    <row r="231" ht="30" customHeight="1">
      <c r="A231" s="3" t="inlineStr">
        <is>
          <t>2025::jama.2025.24175::C003</t>
        </is>
      </c>
      <c r="B231" s="3" t="inlineStr">
        <is>
          <t>sourceLinks</t>
        </is>
      </c>
      <c r="C231" s="3" t="n">
        <v>0</v>
      </c>
      <c r="D231" s="3" t="inlineStr">
        <is>
          <t>DOC-002 protocol, PDF p. 7</t>
        </is>
      </c>
      <c r="E231" s="3" t="inlineStr">
        <is>
          <t>../../2025/jama.2025.24175/joi250116supp1_prod_1771885794.26255.pdf#page=7</t>
        </is>
      </c>
    </row>
    <row r="232" ht="40" customHeight="1">
      <c r="A232" s="2" t="inlineStr">
        <is>
          <t>2025::jama.2025.24175::C003</t>
        </is>
      </c>
      <c r="B232" s="2" t="inlineStr">
        <is>
          <t>sourceLinks</t>
        </is>
      </c>
      <c r="C232" s="2" t="n">
        <v>1</v>
      </c>
      <c r="D232" s="2" t="inlineStr">
        <is>
          <t>DOC-001 report, PDF p. 1</t>
        </is>
      </c>
      <c r="E232" s="2" t="inlineStr">
        <is>
          <t>../../2025/jama.2025.24175/jama_giamarellosbourboulis_2025_oi_250116_1771885794.23757.pdf#page=1</t>
        </is>
      </c>
    </row>
    <row r="233" ht="30" customHeight="1">
      <c r="A233" s="3" t="inlineStr">
        <is>
          <t>2025::jama.2025.24175::C003</t>
        </is>
      </c>
      <c r="B233" s="3" t="inlineStr">
        <is>
          <t>sourceLinks</t>
        </is>
      </c>
      <c r="C233" s="3" t="n">
        <v>2</v>
      </c>
      <c r="D233" s="3" t="inlineStr">
        <is>
          <t>DOC-002 SAP, PDF p. 66</t>
        </is>
      </c>
      <c r="E233" s="3" t="inlineStr">
        <is>
          <t>../../2025/jama.2025.24175/joi250116supp1_prod_1771885794.26255.pdf#page=66</t>
        </is>
      </c>
    </row>
    <row r="234" ht="40" customHeight="1">
      <c r="A234" s="2" t="inlineStr">
        <is>
          <t>2025::jama.2025.24175::C003</t>
        </is>
      </c>
      <c r="B234" s="2" t="inlineStr">
        <is>
          <t>evidencePaths</t>
        </is>
      </c>
      <c r="C234" s="2" t="n">
        <v>0</v>
      </c>
      <c r="D234" s="2" t="inlineStr">
        <is>
          <t>2025/jama.2025.24175/.ai_paper_validation/review_1_5_1/verification/evidence_recheck.md</t>
        </is>
      </c>
      <c r="E234" s="2" t="inlineStr">
        <is>
          <t>../../2025/jama.2025.24175/.ai_paper_validation/review_1_5_1/verification/evidence_recheck.md</t>
        </is>
      </c>
    </row>
    <row r="235" ht="30" customHeight="1">
      <c r="A235" s="3" t="inlineStr">
        <is>
          <t>2025::jama.2025.24175::C004</t>
        </is>
      </c>
      <c r="B235" s="3" t="inlineStr">
        <is>
          <t>sourceLinks</t>
        </is>
      </c>
      <c r="C235" s="3" t="n">
        <v>0</v>
      </c>
      <c r="D235" s="3" t="inlineStr">
        <is>
          <t>DOC-002 protocol, PDF p. 9</t>
        </is>
      </c>
      <c r="E235" s="3" t="inlineStr">
        <is>
          <t>../../2025/jama.2025.24175/joi250116supp1_prod_1771885794.26255.pdf#page=9</t>
        </is>
      </c>
    </row>
    <row r="236" ht="30" customHeight="1">
      <c r="A236" s="2" t="inlineStr">
        <is>
          <t>2025::jama.2025.24175::C004</t>
        </is>
      </c>
      <c r="B236" s="2" t="inlineStr">
        <is>
          <t>sourceLinks</t>
        </is>
      </c>
      <c r="C236" s="2" t="n">
        <v>1</v>
      </c>
      <c r="D236" s="2" t="inlineStr">
        <is>
          <t>DOC-003 eMethods, PDF p. 13</t>
        </is>
      </c>
      <c r="E236" s="2" t="inlineStr">
        <is>
          <t>../../2025/jama.2025.24175/joi250116supp2_prod_1771885794.27755.pdf#page=13</t>
        </is>
      </c>
    </row>
    <row r="237" ht="30" customHeight="1">
      <c r="A237" s="3" t="inlineStr">
        <is>
          <t>2025::jama.2025.24175::C004</t>
        </is>
      </c>
      <c r="B237" s="3" t="inlineStr">
        <is>
          <t>sourceLinks</t>
        </is>
      </c>
      <c r="C237" s="3" t="n">
        <v>2</v>
      </c>
      <c r="D237" s="3" t="inlineStr">
        <is>
          <t>DOC-002 SAP reversal definition, PDF p. 69</t>
        </is>
      </c>
      <c r="E237" s="3" t="inlineStr">
        <is>
          <t>../../2025/jama.2025.24175/joi250116supp1_prod_1771885794.26255.pdf#page=69</t>
        </is>
      </c>
    </row>
    <row r="238" ht="40" customHeight="1">
      <c r="A238" s="2" t="inlineStr">
        <is>
          <t>2025::jama.2025.24175::C004</t>
        </is>
      </c>
      <c r="B238" s="2" t="inlineStr">
        <is>
          <t>evidencePaths</t>
        </is>
      </c>
      <c r="C238" s="2" t="n">
        <v>0</v>
      </c>
      <c r="D238" s="2" t="inlineStr">
        <is>
          <t>2025/jama.2025.24175/.ai_paper_validation/review_1_5_1/verification/evidence_recheck.md</t>
        </is>
      </c>
      <c r="E238" s="2" t="inlineStr">
        <is>
          <t>../../2025/jama.2025.24175/.ai_paper_validation/review_1_5_1/verification/evidence_recheck.md</t>
        </is>
      </c>
    </row>
    <row r="239" ht="30" customHeight="1">
      <c r="A239" s="3" t="inlineStr">
        <is>
          <t>2025::jama.2025.24175::C005</t>
        </is>
      </c>
      <c r="B239" s="3" t="inlineStr">
        <is>
          <t>sourceLinks</t>
        </is>
      </c>
      <c r="C239" s="3" t="n">
        <v>0</v>
      </c>
      <c r="D239" s="3" t="inlineStr">
        <is>
          <t>DOC-002 protocol, PDF p. 25</t>
        </is>
      </c>
      <c r="E239" s="3" t="inlineStr">
        <is>
          <t>../../2025/jama.2025.24175/joi250116supp1_prod_1771885794.26255.pdf#page=25</t>
        </is>
      </c>
    </row>
    <row r="240" ht="30" customHeight="1">
      <c r="A240" s="2" t="inlineStr">
        <is>
          <t>2025::jama.2025.24175::C005</t>
        </is>
      </c>
      <c r="B240" s="2" t="inlineStr">
        <is>
          <t>sourceLinks</t>
        </is>
      </c>
      <c r="C240" s="2" t="n">
        <v>1</v>
      </c>
      <c r="D240" s="2" t="inlineStr">
        <is>
          <t>PDF p. 26</t>
        </is>
      </c>
      <c r="E240" s="2" t="inlineStr">
        <is>
          <t>../../2025/jama.2025.24175/joi250116supp1_prod_1771885794.26255.pdf#page=26</t>
        </is>
      </c>
    </row>
    <row r="241" ht="40" customHeight="1">
      <c r="A241" s="3" t="inlineStr">
        <is>
          <t>2025::jama.2025.24175::C005</t>
        </is>
      </c>
      <c r="B241" s="3" t="inlineStr">
        <is>
          <t>evidencePaths</t>
        </is>
      </c>
      <c r="C241" s="3" t="n">
        <v>0</v>
      </c>
      <c r="D241" s="3" t="inlineStr">
        <is>
          <t>2025/jama.2025.24175/.ai_paper_validation/review_1_5_1/verification/evidence_recheck.md</t>
        </is>
      </c>
      <c r="E241" s="3" t="inlineStr">
        <is>
          <t>../../2025/jama.2025.24175/.ai_paper_validation/review_1_5_1/verification/evidence_recheck.md</t>
        </is>
      </c>
    </row>
    <row r="242" ht="30" customHeight="1">
      <c r="A242" s="2" t="inlineStr">
        <is>
          <t>2025::jama.2025.24175::C006</t>
        </is>
      </c>
      <c r="B242" s="2" t="inlineStr">
        <is>
          <t>sourceLinks</t>
        </is>
      </c>
      <c r="C242" s="2" t="n">
        <v>0</v>
      </c>
      <c r="D242" s="2" t="inlineStr">
        <is>
          <t>DOC-002 narrative, PDF p. 41</t>
        </is>
      </c>
      <c r="E242" s="2" t="inlineStr">
        <is>
          <t>../../2025/jama.2025.24175/joi250116supp1_prod_1771885794.26255.pdf#page=41</t>
        </is>
      </c>
    </row>
    <row r="243" ht="30" customHeight="1">
      <c r="A243" s="3" t="inlineStr">
        <is>
          <t>2025::jama.2025.24175::C006</t>
        </is>
      </c>
      <c r="B243" s="3" t="inlineStr">
        <is>
          <t>sourceLinks</t>
        </is>
      </c>
      <c r="C243" s="3" t="n">
        <v>1</v>
      </c>
      <c r="D243" s="3" t="inlineStr">
        <is>
          <t>DOC-002 Figure 1, PDF p. 50</t>
        </is>
      </c>
      <c r="E243" s="3" t="inlineStr">
        <is>
          <t>../../2025/jama.2025.24175/joi250116supp1_prod_1771885794.26255.pdf#page=50</t>
        </is>
      </c>
    </row>
    <row r="244" ht="40" customHeight="1">
      <c r="A244" s="2" t="inlineStr">
        <is>
          <t>2025::jama.2025.24175::C006</t>
        </is>
      </c>
      <c r="B244" s="2" t="inlineStr">
        <is>
          <t>evidencePaths</t>
        </is>
      </c>
      <c r="C244" s="2" t="n">
        <v>0</v>
      </c>
      <c r="D244" s="2" t="inlineStr">
        <is>
          <t>2025/jama.2025.24175/.ai_paper_validation/review_1_5_1/verification/evidence_recheck.md</t>
        </is>
      </c>
      <c r="E244" s="2" t="inlineStr">
        <is>
          <t>../../2025/jama.2025.24175/.ai_paper_validation/review_1_5_1/verification/evidence_recheck.md</t>
        </is>
      </c>
    </row>
    <row r="245" ht="40" customHeight="1">
      <c r="A245" s="3" t="inlineStr">
        <is>
          <t>2025::jama.2025.24175::C006</t>
        </is>
      </c>
      <c r="B245" s="3" t="inlineStr">
        <is>
          <t>evidencePaths</t>
        </is>
      </c>
      <c r="C245" s="3" t="n">
        <v>1</v>
      </c>
      <c r="D245" s="3" t="inlineStr">
        <is>
          <t>2025/jama.2025.24175/.ai_paper_validation/review_1_5_1/extraction/support_quantitative_evidence.md</t>
        </is>
      </c>
      <c r="E245" s="3" t="inlineStr">
        <is>
          <t>../../2025/jama.2025.24175/.ai_paper_validation/review_1_5_1/extraction/support_quantitative_evidence.md</t>
        </is>
      </c>
    </row>
    <row r="246" ht="40" customHeight="1">
      <c r="A246" s="2" t="inlineStr">
        <is>
          <t>2025::jama.2025.24175::C006</t>
        </is>
      </c>
      <c r="B246" s="2" t="inlineStr">
        <is>
          <t>evidencePaths</t>
        </is>
      </c>
      <c r="C246" s="2" t="n">
        <v>2</v>
      </c>
      <c r="D246" s="2" t="inlineStr">
        <is>
          <t>2025/jama.2025.24175/.ai_paper_validation/review_1_5_1/parts/mapping/doc002_pp033_064.md</t>
        </is>
      </c>
      <c r="E246" s="2" t="inlineStr">
        <is>
          <t>../../2025/jama.2025.24175/.ai_paper_validation/review_1_5_1/parts/mapping/doc002_pp033_064.md</t>
        </is>
      </c>
    </row>
    <row r="247" ht="40" customHeight="1">
      <c r="A247" s="3" t="inlineStr">
        <is>
          <t>2025::jama.2025.24175::C006</t>
        </is>
      </c>
      <c r="B247" s="3" t="inlineStr">
        <is>
          <t>evidencePaths</t>
        </is>
      </c>
      <c r="C247" s="3" t="n">
        <v>3</v>
      </c>
      <c r="D247" s="3" t="inlineStr">
        <is>
          <t>2025/jama.2025.24175/.ai_paper_validation/review_1_5_1/preprocessing/DOC-002/pp033_064/low-36.png</t>
        </is>
      </c>
      <c r="E247" s="3" t="inlineStr">
        <is>
          <t>../../2025/jama.2025.24175/.ai_paper_validation/review_1_5_1/preprocessing/DOC-002/pp033_064/low-36.png</t>
        </is>
      </c>
    </row>
    <row r="248" ht="30" customHeight="1">
      <c r="A248" s="2" t="inlineStr">
        <is>
          <t>2025::jama.2025.24175::C007</t>
        </is>
      </c>
      <c r="B248" s="2" t="inlineStr">
        <is>
          <t>sourceLinks</t>
        </is>
      </c>
      <c r="C248" s="2" t="n">
        <v>0</v>
      </c>
      <c r="D248" s="2" t="inlineStr">
        <is>
          <t>DOC-002 Table 2, PDF p. 48</t>
        </is>
      </c>
      <c r="E248" s="2" t="inlineStr">
        <is>
          <t>../../2025/jama.2025.24175/joi250116supp1_prod_1771885794.26255.pdf#page=48</t>
        </is>
      </c>
    </row>
    <row r="249" ht="40" customHeight="1">
      <c r="A249" s="3" t="inlineStr">
        <is>
          <t>2025::jama.2025.24175::C007</t>
        </is>
      </c>
      <c r="B249" s="3" t="inlineStr">
        <is>
          <t>evidencePaths</t>
        </is>
      </c>
      <c r="C249" s="3" t="n">
        <v>0</v>
      </c>
      <c r="D249" s="3" t="inlineStr">
        <is>
          <t>2025/jama.2025.24175/.ai_paper_validation/review_1_5_1/verification/evidence_recheck.md</t>
        </is>
      </c>
      <c r="E249" s="3" t="inlineStr">
        <is>
          <t>../../2025/jama.2025.24175/.ai_paper_validation/review_1_5_1/verification/evidence_recheck.md</t>
        </is>
      </c>
    </row>
    <row r="250" ht="40" customHeight="1">
      <c r="A250" s="2" t="inlineStr">
        <is>
          <t>2025::jama.2025.24175::C007</t>
        </is>
      </c>
      <c r="B250" s="2" t="inlineStr">
        <is>
          <t>evidencePaths</t>
        </is>
      </c>
      <c r="C250" s="2" t="n">
        <v>1</v>
      </c>
      <c r="D250" s="2" t="inlineStr">
        <is>
          <t>2025/jama.2025.24175/.ai_paper_validation/review_1_5_1/extraction/support_quantitative_evidence.md</t>
        </is>
      </c>
      <c r="E250" s="2" t="inlineStr">
        <is>
          <t>../../2025/jama.2025.24175/.ai_paper_validation/review_1_5_1/extraction/support_quantitative_evidence.md</t>
        </is>
      </c>
    </row>
    <row r="251" ht="40" customHeight="1">
      <c r="A251" s="3" t="inlineStr">
        <is>
          <t>2025::jama.2025.24175::C007</t>
        </is>
      </c>
      <c r="B251" s="3" t="inlineStr">
        <is>
          <t>evidencePaths</t>
        </is>
      </c>
      <c r="C251" s="3" t="n">
        <v>2</v>
      </c>
      <c r="D251" s="3" t="inlineStr">
        <is>
          <t>2025/jama.2025.24175/.ai_paper_validation/review_1_5_1/parts/mapping/doc002_pp033_064.md</t>
        </is>
      </c>
      <c r="E251" s="3" t="inlineStr">
        <is>
          <t>../../2025/jama.2025.24175/.ai_paper_validation/review_1_5_1/parts/mapping/doc002_pp033_064.md</t>
        </is>
      </c>
    </row>
    <row r="252" ht="40" customHeight="1">
      <c r="A252" s="2" t="inlineStr">
        <is>
          <t>2025::jama.2025.24175::C007</t>
        </is>
      </c>
      <c r="B252" s="2" t="inlineStr">
        <is>
          <t>evidencePaths</t>
        </is>
      </c>
      <c r="C252" s="2" t="n">
        <v>3</v>
      </c>
      <c r="D252" s="2" t="inlineStr">
        <is>
          <t>2025/jama.2025.24175/.ai_paper_validation/review_1_5_1/preprocessing/DOC-002/pp033_064/low-36.png</t>
        </is>
      </c>
      <c r="E252" s="2" t="inlineStr">
        <is>
          <t>../../2025/jama.2025.24175/.ai_paper_validation/review_1_5_1/preprocessing/DOC-002/pp033_064/low-36.png</t>
        </is>
      </c>
    </row>
    <row r="253" ht="30" customHeight="1">
      <c r="A253" s="3" t="inlineStr">
        <is>
          <t>2025::jama.2025.24175::C008</t>
        </is>
      </c>
      <c r="B253" s="3" t="inlineStr">
        <is>
          <t>sourceLinks</t>
        </is>
      </c>
      <c r="C253" s="3" t="n">
        <v>0</v>
      </c>
      <c r="D253" s="3" t="inlineStr">
        <is>
          <t>DOC-002 Figure 1, PDF p. 50</t>
        </is>
      </c>
      <c r="E253" s="3" t="inlineStr">
        <is>
          <t>../../2025/jama.2025.24175/joi250116supp1_prod_1771885794.26255.pdf#page=50</t>
        </is>
      </c>
    </row>
    <row r="254" ht="40" customHeight="1">
      <c r="A254" s="2" t="inlineStr">
        <is>
          <t>2025::jama.2025.24175::C008</t>
        </is>
      </c>
      <c r="B254" s="2" t="inlineStr">
        <is>
          <t>evidencePaths</t>
        </is>
      </c>
      <c r="C254" s="2" t="n">
        <v>0</v>
      </c>
      <c r="D254" s="2" t="inlineStr">
        <is>
          <t>2025/jama.2025.24175/.ai_paper_validation/review_1_5_1/verification/evidence_recheck.md</t>
        </is>
      </c>
      <c r="E254" s="2" t="inlineStr">
        <is>
          <t>../../2025/jama.2025.24175/.ai_paper_validation/review_1_5_1/verification/evidence_recheck.md</t>
        </is>
      </c>
    </row>
    <row r="255" ht="40" customHeight="1">
      <c r="A255" s="3" t="inlineStr">
        <is>
          <t>2025::jama.2025.24175::C008</t>
        </is>
      </c>
      <c r="B255" s="3" t="inlineStr">
        <is>
          <t>evidencePaths</t>
        </is>
      </c>
      <c r="C255" s="3" t="n">
        <v>1</v>
      </c>
      <c r="D255" s="3" t="inlineStr">
        <is>
          <t>2025/jama.2025.24175/.ai_paper_validation/review_1_5_1/extraction/support_quantitative_evidence.md</t>
        </is>
      </c>
      <c r="E255" s="3" t="inlineStr">
        <is>
          <t>../../2025/jama.2025.24175/.ai_paper_validation/review_1_5_1/extraction/support_quantitative_evidence.md</t>
        </is>
      </c>
    </row>
    <row r="256" ht="40" customHeight="1">
      <c r="A256" s="2" t="inlineStr">
        <is>
          <t>2025::jama.2025.24175::C008</t>
        </is>
      </c>
      <c r="B256" s="2" t="inlineStr">
        <is>
          <t>evidencePaths</t>
        </is>
      </c>
      <c r="C256" s="2" t="n">
        <v>2</v>
      </c>
      <c r="D256" s="2" t="inlineStr">
        <is>
          <t>2025/jama.2025.24175/.ai_paper_validation/review_1_5_1/parts/mapping/doc002_pp033_064.md</t>
        </is>
      </c>
      <c r="E256" s="2" t="inlineStr">
        <is>
          <t>../../2025/jama.2025.24175/.ai_paper_validation/review_1_5_1/parts/mapping/doc002_pp033_064.md</t>
        </is>
      </c>
    </row>
    <row r="257" ht="40" customHeight="1">
      <c r="A257" s="3" t="inlineStr">
        <is>
          <t>2025::jama.2025.24175::C008</t>
        </is>
      </c>
      <c r="B257" s="3" t="inlineStr">
        <is>
          <t>evidencePaths</t>
        </is>
      </c>
      <c r="C257" s="3" t="n">
        <v>3</v>
      </c>
      <c r="D257" s="3" t="inlineStr">
        <is>
          <t>2025/jama.2025.24175/.ai_paper_validation/review_1_5_1/preprocessing/DOC-002/pp033_064/low-36.png</t>
        </is>
      </c>
      <c r="E257" s="3" t="inlineStr">
        <is>
          <t>../../2025/jama.2025.24175/.ai_paper_validation/review_1_5_1/preprocessing/DOC-002/pp033_064/low-36.png</t>
        </is>
      </c>
    </row>
    <row r="258" ht="40" customHeight="1">
      <c r="A258" s="2" t="inlineStr">
        <is>
          <t>2025::jama.2025.24175::C009</t>
        </is>
      </c>
      <c r="B258" s="2" t="inlineStr">
        <is>
          <t>sourceLinks</t>
        </is>
      </c>
      <c r="C258" s="2" t="n">
        <v>0</v>
      </c>
      <c r="D258" s="2" t="inlineStr">
        <is>
          <t>DOC-001 report, PDF p. 2</t>
        </is>
      </c>
      <c r="E258" s="2" t="inlineStr">
        <is>
          <t>../../2025/jama.2025.24175/jama_giamarellosbourboulis_2025_oi_250116_1771885794.23757.pdf#page=2</t>
        </is>
      </c>
    </row>
    <row r="259" ht="30" customHeight="1">
      <c r="A259" s="3" t="inlineStr">
        <is>
          <t>2025::jama.2025.24175::C009</t>
        </is>
      </c>
      <c r="B259" s="3" t="inlineStr">
        <is>
          <t>sourceLinks</t>
        </is>
      </c>
      <c r="C259" s="3" t="n">
        <v>1</v>
      </c>
      <c r="D259" s="3" t="inlineStr">
        <is>
          <t>DOC-002 protocol, PDF p. 10</t>
        </is>
      </c>
      <c r="E259" s="3" t="inlineStr">
        <is>
          <t>../../2025/jama.2025.24175/joi250116supp1_prod_1771885794.26255.pdf#page=10</t>
        </is>
      </c>
    </row>
    <row r="260" ht="30" customHeight="1">
      <c r="A260" s="2" t="inlineStr">
        <is>
          <t>2025::jama.2025.24175::C009</t>
        </is>
      </c>
      <c r="B260" s="2" t="inlineStr">
        <is>
          <t>sourceLinks</t>
        </is>
      </c>
      <c r="C260" s="2" t="n">
        <v>2</v>
      </c>
      <c r="D260" s="2" t="inlineStr">
        <is>
          <t>DOC-002 SAP, PDF p. 65</t>
        </is>
      </c>
      <c r="E260" s="2" t="inlineStr">
        <is>
          <t>../../2025/jama.2025.24175/joi250116supp1_prod_1771885794.26255.pdf#page=65</t>
        </is>
      </c>
    </row>
    <row r="261" ht="30" customHeight="1">
      <c r="A261" s="3" t="inlineStr">
        <is>
          <t>2025::jama.2025.24175::C009</t>
        </is>
      </c>
      <c r="B261" s="3" t="inlineStr">
        <is>
          <t>sourceLinks</t>
        </is>
      </c>
      <c r="C261" s="3" t="n">
        <v>3</v>
      </c>
      <c r="D261" s="3" t="inlineStr">
        <is>
          <t>PDF p. 67</t>
        </is>
      </c>
      <c r="E261" s="3" t="inlineStr">
        <is>
          <t>../../2025/jama.2025.24175/joi250116supp1_prod_1771885794.26255.pdf#page=67</t>
        </is>
      </c>
    </row>
    <row r="262" ht="40" customHeight="1">
      <c r="A262" s="2" t="inlineStr">
        <is>
          <t>2025::jama.2025.24175::C009</t>
        </is>
      </c>
      <c r="B262" s="2" t="inlineStr">
        <is>
          <t>evidencePaths</t>
        </is>
      </c>
      <c r="C262" s="2" t="n">
        <v>0</v>
      </c>
      <c r="D262" s="2" t="inlineStr">
        <is>
          <t>2025/jama.2025.24175/.ai_paper_validation/review_1_5_1/verification/evidence_recheck.md</t>
        </is>
      </c>
      <c r="E262" s="2" t="inlineStr">
        <is>
          <t>../../2025/jama.2025.24175/.ai_paper_validation/review_1_5_1/verification/evidence_recheck.md</t>
        </is>
      </c>
    </row>
    <row r="263" ht="30" customHeight="1">
      <c r="A263" s="3" t="inlineStr">
        <is>
          <t>2025::jama.2025.24175::C010</t>
        </is>
      </c>
      <c r="B263" s="3" t="inlineStr">
        <is>
          <t>sourceLinks</t>
        </is>
      </c>
      <c r="C263" s="3" t="n">
        <v>0</v>
      </c>
      <c r="D263" s="3" t="inlineStr">
        <is>
          <t>DOC-002 Figure 2C, PDF p. 51</t>
        </is>
      </c>
      <c r="E263" s="3" t="inlineStr">
        <is>
          <t>../../2025/jama.2025.24175/joi250116supp1_prod_1771885794.26255.pdf#page=51</t>
        </is>
      </c>
    </row>
    <row r="264" ht="30" customHeight="1">
      <c r="A264" s="2" t="inlineStr">
        <is>
          <t>2025::jama.2025.24175::C010</t>
        </is>
      </c>
      <c r="B264" s="2" t="inlineStr">
        <is>
          <t>sourceLinks</t>
        </is>
      </c>
      <c r="C264" s="2" t="n">
        <v>1</v>
      </c>
      <c r="D264" s="2" t="inlineStr">
        <is>
          <t>DOC-002 Figure 3, PDF p. 52</t>
        </is>
      </c>
      <c r="E264" s="2" t="inlineStr">
        <is>
          <t>../../2025/jama.2025.24175/joi250116supp1_prod_1771885794.26255.pdf#page=52</t>
        </is>
      </c>
    </row>
    <row r="265" ht="40" customHeight="1">
      <c r="A265" s="3" t="inlineStr">
        <is>
          <t>2025::jama.2025.24175::C010</t>
        </is>
      </c>
      <c r="B265" s="3" t="inlineStr">
        <is>
          <t>evidencePaths</t>
        </is>
      </c>
      <c r="C265" s="3" t="n">
        <v>0</v>
      </c>
      <c r="D265" s="3" t="inlineStr">
        <is>
          <t>2025/jama.2025.24175/.ai_paper_validation/review_1_5_1/verification/evidence_recheck.md</t>
        </is>
      </c>
      <c r="E265" s="3" t="inlineStr">
        <is>
          <t>../../2025/jama.2025.24175/.ai_paper_validation/review_1_5_1/verification/evidence_recheck.md</t>
        </is>
      </c>
    </row>
    <row r="266" ht="40" customHeight="1">
      <c r="A266" s="2" t="inlineStr">
        <is>
          <t>2025::jama.2025.24175::C010</t>
        </is>
      </c>
      <c r="B266" s="2" t="inlineStr">
        <is>
          <t>evidencePaths</t>
        </is>
      </c>
      <c r="C266" s="2" t="n">
        <v>1</v>
      </c>
      <c r="D266" s="2" t="inlineStr">
        <is>
          <t>2025/jama.2025.24175/.ai_paper_validation/review_1_5_1/extraction/support_quantitative_evidence.md</t>
        </is>
      </c>
      <c r="E266" s="2" t="inlineStr">
        <is>
          <t>../../2025/jama.2025.24175/.ai_paper_validation/review_1_5_1/extraction/support_quantitative_evidence.md</t>
        </is>
      </c>
    </row>
    <row r="267" ht="40" customHeight="1">
      <c r="A267" s="3" t="inlineStr">
        <is>
          <t>2025::jama.2025.24175::C010</t>
        </is>
      </c>
      <c r="B267" s="3" t="inlineStr">
        <is>
          <t>evidencePaths</t>
        </is>
      </c>
      <c r="C267" s="3" t="n">
        <v>2</v>
      </c>
      <c r="D267" s="3" t="inlineStr">
        <is>
          <t>2025/jama.2025.24175/.ai_paper_validation/review_1_5_1/parts/mapping/doc002_pp033_064.md</t>
        </is>
      </c>
      <c r="E267" s="3" t="inlineStr">
        <is>
          <t>../../2025/jama.2025.24175/.ai_paper_validation/review_1_5_1/parts/mapping/doc002_pp033_064.md</t>
        </is>
      </c>
    </row>
    <row r="268" ht="40" customHeight="1">
      <c r="A268" s="2" t="inlineStr">
        <is>
          <t>2025::jama.2025.24175::C010</t>
        </is>
      </c>
      <c r="B268" s="2" t="inlineStr">
        <is>
          <t>evidencePaths</t>
        </is>
      </c>
      <c r="C268" s="2" t="n">
        <v>3</v>
      </c>
      <c r="D268" s="2" t="inlineStr">
        <is>
          <t>2025/jama.2025.24175/.ai_paper_validation/review_1_5_1/preprocessing/DOC-002/pp033_064/low-36.png</t>
        </is>
      </c>
      <c r="E268" s="2" t="inlineStr">
        <is>
          <t>../../2025/jama.2025.24175/.ai_paper_validation/review_1_5_1/preprocessing/DOC-002/pp033_064/low-36.png</t>
        </is>
      </c>
    </row>
    <row r="269" ht="30" customHeight="1">
      <c r="A269" s="3" t="inlineStr">
        <is>
          <t>2025::jama.2025.24175::C011</t>
        </is>
      </c>
      <c r="B269" s="3" t="inlineStr">
        <is>
          <t>sourceLinks</t>
        </is>
      </c>
      <c r="C269" s="3" t="n">
        <v>0</v>
      </c>
      <c r="D269" s="3" t="inlineStr">
        <is>
          <t>DOC-003 eTable 10, PDF p. 22</t>
        </is>
      </c>
      <c r="E269" s="3" t="inlineStr">
        <is>
          <t>../../2025/jama.2025.24175/joi250116supp2_prod_1771885794.27755.pdf#page=22</t>
        </is>
      </c>
    </row>
    <row r="270" ht="40" customHeight="1">
      <c r="A270" s="2" t="inlineStr">
        <is>
          <t>2025::jama.2025.24175::C011</t>
        </is>
      </c>
      <c r="B270" s="2" t="inlineStr">
        <is>
          <t>evidencePaths</t>
        </is>
      </c>
      <c r="C270" s="2" t="n">
        <v>0</v>
      </c>
      <c r="D270" s="2" t="inlineStr">
        <is>
          <t>2025/jama.2025.24175/.ai_paper_validation/review_1_5_1/verification/evidence_recheck.md</t>
        </is>
      </c>
      <c r="E270" s="2" t="inlineStr">
        <is>
          <t>../../2025/jama.2025.24175/.ai_paper_validation/review_1_5_1/verification/evidence_recheck.md</t>
        </is>
      </c>
    </row>
    <row r="271" ht="30" customHeight="1">
      <c r="A271" s="3" t="inlineStr">
        <is>
          <t>2025::jama.2025.24175::C012</t>
        </is>
      </c>
      <c r="B271" s="3" t="inlineStr">
        <is>
          <t>sourceLinks</t>
        </is>
      </c>
      <c r="C271" s="3" t="n">
        <v>0</v>
      </c>
      <c r="D271" s="3" t="inlineStr">
        <is>
          <t>DOC-003 eFigure 7B, PDF p. 51</t>
        </is>
      </c>
      <c r="E271" s="3" t="inlineStr">
        <is>
          <t>../../2025/jama.2025.24175/joi250116supp2_prod_1771885794.27755.pdf#page=51</t>
        </is>
      </c>
    </row>
    <row r="272" ht="30" customHeight="1">
      <c r="A272" s="2" t="inlineStr">
        <is>
          <t>2025::jama.2025.24175::C012</t>
        </is>
      </c>
      <c r="B272" s="2" t="inlineStr">
        <is>
          <t>sourceLinks</t>
        </is>
      </c>
      <c r="C272" s="2" t="n">
        <v>1</v>
      </c>
      <c r="D272" s="2" t="inlineStr">
        <is>
          <t>DOC-003 eFigure 8B, PDF p. 52</t>
        </is>
      </c>
      <c r="E272" s="2" t="inlineStr">
        <is>
          <t>../../2025/jama.2025.24175/joi250116supp2_prod_1771885794.27755.pdf#page=52</t>
        </is>
      </c>
    </row>
    <row r="273" ht="40" customHeight="1">
      <c r="A273" s="3" t="inlineStr">
        <is>
          <t>2025::jama.2025.24175::C012</t>
        </is>
      </c>
      <c r="B273" s="3" t="inlineStr">
        <is>
          <t>evidencePaths</t>
        </is>
      </c>
      <c r="C273" s="3" t="n">
        <v>0</v>
      </c>
      <c r="D273" s="3" t="inlineStr">
        <is>
          <t>2025/jama.2025.24175/.ai_paper_validation/review_1_5_1/verification/evidence_recheck.md</t>
        </is>
      </c>
      <c r="E273" s="3" t="inlineStr">
        <is>
          <t>../../2025/jama.2025.24175/.ai_paper_validation/review_1_5_1/verification/evidence_recheck.md</t>
        </is>
      </c>
    </row>
    <row r="274" ht="30" customHeight="1">
      <c r="A274" s="2" t="inlineStr">
        <is>
          <t>2025::jama.2025.24175::C013</t>
        </is>
      </c>
      <c r="B274" s="2" t="inlineStr">
        <is>
          <t>sourceLinks</t>
        </is>
      </c>
      <c r="C274" s="2" t="n">
        <v>0</v>
      </c>
      <c r="D274" s="2" t="inlineStr">
        <is>
          <t>DOC-003 eFigure 9B, PDF p. 53</t>
        </is>
      </c>
      <c r="E274" s="2" t="inlineStr">
        <is>
          <t>../../2025/jama.2025.24175/joi250116supp2_prod_1771885794.27755.pdf#page=53</t>
        </is>
      </c>
    </row>
    <row r="275" ht="40" customHeight="1">
      <c r="A275" s="3" t="inlineStr">
        <is>
          <t>2025::jama.2025.24175::C013</t>
        </is>
      </c>
      <c r="B275" s="3" t="inlineStr">
        <is>
          <t>evidencePaths</t>
        </is>
      </c>
      <c r="C275" s="3" t="n">
        <v>0</v>
      </c>
      <c r="D275" s="3" t="inlineStr">
        <is>
          <t>2025/jama.2025.24175/.ai_paper_validation/review_1_5_1/verification/evidence_recheck.md</t>
        </is>
      </c>
      <c r="E275" s="3" t="inlineStr">
        <is>
          <t>../../2025/jama.2025.24175/.ai_paper_validation/review_1_5_1/verification/evidence_recheck.md</t>
        </is>
      </c>
    </row>
    <row r="276" ht="30" customHeight="1">
      <c r="A276" s="2" t="inlineStr">
        <is>
          <t>2025::jama.2025.24175::C014</t>
        </is>
      </c>
      <c r="B276" s="2" t="inlineStr">
        <is>
          <t>sourceLinks</t>
        </is>
      </c>
      <c r="C276" s="2" t="n">
        <v>0</v>
      </c>
      <c r="D276" s="2" t="inlineStr">
        <is>
          <t>DOC-002 actual mortality sentence, PDF p. 41</t>
        </is>
      </c>
      <c r="E276" s="2" t="inlineStr">
        <is>
          <t>../../2025/jama.2025.24175/joi250116supp1_prod_1771885794.26255.pdf#page=41</t>
        </is>
      </c>
    </row>
    <row r="277" ht="30" customHeight="1">
      <c r="A277" s="3" t="inlineStr">
        <is>
          <t>2025::jama.2025.24175::C014</t>
        </is>
      </c>
      <c r="B277" s="3" t="inlineStr">
        <is>
          <t>sourceLinks</t>
        </is>
      </c>
      <c r="C277" s="3" t="n">
        <v>1</v>
      </c>
      <c r="D277" s="3" t="inlineStr">
        <is>
          <t>Discussion, PDF p. 42</t>
        </is>
      </c>
      <c r="E277" s="3" t="inlineStr">
        <is>
          <t>../../2025/jama.2025.24175/joi250116supp1_prod_1771885794.26255.pdf#page=42</t>
        </is>
      </c>
    </row>
    <row r="278" ht="30" customHeight="1">
      <c r="A278" s="2" t="inlineStr">
        <is>
          <t>2025::jama.2025.24175::C014</t>
        </is>
      </c>
      <c r="B278" s="2" t="inlineStr">
        <is>
          <t>sourceLinks</t>
        </is>
      </c>
      <c r="C278" s="2" t="n">
        <v>2</v>
      </c>
      <c r="D278" s="2" t="inlineStr">
        <is>
          <t>Table 2, PDF p. 48</t>
        </is>
      </c>
      <c r="E278" s="2" t="inlineStr">
        <is>
          <t>../../2025/jama.2025.24175/joi250116supp1_prod_1771885794.26255.pdf#page=48</t>
        </is>
      </c>
    </row>
    <row r="279" ht="30" customHeight="1">
      <c r="A279" s="3" t="inlineStr">
        <is>
          <t>2025::jama.2025.24175::C014</t>
        </is>
      </c>
      <c r="B279" s="3" t="inlineStr">
        <is>
          <t>sourceLinks</t>
        </is>
      </c>
      <c r="C279" s="3" t="n">
        <v>3</v>
      </c>
      <c r="D279" s="3" t="inlineStr">
        <is>
          <t>Figure 1, PDF p. 50</t>
        </is>
      </c>
      <c r="E279" s="3" t="inlineStr">
        <is>
          <t>../../2025/jama.2025.24175/joi250116supp1_prod_1771885794.26255.pdf#page=50</t>
        </is>
      </c>
    </row>
    <row r="280" ht="40" customHeight="1">
      <c r="A280" s="2" t="inlineStr">
        <is>
          <t>2025::jama.2025.24175::C014</t>
        </is>
      </c>
      <c r="B280" s="2" t="inlineStr">
        <is>
          <t>evidencePaths</t>
        </is>
      </c>
      <c r="C280" s="2" t="n">
        <v>0</v>
      </c>
      <c r="D280" s="2" t="inlineStr">
        <is>
          <t>2025/jama.2025.24175/.ai_paper_validation/review_1_5_1/verification/evidence_recheck.md</t>
        </is>
      </c>
      <c r="E280" s="2" t="inlineStr">
        <is>
          <t>../../2025/jama.2025.24175/.ai_paper_validation/review_1_5_1/verification/evidence_recheck.md</t>
        </is>
      </c>
    </row>
    <row r="281" ht="40" customHeight="1">
      <c r="A281" s="3" t="inlineStr">
        <is>
          <t>2025::jama.2025.24175::C014</t>
        </is>
      </c>
      <c r="B281" s="3" t="inlineStr">
        <is>
          <t>evidencePaths</t>
        </is>
      </c>
      <c r="C281" s="3" t="n">
        <v>1</v>
      </c>
      <c r="D281" s="3" t="inlineStr">
        <is>
          <t>2025/jama.2025.24175/.ai_paper_validation/review_1_5_1/extraction/support_quantitative_evidence.md</t>
        </is>
      </c>
      <c r="E281" s="3" t="inlineStr">
        <is>
          <t>../../2025/jama.2025.24175/.ai_paper_validation/review_1_5_1/extraction/support_quantitative_evidence.md</t>
        </is>
      </c>
    </row>
    <row r="282" ht="40" customHeight="1">
      <c r="A282" s="2" t="inlineStr">
        <is>
          <t>2025::jama.2025.24175::C014</t>
        </is>
      </c>
      <c r="B282" s="2" t="inlineStr">
        <is>
          <t>evidencePaths</t>
        </is>
      </c>
      <c r="C282" s="2" t="n">
        <v>2</v>
      </c>
      <c r="D282" s="2" t="inlineStr">
        <is>
          <t>2025/jama.2025.24175/.ai_paper_validation/review_1_5_1/parts/mapping/doc002_pp033_064.md</t>
        </is>
      </c>
      <c r="E282" s="2" t="inlineStr">
        <is>
          <t>../../2025/jama.2025.24175/.ai_paper_validation/review_1_5_1/parts/mapping/doc002_pp033_064.md</t>
        </is>
      </c>
    </row>
    <row r="283" ht="40" customHeight="1">
      <c r="A283" s="3" t="inlineStr">
        <is>
          <t>2025::jama.2025.24175::C014</t>
        </is>
      </c>
      <c r="B283" s="3" t="inlineStr">
        <is>
          <t>evidencePaths</t>
        </is>
      </c>
      <c r="C283" s="3" t="n">
        <v>3</v>
      </c>
      <c r="D283" s="3" t="inlineStr">
        <is>
          <t>2025/jama.2025.24175/.ai_paper_validation/review_1_5_1/preprocessing/DOC-002/pp033_064/low-36.png</t>
        </is>
      </c>
      <c r="E283" s="3" t="inlineStr">
        <is>
          <t>../../2025/jama.2025.24175/.ai_paper_validation/review_1_5_1/preprocessing/DOC-002/pp033_064/low-36.png</t>
        </is>
      </c>
    </row>
    <row r="284" ht="40" customHeight="1">
      <c r="A284" s="2" t="inlineStr">
        <is>
          <t>2025::jama.2025.4390::C001</t>
        </is>
      </c>
      <c r="B284" s="2" t="inlineStr">
        <is>
          <t>sourceLinks</t>
        </is>
      </c>
      <c r="C284" s="2" t="n">
        <v>0</v>
      </c>
      <c r="D284" s="2" t="inlineStr">
        <is>
          <t>jama_garrison_2025_oi_250019_1749674951.29054.pdf — Figure 3, PDF p. 9</t>
        </is>
      </c>
      <c r="E284" s="2" t="inlineStr">
        <is>
          <t>../../2025/jama.2025.4390/jama_garrison_2025_oi_250019_1749674951.29054.pdf#page=9</t>
        </is>
      </c>
    </row>
    <row r="285" ht="40" customHeight="1">
      <c r="A285" s="3" t="inlineStr">
        <is>
          <t>2025::jama.2025.4390::C001</t>
        </is>
      </c>
      <c r="B285" s="3" t="inlineStr">
        <is>
          <t>sourceLinks</t>
        </is>
      </c>
      <c r="C285" s="3" t="n">
        <v>1</v>
      </c>
      <c r="D285" s="3" t="inlineStr">
        <is>
          <t>jama_garrison_2025_oi_250019_1749674951.29054.pdf — Table 2, PDF p. 8</t>
        </is>
      </c>
      <c r="E285" s="3" t="inlineStr">
        <is>
          <t>../../2025/jama.2025.4390/jama_garrison_2025_oi_250019_1749674951.29054.pdf#page=8</t>
        </is>
      </c>
    </row>
    <row r="286" ht="30" customHeight="1">
      <c r="A286" s="2" t="inlineStr">
        <is>
          <t>2025::jama.2025.4390::C001</t>
        </is>
      </c>
      <c r="B286" s="2" t="inlineStr">
        <is>
          <t>sourceLinks</t>
        </is>
      </c>
      <c r="C286" s="2" t="n">
        <v>2</v>
      </c>
      <c r="D286" s="2" t="inlineStr">
        <is>
          <t>main article abstract, PDF p. 1</t>
        </is>
      </c>
      <c r="E286" s="2" t="inlineStr">
        <is>
          <t>../../2025/jama.2025.4390/jama_garrison_2025_oi_250019_1749674951.29054.pdf#page=1</t>
        </is>
      </c>
    </row>
    <row r="287" ht="30" customHeight="1">
      <c r="A287" s="3" t="inlineStr">
        <is>
          <t>2025::jama.2025.4390::C001</t>
        </is>
      </c>
      <c r="B287" s="3" t="inlineStr">
        <is>
          <t>sourceLinks</t>
        </is>
      </c>
      <c r="C287" s="3" t="n">
        <v>3</v>
      </c>
      <c r="D287" s="3" t="inlineStr">
        <is>
          <t>primary-outcome narrative, PDF p. 6</t>
        </is>
      </c>
      <c r="E287" s="3" t="inlineStr">
        <is>
          <t>../../2025/jama.2025.4390/jama_garrison_2025_oi_250019_1749674951.29054.pdf#page=6</t>
        </is>
      </c>
    </row>
    <row r="288" ht="40" customHeight="1">
      <c r="A288" s="2" t="inlineStr">
        <is>
          <t>2025::jama.2025.4390::C002</t>
        </is>
      </c>
      <c r="B288" s="2" t="inlineStr">
        <is>
          <t>sourceLinks</t>
        </is>
      </c>
      <c r="C288" s="2" t="n">
        <v>0</v>
      </c>
      <c r="D288" s="2" t="inlineStr">
        <is>
          <t>joi250019supp3_prod_1749674951.30054.pdf — eFigure 4, PDF p. 26</t>
        </is>
      </c>
      <c r="E288" s="2" t="inlineStr">
        <is>
          <t>../../2025/jama.2025.4390/joi250019supp3_prod_1749674951.30054.pdf#page=26</t>
        </is>
      </c>
    </row>
    <row r="289" ht="40" customHeight="1">
      <c r="A289" s="3" t="inlineStr">
        <is>
          <t>2025::jama.2025.4390::C002</t>
        </is>
      </c>
      <c r="B289" s="3" t="inlineStr">
        <is>
          <t>sourceLinks</t>
        </is>
      </c>
      <c r="C289" s="3" t="n">
        <v>1</v>
      </c>
      <c r="D289" s="3" t="inlineStr">
        <is>
          <t>joi250019supp3_prod_1749674951.30054.pdf — eTable 6, PDF p. 42</t>
        </is>
      </c>
      <c r="E289" s="3" t="inlineStr">
        <is>
          <t>../../2025/jama.2025.4390/joi250019supp3_prod_1749674951.30054.pdf#page=42</t>
        </is>
      </c>
    </row>
    <row r="290" ht="30" customHeight="1">
      <c r="A290" s="2" t="inlineStr">
        <is>
          <t>2025::jama.2025.4390::C002</t>
        </is>
      </c>
      <c r="B290" s="2" t="inlineStr">
        <is>
          <t>sourceLinks</t>
        </is>
      </c>
      <c r="C290" s="2" t="n">
        <v>2</v>
      </c>
      <c r="D290" s="2" t="inlineStr">
        <is>
          <t>PDF p. 41</t>
        </is>
      </c>
      <c r="E290" s="2" t="inlineStr">
        <is>
          <t>../../2025/jama.2025.4390/joi250019supp3_prod_1749674951.30054.pdf#page=41</t>
        </is>
      </c>
    </row>
    <row r="291" ht="40" customHeight="1">
      <c r="A291" s="3" t="inlineStr">
        <is>
          <t>2025::jama.2025.4390::C003</t>
        </is>
      </c>
      <c r="B291" s="3" t="inlineStr">
        <is>
          <t>sourceLinks</t>
        </is>
      </c>
      <c r="C291" s="3" t="n">
        <v>0</v>
      </c>
      <c r="D291" s="3" t="inlineStr">
        <is>
          <t>joi250019supp3_prod_1749674951.30054.pdf — eTable 5, PDF p. 37</t>
        </is>
      </c>
      <c r="E291" s="3" t="inlineStr">
        <is>
          <t>../../2025/jama.2025.4390/joi250019supp3_prod_1749674951.30054.pdf#page=37</t>
        </is>
      </c>
    </row>
    <row r="292" ht="40" customHeight="1">
      <c r="A292" s="2" t="inlineStr">
        <is>
          <t>2025::jama.2025.4390::C003</t>
        </is>
      </c>
      <c r="B292" s="2" t="inlineStr">
        <is>
          <t>sourceLinks</t>
        </is>
      </c>
      <c r="C292" s="2" t="n">
        <v>1</v>
      </c>
      <c r="D292" s="2" t="inlineStr">
        <is>
          <t>joi250019supp3_prod_1749674951.30054.pdf — eTable 3, PDF p. 29</t>
        </is>
      </c>
      <c r="E292" s="2" t="inlineStr">
        <is>
          <t>../../2025/jama.2025.4390/joi250019supp3_prod_1749674951.30054.pdf#page=29</t>
        </is>
      </c>
    </row>
    <row r="293" ht="30" customHeight="1">
      <c r="A293" s="3" t="inlineStr">
        <is>
          <t>2025::jama.2025.7583::C001</t>
        </is>
      </c>
      <c r="B293" s="3" t="inlineStr">
        <is>
          <t>sourceLinks</t>
        </is>
      </c>
      <c r="C293" s="3" t="n">
        <v>0</v>
      </c>
      <c r="D293" s="3" t="inlineStr">
        <is>
          <t>Main article — PDF p. 3</t>
        </is>
      </c>
      <c r="E293" s="3" t="inlineStr">
        <is>
          <t>../../2025/jama.2025.7583/jama_shotar_2025_oi_250033_1750956987.75881.pdf#page=3</t>
        </is>
      </c>
    </row>
    <row r="294" ht="30" customHeight="1">
      <c r="A294" s="2" t="inlineStr">
        <is>
          <t>2025::jama.2025.7583::C001</t>
        </is>
      </c>
      <c r="B294" s="2" t="inlineStr">
        <is>
          <t>sourceLinks</t>
        </is>
      </c>
      <c r="C294" s="2" t="n">
        <v>1</v>
      </c>
      <c r="D294" s="2" t="inlineStr">
        <is>
          <t>protocol — PDF p. 7</t>
        </is>
      </c>
      <c r="E294" s="2" t="inlineStr">
        <is>
          <t>../../2025/jama.2025.7583/joi250033supp1_prod_1750956987.76581.pdf#page=7</t>
        </is>
      </c>
    </row>
    <row r="295" ht="30" customHeight="1">
      <c r="A295" s="3" t="inlineStr">
        <is>
          <t>2025::jama.2025.7583::C001</t>
        </is>
      </c>
      <c r="B295" s="3" t="inlineStr">
        <is>
          <t>sourceLinks</t>
        </is>
      </c>
      <c r="C295" s="3" t="n">
        <v>2</v>
      </c>
      <c r="D295" s="3" t="inlineStr">
        <is>
          <t>protocol — PDF p. 16</t>
        </is>
      </c>
      <c r="E295" s="3" t="inlineStr">
        <is>
          <t>../../2025/jama.2025.7583/joi250033supp1_prod_1750956987.76581.pdf#page=16</t>
        </is>
      </c>
    </row>
    <row r="296" ht="30" customHeight="1">
      <c r="A296" s="2" t="inlineStr">
        <is>
          <t>2025::jama.2025.7583::C001</t>
        </is>
      </c>
      <c r="B296" s="2" t="inlineStr">
        <is>
          <t>sourceLinks</t>
        </is>
      </c>
      <c r="C296" s="2" t="n">
        <v>3</v>
      </c>
      <c r="D296" s="2" t="inlineStr">
        <is>
          <t>results supplement — PDF p. 15</t>
        </is>
      </c>
      <c r="E296" s="2" t="inlineStr">
        <is>
          <t>../../2025/jama.2025.7583/joi250033supp4_prod_1750956987.77981.pdf#page=15</t>
        </is>
      </c>
    </row>
    <row r="297" ht="30" customHeight="1">
      <c r="A297" s="3" t="inlineStr">
        <is>
          <t>2025::jama.2025.7583::C001</t>
        </is>
      </c>
      <c r="B297" s="3" t="inlineStr">
        <is>
          <t>sourceLinks</t>
        </is>
      </c>
      <c r="C297" s="3" t="n">
        <v>4</v>
      </c>
      <c r="D297" s="3" t="inlineStr">
        <is>
          <t>SAP — PDF p. 3</t>
        </is>
      </c>
      <c r="E297" s="3" t="inlineStr">
        <is>
          <t>../../2025/jama.2025.7583/joi250033supp5_prod_1750956987.78281.pdf#page=3</t>
        </is>
      </c>
    </row>
    <row r="298" ht="40" customHeight="1">
      <c r="A298" s="2" t="inlineStr">
        <is>
          <t>2025::jama.2025.7583::C001</t>
        </is>
      </c>
      <c r="B298" s="2" t="inlineStr">
        <is>
          <t>evidencePaths</t>
        </is>
      </c>
      <c r="C298" s="2" t="n">
        <v>0</v>
      </c>
      <c r="D298" s="2" t="inlineStr">
        <is>
          <t>2025/jama.2025.7583/.ai_paper_validation/review_1_5_1/verification/evidence_recheck.md</t>
        </is>
      </c>
      <c r="E298" s="2" t="inlineStr">
        <is>
          <t>../../2025/jama.2025.7583/.ai_paper_validation/review_1_5_1/verification/evidence_recheck.md</t>
        </is>
      </c>
    </row>
    <row r="299" ht="30" customHeight="1">
      <c r="A299" s="3" t="inlineStr">
        <is>
          <t>2025::jama.2025.7583::C002</t>
        </is>
      </c>
      <c r="B299" s="3" t="inlineStr">
        <is>
          <t>sourceLinks</t>
        </is>
      </c>
      <c r="C299" s="3" t="n">
        <v>0</v>
      </c>
      <c r="D299" s="3" t="inlineStr">
        <is>
          <t>Protocol — PDF p. 50</t>
        </is>
      </c>
      <c r="E299" s="3" t="inlineStr">
        <is>
          <t>../../2025/jama.2025.7583/joi250033supp1_prod_1750956987.76581.pdf#page=50</t>
        </is>
      </c>
    </row>
    <row r="300" ht="30" customHeight="1">
      <c r="A300" s="2" t="inlineStr">
        <is>
          <t>2025::jama.2025.7583::C002</t>
        </is>
      </c>
      <c r="B300" s="2" t="inlineStr">
        <is>
          <t>sourceLinks</t>
        </is>
      </c>
      <c r="C300" s="2" t="n">
        <v>1</v>
      </c>
      <c r="D300" s="2" t="inlineStr">
        <is>
          <t>SAP — PDF p. 4</t>
        </is>
      </c>
      <c r="E300" s="2" t="inlineStr">
        <is>
          <t>../../2025/jama.2025.7583/joi250033supp5_prod_1750956987.78281.pdf#page=4</t>
        </is>
      </c>
    </row>
    <row r="301" ht="30" customHeight="1">
      <c r="A301" s="3" t="inlineStr">
        <is>
          <t>2025::jama.2025.7583::C002</t>
        </is>
      </c>
      <c r="B301" s="3" t="inlineStr">
        <is>
          <t>sourceLinks</t>
        </is>
      </c>
      <c r="C301" s="3" t="n">
        <v>2</v>
      </c>
      <c r="D301" s="3" t="inlineStr">
        <is>
          <t>SAP — PDF p. 5</t>
        </is>
      </c>
      <c r="E301" s="3" t="inlineStr">
        <is>
          <t>../../2025/jama.2025.7583/joi250033supp5_prod_1750956987.78281.pdf#page=5</t>
        </is>
      </c>
    </row>
    <row r="302" ht="30" customHeight="1">
      <c r="A302" s="2" t="inlineStr">
        <is>
          <t>2025::jama.2025.7583::C002</t>
        </is>
      </c>
      <c r="B302" s="2" t="inlineStr">
        <is>
          <t>sourceLinks</t>
        </is>
      </c>
      <c r="C302" s="2" t="n">
        <v>3</v>
      </c>
      <c r="D302" s="2" t="inlineStr">
        <is>
          <t>main article — PDF p. 3</t>
        </is>
      </c>
      <c r="E302" s="2" t="inlineStr">
        <is>
          <t>../../2025/jama.2025.7583/jama_shotar_2025_oi_250033_1750956987.75881.pdf#page=3</t>
        </is>
      </c>
    </row>
    <row r="303" ht="40" customHeight="1">
      <c r="A303" s="3" t="inlineStr">
        <is>
          <t>2025::jama.2025.7583::C002</t>
        </is>
      </c>
      <c r="B303" s="3" t="inlineStr">
        <is>
          <t>evidencePaths</t>
        </is>
      </c>
      <c r="C303" s="3" t="n">
        <v>0</v>
      </c>
      <c r="D303" s="3" t="inlineStr">
        <is>
          <t>2025/jama.2025.7583/.ai_paper_validation/review_1_5_1/verification/evidence_recheck.md</t>
        </is>
      </c>
      <c r="E303" s="3" t="inlineStr">
        <is>
          <t>../../2025/jama.2025.7583/.ai_paper_validation/review_1_5_1/verification/evidence_recheck.md</t>
        </is>
      </c>
    </row>
    <row r="304" ht="30" customHeight="1">
      <c r="A304" s="2" t="inlineStr">
        <is>
          <t>2025::jama.2025.7583::C003</t>
        </is>
      </c>
      <c r="B304" s="2" t="inlineStr">
        <is>
          <t>sourceLinks</t>
        </is>
      </c>
      <c r="C304" s="2" t="n">
        <v>0</v>
      </c>
      <c r="D304" s="2" t="inlineStr">
        <is>
          <t>Main article — PDF p. 5</t>
        </is>
      </c>
      <c r="E304" s="2" t="inlineStr">
        <is>
          <t>../../2025/jama.2025.7583/jama_shotar_2025_oi_250033_1750956987.75881.pdf#page=5</t>
        </is>
      </c>
    </row>
    <row r="305" ht="40" customHeight="1">
      <c r="A305" s="3" t="inlineStr">
        <is>
          <t>2025::jama.2025.7583::C003</t>
        </is>
      </c>
      <c r="B305" s="3" t="inlineStr">
        <is>
          <t>evidencePaths</t>
        </is>
      </c>
      <c r="C305" s="3" t="n">
        <v>0</v>
      </c>
      <c r="D305" s="3" t="inlineStr">
        <is>
          <t>2025/jama.2025.7583/.ai_paper_validation/review_1_5_1/verification/evidence_recheck.md</t>
        </is>
      </c>
      <c r="E305" s="3" t="inlineStr">
        <is>
          <t>../../2025/jama.2025.7583/.ai_paper_validation/review_1_5_1/verification/evidence_recheck.md</t>
        </is>
      </c>
    </row>
    <row r="306" ht="40" customHeight="1">
      <c r="A306" s="2" t="inlineStr">
        <is>
          <t>2025::jama.2025.7710::C001</t>
        </is>
      </c>
      <c r="B306" s="2" t="inlineStr">
        <is>
          <t>sourceLinks</t>
        </is>
      </c>
      <c r="C306" s="2" t="n">
        <v>0</v>
      </c>
      <c r="D306" s="2" t="inlineStr">
        <is>
          <t>joi250034supp1_prod_1750956984.09018.pdf — PDF p. 16, section 7.2.3</t>
        </is>
      </c>
      <c r="E306" s="2" t="inlineStr">
        <is>
          <t>../../2025/jama.2025.7710/joi250034supp1_prod_1750956984.09018.pdf#page=16</t>
        </is>
      </c>
    </row>
    <row r="307" ht="40" customHeight="1">
      <c r="A307" s="3" t="inlineStr">
        <is>
          <t>2025::jama.2025.7710::C001</t>
        </is>
      </c>
      <c r="B307" s="3" t="inlineStr">
        <is>
          <t>sourceLinks</t>
        </is>
      </c>
      <c r="C307" s="3" t="n">
        <v>1</v>
      </c>
      <c r="D307" s="3" t="inlineStr">
        <is>
          <t>joi250034supp1_prod_1750956984.09018.pdf — PDF p. 17, section 8.2</t>
        </is>
      </c>
      <c r="E307" s="3" t="inlineStr">
        <is>
          <t>../../2025/jama.2025.7710/joi250034supp1_prod_1750956984.09018.pdf#page=17</t>
        </is>
      </c>
    </row>
    <row r="308" ht="40" customHeight="1">
      <c r="A308" s="2" t="inlineStr">
        <is>
          <t>2025::jama.2025.7710::C002</t>
        </is>
      </c>
      <c r="B308" s="2" t="inlineStr">
        <is>
          <t>sourceLinks</t>
        </is>
      </c>
      <c r="C308" s="2" t="n">
        <v>0</v>
      </c>
      <c r="D308" s="2" t="inlineStr">
        <is>
          <t>joi250034supp1_prod_1750956984.09018.pdf — PDF p. 15, section 7.1</t>
        </is>
      </c>
      <c r="E308" s="2" t="inlineStr">
        <is>
          <t>../../2025/jama.2025.7710/joi250034supp1_prod_1750956984.09018.pdf#page=15</t>
        </is>
      </c>
    </row>
    <row r="309" ht="40" customHeight="1">
      <c r="A309" s="3" t="inlineStr">
        <is>
          <t>2025::jama.2025.7710::C002</t>
        </is>
      </c>
      <c r="B309" s="3" t="inlineStr">
        <is>
          <t>sourceLinks</t>
        </is>
      </c>
      <c r="C309" s="3" t="n">
        <v>1</v>
      </c>
      <c r="D309" s="3" t="inlineStr">
        <is>
          <t>joi250034supp1_prod_1750956984.09018.pdf — PDF p. 16, section 7.2.1</t>
        </is>
      </c>
      <c r="E309" s="3" t="inlineStr">
        <is>
          <t>../../2025/jama.2025.7710/joi250034supp1_prod_1750956984.09018.pdf#page=16</t>
        </is>
      </c>
    </row>
    <row r="310" ht="40" customHeight="1">
      <c r="A310" s="2" t="inlineStr">
        <is>
          <t>2025::jama.2025.7710::C003</t>
        </is>
      </c>
      <c r="B310" s="2" t="inlineStr">
        <is>
          <t>sourceLinks</t>
        </is>
      </c>
      <c r="C310" s="2" t="n">
        <v>0</v>
      </c>
      <c r="D310" s="2" t="inlineStr">
        <is>
          <t>joi250034supp1_prod_1750956984.09018.pdf — PDF p. 5, synopsis and schema</t>
        </is>
      </c>
      <c r="E310" s="2" t="inlineStr">
        <is>
          <t>../../2025/jama.2025.7710/joi250034supp1_prod_1750956984.09018.pdf#page=5</t>
        </is>
      </c>
    </row>
    <row r="311" ht="40" customHeight="1">
      <c r="A311" s="3" t="inlineStr">
        <is>
          <t>2025::jama.2025.7710::C003</t>
        </is>
      </c>
      <c r="B311" s="3" t="inlineStr">
        <is>
          <t>sourceLinks</t>
        </is>
      </c>
      <c r="C311" s="3" t="n">
        <v>1</v>
      </c>
      <c r="D311" s="3" t="inlineStr">
        <is>
          <t>joi250034supp1_prod_1750956984.09018.pdf — PDF p. 16, section 7.2.3</t>
        </is>
      </c>
      <c r="E311" s="3" t="inlineStr">
        <is>
          <t>../../2025/jama.2025.7710/joi250034supp1_prod_1750956984.09018.pdf#page=16</t>
        </is>
      </c>
    </row>
    <row r="312" ht="40" customHeight="1">
      <c r="A312" s="2" t="inlineStr">
        <is>
          <t>2025::jama.2025.7710::C003</t>
        </is>
      </c>
      <c r="B312" s="2" t="inlineStr">
        <is>
          <t>sourceLinks</t>
        </is>
      </c>
      <c r="C312" s="2" t="n">
        <v>2</v>
      </c>
      <c r="D312" s="2" t="inlineStr">
        <is>
          <t>joi250034supp1_prod_1750956984.09018.pdf — PDF p. 17, section 8.2</t>
        </is>
      </c>
      <c r="E312" s="2" t="inlineStr">
        <is>
          <t>../../2025/jama.2025.7710/joi250034supp1_prod_1750956984.09018.pdf#page=17</t>
        </is>
      </c>
    </row>
    <row r="313" ht="40" customHeight="1">
      <c r="A313" s="3" t="inlineStr">
        <is>
          <t>2025::jama.2025.7710::C004</t>
        </is>
      </c>
      <c r="B313" s="3" t="inlineStr">
        <is>
          <t>sourceLinks</t>
        </is>
      </c>
      <c r="C313" s="3" t="n">
        <v>0</v>
      </c>
      <c r="D313" s="3" t="inlineStr">
        <is>
          <t>jama_kumar_2025_oi_250034_1750956984.08518.pdf — PDF p. 4, Statistical Analysis</t>
        </is>
      </c>
      <c r="E313" s="3" t="inlineStr">
        <is>
          <t>../../2025/jama.2025.7710/jama_kumar_2025_oi_250034_1750956984.08518.pdf#page=4</t>
        </is>
      </c>
    </row>
    <row r="314" ht="40" customHeight="1">
      <c r="A314" s="2" t="inlineStr">
        <is>
          <t>2025::jama.2025.7710::C004</t>
        </is>
      </c>
      <c r="B314" s="2" t="inlineStr">
        <is>
          <t>sourceLinks</t>
        </is>
      </c>
      <c r="C314" s="2" t="n">
        <v>1</v>
      </c>
      <c r="D314" s="2" t="inlineStr">
        <is>
          <t>jama_kumar_2025_oi_250034_1750956984.08518.pdf — PDF p. 7, Table 3</t>
        </is>
      </c>
      <c r="E314" s="2" t="inlineStr">
        <is>
          <t>../../2025/jama.2025.7710/jama_kumar_2025_oi_250034_1750956984.08518.pdf#page=7</t>
        </is>
      </c>
    </row>
    <row r="315" ht="40" customHeight="1">
      <c r="A315" s="3" t="inlineStr">
        <is>
          <t>2025::jama.2025.7710::C004</t>
        </is>
      </c>
      <c r="B315" s="3" t="inlineStr">
        <is>
          <t>sourceLinks</t>
        </is>
      </c>
      <c r="C315" s="3" t="n">
        <v>2</v>
      </c>
      <c r="D315" s="3" t="inlineStr">
        <is>
          <t>joi250034supp1_prod_1750956984.09018.pdf — PDF p. 20, section 13.2</t>
        </is>
      </c>
      <c r="E315" s="3" t="inlineStr">
        <is>
          <t>../../2025/jama.2025.7710/joi250034supp1_prod_1750956984.09018.pdf#page=20</t>
        </is>
      </c>
    </row>
    <row r="316" ht="40" customHeight="1">
      <c r="A316" s="2" t="inlineStr">
        <is>
          <t>2025::jama.2025.7710::C004</t>
        </is>
      </c>
      <c r="B316" s="2" t="inlineStr">
        <is>
          <t>sourceLinks</t>
        </is>
      </c>
      <c r="C316" s="2" t="n">
        <v>3</v>
      </c>
      <c r="D316" s="2" t="inlineStr">
        <is>
          <t>joi250034supp2_prod_1750956984.11521.pdf — PDF p. 12, section 3.2</t>
        </is>
      </c>
      <c r="E316" s="2" t="inlineStr">
        <is>
          <t>../../2025/jama.2025.7710/joi250034supp2_prod_1750956984.11521.pdf#page=12</t>
        </is>
      </c>
    </row>
    <row r="317" ht="40" customHeight="1">
      <c r="A317" s="3" t="inlineStr">
        <is>
          <t>2025::jama.2025.7710::C004</t>
        </is>
      </c>
      <c r="B317" s="3" t="inlineStr">
        <is>
          <t>sourceLinks</t>
        </is>
      </c>
      <c r="C317" s="3" t="n">
        <v>4</v>
      </c>
      <c r="D317" s="3" t="inlineStr">
        <is>
          <t>joi250034supp2_prod_1750956984.11521.pdf — PDF p. 25, proposed Table 11</t>
        </is>
      </c>
      <c r="E317" s="3" t="inlineStr">
        <is>
          <t>../../2025/jama.2025.7710/joi250034supp2_prod_1750956984.11521.pdf#page=25</t>
        </is>
      </c>
    </row>
    <row r="318" ht="40" customHeight="1">
      <c r="A318" s="2" t="inlineStr">
        <is>
          <t>2025::jama.2025.7710::C004</t>
        </is>
      </c>
      <c r="B318" s="2" t="inlineStr">
        <is>
          <t>evidencePaths</t>
        </is>
      </c>
      <c r="C318" s="2" t="n">
        <v>0</v>
      </c>
      <c r="D318" s="2" t="inlineStr">
        <is>
          <t>2025/jama.2025.7710/.ai_paper_validation/review_1_5_1/verification/evidence_recheck.md</t>
        </is>
      </c>
      <c r="E318" s="2" t="inlineStr">
        <is>
          <t>../../2025/jama.2025.7710/.ai_paper_validation/review_1_5_1/verification/evidence_recheck.md</t>
        </is>
      </c>
    </row>
    <row r="319" ht="30" customHeight="1">
      <c r="A319" s="3" t="inlineStr">
        <is>
          <t>2025::jama.2025.9110::C001</t>
        </is>
      </c>
      <c r="B319" s="3" t="inlineStr">
        <is>
          <t>sourceLinks</t>
        </is>
      </c>
      <c r="C319" s="3" t="n">
        <v>0</v>
      </c>
      <c r="D319" s="3" t="inlineStr">
        <is>
          <t>Main article — PDF p. 7</t>
        </is>
      </c>
      <c r="E319" s="3" t="inlineStr">
        <is>
          <t>../../2025/jama.2025.9110/jama_summers_2025_oi_250040_1753124024.36498.pdf#page=7</t>
        </is>
      </c>
    </row>
    <row r="320" ht="30" customHeight="1">
      <c r="A320" s="2" t="inlineStr">
        <is>
          <t>2025::jama.2025.9110::C001</t>
        </is>
      </c>
      <c r="B320" s="2" t="inlineStr">
        <is>
          <t>sourceLinks</t>
        </is>
      </c>
      <c r="C320" s="2" t="n">
        <v>1</v>
      </c>
      <c r="D320" s="2" t="inlineStr">
        <is>
          <t>main article — PDF p. 1</t>
        </is>
      </c>
      <c r="E320" s="2" t="inlineStr">
        <is>
          <t>../../2025/jama.2025.9110/jama_summers_2025_oi_250040_1753124024.36498.pdf#page=1</t>
        </is>
      </c>
    </row>
    <row r="321" ht="30" customHeight="1">
      <c r="A321" s="3" t="inlineStr">
        <is>
          <t>2025::jama.2025.9110::C001</t>
        </is>
      </c>
      <c r="B321" s="3" t="inlineStr">
        <is>
          <t>sourceLinks</t>
        </is>
      </c>
      <c r="C321" s="3" t="n">
        <v>2</v>
      </c>
      <c r="D321" s="3" t="inlineStr">
        <is>
          <t>Results Supplement — PDF p. 18</t>
        </is>
      </c>
      <c r="E321" s="3" t="inlineStr">
        <is>
          <t>../../2025/jama.2025.9110/joi250040supp3_prod_1753124024.38098.pdf#page=18</t>
        </is>
      </c>
    </row>
    <row r="322" ht="30" customHeight="1">
      <c r="A322" s="2" t="inlineStr">
        <is>
          <t>2025::jama.2025.9110::C002</t>
        </is>
      </c>
      <c r="B322" s="2" t="inlineStr">
        <is>
          <t>sourceLinks</t>
        </is>
      </c>
      <c r="C322" s="2" t="n">
        <v>0</v>
      </c>
      <c r="D322" s="2" t="inlineStr">
        <is>
          <t>Results Supplement — PDF p. 18</t>
        </is>
      </c>
      <c r="E322" s="2" t="inlineStr">
        <is>
          <t>../../2025/jama.2025.9110/joi250040supp3_prod_1753124024.38098.pdf#page=18</t>
        </is>
      </c>
    </row>
    <row r="323" ht="30" customHeight="1">
      <c r="A323" s="3" t="inlineStr">
        <is>
          <t>2025::jama.2025.9110::C003</t>
        </is>
      </c>
      <c r="B323" s="3" t="inlineStr">
        <is>
          <t>sourceLinks</t>
        </is>
      </c>
      <c r="C323" s="3" t="n">
        <v>0</v>
      </c>
      <c r="D323" s="3" t="inlineStr">
        <is>
          <t>Main article — PDF p. 7</t>
        </is>
      </c>
      <c r="E323" s="3" t="inlineStr">
        <is>
          <t>../../2025/jama.2025.9110/jama_summers_2025_oi_250040_1753124024.36498.pdf#page=7</t>
        </is>
      </c>
    </row>
    <row r="324" ht="30" customHeight="1">
      <c r="A324" s="2" t="inlineStr">
        <is>
          <t>2025::jama.2025.9110::C003</t>
        </is>
      </c>
      <c r="B324" s="2" t="inlineStr">
        <is>
          <t>sourceLinks</t>
        </is>
      </c>
      <c r="C324" s="2" t="n">
        <v>1</v>
      </c>
      <c r="D324" s="2" t="inlineStr">
        <is>
          <t>Results Supplement — PDF p. 5</t>
        </is>
      </c>
      <c r="E324" s="2" t="inlineStr">
        <is>
          <t>../../2025/jama.2025.9110/joi250040supp3_prod_1753124024.38098.pdf#page=5</t>
        </is>
      </c>
    </row>
    <row r="325" ht="30" customHeight="1">
      <c r="A325" s="3" t="inlineStr">
        <is>
          <t>2025::jama.2025.9110::C003</t>
        </is>
      </c>
      <c r="B325" s="3" t="inlineStr">
        <is>
          <t>sourceLinks</t>
        </is>
      </c>
      <c r="C325" s="3" t="n">
        <v>2</v>
      </c>
      <c r="D325" s="3" t="inlineStr">
        <is>
          <t>Results Supplement — PDF p. 27</t>
        </is>
      </c>
      <c r="E325" s="3" t="inlineStr">
        <is>
          <t>../../2025/jama.2025.9110/joi250040supp3_prod_1753124024.38098.pdf#page=27</t>
        </is>
      </c>
    </row>
    <row r="326" ht="30" customHeight="1">
      <c r="A326" s="2" t="inlineStr">
        <is>
          <t>2025::jama.2025.9110::C004</t>
        </is>
      </c>
      <c r="B326" s="2" t="inlineStr">
        <is>
          <t>sourceLinks</t>
        </is>
      </c>
      <c r="C326" s="2" t="n">
        <v>0</v>
      </c>
      <c r="D326" s="2" t="inlineStr">
        <is>
          <t>Main article Results — PDF p. 5</t>
        </is>
      </c>
      <c r="E326" s="2" t="inlineStr">
        <is>
          <t>../../2025/jama.2025.9110/jama_summers_2025_oi_250040_1753124024.36498.pdf#page=5</t>
        </is>
      </c>
    </row>
    <row r="327" ht="30" customHeight="1">
      <c r="A327" s="3" t="inlineStr">
        <is>
          <t>2025::jama.2025.9110::C004</t>
        </is>
      </c>
      <c r="B327" s="3" t="inlineStr">
        <is>
          <t>sourceLinks</t>
        </is>
      </c>
      <c r="C327" s="3" t="n">
        <v>1</v>
      </c>
      <c r="D327" s="3" t="inlineStr">
        <is>
          <t>main article Discussion — PDF p. 8</t>
        </is>
      </c>
      <c r="E327" s="3" t="inlineStr">
        <is>
          <t>../../2025/jama.2025.9110/jama_summers_2025_oi_250040_1753124024.36498.pdf#page=8</t>
        </is>
      </c>
    </row>
    <row r="328" ht="30" customHeight="1">
      <c r="A328" s="2" t="inlineStr">
        <is>
          <t>2025::jama.2025.9110::C005</t>
        </is>
      </c>
      <c r="B328" s="2" t="inlineStr">
        <is>
          <t>sourceLinks</t>
        </is>
      </c>
      <c r="C328" s="2" t="n">
        <v>0</v>
      </c>
      <c r="D328" s="2" t="inlineStr">
        <is>
          <t>Results Supplement — PDF p. 18</t>
        </is>
      </c>
      <c r="E328" s="2" t="inlineStr">
        <is>
          <t>../../2025/jama.2025.9110/joi250040supp3_prod_1753124024.38098.pdf#page=18</t>
        </is>
      </c>
    </row>
    <row r="329" ht="30" customHeight="1">
      <c r="A329" s="3" t="inlineStr">
        <is>
          <t>2025::jama.2025.9110::C006</t>
        </is>
      </c>
      <c r="B329" s="3" t="inlineStr">
        <is>
          <t>sourceLinks</t>
        </is>
      </c>
      <c r="C329" s="3" t="n">
        <v>0</v>
      </c>
      <c r="D329" s="3" t="inlineStr">
        <is>
          <t>Results Supplement — PDF p. 18</t>
        </is>
      </c>
      <c r="E329" s="3" t="inlineStr">
        <is>
          <t>../../2025/jama.2025.9110/joi250040supp3_prod_1753124024.38098.pdf#page=18</t>
        </is>
      </c>
    </row>
    <row r="330" ht="40" customHeight="1">
      <c r="A330" s="2" t="inlineStr">
        <is>
          <t>2025::jama.2025.9663::C001</t>
        </is>
      </c>
      <c r="B330" s="2" t="inlineStr">
        <is>
          <t>sourceLinks</t>
        </is>
      </c>
      <c r="C330" s="2" t="n">
        <v>0</v>
      </c>
      <c r="D330" s="2" t="inlineStr">
        <is>
          <t>jama_martin_2025_oi_250042_1753377747.91025.pdf — PDF p. 6 (printed article p. 403), Oxygen Exposure paragraph</t>
        </is>
      </c>
      <c r="E330" s="2" t="inlineStr">
        <is>
          <t>../../2025/jama.2025.9663/jama_martin_2025_oi_250042_1753377747.91025.pdf#page=6</t>
        </is>
      </c>
    </row>
    <row r="331" ht="40" customHeight="1">
      <c r="A331" s="3" t="inlineStr">
        <is>
          <t>2025::jama.2025.9663::C001</t>
        </is>
      </c>
      <c r="B331" s="3" t="inlineStr">
        <is>
          <t>sourceLinks</t>
        </is>
      </c>
      <c r="C331" s="3" t="n">
        <v>1</v>
      </c>
      <c r="D331" s="3" t="inlineStr">
        <is>
          <t>joi250042supp2_prod_1753377747.93025.pdf — PDF p. 21, eTable 5</t>
        </is>
      </c>
      <c r="E331" s="3" t="inlineStr">
        <is>
          <t>../../2025/jama.2025.9663/joi250042supp2_prod_1753377747.93025.pdf#page=21</t>
        </is>
      </c>
    </row>
    <row r="332" ht="40" customHeight="1">
      <c r="A332" s="2" t="inlineStr">
        <is>
          <t>2025::jama.2025.9663::C002</t>
        </is>
      </c>
      <c r="B332" s="2" t="inlineStr">
        <is>
          <t>sourceLinks</t>
        </is>
      </c>
      <c r="C332" s="2" t="n">
        <v>0</v>
      </c>
      <c r="D332" s="2" t="inlineStr">
        <is>
          <t>joi250042supp2_prod_1753377747.93025.pdf — PDF p. 1, contents</t>
        </is>
      </c>
      <c r="E332" s="2" t="inlineStr">
        <is>
          <t>../../2025/jama.2025.9663/joi250042supp2_prod_1753377747.93025.pdf#page=1</t>
        </is>
      </c>
    </row>
    <row r="333" ht="30" customHeight="1">
      <c r="A333" s="3" t="inlineStr">
        <is>
          <t>2025::jama.2025.9663::C002</t>
        </is>
      </c>
      <c r="B333" s="3" t="inlineStr">
        <is>
          <t>sourceLinks</t>
        </is>
      </c>
      <c r="C333" s="3" t="n">
        <v>1</v>
      </c>
      <c r="D333" s="3" t="inlineStr">
        <is>
          <t>eTable 1 — PDF p. 15</t>
        </is>
      </c>
      <c r="E333" s="3" t="inlineStr">
        <is>
          <t>../../2025/jama.2025.9663/joi250042supp2_prod_1753377747.93025.pdf#page=15</t>
        </is>
      </c>
    </row>
    <row r="334" ht="30" customHeight="1">
      <c r="A334" s="2" t="inlineStr">
        <is>
          <t>2025::jama.2025.9663::C002</t>
        </is>
      </c>
      <c r="B334" s="2" t="inlineStr">
        <is>
          <t>sourceLinks</t>
        </is>
      </c>
      <c r="C334" s="2" t="n">
        <v>2</v>
      </c>
      <c r="D334" s="2" t="inlineStr">
        <is>
          <t>eTable 2 — PDF p. 17</t>
        </is>
      </c>
      <c r="E334" s="2" t="inlineStr">
        <is>
          <t>../../2025/jama.2025.9663/joi250042supp2_prod_1753377747.93025.pdf#page=17</t>
        </is>
      </c>
    </row>
    <row r="335" ht="30" customHeight="1">
      <c r="A335" s="3" t="inlineStr">
        <is>
          <t>2025::jama.2025.9663::C002</t>
        </is>
      </c>
      <c r="B335" s="3" t="inlineStr">
        <is>
          <t>sourceLinks</t>
        </is>
      </c>
      <c r="C335" s="3" t="n">
        <v>3</v>
      </c>
      <c r="D335" s="3" t="inlineStr">
        <is>
          <t>eTable 3 — PDF p. 18</t>
        </is>
      </c>
      <c r="E335" s="3" t="inlineStr">
        <is>
          <t>../../2025/jama.2025.9663/joi250042supp2_prod_1753377747.93025.pdf#page=18</t>
        </is>
      </c>
    </row>
    <row r="336" ht="30" customHeight="1">
      <c r="A336" s="2" t="inlineStr">
        <is>
          <t>2025::jama.2025.9663::C002</t>
        </is>
      </c>
      <c r="B336" s="2" t="inlineStr">
        <is>
          <t>sourceLinks</t>
        </is>
      </c>
      <c r="C336" s="2" t="n">
        <v>4</v>
      </c>
      <c r="D336" s="2" t="inlineStr">
        <is>
          <t>eTable 4 — PDF p. 19</t>
        </is>
      </c>
      <c r="E336" s="2" t="inlineStr">
        <is>
          <t>../../2025/jama.2025.9663/joi250042supp2_prod_1753377747.93025.pdf#page=19</t>
        </is>
      </c>
    </row>
    <row r="337" ht="40" customHeight="1">
      <c r="A337" s="3" t="inlineStr">
        <is>
          <t>2025::jama.2025.9663::C003</t>
        </is>
      </c>
      <c r="B337" s="3" t="inlineStr">
        <is>
          <t>sourceLinks</t>
        </is>
      </c>
      <c r="C337" s="3" t="n">
        <v>0</v>
      </c>
      <c r="D337" s="3" t="inlineStr">
        <is>
          <t>joi250042supp1_prod_1753377747.92525.pdf — PDF p. 118 (SAP p. 8), section 2.5 and Table 1</t>
        </is>
      </c>
      <c r="E337" s="3" t="inlineStr">
        <is>
          <t>../../2025/jama.2025.9663/joi250042supp1_prod_1753377747.92525.pdf#page=118</t>
        </is>
      </c>
    </row>
  </sheetData>
  <sheetProtection selectLockedCells="0" selectUnlockedCells="0" sheet="1" objects="0" insertRows="1" insertHyperlinks="1" autoFilter="0" scenarios="0" formatColumns="1" deleteColumns="1" insertColumns="1" pivotTables="1" deleteRows="1" formatCells="1" formatRows="1" sort="1"/>
  <autoFilter ref="A1:E337"/>
  <pageMargins left="0.75" right="0.75" top="1" bottom="1" header="0.5" footer="0.5"/>
  <pageSetup orientation="landscape" paperSize="8" fitToHeight="0" fitToWidth="1"/>
</worksheet>
</file>

<file path=xl/worksheets/sheet24.xml><?xml version="1.0" encoding="utf-8"?>
<worksheet xmlns="http://schemas.openxmlformats.org/spreadsheetml/2006/main">
  <sheetPr>
    <outlinePr summaryBelow="1" summaryRight="1"/>
    <pageSetUpPr fitToPage="1"/>
  </sheetPr>
  <dimension ref="A1:D14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2025::jama.2024.24764::C001</t>
        </is>
      </c>
      <c r="B2" s="2" t="inlineStr">
        <is>
          <t>relations</t>
        </is>
      </c>
      <c r="C2" s="2" t="n">
        <v>0</v>
      </c>
      <c r="D2" s="2" t="inlineStr">
        <is>
          <t>S_W</t>
        </is>
      </c>
    </row>
    <row r="3" ht="30" customHeight="1">
      <c r="A3" s="3" t="inlineStr">
        <is>
          <t>2025::jama.2024.24764::C002</t>
        </is>
      </c>
      <c r="B3" s="3" t="inlineStr">
        <is>
          <t>relations</t>
        </is>
      </c>
      <c r="C3" s="3" t="n">
        <v>0</v>
      </c>
      <c r="D3" s="3" t="inlineStr">
        <is>
          <t>S_W</t>
        </is>
      </c>
    </row>
    <row r="4" ht="30" customHeight="1">
      <c r="A4" s="2" t="inlineStr">
        <is>
          <t>2025::jama.2024.24764::C003</t>
        </is>
      </c>
      <c r="B4" s="2" t="inlineStr">
        <is>
          <t>relations</t>
        </is>
      </c>
      <c r="C4" s="2" t="n">
        <v>0</v>
      </c>
      <c r="D4" s="2" t="inlineStr">
        <is>
          <t>S_W</t>
        </is>
      </c>
    </row>
    <row r="5" ht="30" customHeight="1">
      <c r="A5" s="3" t="inlineStr">
        <is>
          <t>2025::jama.2024.24764::C004</t>
        </is>
      </c>
      <c r="B5" s="3" t="inlineStr">
        <is>
          <t>relations</t>
        </is>
      </c>
      <c r="C5" s="3" t="n">
        <v>0</v>
      </c>
      <c r="D5" s="3" t="inlineStr">
        <is>
          <t>S_W</t>
        </is>
      </c>
    </row>
    <row r="6" ht="30" customHeight="1">
      <c r="A6" s="2" t="inlineStr">
        <is>
          <t>2025::jama.2024.24764::C005</t>
        </is>
      </c>
      <c r="B6" s="2" t="inlineStr">
        <is>
          <t>relations</t>
        </is>
      </c>
      <c r="C6" s="2" t="n">
        <v>0</v>
      </c>
      <c r="D6" s="2" t="inlineStr">
        <is>
          <t>S_W</t>
        </is>
      </c>
    </row>
    <row r="7" ht="30" customHeight="1">
      <c r="A7" s="3" t="inlineStr">
        <is>
          <t>2025::jama.2024.24764::C006</t>
        </is>
      </c>
      <c r="B7" s="3" t="inlineStr">
        <is>
          <t>relations</t>
        </is>
      </c>
      <c r="C7" s="3" t="n">
        <v>0</v>
      </c>
      <c r="D7" s="3" t="inlineStr">
        <is>
          <t>P_R</t>
        </is>
      </c>
    </row>
    <row r="8" ht="30" customHeight="1">
      <c r="A8" s="2" t="inlineStr">
        <is>
          <t>2025::jama.2024.24764::C007</t>
        </is>
      </c>
      <c r="B8" s="2" t="inlineStr">
        <is>
          <t>relations</t>
        </is>
      </c>
      <c r="C8" s="2" t="n">
        <v>0</v>
      </c>
      <c r="D8" s="2" t="inlineStr">
        <is>
          <t>P_R</t>
        </is>
      </c>
    </row>
    <row r="9" ht="30" customHeight="1">
      <c r="A9" s="3" t="inlineStr">
        <is>
          <t>2025::jama.2024.24764::C008</t>
        </is>
      </c>
      <c r="B9" s="3" t="inlineStr">
        <is>
          <t>relations</t>
        </is>
      </c>
      <c r="C9" s="3" t="n">
        <v>0</v>
      </c>
      <c r="D9" s="3" t="inlineStr">
        <is>
          <t>P_R</t>
        </is>
      </c>
    </row>
    <row r="10" ht="30" customHeight="1">
      <c r="A10" s="2" t="inlineStr">
        <is>
          <t>2025::jama.2024.27643::C001</t>
        </is>
      </c>
      <c r="B10" s="2" t="inlineStr">
        <is>
          <t>relations</t>
        </is>
      </c>
      <c r="C10" s="2" t="n">
        <v>0</v>
      </c>
      <c r="D10" s="2" t="inlineStr">
        <is>
          <t>S_W</t>
        </is>
      </c>
    </row>
    <row r="11" ht="30" customHeight="1">
      <c r="A11" s="3" t="inlineStr">
        <is>
          <t>2025::jama.2024.27643::C002</t>
        </is>
      </c>
      <c r="B11" s="3" t="inlineStr">
        <is>
          <t>relations</t>
        </is>
      </c>
      <c r="C11" s="3" t="n">
        <v>0</v>
      </c>
      <c r="D11" s="3" t="inlineStr">
        <is>
          <t>S_C</t>
        </is>
      </c>
    </row>
    <row r="12" ht="30" customHeight="1">
      <c r="A12" s="2" t="inlineStr">
        <is>
          <t>2025::jama.2024.27643::C003</t>
        </is>
      </c>
      <c r="B12" s="2" t="inlineStr">
        <is>
          <t>relations</t>
        </is>
      </c>
      <c r="C12" s="2" t="n">
        <v>0</v>
      </c>
      <c r="D12" s="2" t="inlineStr">
        <is>
          <t>S_C</t>
        </is>
      </c>
    </row>
    <row r="13" ht="30" customHeight="1">
      <c r="A13" s="3" t="inlineStr">
        <is>
          <t>2025::jama.2024.27643::C004</t>
        </is>
      </c>
      <c r="B13" s="3" t="inlineStr">
        <is>
          <t>relations</t>
        </is>
      </c>
      <c r="C13" s="3" t="n">
        <v>0</v>
      </c>
      <c r="D13" s="3" t="inlineStr">
        <is>
          <t>S_C</t>
        </is>
      </c>
    </row>
    <row r="14" ht="30" customHeight="1">
      <c r="A14" s="2" t="inlineStr">
        <is>
          <t>2025::jama.2024.27643::C005</t>
        </is>
      </c>
      <c r="B14" s="2" t="inlineStr">
        <is>
          <t>relations</t>
        </is>
      </c>
      <c r="C14" s="2" t="n">
        <v>0</v>
      </c>
      <c r="D14" s="2" t="inlineStr">
        <is>
          <t>S_C</t>
        </is>
      </c>
    </row>
    <row r="15" ht="30" customHeight="1">
      <c r="A15" s="3" t="inlineStr">
        <is>
          <t>2025::jama.2024.27643::C006</t>
        </is>
      </c>
      <c r="B15" s="3" t="inlineStr">
        <is>
          <t>relations</t>
        </is>
      </c>
      <c r="C15" s="3" t="n">
        <v>0</v>
      </c>
      <c r="D15" s="3" t="inlineStr">
        <is>
          <t>S_C</t>
        </is>
      </c>
    </row>
    <row r="16" ht="30" customHeight="1">
      <c r="A16" s="2" t="inlineStr">
        <is>
          <t>2025::jama.2024.27643::C006</t>
        </is>
      </c>
      <c r="B16" s="2" t="inlineStr">
        <is>
          <t>relations</t>
        </is>
      </c>
      <c r="C16" s="2" t="n">
        <v>1</v>
      </c>
      <c r="D16" s="2" t="inlineStr">
        <is>
          <t>S_W</t>
        </is>
      </c>
    </row>
    <row r="17" ht="30" customHeight="1">
      <c r="A17" s="3" t="inlineStr">
        <is>
          <t>2025::jama.2024.27643::C007</t>
        </is>
      </c>
      <c r="B17" s="3" t="inlineStr">
        <is>
          <t>relations</t>
        </is>
      </c>
      <c r="C17" s="3" t="n">
        <v>0</v>
      </c>
      <c r="D17" s="3" t="inlineStr">
        <is>
          <t>S_C</t>
        </is>
      </c>
    </row>
    <row r="18" ht="30" customHeight="1">
      <c r="A18" s="2" t="inlineStr">
        <is>
          <t>2025::jama.2024.27643::C008</t>
        </is>
      </c>
      <c r="B18" s="2" t="inlineStr">
        <is>
          <t>relations</t>
        </is>
      </c>
      <c r="C18" s="2" t="n">
        <v>0</v>
      </c>
      <c r="D18" s="2" t="inlineStr">
        <is>
          <t>S_W</t>
        </is>
      </c>
    </row>
    <row r="19" ht="30" customHeight="1">
      <c r="A19" s="3" t="inlineStr">
        <is>
          <t>2025::jama.2025.11178::C001</t>
        </is>
      </c>
      <c r="B19" s="3" t="inlineStr">
        <is>
          <t>relations</t>
        </is>
      </c>
      <c r="C19" s="3" t="n">
        <v>0</v>
      </c>
      <c r="D19" s="3" t="inlineStr">
        <is>
          <t>S_W</t>
        </is>
      </c>
    </row>
    <row r="20" ht="30" customHeight="1">
      <c r="A20" s="2" t="inlineStr">
        <is>
          <t>2025::jama.2025.11178::C002</t>
        </is>
      </c>
      <c r="B20" s="2" t="inlineStr">
        <is>
          <t>relations</t>
        </is>
      </c>
      <c r="C20" s="2" t="n">
        <v>0</v>
      </c>
      <c r="D20" s="2" t="inlineStr">
        <is>
          <t>S_W</t>
        </is>
      </c>
    </row>
    <row r="21" ht="30" customHeight="1">
      <c r="A21" s="3" t="inlineStr">
        <is>
          <t>2025::jama.2025.11178::C003</t>
        </is>
      </c>
      <c r="B21" s="3" t="inlineStr">
        <is>
          <t>relations</t>
        </is>
      </c>
      <c r="C21" s="3" t="n">
        <v>0</v>
      </c>
      <c r="D21" s="3" t="inlineStr">
        <is>
          <t>S_W</t>
        </is>
      </c>
    </row>
    <row r="22" ht="30" customHeight="1">
      <c r="A22" s="2" t="inlineStr">
        <is>
          <t>2025::jama.2025.11178::C004</t>
        </is>
      </c>
      <c r="B22" s="2" t="inlineStr">
        <is>
          <t>relations</t>
        </is>
      </c>
      <c r="C22" s="2" t="n">
        <v>0</v>
      </c>
      <c r="D22" s="2" t="inlineStr">
        <is>
          <t>S_W</t>
        </is>
      </c>
    </row>
    <row r="23" ht="30" customHeight="1">
      <c r="A23" s="3" t="inlineStr">
        <is>
          <t>2025::jama.2025.11178::C005</t>
        </is>
      </c>
      <c r="B23" s="3" t="inlineStr">
        <is>
          <t>relations</t>
        </is>
      </c>
      <c r="C23" s="3" t="n">
        <v>0</v>
      </c>
      <c r="D23" s="3" t="inlineStr">
        <is>
          <t>S_W</t>
        </is>
      </c>
    </row>
    <row r="24" ht="30" customHeight="1">
      <c r="A24" s="2" t="inlineStr">
        <is>
          <t>2025::jama.2025.11178::C006</t>
        </is>
      </c>
      <c r="B24" s="2" t="inlineStr">
        <is>
          <t>relations</t>
        </is>
      </c>
      <c r="C24" s="2" t="n">
        <v>0</v>
      </c>
      <c r="D24" s="2" t="inlineStr">
        <is>
          <t>S_W</t>
        </is>
      </c>
    </row>
    <row r="25" ht="30" customHeight="1">
      <c r="A25" s="3" t="inlineStr">
        <is>
          <t>2025::jama.2025.11178::C007</t>
        </is>
      </c>
      <c r="B25" s="3" t="inlineStr">
        <is>
          <t>relations</t>
        </is>
      </c>
      <c r="C25" s="3" t="n">
        <v>0</v>
      </c>
      <c r="D25" s="3" t="inlineStr">
        <is>
          <t>S_W</t>
        </is>
      </c>
    </row>
    <row r="26" ht="30" customHeight="1">
      <c r="A26" s="2" t="inlineStr">
        <is>
          <t>2025::jama.2025.11178::C008</t>
        </is>
      </c>
      <c r="B26" s="2" t="inlineStr">
        <is>
          <t>relations</t>
        </is>
      </c>
      <c r="C26" s="2" t="n">
        <v>0</v>
      </c>
      <c r="D26" s="2" t="inlineStr">
        <is>
          <t>S_W</t>
        </is>
      </c>
    </row>
    <row r="27" ht="30" customHeight="1">
      <c r="A27" s="3" t="inlineStr">
        <is>
          <t>2025::jama.2025.11178::C009</t>
        </is>
      </c>
      <c r="B27" s="3" t="inlineStr">
        <is>
          <t>relations</t>
        </is>
      </c>
      <c r="C27" s="3" t="n">
        <v>0</v>
      </c>
      <c r="D27" s="3" t="inlineStr">
        <is>
          <t>S_W</t>
        </is>
      </c>
    </row>
    <row r="28" ht="30" customHeight="1">
      <c r="A28" s="2" t="inlineStr">
        <is>
          <t>2025::jama.2025.11178::C010</t>
        </is>
      </c>
      <c r="B28" s="2" t="inlineStr">
        <is>
          <t>relations</t>
        </is>
      </c>
      <c r="C28" s="2" t="n">
        <v>0</v>
      </c>
      <c r="D28" s="2" t="inlineStr">
        <is>
          <t>S_W</t>
        </is>
      </c>
    </row>
    <row r="29" ht="30" customHeight="1">
      <c r="A29" s="3" t="inlineStr">
        <is>
          <t>2025::jama.2025.11178::C011</t>
        </is>
      </c>
      <c r="B29" s="3" t="inlineStr">
        <is>
          <t>relations</t>
        </is>
      </c>
      <c r="C29" s="3" t="n">
        <v>0</v>
      </c>
      <c r="D29" s="3" t="inlineStr">
        <is>
          <t>S_W</t>
        </is>
      </c>
    </row>
    <row r="30" ht="30" customHeight="1">
      <c r="A30" s="2" t="inlineStr">
        <is>
          <t>2025::jama.2025.11178::C012</t>
        </is>
      </c>
      <c r="B30" s="2" t="inlineStr">
        <is>
          <t>relations</t>
        </is>
      </c>
      <c r="C30" s="2" t="n">
        <v>0</v>
      </c>
      <c r="D30" s="2" t="inlineStr">
        <is>
          <t>S_W</t>
        </is>
      </c>
    </row>
    <row r="31" ht="30" customHeight="1">
      <c r="A31" s="3" t="inlineStr">
        <is>
          <t>2025::jama.2025.11178::C013</t>
        </is>
      </c>
      <c r="B31" s="3" t="inlineStr">
        <is>
          <t>relations</t>
        </is>
      </c>
      <c r="C31" s="3" t="n">
        <v>0</v>
      </c>
      <c r="D31" s="3" t="inlineStr">
        <is>
          <t>S_W</t>
        </is>
      </c>
    </row>
    <row r="32" ht="30" customHeight="1">
      <c r="A32" s="2" t="inlineStr">
        <is>
          <t>2025::jama.2025.11178::C014</t>
        </is>
      </c>
      <c r="B32" s="2" t="inlineStr">
        <is>
          <t>relations</t>
        </is>
      </c>
      <c r="C32" s="2" t="n">
        <v>0</v>
      </c>
      <c r="D32" s="2" t="inlineStr">
        <is>
          <t>S_W</t>
        </is>
      </c>
    </row>
    <row r="33" ht="30" customHeight="1">
      <c r="A33" s="3" t="inlineStr">
        <is>
          <t>2025::jama.2025.11178::C015</t>
        </is>
      </c>
      <c r="B33" s="3" t="inlineStr">
        <is>
          <t>relations</t>
        </is>
      </c>
      <c r="C33" s="3" t="n">
        <v>0</v>
      </c>
      <c r="D33" s="3" t="inlineStr">
        <is>
          <t>S_W</t>
        </is>
      </c>
    </row>
    <row r="34" ht="30" customHeight="1">
      <c r="A34" s="2" t="inlineStr">
        <is>
          <t>2025::jama.2025.11178::C016</t>
        </is>
      </c>
      <c r="B34" s="2" t="inlineStr">
        <is>
          <t>relations</t>
        </is>
      </c>
      <c r="C34" s="2" t="n">
        <v>0</v>
      </c>
      <c r="D34" s="2" t="inlineStr">
        <is>
          <t>S_W</t>
        </is>
      </c>
    </row>
    <row r="35" ht="30" customHeight="1">
      <c r="A35" s="3" t="inlineStr">
        <is>
          <t>2025::jama.2025.11178::C017</t>
        </is>
      </c>
      <c r="B35" s="3" t="inlineStr">
        <is>
          <t>relations</t>
        </is>
      </c>
      <c r="C35" s="3" t="n">
        <v>0</v>
      </c>
      <c r="D35" s="3" t="inlineStr">
        <is>
          <t>S_W</t>
        </is>
      </c>
    </row>
    <row r="36" ht="30" customHeight="1">
      <c r="A36" s="2" t="inlineStr">
        <is>
          <t>2025::jama.2025.11178::C018</t>
        </is>
      </c>
      <c r="B36" s="2" t="inlineStr">
        <is>
          <t>relations</t>
        </is>
      </c>
      <c r="C36" s="2" t="n">
        <v>0</v>
      </c>
      <c r="D36" s="2" t="inlineStr">
        <is>
          <t>S_W</t>
        </is>
      </c>
    </row>
    <row r="37" ht="30" customHeight="1">
      <c r="A37" s="3" t="inlineStr">
        <is>
          <t>2025::jama.2025.11178::C019</t>
        </is>
      </c>
      <c r="B37" s="3" t="inlineStr">
        <is>
          <t>relations</t>
        </is>
      </c>
      <c r="C37" s="3" t="n">
        <v>0</v>
      </c>
      <c r="D37" s="3" t="inlineStr">
        <is>
          <t>S_W</t>
        </is>
      </c>
    </row>
    <row r="38" ht="30" customHeight="1">
      <c r="A38" s="2" t="inlineStr">
        <is>
          <t>2025::jama.2025.11178::C020</t>
        </is>
      </c>
      <c r="B38" s="2" t="inlineStr">
        <is>
          <t>relations</t>
        </is>
      </c>
      <c r="C38" s="2" t="n">
        <v>0</v>
      </c>
      <c r="D38" s="2" t="inlineStr">
        <is>
          <t>S_W</t>
        </is>
      </c>
    </row>
    <row r="39" ht="30" customHeight="1">
      <c r="A39" s="3" t="inlineStr">
        <is>
          <t>2025::jama.2025.11178::C021</t>
        </is>
      </c>
      <c r="B39" s="3" t="inlineStr">
        <is>
          <t>relations</t>
        </is>
      </c>
      <c r="C39" s="3" t="n">
        <v>0</v>
      </c>
      <c r="D39" s="3" t="inlineStr">
        <is>
          <t>S_W</t>
        </is>
      </c>
    </row>
    <row r="40" ht="30" customHeight="1">
      <c r="A40" s="2" t="inlineStr">
        <is>
          <t>2025::jama.2025.11178::C022</t>
        </is>
      </c>
      <c r="B40" s="2" t="inlineStr">
        <is>
          <t>relations</t>
        </is>
      </c>
      <c r="C40" s="2" t="n">
        <v>0</v>
      </c>
      <c r="D40" s="2" t="inlineStr">
        <is>
          <t>S_W</t>
        </is>
      </c>
    </row>
    <row r="41" ht="30" customHeight="1">
      <c r="A41" s="3" t="inlineStr">
        <is>
          <t>2025::jama.2025.11178::C023</t>
        </is>
      </c>
      <c r="B41" s="3" t="inlineStr">
        <is>
          <t>relations</t>
        </is>
      </c>
      <c r="C41" s="3" t="n">
        <v>0</v>
      </c>
      <c r="D41" s="3" t="inlineStr">
        <is>
          <t>S_W</t>
        </is>
      </c>
    </row>
    <row r="42" ht="30" customHeight="1">
      <c r="A42" s="2" t="inlineStr">
        <is>
          <t>2025::jama.2025.11178::C024</t>
        </is>
      </c>
      <c r="B42" s="2" t="inlineStr">
        <is>
          <t>relations</t>
        </is>
      </c>
      <c r="C42" s="2" t="n">
        <v>0</v>
      </c>
      <c r="D42" s="2" t="inlineStr">
        <is>
          <t>S_W</t>
        </is>
      </c>
    </row>
    <row r="43" ht="30" customHeight="1">
      <c r="A43" s="3" t="inlineStr">
        <is>
          <t>2025::jama.2025.11178::C025</t>
        </is>
      </c>
      <c r="B43" s="3" t="inlineStr">
        <is>
          <t>relations</t>
        </is>
      </c>
      <c r="C43" s="3" t="n">
        <v>0</v>
      </c>
      <c r="D43" s="3" t="inlineStr">
        <is>
          <t>S_W</t>
        </is>
      </c>
    </row>
    <row r="44" ht="30" customHeight="1">
      <c r="A44" s="2" t="inlineStr">
        <is>
          <t>2025::jama.2025.11178::C026</t>
        </is>
      </c>
      <c r="B44" s="2" t="inlineStr">
        <is>
          <t>relations</t>
        </is>
      </c>
      <c r="C44" s="2" t="n">
        <v>0</v>
      </c>
      <c r="D44" s="2" t="inlineStr">
        <is>
          <t>S_W</t>
        </is>
      </c>
    </row>
    <row r="45" ht="30" customHeight="1">
      <c r="A45" s="3" t="inlineStr">
        <is>
          <t>2025::jama.2025.11178::C027</t>
        </is>
      </c>
      <c r="B45" s="3" t="inlineStr">
        <is>
          <t>relations</t>
        </is>
      </c>
      <c r="C45" s="3" t="n">
        <v>0</v>
      </c>
      <c r="D45" s="3" t="inlineStr">
        <is>
          <t>S_W</t>
        </is>
      </c>
    </row>
    <row r="46" ht="30" customHeight="1">
      <c r="A46" s="2" t="inlineStr">
        <is>
          <t>2025::jama.2025.11178::C028</t>
        </is>
      </c>
      <c r="B46" s="2" t="inlineStr">
        <is>
          <t>relations</t>
        </is>
      </c>
      <c r="C46" s="2" t="n">
        <v>0</v>
      </c>
      <c r="D46" s="2" t="inlineStr">
        <is>
          <t>S_W</t>
        </is>
      </c>
    </row>
    <row r="47" ht="30" customHeight="1">
      <c r="A47" s="3" t="inlineStr">
        <is>
          <t>2025::jama.2025.11178::C029</t>
        </is>
      </c>
      <c r="B47" s="3" t="inlineStr">
        <is>
          <t>relations</t>
        </is>
      </c>
      <c r="C47" s="3" t="n">
        <v>0</v>
      </c>
      <c r="D47" s="3" t="inlineStr">
        <is>
          <t>S_W</t>
        </is>
      </c>
    </row>
    <row r="48" ht="30" customHeight="1">
      <c r="A48" s="2" t="inlineStr">
        <is>
          <t>2025::jama.2025.11178::C030</t>
        </is>
      </c>
      <c r="B48" s="2" t="inlineStr">
        <is>
          <t>relations</t>
        </is>
      </c>
      <c r="C48" s="2" t="n">
        <v>0</v>
      </c>
      <c r="D48" s="2" t="inlineStr">
        <is>
          <t>S_W</t>
        </is>
      </c>
    </row>
    <row r="49" ht="30" customHeight="1">
      <c r="A49" s="3" t="inlineStr">
        <is>
          <t>2025::jama.2025.11178::C031</t>
        </is>
      </c>
      <c r="B49" s="3" t="inlineStr">
        <is>
          <t>relations</t>
        </is>
      </c>
      <c r="C49" s="3" t="n">
        <v>0</v>
      </c>
      <c r="D49" s="3" t="inlineStr">
        <is>
          <t>S_W</t>
        </is>
      </c>
    </row>
    <row r="50" ht="30" customHeight="1">
      <c r="A50" s="2" t="inlineStr">
        <is>
          <t>2025::jama.2025.11178::C032</t>
        </is>
      </c>
      <c r="B50" s="2" t="inlineStr">
        <is>
          <t>relations</t>
        </is>
      </c>
      <c r="C50" s="2" t="n">
        <v>0</v>
      </c>
      <c r="D50" s="2" t="inlineStr">
        <is>
          <t>S_W</t>
        </is>
      </c>
    </row>
    <row r="51" ht="30" customHeight="1">
      <c r="A51" s="3" t="inlineStr">
        <is>
          <t>2025::jama.2025.11178::C033</t>
        </is>
      </c>
      <c r="B51" s="3" t="inlineStr">
        <is>
          <t>relations</t>
        </is>
      </c>
      <c r="C51" s="3" t="n">
        <v>0</v>
      </c>
      <c r="D51" s="3" t="inlineStr">
        <is>
          <t>S_W</t>
        </is>
      </c>
    </row>
    <row r="52" ht="30" customHeight="1">
      <c r="A52" s="2" t="inlineStr">
        <is>
          <t>2025::jama.2025.11178::C034</t>
        </is>
      </c>
      <c r="B52" s="2" t="inlineStr">
        <is>
          <t>relations</t>
        </is>
      </c>
      <c r="C52" s="2" t="n">
        <v>0</v>
      </c>
      <c r="D52" s="2" t="inlineStr">
        <is>
          <t>S_C</t>
        </is>
      </c>
    </row>
    <row r="53" ht="30" customHeight="1">
      <c r="A53" s="3" t="inlineStr">
        <is>
          <t>2025::jama.2025.11178::C035</t>
        </is>
      </c>
      <c r="B53" s="3" t="inlineStr">
        <is>
          <t>relations</t>
        </is>
      </c>
      <c r="C53" s="3" t="n">
        <v>0</v>
      </c>
      <c r="D53" s="3" t="inlineStr">
        <is>
          <t>S_C</t>
        </is>
      </c>
    </row>
    <row r="54" ht="30" customHeight="1">
      <c r="A54" s="2" t="inlineStr">
        <is>
          <t>2025::jama.2025.11178::C035</t>
        </is>
      </c>
      <c r="B54" s="2" t="inlineStr">
        <is>
          <t>relations</t>
        </is>
      </c>
      <c r="C54" s="2" t="n">
        <v>1</v>
      </c>
      <c r="D54" s="2" t="inlineStr">
        <is>
          <t>S_W</t>
        </is>
      </c>
    </row>
    <row r="55" ht="30" customHeight="1">
      <c r="A55" s="3" t="inlineStr">
        <is>
          <t>2025::jama.2025.11178::C036</t>
        </is>
      </c>
      <c r="B55" s="3" t="inlineStr">
        <is>
          <t>relations</t>
        </is>
      </c>
      <c r="C55" s="3" t="n">
        <v>0</v>
      </c>
      <c r="D55" s="3" t="inlineStr">
        <is>
          <t>S_W</t>
        </is>
      </c>
    </row>
    <row r="56" ht="30" customHeight="1">
      <c r="A56" s="2" t="inlineStr">
        <is>
          <t>2025::jama.2025.11178::C037</t>
        </is>
      </c>
      <c r="B56" s="2" t="inlineStr">
        <is>
          <t>relations</t>
        </is>
      </c>
      <c r="C56" s="2" t="n">
        <v>0</v>
      </c>
      <c r="D56" s="2" t="inlineStr">
        <is>
          <t>S_W</t>
        </is>
      </c>
    </row>
    <row r="57" ht="30" customHeight="1">
      <c r="A57" s="3" t="inlineStr">
        <is>
          <t>2025::jama.2025.15185::C001</t>
        </is>
      </c>
      <c r="B57" s="3" t="inlineStr">
        <is>
          <t>relations</t>
        </is>
      </c>
      <c r="C57" s="3" t="n">
        <v>0</v>
      </c>
      <c r="D57" s="3" t="inlineStr">
        <is>
          <t>S_C</t>
        </is>
      </c>
    </row>
    <row r="58" ht="30" customHeight="1">
      <c r="A58" s="2" t="inlineStr">
        <is>
          <t>2025::jama.2025.15185::C002</t>
        </is>
      </c>
      <c r="B58" s="2" t="inlineStr">
        <is>
          <t>relations</t>
        </is>
      </c>
      <c r="C58" s="2" t="n">
        <v>0</v>
      </c>
      <c r="D58" s="2" t="inlineStr">
        <is>
          <t>S_C</t>
        </is>
      </c>
    </row>
    <row r="59" ht="30" customHeight="1">
      <c r="A59" s="3" t="inlineStr">
        <is>
          <t>2025::jama.2025.15185::C002</t>
        </is>
      </c>
      <c r="B59" s="3" t="inlineStr">
        <is>
          <t>relations</t>
        </is>
      </c>
      <c r="C59" s="3" t="n">
        <v>1</v>
      </c>
      <c r="D59" s="3" t="inlineStr">
        <is>
          <t>S_W</t>
        </is>
      </c>
    </row>
    <row r="60" ht="30" customHeight="1">
      <c r="A60" s="2" t="inlineStr">
        <is>
          <t>2025::jama.2025.15185::C003</t>
        </is>
      </c>
      <c r="B60" s="2" t="inlineStr">
        <is>
          <t>relations</t>
        </is>
      </c>
      <c r="C60" s="2" t="n">
        <v>0</v>
      </c>
      <c r="D60" s="2" t="inlineStr">
        <is>
          <t>S_C</t>
        </is>
      </c>
    </row>
    <row r="61" ht="30" customHeight="1">
      <c r="A61" s="3" t="inlineStr">
        <is>
          <t>2025::jama.2025.15185::C004</t>
        </is>
      </c>
      <c r="B61" s="3" t="inlineStr">
        <is>
          <t>relations</t>
        </is>
      </c>
      <c r="C61" s="3" t="n">
        <v>0</v>
      </c>
      <c r="D61" s="3" t="inlineStr">
        <is>
          <t>S_W</t>
        </is>
      </c>
    </row>
    <row r="62" ht="30" customHeight="1">
      <c r="A62" s="2" t="inlineStr">
        <is>
          <t>2025::jama.2025.15185::C005</t>
        </is>
      </c>
      <c r="B62" s="2" t="inlineStr">
        <is>
          <t>relations</t>
        </is>
      </c>
      <c r="C62" s="2" t="n">
        <v>0</v>
      </c>
      <c r="D62" s="2" t="inlineStr">
        <is>
          <t>S_C</t>
        </is>
      </c>
    </row>
    <row r="63" ht="30" customHeight="1">
      <c r="A63" s="3" t="inlineStr">
        <is>
          <t>2025::jama.2025.15185::C006</t>
        </is>
      </c>
      <c r="B63" s="3" t="inlineStr">
        <is>
          <t>relations</t>
        </is>
      </c>
      <c r="C63" s="3" t="n">
        <v>0</v>
      </c>
      <c r="D63" s="3" t="inlineStr">
        <is>
          <t>S_C</t>
        </is>
      </c>
    </row>
    <row r="64" ht="30" customHeight="1">
      <c r="A64" s="2" t="inlineStr">
        <is>
          <t>2025::jama.2025.15185::C007</t>
        </is>
      </c>
      <c r="B64" s="2" t="inlineStr">
        <is>
          <t>relations</t>
        </is>
      </c>
      <c r="C64" s="2" t="n">
        <v>0</v>
      </c>
      <c r="D64" s="2" t="inlineStr">
        <is>
          <t>S_C</t>
        </is>
      </c>
    </row>
    <row r="65" ht="30" customHeight="1">
      <c r="A65" s="3" t="inlineStr">
        <is>
          <t>2025::jama.2025.15185::C008</t>
        </is>
      </c>
      <c r="B65" s="3" t="inlineStr">
        <is>
          <t>relations</t>
        </is>
      </c>
      <c r="C65" s="3" t="n">
        <v>0</v>
      </c>
      <c r="D65" s="3" t="inlineStr">
        <is>
          <t>S_C</t>
        </is>
      </c>
    </row>
    <row r="66" ht="30" customHeight="1">
      <c r="A66" s="2" t="inlineStr">
        <is>
          <t>2025::jama.2025.15185::C009</t>
        </is>
      </c>
      <c r="B66" s="2" t="inlineStr">
        <is>
          <t>relations</t>
        </is>
      </c>
      <c r="C66" s="2" t="n">
        <v>0</v>
      </c>
      <c r="D66" s="2" t="inlineStr">
        <is>
          <t>S_W</t>
        </is>
      </c>
    </row>
    <row r="67" ht="30" customHeight="1">
      <c r="A67" s="3" t="inlineStr">
        <is>
          <t>2025::jama.2025.15185::C010</t>
        </is>
      </c>
      <c r="B67" s="3" t="inlineStr">
        <is>
          <t>relations</t>
        </is>
      </c>
      <c r="C67" s="3" t="n">
        <v>0</v>
      </c>
      <c r="D67" s="3" t="inlineStr">
        <is>
          <t>S_W</t>
        </is>
      </c>
    </row>
    <row r="68" ht="30" customHeight="1">
      <c r="A68" s="2" t="inlineStr">
        <is>
          <t>2025::jama.2025.15185::C011</t>
        </is>
      </c>
      <c r="B68" s="2" t="inlineStr">
        <is>
          <t>relations</t>
        </is>
      </c>
      <c r="C68" s="2" t="n">
        <v>0</v>
      </c>
      <c r="D68" s="2" t="inlineStr">
        <is>
          <t>S_W</t>
        </is>
      </c>
    </row>
    <row r="69" ht="30" customHeight="1">
      <c r="A69" s="3" t="inlineStr">
        <is>
          <t>2025::jama.2025.15185::C012</t>
        </is>
      </c>
      <c r="B69" s="3" t="inlineStr">
        <is>
          <t>relations</t>
        </is>
      </c>
      <c r="C69" s="3" t="n">
        <v>0</v>
      </c>
      <c r="D69" s="3" t="inlineStr">
        <is>
          <t>S_W</t>
        </is>
      </c>
    </row>
    <row r="70" ht="30" customHeight="1">
      <c r="A70" s="2" t="inlineStr">
        <is>
          <t>2025::jama.2025.15440::C001</t>
        </is>
      </c>
      <c r="B70" s="2" t="inlineStr">
        <is>
          <t>relations</t>
        </is>
      </c>
      <c r="C70" s="2" t="n">
        <v>0</v>
      </c>
      <c r="D70" s="2" t="inlineStr">
        <is>
          <t>S_W</t>
        </is>
      </c>
    </row>
    <row r="71" ht="30" customHeight="1">
      <c r="A71" s="3" t="inlineStr">
        <is>
          <t>2025::jama.2025.15440::C002</t>
        </is>
      </c>
      <c r="B71" s="3" t="inlineStr">
        <is>
          <t>relations</t>
        </is>
      </c>
      <c r="C71" s="3" t="n">
        <v>0</v>
      </c>
      <c r="D71" s="3" t="inlineStr">
        <is>
          <t>S_W</t>
        </is>
      </c>
    </row>
    <row r="72" ht="30" customHeight="1">
      <c r="A72" s="2" t="inlineStr">
        <is>
          <t>2025::jama.2025.16450::C001</t>
        </is>
      </c>
      <c r="B72" s="2" t="inlineStr">
        <is>
          <t>relations</t>
        </is>
      </c>
      <c r="C72" s="2" t="n">
        <v>0</v>
      </c>
      <c r="D72" s="2" t="inlineStr">
        <is>
          <t>S_W</t>
        </is>
      </c>
    </row>
    <row r="73" ht="30" customHeight="1">
      <c r="A73" s="3" t="inlineStr">
        <is>
          <t>2025::jama.2025.16450::C002</t>
        </is>
      </c>
      <c r="B73" s="3" t="inlineStr">
        <is>
          <t>relations</t>
        </is>
      </c>
      <c r="C73" s="3" t="n">
        <v>0</v>
      </c>
      <c r="D73" s="3" t="inlineStr">
        <is>
          <t>P_R</t>
        </is>
      </c>
    </row>
    <row r="74" ht="30" customHeight="1">
      <c r="A74" s="2" t="inlineStr">
        <is>
          <t>2025::jama.2025.16450::C003</t>
        </is>
      </c>
      <c r="B74" s="2" t="inlineStr">
        <is>
          <t>relations</t>
        </is>
      </c>
      <c r="C74" s="2" t="n">
        <v>0</v>
      </c>
      <c r="D74" s="2" t="inlineStr">
        <is>
          <t>P_R</t>
        </is>
      </c>
    </row>
    <row r="75" ht="30" customHeight="1">
      <c r="A75" s="3" t="inlineStr">
        <is>
          <t>2025::jama.2025.16450::C004</t>
        </is>
      </c>
      <c r="B75" s="3" t="inlineStr">
        <is>
          <t>relations</t>
        </is>
      </c>
      <c r="C75" s="3" t="n">
        <v>0</v>
      </c>
      <c r="D75" s="3" t="inlineStr">
        <is>
          <t>P_P</t>
        </is>
      </c>
    </row>
    <row r="76" ht="30" customHeight="1">
      <c r="A76" s="2" t="inlineStr">
        <is>
          <t>2025::jama.2025.16450::C004</t>
        </is>
      </c>
      <c r="B76" s="2" t="inlineStr">
        <is>
          <t>legacyRelations</t>
        </is>
      </c>
      <c r="C76" s="2" t="n">
        <v>0</v>
      </c>
      <c r="D76" s="2" t="inlineStr">
        <is>
          <t>P_O</t>
        </is>
      </c>
    </row>
    <row r="77" ht="30" customHeight="1">
      <c r="A77" s="3" t="inlineStr">
        <is>
          <t>2025::jama.2025.16450::C005</t>
        </is>
      </c>
      <c r="B77" s="3" t="inlineStr">
        <is>
          <t>relations</t>
        </is>
      </c>
      <c r="C77" s="3" t="n">
        <v>0</v>
      </c>
      <c r="D77" s="3" t="inlineStr">
        <is>
          <t>P_P</t>
        </is>
      </c>
    </row>
    <row r="78" ht="30" customHeight="1">
      <c r="A78" s="2" t="inlineStr">
        <is>
          <t>2025::jama.2025.16450::C005</t>
        </is>
      </c>
      <c r="B78" s="2" t="inlineStr">
        <is>
          <t>legacyRelations</t>
        </is>
      </c>
      <c r="C78" s="2" t="n">
        <v>0</v>
      </c>
      <c r="D78" s="2" t="inlineStr">
        <is>
          <t>P_O</t>
        </is>
      </c>
    </row>
    <row r="79" ht="30" customHeight="1">
      <c r="A79" s="3" t="inlineStr">
        <is>
          <t>2025::jama.2025.16450::C006</t>
        </is>
      </c>
      <c r="B79" s="3" t="inlineStr">
        <is>
          <t>relations</t>
        </is>
      </c>
      <c r="C79" s="3" t="n">
        <v>0</v>
      </c>
      <c r="D79" s="3" t="inlineStr">
        <is>
          <t>P_P</t>
        </is>
      </c>
    </row>
    <row r="80" ht="30" customHeight="1">
      <c r="A80" s="2" t="inlineStr">
        <is>
          <t>2025::jama.2025.16450::C007</t>
        </is>
      </c>
      <c r="B80" s="2" t="inlineStr">
        <is>
          <t>relations</t>
        </is>
      </c>
      <c r="C80" s="2" t="n">
        <v>0</v>
      </c>
      <c r="D80" s="2" t="inlineStr">
        <is>
          <t>P_R</t>
        </is>
      </c>
    </row>
    <row r="81" ht="30" customHeight="1">
      <c r="A81" s="3" t="inlineStr">
        <is>
          <t>2025::jama.2025.16450::C008</t>
        </is>
      </c>
      <c r="B81" s="3" t="inlineStr">
        <is>
          <t>relations</t>
        </is>
      </c>
      <c r="C81" s="3" t="n">
        <v>0</v>
      </c>
      <c r="D81" s="3" t="inlineStr">
        <is>
          <t>P_R</t>
        </is>
      </c>
    </row>
    <row r="82" ht="30" customHeight="1">
      <c r="A82" s="2" t="inlineStr">
        <is>
          <t>2025::jama.2025.16450::C009</t>
        </is>
      </c>
      <c r="B82" s="2" t="inlineStr">
        <is>
          <t>relations</t>
        </is>
      </c>
      <c r="C82" s="2" t="n">
        <v>0</v>
      </c>
      <c r="D82" s="2" t="inlineStr">
        <is>
          <t>S_W</t>
        </is>
      </c>
    </row>
    <row r="83" ht="30" customHeight="1">
      <c r="A83" s="3" t="inlineStr">
        <is>
          <t>2025::jama.2025.16450::C010</t>
        </is>
      </c>
      <c r="B83" s="3" t="inlineStr">
        <is>
          <t>relations</t>
        </is>
      </c>
      <c r="C83" s="3" t="n">
        <v>0</v>
      </c>
      <c r="D83" s="3" t="inlineStr">
        <is>
          <t>S_W</t>
        </is>
      </c>
    </row>
    <row r="84" ht="30" customHeight="1">
      <c r="A84" s="2" t="inlineStr">
        <is>
          <t>2025::jama.2025.19563::C001</t>
        </is>
      </c>
      <c r="B84" s="2" t="inlineStr">
        <is>
          <t>relations</t>
        </is>
      </c>
      <c r="C84" s="2" t="n">
        <v>0</v>
      </c>
      <c r="D84" s="2" t="inlineStr">
        <is>
          <t>P_R</t>
        </is>
      </c>
    </row>
    <row r="85" ht="30" customHeight="1">
      <c r="A85" s="3" t="inlineStr">
        <is>
          <t>2025::jama.2025.19563::C002</t>
        </is>
      </c>
      <c r="B85" s="3" t="inlineStr">
        <is>
          <t>relations</t>
        </is>
      </c>
      <c r="C85" s="3" t="n">
        <v>0</v>
      </c>
      <c r="D85" s="3" t="inlineStr">
        <is>
          <t>S_C</t>
        </is>
      </c>
    </row>
    <row r="86" ht="30" customHeight="1">
      <c r="A86" s="2" t="inlineStr">
        <is>
          <t>2025::jama.2025.19563::C002</t>
        </is>
      </c>
      <c r="B86" s="2" t="inlineStr">
        <is>
          <t>relations</t>
        </is>
      </c>
      <c r="C86" s="2" t="n">
        <v>1</v>
      </c>
      <c r="D86" s="2" t="inlineStr">
        <is>
          <t>S_W</t>
        </is>
      </c>
    </row>
    <row r="87" ht="30" customHeight="1">
      <c r="A87" s="3" t="inlineStr">
        <is>
          <t>2025::jama.2025.19563::C003</t>
        </is>
      </c>
      <c r="B87" s="3" t="inlineStr">
        <is>
          <t>relations</t>
        </is>
      </c>
      <c r="C87" s="3" t="n">
        <v>0</v>
      </c>
      <c r="D87" s="3" t="inlineStr">
        <is>
          <t>S_W</t>
        </is>
      </c>
    </row>
    <row r="88" ht="30" customHeight="1">
      <c r="A88" s="2" t="inlineStr">
        <is>
          <t>2025::jama.2025.19563::C004</t>
        </is>
      </c>
      <c r="B88" s="2" t="inlineStr">
        <is>
          <t>relations</t>
        </is>
      </c>
      <c r="C88" s="2" t="n">
        <v>0</v>
      </c>
      <c r="D88" s="2" t="inlineStr">
        <is>
          <t>S_W</t>
        </is>
      </c>
    </row>
    <row r="89" ht="30" customHeight="1">
      <c r="A89" s="3" t="inlineStr">
        <is>
          <t>2025::jama.2025.19563::C005</t>
        </is>
      </c>
      <c r="B89" s="3" t="inlineStr">
        <is>
          <t>relations</t>
        </is>
      </c>
      <c r="C89" s="3" t="n">
        <v>0</v>
      </c>
      <c r="D89" s="3" t="inlineStr">
        <is>
          <t>S_W</t>
        </is>
      </c>
    </row>
    <row r="90" ht="30" customHeight="1">
      <c r="A90" s="2" t="inlineStr">
        <is>
          <t>2025::jama.2025.19563::C006</t>
        </is>
      </c>
      <c r="B90" s="2" t="inlineStr">
        <is>
          <t>relations</t>
        </is>
      </c>
      <c r="C90" s="2" t="n">
        <v>0</v>
      </c>
      <c r="D90" s="2" t="inlineStr">
        <is>
          <t>S_W</t>
        </is>
      </c>
    </row>
    <row r="91" ht="30" customHeight="1">
      <c r="A91" s="3" t="inlineStr">
        <is>
          <t>2025::jama.2025.19563::C007</t>
        </is>
      </c>
      <c r="B91" s="3" t="inlineStr">
        <is>
          <t>relations</t>
        </is>
      </c>
      <c r="C91" s="3" t="n">
        <v>0</v>
      </c>
      <c r="D91" s="3" t="inlineStr">
        <is>
          <t>S_W</t>
        </is>
      </c>
    </row>
    <row r="92" ht="30" customHeight="1">
      <c r="A92" s="2" t="inlineStr">
        <is>
          <t>2025::jama.2025.19843::C001</t>
        </is>
      </c>
      <c r="B92" s="2" t="inlineStr">
        <is>
          <t>relations</t>
        </is>
      </c>
      <c r="C92" s="2" t="n">
        <v>0</v>
      </c>
      <c r="D92" s="2" t="inlineStr">
        <is>
          <t>S_C</t>
        </is>
      </c>
    </row>
    <row r="93" ht="30" customHeight="1">
      <c r="A93" s="3" t="inlineStr">
        <is>
          <t>2025::jama.2025.20765::C001</t>
        </is>
      </c>
      <c r="B93" s="3" t="inlineStr">
        <is>
          <t>relations</t>
        </is>
      </c>
      <c r="C93" s="3" t="n">
        <v>0</v>
      </c>
      <c r="D93" s="3" t="inlineStr">
        <is>
          <t>S_W</t>
        </is>
      </c>
    </row>
    <row r="94" ht="30" customHeight="1">
      <c r="A94" s="2" t="inlineStr">
        <is>
          <t>2025::jama.2025.20765::C002</t>
        </is>
      </c>
      <c r="B94" s="2" t="inlineStr">
        <is>
          <t>relations</t>
        </is>
      </c>
      <c r="C94" s="2" t="n">
        <v>0</v>
      </c>
      <c r="D94" s="2" t="inlineStr">
        <is>
          <t>S_C</t>
        </is>
      </c>
    </row>
    <row r="95" ht="30" customHeight="1">
      <c r="A95" s="3" t="inlineStr">
        <is>
          <t>2025::jama.2025.20765::C003</t>
        </is>
      </c>
      <c r="B95" s="3" t="inlineStr">
        <is>
          <t>relations</t>
        </is>
      </c>
      <c r="C95" s="3" t="n">
        <v>0</v>
      </c>
      <c r="D95" s="3" t="inlineStr">
        <is>
          <t>P_P</t>
        </is>
      </c>
    </row>
    <row r="96" ht="30" customHeight="1">
      <c r="A96" s="2" t="inlineStr">
        <is>
          <t>2025::jama.2025.20765::C004</t>
        </is>
      </c>
      <c r="B96" s="2" t="inlineStr">
        <is>
          <t>relations</t>
        </is>
      </c>
      <c r="C96" s="2" t="n">
        <v>0</v>
      </c>
      <c r="D96" s="2" t="inlineStr">
        <is>
          <t>P_P</t>
        </is>
      </c>
    </row>
    <row r="97" ht="30" customHeight="1">
      <c r="A97" s="3" t="inlineStr">
        <is>
          <t>2025::jama.2025.20765::C005</t>
        </is>
      </c>
      <c r="B97" s="3" t="inlineStr">
        <is>
          <t>relations</t>
        </is>
      </c>
      <c r="C97" s="3" t="n">
        <v>0</v>
      </c>
      <c r="D97" s="3" t="inlineStr">
        <is>
          <t>P_P</t>
        </is>
      </c>
    </row>
    <row r="98" ht="30" customHeight="1">
      <c r="A98" s="2" t="inlineStr">
        <is>
          <t>2025::jama.2025.20765::C006</t>
        </is>
      </c>
      <c r="B98" s="2" t="inlineStr">
        <is>
          <t>relations</t>
        </is>
      </c>
      <c r="C98" s="2" t="n">
        <v>0</v>
      </c>
      <c r="D98" s="2" t="inlineStr">
        <is>
          <t>P_P</t>
        </is>
      </c>
    </row>
    <row r="99" ht="30" customHeight="1">
      <c r="A99" s="3" t="inlineStr">
        <is>
          <t>2025::jama.2025.20765::C007</t>
        </is>
      </c>
      <c r="B99" s="3" t="inlineStr">
        <is>
          <t>relations</t>
        </is>
      </c>
      <c r="C99" s="3" t="n">
        <v>0</v>
      </c>
      <c r="D99" s="3" t="inlineStr">
        <is>
          <t>P_P</t>
        </is>
      </c>
    </row>
    <row r="100" ht="30" customHeight="1">
      <c r="A100" s="2" t="inlineStr">
        <is>
          <t>2025::jama.2025.20765::C008</t>
        </is>
      </c>
      <c r="B100" s="2" t="inlineStr">
        <is>
          <t>relations</t>
        </is>
      </c>
      <c r="C100" s="2" t="n">
        <v>0</v>
      </c>
      <c r="D100" s="2" t="inlineStr">
        <is>
          <t>P_P</t>
        </is>
      </c>
    </row>
    <row r="101" ht="30" customHeight="1">
      <c r="A101" s="3" t="inlineStr">
        <is>
          <t>2025::jama.2025.20765::C009</t>
        </is>
      </c>
      <c r="B101" s="3" t="inlineStr">
        <is>
          <t>relations</t>
        </is>
      </c>
      <c r="C101" s="3" t="n">
        <v>0</v>
      </c>
      <c r="D101" s="3" t="inlineStr">
        <is>
          <t>P_P</t>
        </is>
      </c>
    </row>
    <row r="102" ht="30" customHeight="1">
      <c r="A102" s="2" t="inlineStr">
        <is>
          <t>2025::jama.2025.20765::C010</t>
        </is>
      </c>
      <c r="B102" s="2" t="inlineStr">
        <is>
          <t>relations</t>
        </is>
      </c>
      <c r="C102" s="2" t="n">
        <v>0</v>
      </c>
      <c r="D102" s="2" t="inlineStr">
        <is>
          <t>P_P</t>
        </is>
      </c>
    </row>
    <row r="103" ht="30" customHeight="1">
      <c r="A103" s="3" t="inlineStr">
        <is>
          <t>2025::jama.2025.20765::C011</t>
        </is>
      </c>
      <c r="B103" s="3" t="inlineStr">
        <is>
          <t>relations</t>
        </is>
      </c>
      <c r="C103" s="3" t="n">
        <v>0</v>
      </c>
      <c r="D103" s="3" t="inlineStr">
        <is>
          <t>P_P</t>
        </is>
      </c>
    </row>
    <row r="104" ht="30" customHeight="1">
      <c r="A104" s="2" t="inlineStr">
        <is>
          <t>2025::jama.2025.20765::C012</t>
        </is>
      </c>
      <c r="B104" s="2" t="inlineStr">
        <is>
          <t>relations</t>
        </is>
      </c>
      <c r="C104" s="2" t="n">
        <v>0</v>
      </c>
      <c r="D104" s="2" t="inlineStr">
        <is>
          <t>S_W</t>
        </is>
      </c>
    </row>
    <row r="105" ht="30" customHeight="1">
      <c r="A105" s="3" t="inlineStr">
        <is>
          <t>2025::jama.2025.20765::C013</t>
        </is>
      </c>
      <c r="B105" s="3" t="inlineStr">
        <is>
          <t>relations</t>
        </is>
      </c>
      <c r="C105" s="3" t="n">
        <v>0</v>
      </c>
      <c r="D105" s="3" t="inlineStr">
        <is>
          <t>P_R</t>
        </is>
      </c>
    </row>
    <row r="106" ht="30" customHeight="1">
      <c r="A106" s="2" t="inlineStr">
        <is>
          <t>2025::jama.2025.20765::C013</t>
        </is>
      </c>
      <c r="B106" s="2" t="inlineStr">
        <is>
          <t>relations</t>
        </is>
      </c>
      <c r="C106" s="2" t="n">
        <v>1</v>
      </c>
      <c r="D106" s="2" t="inlineStr">
        <is>
          <t>P_P</t>
        </is>
      </c>
    </row>
    <row r="107" ht="30" customHeight="1">
      <c r="A107" s="3" t="inlineStr">
        <is>
          <t>2025::jama.2025.24175::C001</t>
        </is>
      </c>
      <c r="B107" s="3" t="inlineStr">
        <is>
          <t>relations</t>
        </is>
      </c>
      <c r="C107" s="3" t="n">
        <v>0</v>
      </c>
      <c r="D107" s="3" t="inlineStr">
        <is>
          <t>S_W</t>
        </is>
      </c>
    </row>
    <row r="108" ht="30" customHeight="1">
      <c r="A108" s="2" t="inlineStr">
        <is>
          <t>2025::jama.2025.24175::C002</t>
        </is>
      </c>
      <c r="B108" s="2" t="inlineStr">
        <is>
          <t>relations</t>
        </is>
      </c>
      <c r="C108" s="2" t="n">
        <v>0</v>
      </c>
      <c r="D108" s="2" t="inlineStr">
        <is>
          <t>P_R</t>
        </is>
      </c>
    </row>
    <row r="109" ht="30" customHeight="1">
      <c r="A109" s="3" t="inlineStr">
        <is>
          <t>2025::jama.2025.24175::C003</t>
        </is>
      </c>
      <c r="B109" s="3" t="inlineStr">
        <is>
          <t>relations</t>
        </is>
      </c>
      <c r="C109" s="3" t="n">
        <v>0</v>
      </c>
      <c r="D109" s="3" t="inlineStr">
        <is>
          <t>P_R</t>
        </is>
      </c>
    </row>
    <row r="110" ht="30" customHeight="1">
      <c r="A110" s="2" t="inlineStr">
        <is>
          <t>2025::jama.2025.24175::C004</t>
        </is>
      </c>
      <c r="B110" s="2" t="inlineStr">
        <is>
          <t>relations</t>
        </is>
      </c>
      <c r="C110" s="2" t="n">
        <v>0</v>
      </c>
      <c r="D110" s="2" t="inlineStr">
        <is>
          <t>P_R</t>
        </is>
      </c>
    </row>
    <row r="111" ht="30" customHeight="1">
      <c r="A111" s="3" t="inlineStr">
        <is>
          <t>2025::jama.2025.24175::C005</t>
        </is>
      </c>
      <c r="B111" s="3" t="inlineStr">
        <is>
          <t>relations</t>
        </is>
      </c>
      <c r="C111" s="3" t="n">
        <v>0</v>
      </c>
      <c r="D111" s="3" t="inlineStr">
        <is>
          <t>P_P</t>
        </is>
      </c>
    </row>
    <row r="112" ht="30" customHeight="1">
      <c r="A112" s="2" t="inlineStr">
        <is>
          <t>2025::jama.2025.24175::C006</t>
        </is>
      </c>
      <c r="B112" s="2" t="inlineStr">
        <is>
          <t>relations</t>
        </is>
      </c>
      <c r="C112" s="2" t="n">
        <v>0</v>
      </c>
      <c r="D112" s="2" t="inlineStr">
        <is>
          <t>P_P</t>
        </is>
      </c>
    </row>
    <row r="113" ht="30" customHeight="1">
      <c r="A113" s="3" t="inlineStr">
        <is>
          <t>2025::jama.2025.24175::C006</t>
        </is>
      </c>
      <c r="B113" s="3" t="inlineStr">
        <is>
          <t>legacyRelations</t>
        </is>
      </c>
      <c r="C113" s="3" t="n">
        <v>0</v>
      </c>
      <c r="D113" s="3" t="inlineStr">
        <is>
          <t>P_B</t>
        </is>
      </c>
    </row>
    <row r="114" ht="30" customHeight="1">
      <c r="A114" s="2" t="inlineStr">
        <is>
          <t>2025::jama.2025.24175::C007</t>
        </is>
      </c>
      <c r="B114" s="2" t="inlineStr">
        <is>
          <t>relations</t>
        </is>
      </c>
      <c r="C114" s="2" t="n">
        <v>0</v>
      </c>
      <c r="D114" s="2" t="inlineStr">
        <is>
          <t>P_P</t>
        </is>
      </c>
    </row>
    <row r="115" ht="30" customHeight="1">
      <c r="A115" s="3" t="inlineStr">
        <is>
          <t>2025::jama.2025.24175::C007</t>
        </is>
      </c>
      <c r="B115" s="3" t="inlineStr">
        <is>
          <t>legacyRelations</t>
        </is>
      </c>
      <c r="C115" s="3" t="n">
        <v>0</v>
      </c>
      <c r="D115" s="3" t="inlineStr">
        <is>
          <t>P_B</t>
        </is>
      </c>
    </row>
    <row r="116" ht="30" customHeight="1">
      <c r="A116" s="2" t="inlineStr">
        <is>
          <t>2025::jama.2025.24175::C008</t>
        </is>
      </c>
      <c r="B116" s="2" t="inlineStr">
        <is>
          <t>relations</t>
        </is>
      </c>
      <c r="C116" s="2" t="n">
        <v>0</v>
      </c>
      <c r="D116" s="2" t="inlineStr">
        <is>
          <t>P_P</t>
        </is>
      </c>
    </row>
    <row r="117" ht="30" customHeight="1">
      <c r="A117" s="3" t="inlineStr">
        <is>
          <t>2025::jama.2025.24175::C008</t>
        </is>
      </c>
      <c r="B117" s="3" t="inlineStr">
        <is>
          <t>legacyRelations</t>
        </is>
      </c>
      <c r="C117" s="3" t="n">
        <v>0</v>
      </c>
      <c r="D117" s="3" t="inlineStr">
        <is>
          <t>P_B</t>
        </is>
      </c>
    </row>
    <row r="118" ht="30" customHeight="1">
      <c r="A118" s="2" t="inlineStr">
        <is>
          <t>2025::jama.2025.24175::C009</t>
        </is>
      </c>
      <c r="B118" s="2" t="inlineStr">
        <is>
          <t>relations</t>
        </is>
      </c>
      <c r="C118" s="2" t="n">
        <v>0</v>
      </c>
      <c r="D118" s="2" t="inlineStr">
        <is>
          <t>P_R</t>
        </is>
      </c>
    </row>
    <row r="119" ht="30" customHeight="1">
      <c r="A119" s="3" t="inlineStr">
        <is>
          <t>2025::jama.2025.24175::C009</t>
        </is>
      </c>
      <c r="B119" s="3" t="inlineStr">
        <is>
          <t>relations</t>
        </is>
      </c>
      <c r="C119" s="3" t="n">
        <v>1</v>
      </c>
      <c r="D119" s="3" t="inlineStr">
        <is>
          <t>P_P</t>
        </is>
      </c>
    </row>
    <row r="120" ht="30" customHeight="1">
      <c r="A120" s="2" t="inlineStr">
        <is>
          <t>2025::jama.2025.24175::C010</t>
        </is>
      </c>
      <c r="B120" s="2" t="inlineStr">
        <is>
          <t>relations</t>
        </is>
      </c>
      <c r="C120" s="2" t="n">
        <v>0</v>
      </c>
      <c r="D120" s="2" t="inlineStr">
        <is>
          <t>P_P</t>
        </is>
      </c>
    </row>
    <row r="121" ht="30" customHeight="1">
      <c r="A121" s="3" t="inlineStr">
        <is>
          <t>2025::jama.2025.24175::C010</t>
        </is>
      </c>
      <c r="B121" s="3" t="inlineStr">
        <is>
          <t>legacyRelations</t>
        </is>
      </c>
      <c r="C121" s="3" t="n">
        <v>0</v>
      </c>
      <c r="D121" s="3" t="inlineStr">
        <is>
          <t>P_B</t>
        </is>
      </c>
    </row>
    <row r="122" ht="30" customHeight="1">
      <c r="A122" s="2" t="inlineStr">
        <is>
          <t>2025::jama.2025.24175::C011</t>
        </is>
      </c>
      <c r="B122" s="2" t="inlineStr">
        <is>
          <t>relations</t>
        </is>
      </c>
      <c r="C122" s="2" t="n">
        <v>0</v>
      </c>
      <c r="D122" s="2" t="inlineStr">
        <is>
          <t>S_W</t>
        </is>
      </c>
    </row>
    <row r="123" ht="30" customHeight="1">
      <c r="A123" s="3" t="inlineStr">
        <is>
          <t>2025::jama.2025.24175::C012</t>
        </is>
      </c>
      <c r="B123" s="3" t="inlineStr">
        <is>
          <t>relations</t>
        </is>
      </c>
      <c r="C123" s="3" t="n">
        <v>0</v>
      </c>
      <c r="D123" s="3" t="inlineStr">
        <is>
          <t>S_W</t>
        </is>
      </c>
    </row>
    <row r="124" ht="30" customHeight="1">
      <c r="A124" s="2" t="inlineStr">
        <is>
          <t>2025::jama.2025.24175::C013</t>
        </is>
      </c>
      <c r="B124" s="2" t="inlineStr">
        <is>
          <t>relations</t>
        </is>
      </c>
      <c r="C124" s="2" t="n">
        <v>0</v>
      </c>
      <c r="D124" s="2" t="inlineStr">
        <is>
          <t>S_W</t>
        </is>
      </c>
    </row>
    <row r="125" ht="30" customHeight="1">
      <c r="A125" s="3" t="inlineStr">
        <is>
          <t>2025::jama.2025.24175::C014</t>
        </is>
      </c>
      <c r="B125" s="3" t="inlineStr">
        <is>
          <t>relations</t>
        </is>
      </c>
      <c r="C125" s="3" t="n">
        <v>0</v>
      </c>
      <c r="D125" s="3" t="inlineStr">
        <is>
          <t>P_P</t>
        </is>
      </c>
    </row>
    <row r="126" ht="30" customHeight="1">
      <c r="A126" s="2" t="inlineStr">
        <is>
          <t>2025::jama.2025.24175::C014</t>
        </is>
      </c>
      <c r="B126" s="2" t="inlineStr">
        <is>
          <t>legacyRelations</t>
        </is>
      </c>
      <c r="C126" s="2" t="n">
        <v>0</v>
      </c>
      <c r="D126" s="2" t="inlineStr">
        <is>
          <t>P_B</t>
        </is>
      </c>
    </row>
    <row r="127" ht="30" customHeight="1">
      <c r="A127" s="3" t="inlineStr">
        <is>
          <t>2025::jama.2025.4390::C001</t>
        </is>
      </c>
      <c r="B127" s="3" t="inlineStr">
        <is>
          <t>relations</t>
        </is>
      </c>
      <c r="C127" s="3" t="n">
        <v>0</v>
      </c>
      <c r="D127" s="3" t="inlineStr">
        <is>
          <t>S_W</t>
        </is>
      </c>
    </row>
    <row r="128" ht="30" customHeight="1">
      <c r="A128" s="2" t="inlineStr">
        <is>
          <t>2025::jama.2025.4390::C002</t>
        </is>
      </c>
      <c r="B128" s="2" t="inlineStr">
        <is>
          <t>relations</t>
        </is>
      </c>
      <c r="C128" s="2" t="n">
        <v>0</v>
      </c>
      <c r="D128" s="2" t="inlineStr">
        <is>
          <t>S_W</t>
        </is>
      </c>
    </row>
    <row r="129" ht="30" customHeight="1">
      <c r="A129" s="3" t="inlineStr">
        <is>
          <t>2025::jama.2025.4390::C003</t>
        </is>
      </c>
      <c r="B129" s="3" t="inlineStr">
        <is>
          <t>relations</t>
        </is>
      </c>
      <c r="C129" s="3" t="n">
        <v>0</v>
      </c>
      <c r="D129" s="3" t="inlineStr">
        <is>
          <t>S_W</t>
        </is>
      </c>
    </row>
    <row r="130" ht="30" customHeight="1">
      <c r="A130" s="2" t="inlineStr">
        <is>
          <t>2025::jama.2025.7583::C001</t>
        </is>
      </c>
      <c r="B130" s="2" t="inlineStr">
        <is>
          <t>relations</t>
        </is>
      </c>
      <c r="C130" s="2" t="n">
        <v>0</v>
      </c>
      <c r="D130" s="2" t="inlineStr">
        <is>
          <t>P_R</t>
        </is>
      </c>
    </row>
    <row r="131" ht="30" customHeight="1">
      <c r="A131" s="3" t="inlineStr">
        <is>
          <t>2025::jama.2025.7583::C001</t>
        </is>
      </c>
      <c r="B131" s="3" t="inlineStr">
        <is>
          <t>relations</t>
        </is>
      </c>
      <c r="C131" s="3" t="n">
        <v>1</v>
      </c>
      <c r="D131" s="3" t="inlineStr">
        <is>
          <t>P_P</t>
        </is>
      </c>
    </row>
    <row r="132" ht="30" customHeight="1">
      <c r="A132" s="2" t="inlineStr">
        <is>
          <t>2025::jama.2025.7583::C002</t>
        </is>
      </c>
      <c r="B132" s="2" t="inlineStr">
        <is>
          <t>relations</t>
        </is>
      </c>
      <c r="C132" s="2" t="n">
        <v>0</v>
      </c>
      <c r="D132" s="2" t="inlineStr">
        <is>
          <t>P_P</t>
        </is>
      </c>
    </row>
    <row r="133" ht="30" customHeight="1">
      <c r="A133" s="3" t="inlineStr">
        <is>
          <t>2025::jama.2025.7583::C003</t>
        </is>
      </c>
      <c r="B133" s="3" t="inlineStr">
        <is>
          <t>relations</t>
        </is>
      </c>
      <c r="C133" s="3" t="n">
        <v>0</v>
      </c>
      <c r="D133" s="3" t="inlineStr">
        <is>
          <t>S_W</t>
        </is>
      </c>
    </row>
    <row r="134" ht="30" customHeight="1">
      <c r="A134" s="2" t="inlineStr">
        <is>
          <t>2025::jama.2025.7710::C001</t>
        </is>
      </c>
      <c r="B134" s="2" t="inlineStr">
        <is>
          <t>relations</t>
        </is>
      </c>
      <c r="C134" s="2" t="n">
        <v>0</v>
      </c>
      <c r="D134" s="2" t="inlineStr">
        <is>
          <t>P_P</t>
        </is>
      </c>
    </row>
    <row r="135" ht="30" customHeight="1">
      <c r="A135" s="3" t="inlineStr">
        <is>
          <t>2025::jama.2025.7710::C002</t>
        </is>
      </c>
      <c r="B135" s="3" t="inlineStr">
        <is>
          <t>relations</t>
        </is>
      </c>
      <c r="C135" s="3" t="n">
        <v>0</v>
      </c>
      <c r="D135" s="3" t="inlineStr">
        <is>
          <t>P_P</t>
        </is>
      </c>
    </row>
    <row r="136" ht="30" customHeight="1">
      <c r="A136" s="2" t="inlineStr">
        <is>
          <t>2025::jama.2025.7710::C003</t>
        </is>
      </c>
      <c r="B136" s="2" t="inlineStr">
        <is>
          <t>relations</t>
        </is>
      </c>
      <c r="C136" s="2" t="n">
        <v>0</v>
      </c>
      <c r="D136" s="2" t="inlineStr">
        <is>
          <t>P_P</t>
        </is>
      </c>
    </row>
    <row r="137" ht="30" customHeight="1">
      <c r="A137" s="3" t="inlineStr">
        <is>
          <t>2025::jama.2025.7710::C004</t>
        </is>
      </c>
      <c r="B137" s="3" t="inlineStr">
        <is>
          <t>relations</t>
        </is>
      </c>
      <c r="C137" s="3" t="n">
        <v>0</v>
      </c>
      <c r="D137" s="3" t="inlineStr">
        <is>
          <t>P_R</t>
        </is>
      </c>
    </row>
    <row r="138" ht="30" customHeight="1">
      <c r="A138" s="2" t="inlineStr">
        <is>
          <t>2025::jama.2025.9110::C001</t>
        </is>
      </c>
      <c r="B138" s="2" t="inlineStr">
        <is>
          <t>relations</t>
        </is>
      </c>
      <c r="C138" s="2" t="n">
        <v>0</v>
      </c>
      <c r="D138" s="2" t="inlineStr">
        <is>
          <t>S_W</t>
        </is>
      </c>
    </row>
    <row r="139" ht="30" customHeight="1">
      <c r="A139" s="3" t="inlineStr">
        <is>
          <t>2025::jama.2025.9110::C002</t>
        </is>
      </c>
      <c r="B139" s="3" t="inlineStr">
        <is>
          <t>relations</t>
        </is>
      </c>
      <c r="C139" s="3" t="n">
        <v>0</v>
      </c>
      <c r="D139" s="3" t="inlineStr">
        <is>
          <t>S_W</t>
        </is>
      </c>
    </row>
    <row r="140" ht="30" customHeight="1">
      <c r="A140" s="2" t="inlineStr">
        <is>
          <t>2025::jama.2025.9110::C003</t>
        </is>
      </c>
      <c r="B140" s="2" t="inlineStr">
        <is>
          <t>relations</t>
        </is>
      </c>
      <c r="C140" s="2" t="n">
        <v>0</v>
      </c>
      <c r="D140" s="2" t="inlineStr">
        <is>
          <t>S_W</t>
        </is>
      </c>
    </row>
    <row r="141" ht="30" customHeight="1">
      <c r="A141" s="3" t="inlineStr">
        <is>
          <t>2025::jama.2025.9110::C004</t>
        </is>
      </c>
      <c r="B141" s="3" t="inlineStr">
        <is>
          <t>relations</t>
        </is>
      </c>
      <c r="C141" s="3" t="n">
        <v>0</v>
      </c>
      <c r="D141" s="3" t="inlineStr">
        <is>
          <t>S_W</t>
        </is>
      </c>
    </row>
    <row r="142" ht="30" customHeight="1">
      <c r="A142" s="2" t="inlineStr">
        <is>
          <t>2025::jama.2025.9110::C005</t>
        </is>
      </c>
      <c r="B142" s="2" t="inlineStr">
        <is>
          <t>relations</t>
        </is>
      </c>
      <c r="C142" s="2" t="n">
        <v>0</v>
      </c>
      <c r="D142" s="2" t="inlineStr">
        <is>
          <t>S_W</t>
        </is>
      </c>
    </row>
    <row r="143" ht="30" customHeight="1">
      <c r="A143" s="3" t="inlineStr">
        <is>
          <t>2025::jama.2025.9110::C006</t>
        </is>
      </c>
      <c r="B143" s="3" t="inlineStr">
        <is>
          <t>relations</t>
        </is>
      </c>
      <c r="C143" s="3" t="n">
        <v>0</v>
      </c>
      <c r="D143" s="3" t="inlineStr">
        <is>
          <t>S_W</t>
        </is>
      </c>
    </row>
    <row r="144" ht="30" customHeight="1">
      <c r="A144" s="2" t="inlineStr">
        <is>
          <t>2025::jama.2025.9663::C001</t>
        </is>
      </c>
      <c r="B144" s="2" t="inlineStr">
        <is>
          <t>relations</t>
        </is>
      </c>
      <c r="C144" s="2" t="n">
        <v>0</v>
      </c>
      <c r="D144" s="2" t="inlineStr">
        <is>
          <t>S_W</t>
        </is>
      </c>
    </row>
    <row r="145" ht="30" customHeight="1">
      <c r="A145" s="3" t="inlineStr">
        <is>
          <t>2025::jama.2025.9663::C002</t>
        </is>
      </c>
      <c r="B145" s="3" t="inlineStr">
        <is>
          <t>relations</t>
        </is>
      </c>
      <c r="C145" s="3" t="n">
        <v>0</v>
      </c>
      <c r="D145" s="3" t="inlineStr">
        <is>
          <t>S_W</t>
        </is>
      </c>
    </row>
    <row r="146" ht="30" customHeight="1">
      <c r="A146" s="2" t="inlineStr">
        <is>
          <t>2025::jama.2025.9663::C003</t>
        </is>
      </c>
      <c r="B146" s="2" t="inlineStr">
        <is>
          <t>relations</t>
        </is>
      </c>
      <c r="C146" s="2" t="n">
        <v>0</v>
      </c>
      <c r="D146" s="2" t="inlineStr">
        <is>
          <t>P_P</t>
        </is>
      </c>
    </row>
  </sheetData>
  <sheetProtection selectLockedCells="0" selectUnlockedCells="0" sheet="1" objects="0" insertRows="1" insertHyperlinks="1" autoFilter="0" scenarios="0" formatColumns="1" deleteColumns="1" insertColumns="1" pivotTables="1" deleteRows="1" formatCells="1" formatRows="1" sort="1"/>
  <autoFilter ref="A1:D146"/>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2026-09-13T23:51:56Z</dcterms:created>
  <dcterms:modified xsi:type="dcterms:W3CDTF">2026-09-13T23:51:57Z</dcterms:modified>
</cp:coreProperties>
</file>