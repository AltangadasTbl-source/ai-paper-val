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'C_jama.2024.24764'!$A$1:$R$6</definedName>
    <definedName name="_xlnm._FilterDatabase" localSheetId="4" hidden="1">'C_jama.2024.27643'!$A$1:$R$17</definedName>
    <definedName name="_xlnm._FilterDatabase" localSheetId="5" hidden="1">'C_jama.2025.11178'!$A$1:$R$19</definedName>
    <definedName name="_xlnm._FilterDatabase" localSheetId="6" hidden="1">'C_jama.2025.15185'!$A$1:$R$7</definedName>
    <definedName name="_xlnm._FilterDatabase" localSheetId="7" hidden="1">'C_jama.2025.15440'!$A$1:$R$2</definedName>
    <definedName name="_xlnm._FilterDatabase" localSheetId="8" hidden="1">'C_jama.2025.16450'!$A$1:$R$7</definedName>
    <definedName name="_xlnm._FilterDatabase" localSheetId="9" hidden="1">'C_jama.2025.19563'!$A$1:$R$14</definedName>
    <definedName name="_xlnm._FilterDatabase" localSheetId="10" hidden="1">'C_jama.2025.19843'!$A$1:$R$8</definedName>
    <definedName name="_xlnm._FilterDatabase" localSheetId="11" hidden="1">'C_jama.2025.20765'!$A$1:$R$20</definedName>
    <definedName name="_xlnm._FilterDatabase" localSheetId="12" hidden="1">'C_jama.2025.24175'!$A$1:$R$15</definedName>
    <definedName name="_xlnm._FilterDatabase" localSheetId="13" hidden="1">'C_jama.2025.4390'!$A$1:$R$14</definedName>
    <definedName name="_xlnm._FilterDatabase" localSheetId="14" hidden="1">'C_jama.2025.7583'!$A$1:$R$5</definedName>
    <definedName name="_xlnm._FilterDatabase" localSheetId="15" hidden="1">'C_jama.2025.7710'!$A$1:$R$4</definedName>
    <definedName name="_xlnm._FilterDatabase" localSheetId="16" hidden="1">'C_jama.2025.9110'!$A$1:$R$4</definedName>
    <definedName name="_xlnm._FilterDatabase" localSheetId="17" hidden="1">'C_jama.2025.9663'!$A$1:$R$6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xf numFmtId="0" fontId="0" fillId="0" borderId="0" pivotButton="0" quotePrefix="0" xfId="0"/>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R_Bulun</t>
        </is>
      </c>
    </row>
    <row r="3" ht="42" customFormat="1" customHeight="1" s="14">
      <c r="A3" s="17" t="inlineStr">
        <is>
          <t>reviewerName (optional)</t>
        </is>
      </c>
      <c r="B3" s="18" t="n"/>
    </row>
    <row r="4" ht="42" customFormat="1" customHeight="1" s="14">
      <c r="A4" s="16" t="inlineStr">
        <is>
          <t>reviewerRole</t>
        </is>
      </c>
      <c r="B4" s="16" t="inlineStr">
        <is>
          <t>R_Bulun</t>
        </is>
      </c>
    </row>
    <row r="5" ht="42" customFormat="1" customHeight="1" s="14">
      <c r="A5" s="17" t="inlineStr">
        <is>
          <t>year</t>
        </is>
      </c>
      <c r="B5" s="17"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133</v>
      </c>
    </row>
    <row r="4" ht="55" customFormat="1" customHeight="1" s="14">
      <c r="A4" s="16" t="inlineStr">
        <is>
          <t>Primary ready rows</t>
        </is>
      </c>
      <c r="B4" s="16">
        <f>COUNTIF('C_jama.2024.24764'!$G$2:$G$6,"PRIMARY READY")+COUNTIF('C_jama.2024.27643'!$G$2:$G$17,"PRIMARY READY")+COUNTIF('C_jama.2025.11178'!$G$2:$G$19,"PRIMARY READY")+COUNTIF('C_jama.2025.15185'!$G$2:$G$7,"PRIMARY READY")+COUNTIF('C_jama.2025.15440'!$G$2:$G$2,"PRIMARY READY")+COUNTIF('C_jama.2025.16450'!$G$2:$G$7,"PRIMARY READY")+COUNTIF('C_jama.2025.19563'!$G$2:$G$14,"PRIMARY READY")+COUNTIF('C_jama.2025.19843'!$G$2:$G$8,"PRIMARY READY")+COUNTIF('C_jama.2025.20765'!$G$2:$G$20,"PRIMARY READY")+COUNTIF('C_jama.2025.24175'!$G$2:$G$15,"PRIMARY READY")+COUNTIF('C_jama.2025.4390'!$G$2:$G$14,"PRIMARY READY")+COUNTIF('C_jama.2025.7583'!$G$2:$G$5,"PRIMARY READY")+COUNTIF('C_jama.2025.7710'!$G$2:$G$4,"PRIMARY READY")+COUNTIF('C_jama.2025.9110'!$G$2:$G$4,"PRIMARY READY")+COUNTIF('C_jama.2025.9663'!$G$2:$G$6,"PRIMARY READY")</f>
        <v/>
      </c>
    </row>
    <row r="5" ht="55" customFormat="1" customHeight="1" s="14">
      <c r="A5" s="17" t="inlineStr">
        <is>
          <t>Discuss / unresolved rows</t>
        </is>
      </c>
      <c r="B5" s="17">
        <f>COUNTIF('C_jama.2024.24764'!$D$2:$D$6,"discuss")+COUNTIF('C_jama.2024.27643'!$D$2:$D$17,"discuss")+COUNTIF('C_jama.2025.11178'!$D$2:$D$19,"discuss")+COUNTIF('C_jama.2025.15185'!$D$2:$D$7,"discuss")+COUNTIF('C_jama.2025.15440'!$D$2:$D$2,"discuss")+COUNTIF('C_jama.2025.16450'!$D$2:$D$7,"discuss")+COUNTIF('C_jama.2025.19563'!$D$2:$D$14,"discuss")+COUNTIF('C_jama.2025.19843'!$D$2:$D$8,"discuss")+COUNTIF('C_jama.2025.20765'!$D$2:$D$20,"discuss")+COUNTIF('C_jama.2025.24175'!$D$2:$D$15,"discuss")+COUNTIF('C_jama.2025.4390'!$D$2:$D$14,"discuss")+COUNTIF('C_jama.2025.7583'!$D$2:$D$5,"discuss")+COUNTIF('C_jama.2025.7710'!$D$2:$D$4,"discuss")+COUNTIF('C_jama.2025.9110'!$D$2:$D$4,"discuss")+COUNTIF('C_jama.2025.9663'!$D$2:$D$6,"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Height="1" s="25">
      <c r="A2" s="16" t="inlineStr">
        <is>
          <t>jama.2024.24764</t>
        </is>
      </c>
      <c r="B2" s="16" t="inlineStr">
        <is>
          <t>C_jama.2024.24764</t>
        </is>
      </c>
      <c r="C2" s="16" t="n">
        <v>5</v>
      </c>
    </row>
    <row r="3" ht="36" customHeight="1" s="25">
      <c r="A3" s="17" t="inlineStr">
        <is>
          <t>jama.2024.27643</t>
        </is>
      </c>
      <c r="B3" s="17" t="inlineStr">
        <is>
          <t>C_jama.2024.27643</t>
        </is>
      </c>
      <c r="C3" s="17" t="n">
        <v>16</v>
      </c>
    </row>
    <row r="4" ht="36" customHeight="1" s="25">
      <c r="A4" s="16" t="inlineStr">
        <is>
          <t>jama.2025.11178</t>
        </is>
      </c>
      <c r="B4" s="16" t="inlineStr">
        <is>
          <t>C_jama.2025.11178</t>
        </is>
      </c>
      <c r="C4" s="16" t="n">
        <v>18</v>
      </c>
    </row>
    <row r="5" ht="36" customHeight="1" s="25">
      <c r="A5" s="17" t="inlineStr">
        <is>
          <t>jama.2025.15185</t>
        </is>
      </c>
      <c r="B5" s="17" t="inlineStr">
        <is>
          <t>C_jama.2025.15185</t>
        </is>
      </c>
      <c r="C5" s="17" t="n">
        <v>6</v>
      </c>
    </row>
    <row r="6" ht="36" customHeight="1" s="25">
      <c r="A6" s="16" t="inlineStr">
        <is>
          <t>jama.2025.15440</t>
        </is>
      </c>
      <c r="B6" s="16" t="inlineStr">
        <is>
          <t>C_jama.2025.15440</t>
        </is>
      </c>
      <c r="C6" s="16" t="n">
        <v>1</v>
      </c>
    </row>
    <row r="7" ht="36" customHeight="1" s="25">
      <c r="A7" s="17" t="inlineStr">
        <is>
          <t>jama.2025.16450</t>
        </is>
      </c>
      <c r="B7" s="17" t="inlineStr">
        <is>
          <t>C_jama.2025.16450</t>
        </is>
      </c>
      <c r="C7" s="17" t="n">
        <v>6</v>
      </c>
    </row>
    <row r="8" ht="36" customHeight="1" s="25">
      <c r="A8" s="16" t="inlineStr">
        <is>
          <t>jama.2025.19563</t>
        </is>
      </c>
      <c r="B8" s="16" t="inlineStr">
        <is>
          <t>C_jama.2025.19563</t>
        </is>
      </c>
      <c r="C8" s="16" t="n">
        <v>13</v>
      </c>
    </row>
    <row r="9" ht="36" customHeight="1" s="25">
      <c r="A9" s="17" t="inlineStr">
        <is>
          <t>jama.2025.19843</t>
        </is>
      </c>
      <c r="B9" s="17" t="inlineStr">
        <is>
          <t>C_jama.2025.19843</t>
        </is>
      </c>
      <c r="C9" s="17" t="n">
        <v>7</v>
      </c>
    </row>
    <row r="10" ht="36" customHeight="1" s="25">
      <c r="A10" s="16" t="inlineStr">
        <is>
          <t>jama.2025.20765</t>
        </is>
      </c>
      <c r="B10" s="16" t="inlineStr">
        <is>
          <t>C_jama.2025.20765</t>
        </is>
      </c>
      <c r="C10" s="16" t="n">
        <v>19</v>
      </c>
    </row>
    <row r="11" ht="36" customHeight="1" s="25">
      <c r="A11" s="17" t="inlineStr">
        <is>
          <t>jama.2025.24175</t>
        </is>
      </c>
      <c r="B11" s="17" t="inlineStr">
        <is>
          <t>C_jama.2025.24175</t>
        </is>
      </c>
      <c r="C11" s="17" t="n">
        <v>14</v>
      </c>
    </row>
    <row r="12" ht="36" customHeight="1" s="25">
      <c r="A12" s="16" t="inlineStr">
        <is>
          <t>jama.2025.4390</t>
        </is>
      </c>
      <c r="B12" s="16" t="inlineStr">
        <is>
          <t>C_jama.2025.4390</t>
        </is>
      </c>
      <c r="C12" s="16" t="n">
        <v>13</v>
      </c>
    </row>
    <row r="13" ht="36" customHeight="1" s="25">
      <c r="A13" s="17" t="inlineStr">
        <is>
          <t>jama.2025.7583</t>
        </is>
      </c>
      <c r="B13" s="17" t="inlineStr">
        <is>
          <t>C_jama.2025.7583</t>
        </is>
      </c>
      <c r="C13" s="17" t="n">
        <v>4</v>
      </c>
    </row>
    <row r="14" ht="36" customHeight="1" s="25">
      <c r="A14" s="16" t="inlineStr">
        <is>
          <t>jama.2025.7710</t>
        </is>
      </c>
      <c r="B14" s="16" t="inlineStr">
        <is>
          <t>C_jama.2025.7710</t>
        </is>
      </c>
      <c r="C14" s="16" t="n">
        <v>3</v>
      </c>
    </row>
    <row r="15" ht="36" customHeight="1" s="25">
      <c r="A15" s="17" t="inlineStr">
        <is>
          <t>jama.2025.9110</t>
        </is>
      </c>
      <c r="B15" s="17" t="inlineStr">
        <is>
          <t>C_jama.2025.9110</t>
        </is>
      </c>
      <c r="C15" s="17" t="n">
        <v>3</v>
      </c>
    </row>
    <row r="16" ht="36" customHeight="1" s="25">
      <c r="A16" s="16" t="inlineStr">
        <is>
          <t>jama.2025.9663</t>
        </is>
      </c>
      <c r="B16" s="16" t="inlineStr">
        <is>
          <t>C_jama.2025.9663</t>
        </is>
      </c>
      <c r="C16" s="1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2025::jama.2024.24764::C001</t>
        </is>
      </c>
      <c r="B2" s="20" t="inlineStr">
        <is>
          <t>Quality-of-life conclusion versus the day-7 index test</t>
        </is>
      </c>
      <c r="C2" s="20" t="inlineStr">
        <is>
          <t>REPORT jama_atherton_2025_oi_240145_1741627844.85412.pdf — main article abstract, PDF p. 1; REPORT jama_atherton_2025_oi_240145_1741627844.85412.pdf — main Secondary Outcomes, PDF p. 6; REPORT joi240145supp3_prod_1741627844.89412.pdf — results supplement eTable 3, day-7 index, later-time rows and interaction, PDF p. 4. Corroborating PLAN joi240145supp1_prod_1741627844.87412.pdf — SAP §§5.1–5.2, PDF p. 12.</t>
        </is>
      </c>
      <c r="D2" s="21" t="inlineStr">
        <is>
          <t>retain</t>
        </is>
      </c>
      <c r="E2" s="21" t="inlineStr">
        <is>
          <t>statistical_results</t>
        </is>
      </c>
      <c r="F2" s="21" t="inlineStr">
        <is>
          <t>primary_done</t>
        </is>
      </c>
      <c r="G2" s="20">
        <f>IFERROR(IF(LEN(TRIM(CLEAN(SUBSTITUTE(Setup!$B$2,CHAR(160)," "))))=0,"CHECK REVIEWER ID",IF(OR(A2="",COUNTIF($A$2:$A$6,A2)&lt;&gt;1,LEFT(A2,LEN("2025::jama.2024.24764::"))&lt;&gt;"2025::jama.2024.24764::"),"CHECK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Main p.1 abstract counts quality of life among secondary outcomes with no significant difference and p.6 says no QoL differences citing eTables 2-4, but Supp3 eTable 3 p.4 shows day-7 EQ-5D index MD -0.057 (-0.104 to -0.010), P=.02 (CI-implied P=.017), a SAP-planned day-specific contrast with no multiplicity correction (SAP p.26, p.12). Summary claim contradicts the cited table.</t>
        </is>
      </c>
    </row>
    <row r="3" ht="92" customHeight="1" s="25">
      <c r="A3" s="24" t="inlineStr">
        <is>
          <t>2025::jama.2024.24764::C002</t>
        </is>
      </c>
      <c r="B3" s="24" t="inlineStr">
        <is>
          <t>Planned hospital-stay differences versus reported geometric ratios</t>
        </is>
      </c>
      <c r="C3" s="24" t="inlineStr">
        <is>
          <t>PLAN joi240145supp1_prod_1741627844.87412.pdf — SAP §9.2, PDF p. 15, joi240145supp1_prod_1741627844.87412.pdf — SAP §9.6, PDF p. 25, joi240145supp1_prod_1741627844.87412.pdf — SAP Appendix D7 shell, PDF p. 42; PLAN joi240145supp4_prod_1741627844.90412.pdf — protocol UK definition, PDF p. 24, joi240145supp4_prod_1741627844.90412.pdf — protocol §14.2.2, PDF p. 39; REPORT jama_atherton_2025_oi_240145_1741627844.85412.pdf — main abstract, PDF p. 1, jama_atherton_2025_oi_240145_1741627844.85412.pdf — Statistical Analysis, PDF p. 4, jama_atherton_2025_oi_240145_1741627844.85412.pdf — Secondary Outcomes, PDF p. 6, jama_atherton_2025_oi_240145_1741627844.85412.pdf — Table 3 UK/pooled rows and footnote c, PDF p. 8.</t>
        </is>
      </c>
      <c r="D3" s="21" t="inlineStr">
        <is>
          <t>retain</t>
        </is>
      </c>
      <c r="E3" s="21" t="inlineStr">
        <is>
          <t>protocol_report</t>
        </is>
      </c>
      <c r="F3" s="21" t="inlineStr">
        <is>
          <t>primary_done</t>
        </is>
      </c>
      <c r="G3" s="24">
        <f>IFERROR(IF(LEN(TRIM(CLEAN(SUBSTITUTE(Setup!$B$2,CHAR(160)," "))))=0,"CHECK REVIEWER ID",IF(OR(A3="",COUNTIF($A$2:$A$6,A3)&lt;&gt;1,LEFT(A3,LEN("2025::jama.2024.24764::"))&lt;&gt;"2025::jama.2024.24764::"),"CHECK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p.25/p.42 plans UK-only adjusted mean difference for LOS (log transform only as sensitivity, SAP p.15; protocol p.39 allows median difference if skewed); report gives adjusted ratio of geometric means for UK and adds a pooled UK+Australia analysis that is the abstract result (main pp.1, 4, 8). Log transform disclosed (main p.4).</t>
        </is>
      </c>
    </row>
    <row r="4" ht="92" customHeight="1" s="25">
      <c r="A4" s="20" t="inlineStr">
        <is>
          <t>2025::jama.2024.24764::C003</t>
        </is>
      </c>
      <c r="B4" s="20" t="inlineStr">
        <is>
          <t>Reported predicted-survival exclusion versus supplied eligibility criteria</t>
        </is>
      </c>
      <c r="C4" s="20" t="inlineStr">
        <is>
          <t>REPORT jama_atherton_2025_oi_240145_1741627844.85412.pdf — main Eligibility Criteria, PDF p. 2 and jama_atherton_2025_oi_240145_1741627844.85412.pdf — mortality interpretation, PDF p. 10; PLAN joi240145supp4_prod_1741627844.90412.pdf — protocol §§5.1–5.2, PDF p. 17, joi240145supp4_prod_1741627844.90412.pdf — Key Eligibility Criteria summary, PDF p. 8, and joi240145supp4_prod_1741627844.90412.pdf — amendment context, PDF p. 2.</t>
        </is>
      </c>
      <c r="D4" s="21" t="inlineStr">
        <is>
          <t>retain</t>
        </is>
      </c>
      <c r="E4" s="21" t="inlineStr">
        <is>
          <t>protocol_report</t>
        </is>
      </c>
      <c r="F4" s="21" t="inlineStr">
        <is>
          <t>primary_done</t>
        </is>
      </c>
      <c r="G4" s="20">
        <f>IFERROR(IF(LEN(TRIM(CLEAN(SUBSTITUTE(Setup!$B$2,CHAR(160)," "))))=0,"CHECK REVIEWER ID",IF(OR(A4="",COUNTIF($A$2:$A$6,A4)&lt;&gt;1,LEFT(A4,LEN("2025::jama.2024.24764::"))&lt;&gt;"2025::jama.2024.24764::"),"CHECK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Main p.2 lists 'not expected to survive beyond 30 days' as an exclusion and p.10 invokes it; protocol v4.0 §5.1-5.2 (p.17) and summary (p.8) list only two exclusions (recent abdominal surgery, expected reopening). Table 1 also shows 7 ASA V participants, at odds with the p.10 statement.</t>
        </is>
      </c>
    </row>
    <row r="5" ht="92" customHeight="1" s="25">
      <c r="A5" s="24" t="inlineStr">
        <is>
          <t>2025::jama.2024.24764::C004</t>
        </is>
      </c>
      <c r="B5" s="24" t="inlineStr">
        <is>
          <t>Unstructured versus independent quality-of-life covariance</t>
        </is>
      </c>
      <c r="C5" s="24" t="inlineStr">
        <is>
          <t>PLAN joi240145supp1_prod_1741627844.87412.pdf — SAP §9.6 SF-12 and EQ-5D paragraphs, PDF p. 26; REPORT jama_atherton_2025_oi_240145_1741627844.85412.pdf — main Statistical Analysis, PDF p. 4; affected REPORT jama_atherton_2025_oi_240145_1741627844.85412.pdf — main Table 3 day-30 SF-12 rows, PDF p. 8, joi240145supp3_prod_1741627844.89412.pdf — results eTable 2, all PCS/MCS rows and interactions, PDF p. 3, joi240145supp3_prod_1741627844.89412.pdf — results eTable 3 index rows/interaction, PDF p. 4, and joi240145supp3_prod_1741627844.89412.pdf — results eTable 4 health rows/interaction, PDF p. 4.</t>
        </is>
      </c>
      <c r="D5" s="21" t="inlineStr">
        <is>
          <t>retain</t>
        </is>
      </c>
      <c r="E5" s="21" t="inlineStr">
        <is>
          <t>protocol_report</t>
        </is>
      </c>
      <c r="F5" s="21" t="inlineStr">
        <is>
          <t>primary_done</t>
        </is>
      </c>
      <c r="G5" s="24">
        <f>IFERROR(IF(LEN(TRIM(CLEAN(SUBSTITUTE(Setup!$B$2,CHAR(160)," "))))=0,"CHECK REVIEWER ID",IF(OR(A5="",COUNTIF($A$2:$A$6,A5)&lt;&gt;1,LEFT(A5,LEN("2025::jama.2024.24764::"))&lt;&gt;"2025::jama.2024.24764::"),"CHECK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§9.6 p.26 specifies unstructured covariance with robust sandwich SEs for SF-12 and EQ-5D repeated-measures models; main p.4 states an independent covariance structure was assumed. Not disclosed as a change.</t>
        </is>
      </c>
    </row>
    <row r="6" ht="92" customHeight="1" s="25">
      <c r="A6" s="20" t="inlineStr">
        <is>
          <t>2025::jama.2024.24764::C005</t>
        </is>
      </c>
      <c r="B6" s="20" t="inlineStr">
        <is>
          <t>SAP fixed-participant parameterization and adjusted contrasts</t>
        </is>
      </c>
      <c r="C6" s="20" t="inlineStr">
        <is>
          <t>PLAN joi240145supp1_prod_1741627844.87412.pdf — SAP §9.6 SF-12 fixed-parameter declaration, PDF p. 26; PLAN joi240145supp1_prod_1741627844.87412.pdf — same paragraph's assessment-time, baseline adjustment and time-specific contrast declarations, PDF p. 26; inherited PLAN joi240145supp1_prod_1741627844.87412.pdf — EQ-5D index/health methods paragraph, PDF p. 26. No REPORT location is a conflicting party.</t>
        </is>
      </c>
      <c r="D6" s="21" t="inlineStr">
        <is>
          <t>retain</t>
        </is>
      </c>
      <c r="E6" s="21" t="inlineStr">
        <is>
          <t>plan_material</t>
        </is>
      </c>
      <c r="F6" s="21" t="inlineStr">
        <is>
          <t>primary_done</t>
        </is>
      </c>
      <c r="G6" s="20">
        <f>IFERROR(IF(LEN(TRIM(CLEAN(SUBSTITUTE(Setup!$B$2,CHAR(160)," "))))=0,"CHECK REVIEWER ID",IF(OR(A6="",COUNTIF($A$2:$A$6,A6)&lt;&gt;1,LEFT(A6,LEN("2025::jama.2024.24764::"))&lt;&gt;"2025::jama.2024.24764::"),"CHECK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SAP §9.6 p.26 lists participant as a fixed effect together with treatment group and baseline score; read literally, these are aliased with participant indicators. The repeated-measures/unstructured-covariance wording makes the intended model clear, so I treat it as a wording slip in the plan.</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1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2025::jama.2024.27643::C001</t>
        </is>
      </c>
      <c r="B2" s="20" t="inlineStr">
        <is>
          <t>Muscle-strength outcome status</t>
        </is>
      </c>
      <c r="C2" s="20" t="inlineStr">
        <is>
          <t>Physical PDF pages; PLAN/REPORT roles are stated above and within the evidence. joi240158supp1_prod_1742927563.7611.pdf — PDF p. 112; joi240158supp1_prod_1742927563.7611.pdf — PDF p. 184; joi240158supp2_prod_1742927563.7711.pdf — PDF p. 76; joi240158supp2_prod_1742927563.7711.pdf — PDF p. 77; joi240158supp2_prod_1742927563.7711.pdf — PDF p. 78; joi240158supp2_prod_1742927563.7711.pdf — PDF p. 109; joi240158supp2_prod_1742927563.7711.pdf — PDF p. 110; joi240158supp2_prod_1742927563.7711.pdf — PDF p. 111; joi240158supp2_prod_1742927563.7711.pdf — PDF p. 112; jama_berry_2025_oi_240158_1742927563.7361.pdf — PDF p. 3; joi240158supp3_prod_1742927563.7911.pdf — PDF p. 5; joi240158supp3_prod_1742927563.7911.pdf — PDF p. 6; joi240158supp2_prod_1742927563.7711.pdf — PDF p. 104</t>
        </is>
      </c>
      <c r="D2" s="21" t="inlineStr">
        <is>
          <t>retain</t>
        </is>
      </c>
      <c r="E2" s="21" t="inlineStr">
        <is>
          <t>protocol_report</t>
        </is>
      </c>
      <c r="F2" s="21" t="inlineStr">
        <is>
          <t>primary_done</t>
        </is>
      </c>
      <c r="G2" s="20">
        <f>IFERROR(IF(LEN(TRIM(CLEAN(SUBSTITUTE(Setup!$B$2,CHAR(160)," "))))=0,"CHECK REVIEWER ID",IF(OR(A2="",COUNTIF($A$2:$A$17,A2)&lt;&gt;1,LEFT(A2,LEN("2025::jama.2024.27643::"))&lt;&gt;"2025::jama.2024.27643::"),"CHECK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RSA C v3.0 (Supp1 p.112) and v6.0 (p.184) list change in muscle strength (HHD and grip) as a secondary efficacy endpoint; R-SAP v1.0/v3.0 (Supp2 pp.76-78, 109-112) and the report (main p.3; Supp3 pp.5-6) treat HHD as exploratory. Outcome-status change; report follows the SAP.</t>
        </is>
      </c>
    </row>
    <row r="3" ht="92" customHeight="1" s="25">
      <c r="A3" s="24" t="inlineStr">
        <is>
          <t>2025::jama.2024.27643::C002</t>
        </is>
      </c>
      <c r="B3" s="24" t="inlineStr">
        <is>
          <t>Plasma NfL prespecification</t>
        </is>
      </c>
      <c r="C3" s="24" t="inlineStr">
        <is>
          <t>Physical PDF pages; PLAN/REPORT roles are stated above and within the evidence. jama_berry_2025_oi_240158_1742927563.7361.pdf — PDF p. 3; joi240158supp3_prod_1742927563.7911.pdf — PDF p. 6; joi240158supp3_prod_1742927563.7911.pdf — PDF p. 11; joi240158supp2_prod_1742927563.7711.pdf — PDF p. 110; joi240158supp2_prod_1742927563.7711.pdf — PDF p. 112; joi240158supp2_prod_1742927563.7711.pdf — PDF p. 127; joi240158supp2_prod_1742927563.7711.pdf — PDF p. 114; jama_berry_2025_oi_240158_1742927563.7361.pdf — PDF p. 8; joi240158supp3_prod_1742927563.7911.pdf — PDF p. 17</t>
        </is>
      </c>
      <c r="D3" s="21" t="inlineStr">
        <is>
          <t>retain</t>
        </is>
      </c>
      <c r="E3" s="21" t="inlineStr">
        <is>
          <t>protocol_report</t>
        </is>
      </c>
      <c r="F3" s="21" t="inlineStr">
        <is>
          <t>primary_done</t>
        </is>
      </c>
      <c r="G3" s="24">
        <f>IFERROR(IF(LEN(TRIM(CLEAN(SUBSTITUTE(Setup!$B$2,CHAR(160)," "))))=0,"CHECK REVIEWER ID",IF(OR(A3="",COUNTIF($A$2:$A$17,A3)&lt;&gt;1,LEFT(A3,LEN("2025::jama.2024.27643::"))&lt;&gt;"2025::jama.2024.27643::"),"CHECK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Main p.3 says plasma NfL was prespecified (regimen-only samples); Supp3 p.6 and p.11 say plasma NfL was added post hoc (PD SAP originally specified UCH-L1 only). R-SAP v3.0 (Supp2 p.110, p.112) names serum and CSF NfL only. 'Prespecified' claim without a supplied plan basis; disclosed as post hoc in the supplement.</t>
        </is>
      </c>
    </row>
    <row r="4" ht="92" customHeight="1" s="25">
      <c r="A4" s="20" t="inlineStr">
        <is>
          <t>2025::jama.2024.27643::C003</t>
        </is>
      </c>
      <c r="B4" s="20" t="inlineStr">
        <is>
          <t>Unreported named planned primary/key-secondary analyses</t>
        </is>
      </c>
      <c r="C4" s="20" t="inlineStr">
        <is>
          <t>Physical PDF pages; PLAN/REPORT roles are stated above and within the evidence. joi240158supp2_prod_1742927563.7711.pdf — PDF p. 116; joi240158supp2_prod_1742927563.7711.pdf — PDF p. 117; jama_berry_2025_oi_240158_1742927563.7361.pdf — PDF p. 4; joi240158supp3_prod_1742927563.7911.pdf — PDF p. 15; joi240158supp3_prod_1742927563.7911.pdf — PDF p. 9; joi240158supp2_prod_1742927563.7711.pdf — PDF p. 119; jama_berry_2025_oi_240158_1742927563.7361.pdf — PDF p. 3; joi240158supp3_prod_1742927563.7911.pdf — PDF p. 10; joi240158supp3_prod_1742927563.7911.pdf — PDF p. 16; joi240158supp3_prod_1742927563.7911.pdf — PDF p. 17; joi240158supp2_prod_1742927563.7711.pdf — PDF p. 125; jama_berry_2025_oi_240158_1742927563.7361.pdf — PDF p. 8; joi240158supp2_prod_1742927563.7711.pdf — PDF p. 113; joi240158supp2_prod_1742927563.7711.pdf — PDF p. 121; jama_berry_2025_oi_240158_1742927563.7361.pdf — PDF p. 7; joi240158supp3_prod_1742927563.7911.pdf — PDF p. 12; joi240158supp2_prod_1742927563.7711.pdf — PDF p. 126; joi240158supp3_prod_1742927563.7911.pdf — PDF p. 13; joi240158supp3_prod_1742927563.7911.pdf — PDF p. 18; joi240158supp3_prod_1742927563.7911.pdf — PDF p. 19; joi240158supp3_prod_1742927563.7911.pdf — PDF p. 20; joi240158supp3_prod_1742927563.7911.pdf — PDF p. 25; joi240158supp3_prod_1742927563.7911.pdf — PDF p. 1</t>
        </is>
      </c>
      <c r="D4" s="21" t="inlineStr">
        <is>
          <t>retain</t>
        </is>
      </c>
      <c r="E4" s="21" t="inlineStr">
        <is>
          <t>protocol_report</t>
        </is>
      </c>
      <c r="F4" s="21" t="inlineStr">
        <is>
          <t>primary_done</t>
        </is>
      </c>
      <c r="G4" s="20">
        <f>IFERROR(IF(LEN(TRIM(CLEAN(SUBSTITUTE(Setup!$B$2,CHAR(160)," "))))=0,"CHECK REVIEWER ID",IF(OR(A4="",COUNTIF($A$2:$A$17,A4)&lt;&gt;1,LEFT(A4,LEN("2025::jama.2024.27643::"))&lt;&gt;"2025::jama.2024.27643::"),"CHECK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R-SAP v3.0 plans ECM sensitivity and EPP supportive DRR analyses (Supp2 pp.116-117), several joint-rank variants (p.119), placebo-reference multiple imputation (p.125), death-alone survival (p.113, 121) and subgroups incl. early disease state, urate, onset site, clinic site (pp.125-126). None has an output in the main article or Supp3 (searched); Supp3 p.6 says only 'relevant' exploratory analyses are presented.</t>
        </is>
      </c>
    </row>
    <row r="5" ht="92" customHeight="1" s="25">
      <c r="A5" s="24" t="inlineStr">
        <is>
          <t>2025::jama.2024.27643::C004</t>
        </is>
      </c>
      <c r="B5" s="24" t="inlineStr">
        <is>
          <t>Adjusted planned CAFS versus reported Wilcoxon</t>
        </is>
      </c>
      <c r="C5" s="24" t="inlineStr">
        <is>
          <t>Physical PDF pages; PLAN/REPORT roles are stated above and within the evidence. joi240158supp2_prod_1742927563.7711.pdf — PDF p. 118; joi240158supp2_prod_1742927563.7711.pdf — PDF p. 119; jama_berry_2025_oi_240158_1742927563.7361.pdf — PDF p. 3; jama_berry_2025_oi_240158_1742927563.7361.pdf — PDF p. 4; joi240158supp3_prod_1742927563.7911.pdf — PDF p. 9; joi240158supp2_prod_1742927563.7711.pdf — PDF p. 84; joi240158supp2_prod_1742927563.7711.pdf — PDF p. 97</t>
        </is>
      </c>
      <c r="D5" s="21" t="inlineStr">
        <is>
          <t>retain</t>
        </is>
      </c>
      <c r="E5" s="21" t="inlineStr">
        <is>
          <t>protocol_report</t>
        </is>
      </c>
      <c r="F5" s="21" t="inlineStr">
        <is>
          <t>primary_done</t>
        </is>
      </c>
      <c r="G5" s="24">
        <f>IFERROR(IF(LEN(TRIM(CLEAN(SUBSTITUTE(Setup!$B$2,CHAR(160)," "))))=0,"CHECK REVIEWER ID",IF(OR(A5="",COUNTIF($A$2:$A$17,A5)&lt;&gt;1,LEFT(A5,LEN("2025::jama.2024.27643::"))&lt;&gt;"2025::jama.2024.27643::"),"CHECK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version_timing</t>
        </is>
      </c>
      <c r="M5" s="24" t="n"/>
      <c r="N5" s="23" t="n"/>
      <c r="O5" s="23" t="n"/>
      <c r="P5" s="23" t="n"/>
      <c r="Q5" s="23" t="n"/>
      <c r="R5" s="22" t="inlineStr">
        <is>
          <t>R-SAP v3.0 (22 Jul 2022; Supp2 pp.117-118, change log p.97) makes the primary CAFS analysis a covariate-adjusted rank regression; the report uses a Wilcoxon rank-sum test (main p.3; P=.51, p.4), which matches R-SAP v1.0 (17 Mar 2022; Supp2 p.84). Which version governed the final analysis is not stated.</t>
        </is>
      </c>
    </row>
    <row r="6" ht="92" customHeight="1" s="25">
      <c r="A6" s="20" t="inlineStr">
        <is>
          <t>2025::jama.2024.27643::C005</t>
        </is>
      </c>
      <c r="B6" s="20" t="inlineStr">
        <is>
          <t>Planned survival logrank result</t>
        </is>
      </c>
      <c r="C6" s="20" t="inlineStr">
        <is>
          <t>Physical PDF pages; PLAN/REPORT roles are stated above and within the evidence. joi240158supp2_prod_1742927563.7711.pdf — PDF p. 117; joi240158supp2_prod_1742927563.7711.pdf — PDF p. 121; joi240158supp2_prod_1742927563.7711.pdf — PDF p. 85; joi240158supp2_prod_1742927563.7711.pdf — PDF p. 86; jama_berry_2025_oi_240158_1742927563.7361.pdf — PDF p. 3; jama_berry_2025_oi_240158_1742927563.7361.pdf — PDF p. 4; jama_berry_2025_oi_240158_1742927563.7361.pdf — PDF p. 7; joi240158supp3_prod_1742927563.7911.pdf — PDF p. 10; joi240158supp2_prod_1742927563.7711.pdf — PDF p. 118</t>
        </is>
      </c>
      <c r="D6" s="21" t="inlineStr">
        <is>
          <t>retain</t>
        </is>
      </c>
      <c r="E6" s="21" t="inlineStr">
        <is>
          <t>protocol_report</t>
        </is>
      </c>
      <c r="F6" s="21" t="inlineStr">
        <is>
          <t>primary_done</t>
        </is>
      </c>
      <c r="G6" s="20">
        <f>IFERROR(IF(LEN(TRIM(CLEAN(SUBSTITUTE(Setup!$B$2,CHAR(160)," "))))=0,"CHECK REVIEWER ID",IF(OR(A6="",COUNTIF($A$2:$A$17,A6)&lt;&gt;1,LEFT(A6,LEN("2025::jama.2024.27643::"))&lt;&gt;"2025::jama.2024.27643::"),"CHECK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Both R-SAP versions (Supp2 p.86, p.121) make the Kaplan-Meier/log-rank test the primary survival analysis (unadjusted Cox HR only if log-rank significant); the report gives covariate-adjusted Cox HRs and P values (main p.3, p.7 Table 2) and no log-rank result.</t>
        </is>
      </c>
    </row>
    <row r="7" ht="92" customHeight="1" s="25">
      <c r="A7" s="24" t="inlineStr">
        <is>
          <t>2025::jama.2024.27643::C006</t>
        </is>
      </c>
      <c r="B7" s="24" t="inlineStr">
        <is>
          <t>Survival covariate-set descriptions</t>
        </is>
      </c>
      <c r="C7" s="24" t="inlineStr">
        <is>
          <t>Physical PDF pages; PLAN/REPORT roles are stated above and within the evidence. jama_berry_2025_oi_240158_1742927563.7361.pdf — PDF p. 3; joi240158supp3_prod_1742927563.7911.pdf — PDF p. 10; jama_berry_2025_oi_240158_1742927563.7361.pdf — PDF p. 7; joi240158supp3_prod_1742927563.7911.pdf — PDF p. 12; joi240158supp2_prod_1742927563.7711.pdf — PDF p. 121</t>
        </is>
      </c>
      <c r="D7" s="21" t="inlineStr">
        <is>
          <t>retain</t>
        </is>
      </c>
      <c r="E7" s="21" t="inlineStr">
        <is>
          <t>statistical_results</t>
        </is>
      </c>
      <c r="F7" s="21" t="inlineStr">
        <is>
          <t>primary_done</t>
        </is>
      </c>
      <c r="G7" s="24">
        <f>IFERROR(IF(LEN(TRIM(CLEAN(SUBSTITUTE(Setup!$B$2,CHAR(160)," "))))=0,"CHECK REVIEWER ID",IF(OR(A7="",COUNTIF($A$2:$A$17,A7)&lt;&gt;1,LEFT(A7,LEN("2025::jama.2024.27643::"))&lt;&gt;"2025::jama.2024.27643::"),"CHECK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Main p.3 and Supp3 p.10 list Cox covariates as prebaseline slope, months since onset, riluzole, edaravone and age; Table 2 footnote b (main p.7) lists the same plus sex. Same models, two covariate sets; which was fitted is not determinable.</t>
        </is>
      </c>
    </row>
    <row r="8" ht="92" customHeight="1" s="25">
      <c r="A8" s="20" t="inlineStr">
        <is>
          <t>2025::jama.2024.27643::C007</t>
        </is>
      </c>
      <c r="B8" s="20" t="inlineStr">
        <is>
          <t>Mortality component estimates</t>
        </is>
      </c>
      <c r="C8" s="20" t="inlineStr">
        <is>
          <t>Physical PDF pages; PLAN/REPORT roles are stated above and within the evidence. jama_berry_2025_oi_240158_1742927563.7361.pdf — PDF p. 4; joi240158supp3_prod_1742927563.7911.pdf — PDF p. 15</t>
        </is>
      </c>
      <c r="D8" s="21" t="inlineStr">
        <is>
          <t>retain</t>
        </is>
      </c>
      <c r="E8" s="21" t="inlineStr">
        <is>
          <t>statistical_results</t>
        </is>
      </c>
      <c r="F8" s="21" t="inlineStr">
        <is>
          <t>primary_done</t>
        </is>
      </c>
      <c r="G8" s="20">
        <f>IFERROR(IF(LEN(TRIM(CLEAN(SUBSTITUTE(Setup!$B$2,CHAR(160)," "))))=0,"CHECK REVIEWER ID",IF(OR(A8="",COUNTIF($A$2:$A$17,A8)&lt;&gt;1,LEFT(A8,LEN("2025::jama.2024.27643::"))&lt;&gt;"2025::jama.2024.27643::"),"CHECK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t="inlineStr">
        <is>
          <t>direct</t>
        </is>
      </c>
      <c r="K8" s="21">
        <f>IF(AND(OR(D8="retain",D8=""),OR(E8="report_internal_inconsistency",E8="plan_material")),"","not_applicable")</f>
        <v/>
      </c>
      <c r="L8" s="22">
        <f>IF(AND(OR(D8="retain",D8=""),E8="protocol_report"),"","not_applicable")</f>
        <v/>
      </c>
      <c r="M8" s="20" t="n"/>
      <c r="N8" s="23" t="n"/>
      <c r="O8" s="23" t="n"/>
      <c r="P8" s="23" t="n"/>
      <c r="Q8" s="23" t="n"/>
      <c r="R8" s="22" t="inlineStr">
        <is>
          <t>Main p.4 gives model mortality rates 0.007 (shared placebo) and 0.006 (CNM-Au8) events/month citing eTable 2; eTable 2 (Supp3 p.15) gives 0.010 and 0.009 (median and mean). Slope CrIs also differ (main -1.176 to -0.892 and -1.153 to -0.858 vs eTable -1.181 to -0.894 and -1.143 to -0.847).</t>
        </is>
      </c>
    </row>
    <row r="9" ht="92" customHeight="1" s="25">
      <c r="A9" s="24" t="inlineStr">
        <is>
          <t>2025::jama.2024.27643::C008</t>
        </is>
      </c>
      <c r="B9" s="24" t="inlineStr">
        <is>
          <t>SVC change versus monthly rate</t>
        </is>
      </c>
      <c r="C9" s="24" t="inlineStr">
        <is>
          <t>Physical PDF pages; PLAN/REPORT roles are stated above and within the evidence. jama_berry_2025_oi_240158_1742927563.7361.pdf — PDF p. 4; joi240158supp3_prod_1742927563.7911.pdf — PDF p. 16; jama_berry_2025_oi_240158_1742927563.7361.pdf — PDF p. 3; joi240158supp3_prod_1742927563.7911.pdf — PDF p. 10; joi240158supp2_prod_1742927563.7711.pdf — PDF p. 119; joi240158supp2_prod_1742927563.7711.pdf — PDF p. 120; joi240158supp2_prod_1742927563.7711.pdf — PDF p. 121; joi240158supp2_prod_1742927563.7711.pdf — PDF p. 122; joi240158supp2_prod_1742927563.7711.pdf — PDF p. 123</t>
        </is>
      </c>
      <c r="D9" s="21" t="inlineStr">
        <is>
          <t>retain</t>
        </is>
      </c>
      <c r="E9" s="21" t="inlineStr">
        <is>
          <t>report_internal_inconsistency</t>
        </is>
      </c>
      <c r="F9" s="21" t="inlineStr">
        <is>
          <t>primary_done</t>
        </is>
      </c>
      <c r="G9" s="24">
        <f>IFERROR(IF(LEN(TRIM(CLEAN(SUBSTITUTE(Setup!$B$2,CHAR(160)," "))))=0,"CHECK REVIEWER ID",IF(OR(A9="",COUNTIF($A$2:$A$17,A9)&lt;&gt;1,LEFT(A9,LEN("2025::jama.2024.27643::"))&lt;&gt;"2025::jama.2024.27643::"),"CHECK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inlineStr">
        <is>
          <t>Main p.4 labels -9.32 vs -8.53 (difference -0.78 [-4.25 to 2.68]) as 'PPN per month', but eTable 3A (Supp3 p.16) labels them 24-week change estimates; the NfL-adjusted 'sensitivity' then gives -1.73 vs -1.55 PPN/month, a different (slope) quantity, yet is said not to change inference.</t>
        </is>
      </c>
    </row>
    <row r="10" ht="92" customHeight="1" s="25">
      <c r="A10" s="20" t="inlineStr">
        <is>
          <t>2025::jama.2024.27643::C009</t>
        </is>
      </c>
      <c r="B10" s="20" t="inlineStr">
        <is>
          <t>Survival regimen-placebo exclusions and denominator</t>
        </is>
      </c>
      <c r="C10" s="20" t="inlineStr">
        <is>
          <t>Physical PDF pages; PLAN/REPORT roles are stated above and within the evidence. jama_berry_2025_oi_240158_1742927563.7361.pdf — PDF p. 4; jama_berry_2025_oi_240158_1742927563.7361.pdf — PDF p. 7</t>
        </is>
      </c>
      <c r="D10" s="21" t="inlineStr">
        <is>
          <t>retain</t>
        </is>
      </c>
      <c r="E10" s="21" t="inlineStr">
        <is>
          <t>statistical_results</t>
        </is>
      </c>
      <c r="F10" s="21" t="inlineStr">
        <is>
          <t>primary_done</t>
        </is>
      </c>
      <c r="G10" s="20">
        <f>IFERROR(IF(LEN(TRIM(CLEAN(SUBSTITUTE(Setup!$B$2,CHAR(160)," "))))=0,"CHECK REVIEWER ID",IF(OR(A10="",COUNTIF($A$2:$A$17,A10)&lt;&gt;1,LEFT(A10,LEN("2025::jama.2024.27643::"))&lt;&gt;"2025::jama.2024.27643::"),"CHECK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Main p.4 says '4 of the 41 participants in the regimen placebo group and 2 in the shared placebo group were excluded' for no follow-up time, but Table 2 (p.7) uses 4/41 as regimen-placebo events and only 2 shared-placebo exclusions (164-2=162). The sentence misattributes the 4 events as exclusions.</t>
        </is>
      </c>
    </row>
    <row r="11" ht="92" customHeight="1" s="25">
      <c r="A11" s="24" t="inlineStr">
        <is>
          <t>2025::jama.2024.27643::C010</t>
        </is>
      </c>
      <c r="B11" s="24" t="inlineStr">
        <is>
          <t>Prespecified subgroup partitions</t>
        </is>
      </c>
      <c r="C11" s="24" t="inlineStr">
        <is>
          <t>Physical PDF pages; PLAN/REPORT roles are stated above and within the evidence. joi240158supp2_prod_1742927563.7711.pdf — PDF p. 89; joi240158supp2_prod_1742927563.7711.pdf — PDF p. 126; joi240158supp3_prod_1742927563.7911.pdf — PDF p. 13; joi240158supp3_prod_1742927563.7911.pdf — PDF p. 20; joi240158supp2_prod_1742927563.7711.pdf — PDF p. 88; joi240158supp3_prod_1742927563.7911.pdf — PDF p. 19; jama_berry_2025_oi_240158_1742927563.7361.pdf — PDF p. 8</t>
        </is>
      </c>
      <c r="D11" s="21" t="inlineStr">
        <is>
          <t>retain</t>
        </is>
      </c>
      <c r="E11" s="21" t="inlineStr">
        <is>
          <t>protocol_report</t>
        </is>
      </c>
      <c r="F11" s="21" t="inlineStr">
        <is>
          <t>primary_done</t>
        </is>
      </c>
      <c r="G11" s="24">
        <f>IFERROR(IF(LEN(TRIM(CLEAN(SUBSTITUTE(Setup!$B$2,CHAR(160)," "))))=0,"CHECK REVIEWER ID",IF(OR(A11="",COUNTIF($A$2:$A$17,A11)&lt;&gt;1,LEFT(A11,LEN("2025::jama.2024.27643::"))&lt;&gt;"2025::jama.2024.27643::"),"CHECK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R-SAP v1.0/v3.0 subgroups (Supp2 pp.88-89, 125-126): delta-FRS in 3 fixed strata (&lt;0.47, 0.47-&lt;1.11, &gt;=1.11), weight in 5 strata, El Escorial definite+&lt;18 mo vs not both. Report (Supp3 p.13; eTable 4 pp.18-20) calls a dFRS median split prespecified, shows weight &lt;56 kg, and splits 'Definite and &lt;18 mo' vs 'Not definite and &lt;18 mo'.</t>
        </is>
      </c>
    </row>
    <row r="12" ht="92" customHeight="1" s="25">
      <c r="A12" s="20" t="inlineStr">
        <is>
          <t>2025::jama.2024.27643::C011</t>
        </is>
      </c>
      <c r="B12" s="20" t="inlineStr">
        <is>
          <t>Six-point functional-decline composite inside PLAN</t>
        </is>
      </c>
      <c r="C12" s="20" t="inlineStr">
        <is>
          <t>Physical PDF pages; PLAN/REPORT roles are stated above and within the evidence. joi240158supp1_prod_1742927563.7611.pdf — PDF p. 112; joi240158supp1_prod_1742927563.7611.pdf — PDF p. 184; joi240158supp2_prod_1742927563.7711.pdf — PDF p. 78; joi240158supp2_prod_1742927563.7711.pdf — PDF p. 111; joi240158supp2_prod_1742927563.7711.pdf — PDF p. 113; jama_berry_2025_oi_240158_1742927563.7361.pdf — PDF p. 3; joi240158supp2_prod_1742927563.7711.pdf — PDF p. 104</t>
        </is>
      </c>
      <c r="D12" s="21" t="inlineStr">
        <is>
          <t>retain</t>
        </is>
      </c>
      <c r="E12" s="21" t="inlineStr">
        <is>
          <t>plan_material</t>
        </is>
      </c>
      <c r="F12" s="21" t="inlineStr">
        <is>
          <t>primary_done</t>
        </is>
      </c>
      <c r="G12" s="20">
        <f>IFERROR(IF(LEN(TRIM(CLEAN(SUBSTITUTE(Setup!$B$2,CHAR(160)," "))))=0,"CHECK REVIEWER ID",IF(OR(A12="",COUNTIF($A$2:$A$17,A12)&lt;&gt;1,LEFT(A12,LEN("2025::jama.2024.27643::"))&lt;&gt;"2025::jama.2024.27643::"),"CHECK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substantive_inconsistency</t>
        </is>
      </c>
      <c r="L12" s="22">
        <f>IF(AND(OR(D12="retain",D12=""),E12="protocol_report"),"","not_applicable")</f>
        <v/>
      </c>
      <c r="M12" s="20" t="n"/>
      <c r="N12" s="23" t="n"/>
      <c r="O12" s="23" t="n"/>
      <c r="P12" s="23" t="n"/>
      <c r="Q12" s="23" t="n"/>
      <c r="R12" s="22" t="inlineStr">
        <is>
          <t>RSA C v3.0/v6.0 (Supp1 pp.112, 184) defines the exploratory end point as the difference in the proportion with a &gt;=6-point ALSFRS-R decline at week 24; both R-SAPs (Supp2 p.78, p.111) define time to first &gt;=6-point decline or death/death equivalent (composite, censored). Different end point type within the plan; the report follows the SAP (main p.3).</t>
        </is>
      </c>
    </row>
    <row r="13" ht="92" customHeight="1" s="25">
      <c r="A13" s="24" t="inlineStr">
        <is>
          <t>2025::jama.2024.27643::C012</t>
        </is>
      </c>
      <c r="B13" s="24" t="inlineStr">
        <is>
          <t>NfL interval versus P display pattern</t>
        </is>
      </c>
      <c r="C13" s="24" t="inlineStr">
        <is>
          <t>Physical PDF pages; PLAN/REPORT roles are stated above and within the evidence. joi240158supp3_prod_1742927563.7911.pdf — PDF p. 17; jama_berry_2025_oi_240158_1742927563.7361.pdf — PDF p. 4; jama_berry_2025_oi_240158_1742927563.7361.pdf — PDF p. 8</t>
        </is>
      </c>
      <c r="D13" s="21" t="inlineStr">
        <is>
          <t>exclude</t>
        </is>
      </c>
      <c r="E13" s="21" t="inlineStr">
        <is>
          <t>statistical_results</t>
        </is>
      </c>
      <c r="F13" s="21" t="inlineStr">
        <is>
          <t>primary_done</t>
        </is>
      </c>
      <c r="G13" s="24">
        <f>IFERROR(IF(LEN(TRIM(CLEAN(SUBSTITUTE(Setup!$B$2,CHAR(160)," "))))=0,"CHECK REVIEWER ID",IF(OR(A13="",COUNTIF($A$2:$A$17,A13)&lt;&gt;1,LEFT(A13,LEN("2025::jama.2024.27643::"))&lt;&gt;"2025::jama.2024.27643::"),"CHECK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inlineStr">
        <is>
          <t>eTable 3B (Supp3 p.17) plasma rows (-18.0, 0) P=.04 and (-20, 0) P=.04 and 60-mg serum (-45.1, -0.7) P=.05: CI-P disagreement explained by display rounding (main p.8 gives plasma upper bound -0.4%; CI-implied P computed .041-.049).</t>
        </is>
      </c>
    </row>
    <row r="14" ht="92" customHeight="1" s="25">
      <c r="A14" s="20" t="inlineStr">
        <is>
          <t>2025::jama.2024.27643::C013</t>
        </is>
      </c>
      <c r="B14" s="20" t="inlineStr">
        <is>
          <t>Serum NfL contrast scale</t>
        </is>
      </c>
      <c r="C14" s="20" t="inlineStr">
        <is>
          <t>Physical PDF pages; PLAN/REPORT roles are stated above and within the evidence. joi240158supp3_prod_1742927563.7911.pdf — PDF p. 17; jama_berry_2025_oi_240158_1742927563.7361.pdf — PDF p. 8</t>
        </is>
      </c>
      <c r="D14" s="21" t="inlineStr">
        <is>
          <t>retain</t>
        </is>
      </c>
      <c r="E14" s="21" t="inlineStr">
        <is>
          <t>statistical_results</t>
        </is>
      </c>
      <c r="F14" s="21" t="inlineStr">
        <is>
          <t>primary_done</t>
        </is>
      </c>
      <c r="G14" s="20">
        <f>IFERROR(IF(LEN(TRIM(CLEAN(SUBSTITUTE(Setup!$B$2,CHAR(160)," "))))=0,"CHECK REVIEWER ID",IF(OR(A14="",COUNTIF($A$2:$A$17,A14)&lt;&gt;1,LEFT(A14,LEN("2025::jama.2024.27643::"))&lt;&gt;"2025::jama.2024.27643::"),"CHECK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3B serum NfL rows (Supp3 p.17) are on the natural-log x100 scale although labeled % change: placebo 26.8 = 100*log-change (exp(0.268)-1=30.7%, main p.8 says 30.8%), contrast -26.4 (-50.3,-2.6) back-transforms to -23.2% (-39.5%,-2.6%) = main p.8. Plasma rows are back-transformed. 60-mg serum CI (-45.1,-0.7) is also asymmetric about -27.4.</t>
        </is>
      </c>
    </row>
    <row r="15" ht="92" customHeight="1" s="25">
      <c r="A15" s="24" t="inlineStr">
        <is>
          <t>2025::jama.2024.27643::C014</t>
        </is>
      </c>
      <c r="B15" s="24" t="inlineStr">
        <is>
          <t>Estimated DRR direction in planned operating characteristics</t>
        </is>
      </c>
      <c r="C15" s="24" t="inlineStr">
        <is>
          <t>Physical PDF pages; PLAN/REPORT roles are stated above and within the evidence. joi240158supp2_prod_1742927563.7711.pdf — PDF p. 50; joi240158supp1_prod_1742927563.7611.pdf — PDF p. 65; joi240158supp1_prod_1742927563.7611.pdf — PDF p. 137; joi240158supp1_prod_1742927563.7611.pdf — PDF p. 212; joi240158supp2_prod_1742927563.7711.pdf — PDF p. 8; joi240158supp2_prod_1742927563.7711.pdf — PDF p. 63</t>
        </is>
      </c>
      <c r="D15" s="21" t="inlineStr">
        <is>
          <t>exclude</t>
        </is>
      </c>
      <c r="E15" s="21" t="inlineStr">
        <is>
          <t>plan_material</t>
        </is>
      </c>
      <c r="F15" s="21" t="inlineStr">
        <is>
          <t>primary_done</t>
        </is>
      </c>
      <c r="G15" s="24">
        <f>IFERROR(IF(LEN(TRIM(CLEAN(SUBSTITUTE(Setup!$B$2,CHAR(160)," "))))=0,"CHECK REVIEWER ID",IF(OR(A15="",COUNTIF($A$2:$A$17,A15)&lt;&gt;1,LEFT(A15,LEN("2025::jama.2024.27643::"))&lt;&gt;"2025::jama.2024.27643::"),"CHECK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inlineStr">
        <is>
          <t>M-SAP v3.0 (06 Feb 2023) p.50 prose says 'power and estimated DRR decrease' with rising mortality while Table 6.2.1 shows mean estimated DRR rising (0.72/0.75/0.81); the next sentence makes clear the estimated treatment effect decreases. Wording slip in illustrative operating characteristics of an M-SAP version that, by its own p.8 governance clause, applies to regimens initiated after Feb 2023, not regimen C.</t>
        </is>
      </c>
    </row>
    <row r="16" ht="92" customHeight="1" s="25">
      <c r="A16" s="20" t="inlineStr">
        <is>
          <t>2025::jama.2024.27643::C015</t>
        </is>
      </c>
      <c r="B16" s="20" t="inlineStr">
        <is>
          <t>Signed CAFS P value in illustrative PLAN prose</t>
        </is>
      </c>
      <c r="C16" s="20" t="inlineStr">
        <is>
          <t>Physical PDF pages; PLAN/REPORT roles are stated above and within the evidence. joi240158supp2_prod_1742927563.7711.pdf — PDF p. 59; joi240158supp2_prod_1742927563.7711.pdf — PDF p. 58; joi240158supp2_prod_1742927563.7711.pdf — PDF p. 8; joi240158supp2_prod_1742927563.7711.pdf — PDF p. 63</t>
        </is>
      </c>
      <c r="D16" s="21" t="inlineStr">
        <is>
          <t>exclude</t>
        </is>
      </c>
      <c r="E16" s="21" t="inlineStr">
        <is>
          <t>plan_material</t>
        </is>
      </c>
      <c r="F16" s="21" t="inlineStr">
        <is>
          <t>primary_done</t>
        </is>
      </c>
      <c r="G16" s="20">
        <f>IFERROR(IF(LEN(TRIM(CLEAN(SUBSTITUTE(Setup!$B$2,CHAR(160)," "))))=0,"CHECK REVIEWER ID",IF(OR(A16="",COUNTIF($A$2:$A$17,A16)&lt;&gt;1,LEFT(A16,LEN("2025::jama.2024.27643::"))&lt;&gt;"2025::jama.2024.27643::"),"CHECK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inlineStr">
        <is>
          <t>M-SAP v3.0 p.59 prose 'CAFS p-value of - .3675' (rendered page) is a stray dash at a line break in an illustrative example trial; the adjacent figure prints 'CAFS P-value: 0.3675'. Not a design element; document not operative for regimen C.</t>
        </is>
      </c>
    </row>
    <row r="17" ht="92" customHeight="1" s="25">
      <c r="A17" s="24" t="inlineStr">
        <is>
          <t>2025::jama.2024.27643::C016</t>
        </is>
      </c>
      <c r="B17" s="24" t="inlineStr">
        <is>
          <t>Serum NfL below-quantitation substitution rule</t>
        </is>
      </c>
      <c r="C17" s="24" t="inlineStr">
        <is>
          <t>Physical PDF pages; PLAN/REPORT roles are stated above and within the evidence. joi240158supp2_prod_1742927563.7711.pdf — PDF p. 112; joi240158supp3_prod_1742927563.7911.pdf — PDF p. 11; joi240158supp3_prod_1742927563.7911.pdf — PDF p. 10; joi240158supp3_prod_1742927563.7911.pdf — PDF p. 12; jama_berry_2025_oi_240158_1742927563.7361.pdf — PDF p. 8; joi240158supp3_prod_1742927563.7911.pdf — PDF p. 17</t>
        </is>
      </c>
      <c r="D17" s="21" t="inlineStr">
        <is>
          <t>retain</t>
        </is>
      </c>
      <c r="E17" s="21" t="inlineStr">
        <is>
          <t>protocol_report</t>
        </is>
      </c>
      <c r="F17" s="21" t="inlineStr">
        <is>
          <t>primary_done</t>
        </is>
      </c>
      <c r="G17" s="24">
        <f>IFERROR(IF(LEN(TRIM(CLEAN(SUBSTITUTE(Setup!$B$2,CHAR(160)," "))))=0,"CHECK REVIEWER ID",IF(OR(A17="",COUNTIF($A$2:$A$17,A17)&lt;&gt;1,LEFT(A17,LEN("2025::jama.2024.27643::"))&lt;&gt;"2025::jama.2024.27643::"),"CHECK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t="inlineStr">
        <is>
          <t>substantive_difference</t>
        </is>
      </c>
      <c r="M17" s="24" t="n"/>
      <c r="N17" s="23" t="n"/>
      <c r="O17" s="23" t="n"/>
      <c r="P17" s="23" t="n"/>
      <c r="Q17" s="23" t="n"/>
      <c r="R17" s="22" t="inlineStr">
        <is>
          <t>R-SAP v3.0 §5.6 (Supp2 p.112) imputes serum NfL below LOQ at the LOQ; eMethods (Supp3 p.11) say values &lt;LOQ were imputed using the assay LOD. The serum NfL analysis reported is itself a post hoc regimen-only rerun (disclosed, main p.3).</t>
        </is>
      </c>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0" showErrorMessage="1" allowBlank="1" errorTitle="Use a listed option" error="Choose an option; G also checks pasted entries." type="list" errorStyle="stop">
      <formula1>"retain,exclude,discuss"</formula1>
    </dataValidation>
    <dataValidation sqref="E2:E1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7" showDropDown="0" showInputMessage="0" showErrorMessage="1" allowBlank="1" errorTitle="Use a listed option" error="Choose an option; G also checks pasted entries." type="list" errorStyle="stop">
      <formula1>"no,primary_done"</formula1>
    </dataValidation>
    <dataValidation sqref="H2:H1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7" showDropDown="0" showInputMessage="0" showErrorMessage="1" allowBlank="1" errorTitle="Use a listed option" error="Choose an option; G also checks pasted entries." type="list" errorStyle="stop">
      <formula1>"direct,possible,unlikely,unknown,not_applicable"</formula1>
    </dataValidation>
    <dataValidation sqref="K2:K1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9"/>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2025::jama.2025.11178::C001</t>
        </is>
      </c>
      <c r="B2" s="20" t="inlineStr">
        <is>
          <t>Planned versus reported online session duration</t>
        </is>
      </c>
      <c r="C2" s="20" t="inlineStr">
        <is>
          <t>Yes, all five locations: REPORT main p.3, Health Coach Program and Online Program — jama_debar_2025_oi_250046_1755300121.13587.pdf; PLAN protocol p.43 §10.1.1 — joi250046supp1_prod_1755300121.14087.pdf and p.44 coach overview — joi250046supp1_prod_1755300121.14087.pdf; REPORT TIDieR p.3 Procedures — joi250046supp3_prod_1755300121.15087.pdf and p.4 When and How Much — joi250046supp3_prod_1755300121.15087.pdf.</t>
        </is>
      </c>
      <c r="D2" s="21" t="inlineStr">
        <is>
          <t>retain</t>
        </is>
      </c>
      <c r="E2" s="21" t="inlineStr">
        <is>
          <t>protocol_report</t>
        </is>
      </c>
      <c r="F2" s="21" t="inlineStr">
        <is>
          <t>primary_done</t>
        </is>
      </c>
      <c r="G2" s="20">
        <f>IFERROR(IF(LEN(TRIM(CLEAN(SUBSTITUTE(Setup!$B$2,CHAR(160)," "))))=0,"CHECK REVIEWER ID",IF(OR(A2="",COUNTIF($A$2:$A$19,A2)&lt;&gt;1,LEFT(A2,LEN("2025::jama.2025.11178::"))&lt;&gt;"2025::jama.2025.11178::"),"CHECK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indeterminate</t>
        </is>
      </c>
      <c r="M2" s="20" t="n"/>
      <c r="N2" s="23" t="n"/>
      <c r="O2" s="23" t="n"/>
      <c r="P2" s="23" t="n"/>
      <c r="Q2" s="23" t="n"/>
      <c r="R2" s="22" t="inlineStr">
        <is>
          <t>Protocol v5.0 p.43 (§10.1.1) says each painTRAINER session takes 45-60 min and p.44 says coach sessions take 60 min; main p.3 and TIDieR Supp3 pp.3-4 give 30-45 min (online) and 45-60 min (coach). Real plan-report difference in described session dose; whether content changed or only the time estimate is not stated, so L indeterminate.</t>
        </is>
      </c>
    </row>
    <row r="3" ht="92" customHeight="1" s="25">
      <c r="A3" s="24" t="inlineStr">
        <is>
          <t>2025::jama.2025.11178::C002</t>
        </is>
      </c>
      <c r="B3" s="24" t="inlineStr">
        <is>
          <t>Therapeutic-dose adherence percentage</t>
        </is>
      </c>
      <c r="C3" s="24" t="inlineStr">
        <is>
          <t>Yes: REPORT main p.4 Results adherence paragraph — jama_debar_2025_oi_250046_1755300121.13587.pdf and p.5 Figure 1 PT allocation/session counts — jama_debar_2025_oi_250046_1755300121.13587.pdf.</t>
        </is>
      </c>
      <c r="D3" s="21" t="inlineStr">
        <is>
          <t>retain</t>
        </is>
      </c>
      <c r="E3" s="21" t="inlineStr">
        <is>
          <t>statistical_results</t>
        </is>
      </c>
      <c r="F3" s="21" t="inlineStr">
        <is>
          <t>primary_done</t>
        </is>
      </c>
      <c r="G3" s="24">
        <f>IFERROR(IF(LEN(TRIM(CLEAN(SUBSTITUTE(Setup!$B$2,CHAR(160)," "))))=0,"CHECK REVIEWER ID",IF(OR(A3="",COUNTIF($A$2:$A$19,A3)&lt;&gt;1,LEFT(A3,LEN("2025::jama.2025.11178::"))&lt;&gt;"2025::jama.2025.11178::"),"CHECK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Main p.4: painTRAINER '371 (43%) completed at least 6 sessions'; Figure 1 (p.5) gives 776 randomized, 371/156/249 completing 6-8/1-5/0 sessions. 371/776 = 47.8% (printed 43%). Neighbors reproduce: 527/776 = 67.9% (68%), 548/778 = 70.4% (70%), 660/778 = 84.8% (85%).</t>
        </is>
      </c>
    </row>
    <row r="4" ht="92" customHeight="1" s="25">
      <c r="A4" s="20" t="inlineStr">
        <is>
          <t>2025::jama.2025.11178::C003</t>
        </is>
      </c>
      <c r="B4" s="20" t="inlineStr">
        <is>
          <t>SMD construction across Table 3</t>
        </is>
      </c>
      <c r="C4" s="20" t="inlineStr">
        <is>
          <t>Yes: REPORT main p.4 SMD definition — jama_debar_2025_oi_250046_1755300121.13587.pdf, p.10 Table 3 — jama_debar_2025_oi_250046_1755300121.13587.pdf, and p.11 continuation and footnote d — jama_debar_2025_oi_250046_1755300121.13587.pdf. All twenty registered outcome/time rows and all three point-contrast columns per row were read directly.</t>
        </is>
      </c>
      <c r="D4" s="21" t="inlineStr">
        <is>
          <t>retain</t>
        </is>
      </c>
      <c r="E4" s="21" t="inlineStr">
        <is>
          <t>statistical_results</t>
        </is>
      </c>
      <c r="F4" s="21" t="inlineStr">
        <is>
          <t>primary_done</t>
        </is>
      </c>
      <c r="G4" s="20">
        <f>IFERROR(IF(LEN(TRIM(CLEAN(SUBSTITUTE(Setup!$B$2,CHAR(160)," "))))=0,"CHECK REVIEWER ID",IF(OR(A4="",COUNTIF($A$2:$A$19,A4)&lt;&gt;1,LEFT(A4,LEN("2025::jama.2025.11178::"))&lt;&gt;"2025::jama.2025.11178::"),"CHECK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t="inlineStr">
        <is>
          <t>Main p.4 and Table 3 footnote d define SMD = adjusted MD / SD of change in usual care at that time, so within a row the three SMDs share one SD. For 19 of 21 rows (pp.10-11) no single SD reproduces all three SMDs from the printed MDs within rounding; 4 SMDs have the opposite sign to their MD (eg physical 3 mo HC vs UC MD 0.7, SMD -0.02). Text p.7 also cites 3-month SMDs -0.26/-0.36, which are the 6-month values.</t>
        </is>
      </c>
    </row>
    <row r="5" ht="92" customHeight="1" s="25">
      <c r="A5" s="24" t="inlineStr">
        <is>
          <t>2025::jama.2025.11178::C004</t>
        </is>
      </c>
      <c r="B5" s="24" t="inlineStr">
        <is>
          <t>Reciprocal NNT point-reproduction pattern</t>
        </is>
      </c>
      <c r="C5" s="24" t="inlineStr">
        <is>
          <t>Yes: REPORT main p.4 NNT definition — jama_debar_2025_oi_250046_1755300121.13587.pdf; REPORT main p.9 Table 2 severity 6-month HC/UC, interference 6-month HC/UC and footnote d — jama_debar_2025_oi_250046_1755300121.13587.pdf; REPORT results p.14 eTable 8 reminder-letter 6-month PT/UC and footnote d — joi250046supp4_prod_1755300121.15587.pdf. All three affected rows were read.</t>
        </is>
      </c>
      <c r="D5" s="21" t="inlineStr">
        <is>
          <t>exclude</t>
        </is>
      </c>
      <c r="E5" s="21" t="inlineStr">
        <is>
          <t>statistical_results</t>
        </is>
      </c>
      <c r="F5" s="21" t="inlineStr">
        <is>
          <t>primary_done</t>
        </is>
      </c>
      <c r="G5" s="24">
        <f>IFERROR(IF(LEN(TRIM(CLEAN(SUBSTITUTE(Setup!$B$2,CHAR(160)," "))))=0,"CHECK REVIEWER ID",IF(OR(A5="",COUNTIF($A$2:$A$19,A5)&lt;&gt;1,LEFT(A5,LEN("2025::jama.2025.11178::"))&lt;&gt;"2025::jama.2025.11178::"),"CHECK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inlineStr">
        <is>
          <t>NNT points are consistently rounded up (ceiling), the usual NNT convention: ceiling of 100/(difference in printed adjusted %) reproduces all 57 positive NNT points in Table 2 (main p.9) and eTables 7-8 (Supp4 pp.11, 14) within display rounding, whereas round-to-nearest fails 22 of 57. The three flagged cells (8, 7, 8) fit ceiling (7.04-&gt;8, 6.02-&gt;7, 7.04-&gt;8). Convention unstated but explains the pattern.</t>
        </is>
      </c>
    </row>
    <row r="6" ht="92" customHeight="1" s="25">
      <c r="A6" s="20" t="inlineStr">
        <is>
          <t>2025::jama.2025.11178::C005</t>
        </is>
      </c>
      <c r="B6" s="20" t="inlineStr">
        <is>
          <t>Age as a prespecified base adjustment covariate</t>
        </is>
      </c>
      <c r="C6" s="20" t="inlineStr">
        <is>
          <t>Yes: PLAN protocol p.56 §15.5 — joi250046supp1_prod_1755300121.14087.pdf; PLAN SAP p.20 §§13–14 — joi250046supp2_prod_1755300121.15087.pdf; REPORT main p.4 adjustment sentence — jama_debar_2025_oi_250046_1755300121.13587.pdf; REPORT results p.4 Adjustment — joi250046supp4_prod_1755300121.15587.pdf, p.7 eTable 2 all-model variables — joi250046supp4_prod_1755300121.15587.pdf, p.8 eTable 3 age — joi250046supp4_prod_1755300121.15587.pdf, p.9 eTable 4 age — joi250046supp4_prod_1755300121.15587.pdf, p.10 eTable 5 age — joi250046supp4_prod_1755300121.15587.pdf; REPORT workbook — joi250046supp5_prod_1755300121.16087.xlsx, worksheet eTable 3, cells G2, A10, G10, directly decoded.</t>
        </is>
      </c>
      <c r="D6" s="21" t="inlineStr">
        <is>
          <t>retain</t>
        </is>
      </c>
      <c r="E6" s="21" t="inlineStr">
        <is>
          <t>protocol_report</t>
        </is>
      </c>
      <c r="F6" s="21" t="inlineStr">
        <is>
          <t>primary_done</t>
        </is>
      </c>
      <c r="G6" s="20">
        <f>IFERROR(IF(LEN(TRIM(CLEAN(SUBSTITUTE(Setup!$B$2,CHAR(160)," "))))=0,"CHECK REVIEWER ID",IF(OR(A6="",COUNTIF($A$2:$A$19,A6)&lt;&gt;1,LEFT(A6,LEN("2025::jama.2025.11178::"))&lt;&gt;"2025::jama.2025.11178::"),"CHECK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§15.5 (p.56) and SAP v6.0 §14 (p.20) list prespecified primary covariates as baseline pain severity, sex, site, rural/underserved residence, multisite pain and mental-health condition (no age), as does main p.4; Supp4 p.4, eTable 2 (p.7) and workbook eTable 3 (G10 'X') call age &gt;=65 part of the prespecified base set, and age is fitted in eTables 3-5.</t>
        </is>
      </c>
    </row>
    <row r="7" ht="92" customHeight="1" s="25">
      <c r="A7" s="24" t="inlineStr">
        <is>
          <t>2025::jama.2025.11178::C006</t>
        </is>
      </c>
      <c r="B7" s="24" t="inlineStr">
        <is>
          <t>Secondary-analysis adjustment specification</t>
        </is>
      </c>
      <c r="C7" s="24" t="inlineStr">
        <is>
          <t>Yes: PLAN protocol p.57 §15.6 — joi250046supp1_prod_1755300121.14087.pdf; PLAN SAP p.21 §15 — joi250046supp2_prod_1755300121.15087.pdf; REPORT main p.4 secondary methods — jama_debar_2025_oi_250046_1755300121.13587.pdf, p.10 Table 3 — jama_debar_2025_oi_250046_1755300121.13587.pdf and p.11 continuation — jama_debar_2025_oi_250046_1755300121.13587.pdf.</t>
        </is>
      </c>
      <c r="D7" s="21" t="inlineStr">
        <is>
          <t>retain</t>
        </is>
      </c>
      <c r="E7" s="21" t="inlineStr">
        <is>
          <t>protocol_report</t>
        </is>
      </c>
      <c r="F7" s="21" t="inlineStr">
        <is>
          <t>primary_done</t>
        </is>
      </c>
      <c r="G7" s="24">
        <f>IFERROR(IF(LEN(TRIM(CLEAN(SUBSTITUTE(Setup!$B$2,CHAR(160)," "))))=0,"CHECK REVIEWER ID",IF(OR(A7="",COUNTIF($A$2:$A$19,A7)&lt;&gt;1,LEFT(A7,LEN("2025::jama.2025.11178::"))&lt;&gt;"2025::jama.2025.11178::"),"CHECK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§15.6 (p.57) and SAP §15 (p.21): secondary analyses adjust for baseline pain severity and all stratification variables. Main p.4: secondary outcomes use the primary model structure (adding multisite pain, mental-health condition) plus the baseline value of each secondary outcome. Covariate set differs from plan.</t>
        </is>
      </c>
    </row>
    <row r="8" ht="92" customHeight="1" s="25">
      <c r="A8" s="20" t="inlineStr">
        <is>
          <t>2025::jama.2025.11178::C007</t>
        </is>
      </c>
      <c r="B8" s="20" t="inlineStr">
        <is>
          <t>Primary versus sensitivity missing-data analysis roles</t>
        </is>
      </c>
      <c r="C8" s="20" t="inlineStr">
        <is>
          <t>Yes: PLAN SAP p.19 §11 — joi250046supp2_prod_1755300121.15087.pdf, PLAN p.4 July 17, 2024 amendment — joi250046supp2_prod_1755300121.15087.pdf; REPORT main p.4 missing-data paragraph — jama_debar_2025_oi_250046_1755300121.13587.pdf; REPORT results p.4 Missing Data — joi250046supp4_prod_1755300121.15587.pdf, p.5 Non-Response Weighting — joi250046supp4_prod_1755300121.15587.pdf, p.9 eTable 4 — joi250046supp4_prod_1755300121.15587.pdf, p.11 sensitivity narrative and complete-case block — joi250046supp4_prod_1755300121.15587.pdf. P.5 was read as disclosed-amendment context in addition to the registered comparisons.</t>
        </is>
      </c>
      <c r="D8" s="21" t="inlineStr">
        <is>
          <t>retain</t>
        </is>
      </c>
      <c r="E8" s="21" t="inlineStr">
        <is>
          <t>protocol_report</t>
        </is>
      </c>
      <c r="F8" s="21" t="inlineStr">
        <is>
          <t>primary_done</t>
        </is>
      </c>
      <c r="G8" s="20">
        <f>IFERROR(IF(LEN(TRIM(CLEAN(SUBSTITUTE(Setup!$B$2,CHAR(160)," "))))=0,"CHECK REVIEWER ID",IF(OR(A8="",COUNTIF($A$2:$A$19,A8)&lt;&gt;1,LEFT(A8,LEN("2025::jama.2025.11178::"))&lt;&gt;"2025::jama.2025.11178::"),"CHECK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v6.0 §11 (p.19): 'For the primary analyses, we will analyze those patients who have follow-up data' under MAR; pattern-mixture plus IPW is the 'first approach' when missingness &gt;15%, worst/best case the sensitivity analysis. Report (main p.4; Supp4 pp.4-5, eTables 4 and 7) makes MNAR pattern-mixture with IPW the primary analysis and labels complete-case a 'pre-specified sensitivity analysis'. IPW added by 17 Jul 2024 amendment (SAP p.4), after follow-up ended; disclosed Supp4 p.5.</t>
        </is>
      </c>
    </row>
    <row r="9" ht="92" customHeight="1" s="25">
      <c r="A9" s="24" t="inlineStr">
        <is>
          <t>2025::jama.2025.11178::C008</t>
        </is>
      </c>
      <c r="B9" s="24" t="inlineStr">
        <is>
          <t>RR versus finite NNT null coverage</t>
        </is>
      </c>
      <c r="C9" s="24" t="inlineStr">
        <is>
          <t>Yes: REPORT main p.9 Table 2 HC/PT columns and footnotes b,d,e — jama_debar_2025_oi_250046_1755300121.13587.pdf, all six registered contrast/time rows; REPORT p.4 binary model and NNT method — jama_debar_2025_oi_250046_1755300121.13587.pdf.</t>
        </is>
      </c>
      <c r="D9" s="21" t="inlineStr">
        <is>
          <t>retain</t>
        </is>
      </c>
      <c r="E9" s="21" t="inlineStr">
        <is>
          <t>statistical_results</t>
        </is>
      </c>
      <c r="F9" s="21" t="inlineStr">
        <is>
          <t>primary_done</t>
        </is>
      </c>
      <c r="G9" s="24">
        <f>IFERROR(IF(LEN(TRIM(CLEAN(SUBSTITUTE(Setup!$B$2,CHAR(160)," "))))=0,"CHECK REVIEWER ID",IF(OR(A9="",COUNTIF($A$2:$A$19,A9)&lt;&gt;1,LEFT(A9,LEN("2025::jama.2025.11178::"))&lt;&gt;"2025::jama.2025.11178::"),"CHECK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Table 2 (main p.9) HC vs PT: six cells whose RR CI includes 1 print finite positive NNT intervals, eg 24 (12-186) beside RR 1.13 (0.98-1.30). These six cells, and only these, use an en dash, and eTables 7-8 (Supp4 pp.11, 14) print the same construction with a signed NNH limit, eg 31 (13, -60). Upper limits are NNH values with the minus sign lost; implied NNH from RR limits 152, 70, 59, 39, 68, 84 vs printed 186, 76, 57, 38, 67, 79.</t>
        </is>
      </c>
    </row>
    <row r="10" ht="92" customHeight="1" s="25">
      <c r="A10" s="20" t="inlineStr">
        <is>
          <t>2025::jama.2025.11178::C009</t>
        </is>
      </c>
      <c r="B10" s="20" t="inlineStr">
        <is>
          <t>NNT point outside its confidence interval</t>
        </is>
      </c>
      <c r="C10" s="20" t="inlineStr">
        <is>
          <t>Yes: REPORT main p.9 Table 2 pain intensity 12 months, HC/PT NNT column — jama_debar_2025_oi_250046_1755300121.13587.pdf.</t>
        </is>
      </c>
      <c r="D10" s="21" t="inlineStr">
        <is>
          <t>retain</t>
        </is>
      </c>
      <c r="E10" s="21" t="inlineStr">
        <is>
          <t>statistical_results</t>
        </is>
      </c>
      <c r="F10" s="21" t="inlineStr">
        <is>
          <t>primary_done</t>
        </is>
      </c>
      <c r="G10" s="20">
        <f>IFERROR(IF(LEN(TRIM(CLEAN(SUBSTITUTE(Setup!$B$2,CHAR(160)," "))))=0,"CHECK REVIEWER ID",IF(OR(A10="",COUNTIF($A$2:$A$19,A10)&lt;&gt;1,LEFT(A10,LEN("2025::jama.2025.11178::"))&lt;&gt;"2025::jama.2025.11178::"),"CHECK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Table 2 (main p.9) intensity 12 mo HC vs PT prints NNT 63 (18-38). Same root cause as C008: RR 1.05 (0.92-1.20) includes 1, so the interval is NNT benefit 18 to infinity to NNH 38 with the minus sign lost (RR-based approximation: NNT 16, NNH 39). Under that reading 63 lies inside; as printed the point is outside its interval.</t>
        </is>
      </c>
    </row>
    <row r="11" ht="92" customHeight="1" s="25">
      <c r="A11" s="24" t="inlineStr">
        <is>
          <t>2025::jama.2025.11178::C010</t>
        </is>
      </c>
      <c r="B11" s="24" t="inlineStr">
        <is>
          <t>SMD points outside printed confidence intervals</t>
        </is>
      </c>
      <c r="C11" s="24" t="inlineStr">
        <is>
          <t>Yes: REPORT main p.10 Table 3 — jama_debar_2025_oi_250046_1755300121.13587.pdf and p.11 PGIC-pain continuation — jama_debar_2025_oi_250046_1755300121.13587.pdf. Every one of the fourteen registered tuples was read directly; all matched the ledger.</t>
        </is>
      </c>
      <c r="D11" s="21" t="inlineStr">
        <is>
          <t>retain</t>
        </is>
      </c>
      <c r="E11" s="21" t="inlineStr">
        <is>
          <t>statistical_results</t>
        </is>
      </c>
      <c r="F11" s="21" t="inlineStr">
        <is>
          <t>primary_done</t>
        </is>
      </c>
      <c r="G11" s="24">
        <f>IFERROR(IF(LEN(TRIM(CLEAN(SUBSTITUTE(Setup!$B$2,CHAR(160)," "))))=0,"CHECK REVIEWER ID",IF(OR(A11="",COUNTIF($A$2:$A$19,A11)&lt;&gt;1,LEFT(A11,LEN("2025::jama.2025.11178::"))&lt;&gt;"2025::jama.2025.11178::"),"CHECK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direct</t>
        </is>
      </c>
      <c r="K11" s="21">
        <f>IF(AND(OR(D11="retain",D11=""),OR(E11="report_internal_inconsistency",E11="plan_material")),"","not_applicable")</f>
        <v/>
      </c>
      <c r="L11" s="22">
        <f>IF(AND(OR(D11="retain",D11=""),E11="protocol_report"),"","not_applicable")</f>
        <v/>
      </c>
      <c r="M11" s="24" t="n"/>
      <c r="N11" s="23" t="n"/>
      <c r="O11" s="23" t="n"/>
      <c r="P11" s="23" t="n"/>
      <c r="Q11" s="23" t="n"/>
      <c r="R11" s="22" t="inlineStr">
        <is>
          <t>Table 3 (main pp.10-11): 14 of 63 SMD points lie outside their printed 95% CIs (eg severity 12 mo PT vs UC -0.25 (-0.24 to 0.01)); 18 intervals are printed with descending limits (social, physical rows); in 20 cells the SMD CI and MD CI disagree on excluding zero (eg severity 12 mo PT vs UC MD -0.4 (-0.6 to -0.2) but SMD CI includes 0).</t>
        </is>
      </c>
    </row>
    <row r="12" ht="92" customHeight="1" s="25">
      <c r="A12" s="20" t="inlineStr">
        <is>
          <t>2025::jama.2025.11178::C011</t>
        </is>
      </c>
      <c r="B12" s="20" t="inlineStr">
        <is>
          <t>Covariate set of restricted primary analyses</t>
        </is>
      </c>
      <c r="C12" s="20" t="inlineStr">
        <is>
          <t>Yes: REPORT results p.4 Adjustment — joi250046supp4_prod_1755300121.15587.pdf, p.7 eTable 2 final imputation/estimation set — joi250046supp4_prod_1755300121.15587.pdf, p.13 Protocol Change Subset Analyses — joi250046supp4_prod_1755300121.15587.pdf, p.14 eTable 8 all three blocks and footnote b — joi250046supp4_prod_1755300121.15587.pdf. Fitted education/employment terms at p.8 — joi250046supp4_prod_1755300121.15587.pdf and p.9 — joi250046supp4_prod_1755300121.15587.pdf were also read as corroboration.</t>
        </is>
      </c>
      <c r="D12" s="21" t="inlineStr">
        <is>
          <t>retain</t>
        </is>
      </c>
      <c r="E12" s="21" t="inlineStr">
        <is>
          <t>statistical_results</t>
        </is>
      </c>
      <c r="F12" s="21" t="inlineStr">
        <is>
          <t>primary_done</t>
        </is>
      </c>
      <c r="G12" s="20">
        <f>IFERROR(IF(LEN(TRIM(CLEAN(SUBSTITUTE(Setup!$B$2,CHAR(160)," "))))=0,"CHECK REVIEWER ID",IF(OR(A12="",COUNTIF($A$2:$A$19,A12)&lt;&gt;1,LEFT(A12,LEN("2025::jama.2025.11178::"))&lt;&gt;"2025::jama.2025.11178::"),"CHECK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Supp4 p.13 describes eTable 8 as the primary analysis restricted to subsets, but eTable 8 footnote b (p.14) lists only the base covariates (sex, age, site, residence, multisite pain, mental health, baseline severity), omitting the education and employment terms that eTable 2 (p.7) adds to the primary models. The footnote is identical to eTable 7's complete-case footnote. Report contradicts itself on the subset model.</t>
        </is>
      </c>
    </row>
    <row r="13" ht="92" customHeight="1" s="25">
      <c r="A13" s="24" t="inlineStr">
        <is>
          <t>2025::jama.2025.11178::C012</t>
        </is>
      </c>
      <c r="B13" s="24" t="inlineStr">
        <is>
          <t>Final response-weight model predictor membership</t>
        </is>
      </c>
      <c r="C13" s="24" t="inlineStr">
        <is>
          <t>Yes: REPORT results p.4 Adjustment/selection — joi250046supp4_prod_1755300121.15587.pdf, p.5 Non-Response Weighting — joi250046supp4_prod_1755300121.15587.pdf, p.7 eTable 2 final nonresponse predictors — joi250046supp4_prod_1755300121.15587.pdf, p.10 eTable 5 full coefficient display — joi250046supp4_prod_1755300121.15587.pdf; corroborating REPORT workbook — joi250046supp5_prod_1755300121.16087.xlsx, worksheet eTable 3, cells A18, H18, I18, J18.</t>
        </is>
      </c>
      <c r="D13" s="21" t="inlineStr">
        <is>
          <t>retain</t>
        </is>
      </c>
      <c r="E13" s="21" t="inlineStr">
        <is>
          <t>statistical_results</t>
        </is>
      </c>
      <c r="F13" s="21" t="inlineStr">
        <is>
          <t>primary_done</t>
        </is>
      </c>
      <c r="G13" s="24">
        <f>IFERROR(IF(LEN(TRIM(CLEAN(SUBSTITUTE(Setup!$B$2,CHAR(160)," "))))=0,"CHECK REVIEWER ID",IF(OR(A13="",COUNTIF($A$2:$A$19,A13)&lt;&gt;1,LEFT(A13,LEN("2025::jama.2025.11178::"))&lt;&gt;"2025::jama.2025.11178::"),"CHECK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2 (Supp4 p.7) lists education among the additional nonresponse-weight predictors; the fitted weight model, eTable 5 (p.10), has no education term but includes 'Not employed'. Workbook (Supp5 eTable 3) selection P values support employment (MCID P&lt;.001, nonresponse P=.0228) and not education (no nonresponse P listed), so eTable 2's list appears wrong.</t>
        </is>
      </c>
    </row>
    <row r="14" ht="92" customHeight="1" s="25">
      <c r="A14" s="20" t="inlineStr">
        <is>
          <t>2025::jama.2025.11178::C013</t>
        </is>
      </c>
      <c r="B14" s="20" t="inlineStr">
        <is>
          <t>Education coding and coefficient attribution</t>
        </is>
      </c>
      <c r="C14" s="20" t="inlineStr">
        <is>
          <t>Yes: REPORT results p.7 eTable 2 final primary predictor list — joi250046supp4_prod_1755300121.15587.pdf, p.8 eTable 3 all three education rows — joi250046supp4_prod_1755300121.15587.pdf, p.9 eTable 4 all three education rows — joi250046supp4_prod_1755300121.15587.pdf; corroborating REPORT workbook — joi250046supp5_prod_1755300121.16087.xlsx, worksheet eTable 3, cells A12:A16.</t>
        </is>
      </c>
      <c r="D14" s="21" t="inlineStr">
        <is>
          <t>retain</t>
        </is>
      </c>
      <c r="E14" s="21" t="inlineStr">
        <is>
          <t>statistical_results</t>
        </is>
      </c>
      <c r="F14" s="21" t="inlineStr">
        <is>
          <t>primary_done</t>
        </is>
      </c>
      <c r="G14" s="20">
        <f>IFERROR(IF(LEN(TRIM(CLEAN(SUBSTITUTE(Setup!$B$2,CHAR(160)," "))))=0,"CHECK REVIEWER ID",IF(OR(A14="",COUNTIF($A$2:$A$19,A14)&lt;&gt;1,LEFT(A14,LEN("2025::jama.2025.11178::"))&lt;&gt;"2025::jama.2025.11178::"),"CHECK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2 (Supp4 p.7) specifies education as binary (any college vs HS or less), but eTables 3 and 4 (pp.8-9) fit three nonreference education terms, two of them labeled 'AA degree' (eg eTable 4 RR 0.97 and 1.16). The workbook (Supp5) has four education levels (HS or less, Associate's/technical, College, Doctoral/postgraduate), consistent with a 4-level coding and a duplicated label.</t>
        </is>
      </c>
    </row>
    <row r="15" ht="92" customHeight="1" s="25">
      <c r="A15" s="24" t="inlineStr">
        <is>
          <t>2025::jama.2025.11178::C014</t>
        </is>
      </c>
      <c r="B15" s="24" t="inlineStr">
        <is>
          <t>Coefficient CI versus P-value null-significance pattern</t>
        </is>
      </c>
      <c r="C15" s="24" t="inlineStr">
        <is>
          <t>Yes: REPORT results p.8 eTable 3 seven registered rows — joi250046supp4_prod_1755300121.15587.pdf, p.9 eTable 4 age and second AA rows — joi250046supp4_prod_1755300121.15587.pdf, p.10 eTable 5 PEG row — joi250046supp4_prod_1755300121.15587.pdf. Method context was read at results p.4 — joi250046supp4_prod_1755300121.15587.pdf, p.5 — joi250046supp4_prod_1755300121.15587.pdf, and REPORT main p.4 two-sided alpha=.05 — jama_debar_2025_oi_250046_1755300121.13587.pdf.</t>
        </is>
      </c>
      <c r="D15" s="21" t="inlineStr">
        <is>
          <t>retain</t>
        </is>
      </c>
      <c r="E15" s="21" t="inlineStr">
        <is>
          <t>statistical_results</t>
        </is>
      </c>
      <c r="F15" s="21" t="inlineStr">
        <is>
          <t>primary_done</t>
        </is>
      </c>
      <c r="G15" s="24">
        <f>IFERROR(IF(LEN(TRIM(CLEAN(SUBSTITUTE(Setup!$B$2,CHAR(160)," "))))=0,"CHECK REVIEWER ID",IF(OR(A15="",COUNTIF($A$2:$A$19,A15)&lt;&gt;1,LEFT(A15,LEN("2025::jama.2025.11178::"))&lt;&gt;"2025::jama.2025.11178::"),"CHECK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eTable 3 (Supp4 p.8): 7 rows have 95% CIs excluding 0 but P&gt;.05 (eg Pattern 2 -0.28 (-0.47 to -0.08), P=.150). Printed P values reproduce almost exactly if each interval is estimate +/- 1 SE (r = 0.999 over rows with P&gt;=.001; SE implied by P is 1.95 x the 95%-CI SE), so the 'CIs' are ~68% intervals. The three ratio rows in eTables 4-5 (age, second AA, PEG) are compatible with rounding.</t>
        </is>
      </c>
    </row>
    <row r="16" ht="92" customHeight="1" s="25">
      <c r="A16" s="20" t="inlineStr">
        <is>
          <t>2025::jama.2025.11178::C015</t>
        </is>
      </c>
      <c r="B16" s="20" t="inlineStr">
        <is>
          <t>Within-header three-month subset counts</t>
        </is>
      </c>
      <c r="C16" s="20" t="inlineStr">
        <is>
          <t>Yes: REPORT results p.14 eTable 8 first subgroup header — joi250046supp4_prod_1755300121.15587.pdf; corroborating REPORT p.7 eTable 1 — joi250046supp4_prod_1755300121.15587.pdf, p.13 subset definition — joi250046supp4_prod_1755300121.15587.pdf, and the second/third headers on p.14.</t>
        </is>
      </c>
      <c r="D16" s="21" t="inlineStr">
        <is>
          <t>retain</t>
        </is>
      </c>
      <c r="E16" s="21" t="inlineStr">
        <is>
          <t>statistical_results</t>
        </is>
      </c>
      <c r="F16" s="21" t="inlineStr">
        <is>
          <t>primary_done</t>
        </is>
      </c>
      <c r="G16" s="20">
        <f>IFERROR(IF(LEN(TRIM(CLEAN(SUBSTITUTE(Setup!$B$2,CHAR(160)," "))))=0,"CHECK REVIEWER ID",IF(OR(A16="",COUNTIF($A$2:$A$19,A16)&lt;&gt;1,LEFT(A16,LEN("2025::jama.2025.11178::"))&lt;&gt;"2025::jama.2025.11178::"),"CHECK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minor_presentation</t>
        </is>
      </c>
      <c r="J16" s="22" t="inlineStr">
        <is>
          <t>unlikely</t>
        </is>
      </c>
      <c r="K16" s="21">
        <f>IF(AND(OR(D16="retain",D16=""),OR(E16="report_internal_inconsistency",E16="plan_material")),"","not_applicable")</f>
        <v/>
      </c>
      <c r="L16" s="22">
        <f>IF(AND(OR(D16="retain",D16=""),E16="protocol_report"),"","not_applicable")</f>
        <v/>
      </c>
      <c r="M16" s="20" t="n"/>
      <c r="N16" s="23" t="n"/>
      <c r="O16" s="23" t="n"/>
      <c r="P16" s="23" t="n"/>
      <c r="Q16" s="23" t="n"/>
      <c r="R16" s="22" t="inlineStr">
        <is>
          <t>eTable 8 first header (Supp4 p.14): 'N=454; 366 with at least 1 follow-up; PT=149, HC=153, UC=152 at 3-months'. 149+153+152 = 454 = N randomized, which exceeds the 366 with any follow-up, so these are not 3-month counts. By subtraction (eTable 1 minus the post-8/9/2021 header) the 3-month counts would be UC 109, PT 94, HC 108 (total 311).</t>
        </is>
      </c>
    </row>
    <row r="17" ht="92" customHeight="1" s="25">
      <c r="A17" s="24" t="inlineStr">
        <is>
          <t>2025::jama.2025.11178::C016</t>
        </is>
      </c>
      <c r="B17" s="24" t="inlineStr">
        <is>
          <t>Raw-score summary statistic and bounds in eTable 11</t>
        </is>
      </c>
      <c r="C17" s="24" t="inlineStr">
        <is>
          <t>Yes: REPORT results p.15 Additional Unadjusted Data and Analyses — joi250046supp4_prod_1755300121.15587.pdf, p.17 eTable 11 title/header and all 21 rows — joi250046supp4_prod_1755300121.15587.pdf, p.18 note b — joi250046supp4_prod_1755300121.15587.pdf; corroborating REPORT main p.11 PGIC footnotes h/i — jama_debar_2025_oi_250046_1755300121.13587.pdf.</t>
        </is>
      </c>
      <c r="D17" s="21" t="inlineStr">
        <is>
          <t>retain</t>
        </is>
      </c>
      <c r="E17" s="21" t="inlineStr">
        <is>
          <t>statistical_results</t>
        </is>
      </c>
      <c r="F17" s="21" t="inlineStr">
        <is>
          <t>primary_done</t>
        </is>
      </c>
      <c r="G17" s="24">
        <f>IFERROR(IF(LEN(TRIM(CLEAN(SUBSTITUTE(Setup!$B$2,CHAR(160)," "))))=0,"CHECK REVIEWER ID",IF(OR(A17="",COUNTIF($A$2:$A$19,A17)&lt;&gt;1,LEFT(A17,LEN("2025::jama.2025.11178::"))&lt;&gt;"2025::jama.2025.11178::"),"CHECK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t="inlineStr">
        <is>
          <t>direct</t>
        </is>
      </c>
      <c r="K17" s="21">
        <f>IF(AND(OR(D17="retain",D17=""),OR(E17="report_internal_inconsistency",E17="plan_material")),"","not_applicable")</f>
        <v/>
      </c>
      <c r="L17" s="22">
        <f>IF(AND(OR(D17="retain",D17=""),E17="protocol_report"),"","not_applicable")</f>
        <v/>
      </c>
      <c r="M17" s="24" t="n"/>
      <c r="N17" s="23" t="n"/>
      <c r="O17" s="23" t="n"/>
      <c r="P17" s="23" t="n"/>
      <c r="Q17" s="23" t="n"/>
      <c r="R17" s="22" t="inlineStr">
        <is>
          <t>eTable 11 (Supp4 p.17) is titled and headed 'Raw Score Median (25%-tile, 75%-tile)' but the text (p.15) calls the values means; bounds such as 5.1 (4.9, 5.2) for a 0-10 score (baseline SD 1.6) are far too narrow for IQRs and look like 95% CIs of means. Group columns also appear to be in the order UC, PT, HC, not the labeled PT, HC, UC: printed MDs match differences under UC/PT/HC (mean abs error 0.03) but not as labeled (1.02).</t>
        </is>
      </c>
    </row>
    <row r="18" ht="92" customHeight="1" s="25">
      <c r="A18" s="20" t="inlineStr">
        <is>
          <t>2025::jama.2025.11178::C017</t>
        </is>
      </c>
      <c r="B18" s="20" t="inlineStr">
        <is>
          <t>Workbook All Observed depression percentage</t>
        </is>
      </c>
      <c r="C18" s="20" t="inlineStr">
        <is>
          <t>Yes: supplied REPORT workbook — joi250046supp5_prod_1755300121.16087.xlsx, worksheet exactly eTable 3, E3, A82, E82, A83, E83, A110. Direct workbook.xml confirms worksheet name and worksheet relationship; direct sheet1.xml/sharedStrings.xml confirms all cells. B82/C82/D82 were also read as count-partition corroboration.</t>
        </is>
      </c>
      <c r="D18" s="21" t="inlineStr">
        <is>
          <t>retain</t>
        </is>
      </c>
      <c r="E18" s="21" t="inlineStr">
        <is>
          <t>statistical_results</t>
        </is>
      </c>
      <c r="F18" s="21" t="inlineStr">
        <is>
          <t>primary_done</t>
        </is>
      </c>
      <c r="G18" s="20">
        <f>IFERROR(IF(LEN(TRIM(CLEAN(SUBSTITUTE(Setup!$B$2,CHAR(160)," "))))=0,"CHECK REVIEWER ID",IF(OR(A18="",COUNTIF($A$2:$A$19,A18)&lt;&gt;1,LEFT(A18,LEN("2025::jama.2025.11178::"))&lt;&gt;"2025::jama.2025.11178::"),"CHECK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Supp5 workbook, sheet 'eTable 3', E82: All Observed (N=1568, 2 missing per E83) current depression '711 (73.2)'. 711/1566 = 45.4%. Row reconciles otherwise: 162+243+711 = 1116 (B82), and B82 1116/2329 = 47.9%, C82 162/295 = 54.9%, D82 243/468 = 51.9% reproduce.</t>
        </is>
      </c>
    </row>
    <row r="19" ht="92" customHeight="1" s="25">
      <c r="A19" s="24" t="inlineStr">
        <is>
          <t>2025::jama.2025.11178::C018</t>
        </is>
      </c>
      <c r="B19" s="24" t="inlineStr">
        <is>
          <t>Physical-function omnibus P values and contrast intervals</t>
        </is>
      </c>
      <c r="C19" s="24" t="inlineStr">
        <is>
          <t>Results supplement PDF p17, eTable 11 Physical Functioning 6 months — joi250046supp4_prod_1755300121.15587.pdf (REPORT); Results supplement PDF p17, eTable 11 Physical Functioning 12 months — joi250046supp4_prod_1755300121.15587.pdf (REPORT); Results supplement PDF p17, all other 19 eTable 11 outcome/time rows — joi250046supp4_prod_1755300121.15587.pdf (REPORT, same-display corroboration); Results supplement PDF p18, eTable 11 note b — joi250046supp4_prod_1755300121.15587.pdf (REPORT); Results supplement PDF page 15, Additional Unadjusted Data and Analyses — joi250046supp4_prod_1755300121.15587.pdf (REPORT); Main article PDF p11, Table 3 note c — jama_debar_2025_oi_250046_1755300121.13587.pdf (REPORT, corroboration only); Main article PDF p4, Statistical Analysis — jama_debar_2025_oi_250046_1755300121.13587.pdf (REPORT, corroboration only); The rendered p17 heading is unadjusted between-group mean differences (95%CI), with PT vs UC, HC vs UC and HC vs PT columns and a separately named omnibus P column. No pairwise P value is printed. The comparison does not equate raw medians with fitted means, and does not equate a single pairwise null with the omnibus null</t>
        </is>
      </c>
      <c r="D19" s="21" t="inlineStr">
        <is>
          <t>retain</t>
        </is>
      </c>
      <c r="E19" s="21" t="inlineStr">
        <is>
          <t>statistical_results</t>
        </is>
      </c>
      <c r="F19" s="21" t="inlineStr">
        <is>
          <t>primary_done</t>
        </is>
      </c>
      <c r="G19" s="24">
        <f>IFERROR(IF(LEN(TRIM(CLEAN(SUBSTITUTE(Setup!$B$2,CHAR(160)," "))))=0,"CHECK REVIEWER ID",IF(OR(A19="",COUNTIF($A$2:$A$19,A19)&lt;&gt;1,LEFT(A19,LEN("2025::jama.2025.11178::"))&lt;&gt;"2025::jama.2025.11178::"),"CHECK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probable_issue</t>
        </is>
      </c>
      <c r="I19" s="21" t="inlineStr">
        <is>
          <t>minor_presentation</t>
        </is>
      </c>
      <c r="J19" s="22" t="inlineStr">
        <is>
          <t>unlikely</t>
        </is>
      </c>
      <c r="K19" s="21">
        <f>IF(AND(OR(D19="retain",D19=""),OR(E19="report_internal_inconsistency",E19="plan_material")),"","not_applicable")</f>
        <v/>
      </c>
      <c r="L19" s="22">
        <f>IF(AND(OR(D19="retain",D19=""),E19="protocol_report"),"","not_applicable")</f>
        <v/>
      </c>
      <c r="M19" s="24" t="n"/>
      <c r="N19" s="23" t="n"/>
      <c r="O19" s="23" t="n"/>
      <c r="P19" s="23" t="n"/>
      <c r="Q19" s="23" t="n"/>
      <c r="R19" s="22" t="inlineStr">
        <is>
          <t>eTable 11 (Supp4 p.17) physical function: 2-df Wald omnibus P reconstructed from the three contrast CIs (Cov from Var(HC-PT) = Var(a)+Var(b)-2Cov) is .025 at 6 mo and .010 at 12 mo, vs printed .005 and .001; P ranges allowing +/-0.05 display rounding are .0096-.051 and .0032-.024, excluding the printed values. The other rows are compatible. Probable because eTable 11 does not define its omnibus test.</t>
        </is>
      </c>
    </row>
  </sheetData>
  <autoFilter ref="A1:R19"/>
  <conditionalFormatting sqref="H2:H19">
    <cfRule type="expression" priority="8" dxfId="70">
      <formula>NOT(AND(OR($D2="retain",$D2=""),$E2="statistical_results"))</formula>
    </cfRule>
  </conditionalFormatting>
  <conditionalFormatting sqref="I2:I19">
    <cfRule type="expression" priority="9" dxfId="70">
      <formula>NOT(AND(OR($D2="retain",$D2=""),$E2="statistical_results"))</formula>
    </cfRule>
  </conditionalFormatting>
  <conditionalFormatting sqref="J2:J19">
    <cfRule type="expression" priority="10" dxfId="70">
      <formula>NOT(AND(OR($D2="retain",$D2=""),$E2="statistical_results"))</formula>
    </cfRule>
  </conditionalFormatting>
  <conditionalFormatting sqref="K2:K19">
    <cfRule type="expression" priority="11" dxfId="70">
      <formula>NOT(AND(OR($D2="retain",$D2=""),OR($E2="report_internal_inconsistency",$E2="plan_material")))</formula>
    </cfRule>
  </conditionalFormatting>
  <conditionalFormatting sqref="L2:L19">
    <cfRule type="expression" priority="12" dxfId="70">
      <formula>NOT(AND(OR($D2="retain",$D2=""),$E2="protocol_report"))</formula>
    </cfRule>
  </conditionalFormatting>
  <conditionalFormatting sqref="G2:G19">
    <cfRule type="expression" priority="13" dxfId="71">
      <formula>G2&lt;&gt;"PRIMARY READY"</formula>
    </cfRule>
  </conditionalFormatting>
  <dataValidations count="8">
    <dataValidation sqref="D2:D19" showDropDown="0" showInputMessage="0" showErrorMessage="1" allowBlank="1" errorTitle="Use a listed option" error="Choose an option; G also checks pasted entries." type="list" errorStyle="stop">
      <formula1>"retain,exclude,discuss"</formula1>
    </dataValidation>
    <dataValidation sqref="E2:E1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9" showDropDown="0" showInputMessage="0" showErrorMessage="1" allowBlank="1" errorTitle="Use a listed option" error="Choose an option; G also checks pasted entries." type="list" errorStyle="stop">
      <formula1>"no,primary_done"</formula1>
    </dataValidation>
    <dataValidation sqref="H2:H1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9" showDropDown="0" showInputMessage="0" showErrorMessage="1" allowBlank="1" errorTitle="Use a listed option" error="Choose an option; G also checks pasted entries." type="list" errorStyle="stop">
      <formula1>"direct,possible,unlikely,unknown,not_applicable"</formula1>
    </dataValidation>
    <dataValidation sqref="K2:K1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2025::jama.2025.15185::C001</t>
        </is>
      </c>
      <c r="B2" s="20" t="inlineStr">
        <is>
          <t>PROMIS-29 scalar scoring and direction are not specified</t>
        </is>
      </c>
      <c r="C2" s="20" t="inlineStr">
        <is>
          <t>jama_engelter_2025_oi_250066_1761597796.45511.pdf — p. 3, Secondary Outcomes: domain definition and direction; jama_engelter_2025_oi_250066_1761597796.45511.pdf — p. 6, Secondary Outcomes: single scalar result; joi250066supp3_prod_1761597796.4701.pdf — p. 15, eTable 4, PROMIS 29 row: corroborating scalar and adjusted result; joi250066supp1_prod_1761597796.4601.pdf — p. 70, PROMIS assessment: contextual scale description</t>
        </is>
      </c>
      <c r="D2" s="21" t="inlineStr">
        <is>
          <t>retain</t>
        </is>
      </c>
      <c r="E2" s="21" t="inlineStr">
        <is>
          <t>statistical_results</t>
        </is>
      </c>
      <c r="F2" s="21" t="inlineStr">
        <is>
          <t>primary_done</t>
        </is>
      </c>
      <c r="G2" s="20">
        <f>IFERROR(IF(LEN(TRIM(CLEAN(SUBSTITUTE(Setup!$B$2,CHAR(160)," "))))=0,"CHECK REVIEWER ID",IF(OR(A2="",COUNTIF($A$2:$A$7,A2)&lt;&gt;1,LEFT(A2,LEN("2025::jama.2025.15185::"))&lt;&gt;"2025::jama.2025.15185::"),"CHECK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Main p.3 describes PROMIS-29 as 7 domains (raw 4-20 each) of mixed direction, yet p.6 and eTable 4 (Supp3 p.15) report one 'PROMIS-29 score' (about 65, SD 14) and an adjusted MD of -0.37 (-3.34 to 2.61) with no aggregation, transformation or favorable direction stated; protocol p.70 describes domain T-scores (mean 50, SD 10). Also main p.6 levodopa mean 66 vs eTable 4 64.74.</t>
        </is>
      </c>
    </row>
    <row r="3" ht="92" customHeight="1" s="25">
      <c r="A3" s="24" t="inlineStr">
        <is>
          <t>2025::jama.2025.15185::C002</t>
        </is>
      </c>
      <c r="B3" s="24" t="inlineStr">
        <is>
          <t>Primary analysis population changes from all randomized participants to survivors</t>
        </is>
      </c>
      <c r="C3" s="24" t="inlineStr">
        <is>
          <t>joi250066supp1_prod_1761597796.4601.pdf — p. 86, §§11.4.1–11.4.2: FAS and primary assignment; joi250066supp1_prod_1761597796.4601.pdf — p. 87, §11.5: missing-data rule; joi250066supp2_prod_1761597796.4701.pdf — p. 4, §3.2 and footnote: deceased participants' contribution; joi250066supp2_prod_1761597796.4701.pdf — p. 6, §4.3: primary/supportive status; joi250066supp2_prod_1761597796.4701.pdf — p. 7, §§4.3.1–4.3.3: primary versus death-inclusive strategy; jama_engelter_2025_oi_250066_1761597796.45511.pdf — p. 4, Statistical Analyses: survivor-primary rule; jama_engelter_2025_oi_250066_1761597796.45511.pdf — p. 5, flow and SAP explanation: participant totals and timing; joi250066supp3_prod_1761597796.4701.pdf — p. 12, population definitions: primary death exclusion; joi250066supp3_prod_1761597796.4701.pdf — p. 13, eTable 2, estimands 1, 3 and 4: primary and death-inclusive results</t>
        </is>
      </c>
      <c r="D3" s="21" t="inlineStr">
        <is>
          <t>retain</t>
        </is>
      </c>
      <c r="E3" s="21" t="inlineStr">
        <is>
          <t>protocol_report</t>
        </is>
      </c>
      <c r="F3" s="21" t="inlineStr">
        <is>
          <t>primary_done</t>
        </is>
      </c>
      <c r="G3" s="24">
        <f>IFERROR(IF(LEN(TRIM(CLEAN(SUBSTITUTE(Setup!$B$2,CHAR(160)," "))))=0,"CHECK REVIEWER ID",IF(OR(A3="",COUNTIF($A$2:$A$7,A3)&lt;&gt;1,LEFT(A3,LEN("2025::jama.2025.15185::"))&lt;&gt;"2025::jama.2025.15185::"),"CHECK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§11.4.1-11.4.2 (p.86) and §11.5 (p.87): primary analysis in the FAS of all randomized, missing data by multiple imputation. SAP (p.4 footnote 1; §4.3) and report (main p.4; Supp3 pp.12-13) exclude the 28 participants who died before 3 months from the primary analysis (n=582 of 610); death-inclusive analyses (estimands 3, 4; post hoc estimand 10) are supportive. Report calls the protocol-SAP differences 'terminology' (main p.5).</t>
        </is>
      </c>
    </row>
    <row r="4" ht="92" customHeight="1" s="25">
      <c r="A4" s="20" t="inlineStr">
        <is>
          <t>2025::jama.2025.15185::C003</t>
        </is>
      </c>
      <c r="B4" s="20" t="inlineStr">
        <is>
          <t>Primary mixed-model terms are absent from the implemented linear model</t>
        </is>
      </c>
      <c r="C4" s="20" t="inlineStr">
        <is>
          <t>joi250066supp1_prod_1761597796.4601.pdf — p. 56, statistical synopsis: final mixed-model summary; joi250066supp1_prod_1761597796.4601.pdf — p. 86, §11.4.2: final primary formula/variance structure; joi250066supp2_prod_1761597796.4701.pdf — p. 10, §5.2: baseline/treatment linear model; jama_engelter_2025_oi_250066_1761597796.45511.pdf — p. 4, Statistical Analyses: reported model; jama_engelter_2025_oi_250066_1761597796.45511.pdf — p. 5, alignment explanation: SAP timing and alignment context; jama_engelter_2025_oi_250066_1761597796.45511.pdf — p. 6, Primary Outcome: affected primary result; joi250066supp5_prod_1761597796.4751.pdf — p. 1, code lines 19–26 and 31–32: explicit implementation and pooling; joi250066supp1_prod_1761597796.4601.pdf — p. 10, earlier synopsis: historical center-term context; joi250066supp1_prod_1761597796.4601.pdf — p. 39, earlier §11.4.2: historical center-term context</t>
        </is>
      </c>
      <c r="D4" s="21" t="inlineStr">
        <is>
          <t>retain</t>
        </is>
      </c>
      <c r="E4" s="21" t="inlineStr">
        <is>
          <t>protocol_report</t>
        </is>
      </c>
      <c r="F4" s="21" t="inlineStr">
        <is>
          <t>primary_done</t>
        </is>
      </c>
      <c r="G4" s="20">
        <f>IFERROR(IF(LEN(TRIM(CLEAN(SUBSTITUTE(Setup!$B$2,CHAR(160)," "))))=0,"CHECK REVIEWER ID",IF(OR(A4="",COUNTIF($A$2:$A$7,A4)&lt;&gt;1,LEFT(A4,LEN("2025::jama.2025.15185::"))&lt;&gt;"2025::jama.2025.15185::"),"CHECK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Every supplied protocol version specifies a mixed model with a random center intercept (synopses pp.10, 56; §11.4.2 pp.39, 86), and the final version adds stroke type as a fixed effect. SAP §5.2 (p.10), main p.4 and the code (Supp5, OCR: lm(fma_affected.Visit_3 ~ fma_affected.Visit_1.cent + medication)) fit baseline FMA and treatment only. Randomization was minimized within center (main p.3), but center is not in the analysis model.</t>
        </is>
      </c>
    </row>
    <row r="5" ht="92" customHeight="1" s="25">
      <c r="A5" s="24" t="inlineStr">
        <is>
          <t>2025::jama.2025.15185::C004</t>
        </is>
      </c>
      <c r="B5" s="24" t="inlineStr">
        <is>
          <t>Secondary missing-data procedures differ from the SAP rule</t>
        </is>
      </c>
      <c r="C5" s="24" t="inlineStr">
        <is>
          <t>joi250066supp2_prod_1761597796.4701.pdf — p. 5, §4.2: secondary-outcome status; joi250066supp2_prod_1761597796.4701.pdf — p. 11, §6: general imputation rule; jama_engelter_2025_oi_250066_1761597796.45511.pdf — p. 5, secondary methods: reported nonimputation; jama_engelter_2025_oi_250066_1761597796.45511.pdf — p. 6, mRS/PRAI results: affected outcomes; joi250066supp3_prod_1761597796.4701.pdf — p. 7, deviations: mRS death assignment and PRAI exception; joi250066supp3_prod_1761597796.4701.pdf — p. 15, eTable 4: mRS/PRAI results and populations</t>
        </is>
      </c>
      <c r="D5" s="21" t="inlineStr">
        <is>
          <t>retain</t>
        </is>
      </c>
      <c r="E5" s="21" t="inlineStr">
        <is>
          <t>protocol_report</t>
        </is>
      </c>
      <c r="F5" s="21" t="inlineStr">
        <is>
          <t>primary_done</t>
        </is>
      </c>
      <c r="G5" s="24">
        <f>IFERROR(IF(LEN(TRIM(CLEAN(SUBSTITUTE(Setup!$B$2,CHAR(160)," "))))=0,"CHECK REVIEWER ID",IF(OR(A5="",COUNTIF($A$2:$A$7,A5)&lt;&gt;1,LEFT(A5,LEN("2025::jama.2025.15185::"))&lt;&gt;"2025::jama.2025.15185::"),"CHECK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§6 (p.11): missing secondary outcomes imputed as for the primary analysis (100 MICE imputations); only harm outcomes not imputed. Report (main p.5; Supp3 p.7 deviations) did not impute mRS (deaths set to 6; analysis n=596) or the patient-reported relevance item (PRAI; n=546). Disclosed as SAP deviations in Supp3 p.7.</t>
        </is>
      </c>
    </row>
    <row r="6" ht="92" customHeight="1" s="25">
      <c r="A6" s="20" t="inlineStr">
        <is>
          <t>2025::jama.2025.15185::C005</t>
        </is>
      </c>
      <c r="B6" s="20" t="inlineStr">
        <is>
          <t>Planned primary-endpoint supplementary analyses are not identified in the report</t>
        </is>
      </c>
      <c r="C6" s="20" t="inlineStr">
        <is>
          <t>joi250066supp1_prod_1761597796.4601.pdf — p. 86, §§11.4.1 and 11.4.3: primary sensitivities and bounded PP context; joi250066supp2_prod_1761597796.4701.pdf — p. 11, §7: center interaction model; joi250066supp2_prod_1761597796.4701.pdf — p. 12, §7.2: seven-variable subgroup package; joi250066supp2_prod_1761597796.4701.pdf — p. 15, addendum: subgroup directions and median splits; jama_engelter_2025_oi_250066_1761597796.45511.pdf — p. 4, supplementary/post hoc estimands: reported analysis and adherence context; jama_engelter_2025_oi_250066_1761597796.45511.pdf — p. 5, subgroup/center/spline methods: related reported analyses and prespecification statement; jama_engelter_2025_oi_250066_1761597796.45511.pdf — p. 6, primary/sensitivity results: affected primary analysis package; jama_engelter_2025_oi_250066_1761597796.45511.pdf — p. 7, Additional Post Hoc Analyses: baseline analyses; joi250066supp3_prod_1761597796.4701.pdf — p. 1, complete display index: nine eTables and seven eFigures; joi250066supp3_prod_1761597796.4701.pdf — p. 13, eTable 2: eight prespecified estimands; joi250066supp3_prod_1761597796.4701.pdf — p. 14, eTable 3: post hoc estimands; joi250066supp3_prod_1761597796.4701.pdf — p. 18, eTables 7–8: baseline interaction/spline models; joi250066supp3_prod_1761597796.4701.pdf — p. 25, eFigure 5: center graph; joi250066supp3_prod_1761597796.4701.pdf — p. 27, eFigure 7: post hoc forest</t>
        </is>
      </c>
      <c r="D6" s="21" t="inlineStr">
        <is>
          <t>retain</t>
        </is>
      </c>
      <c r="E6" s="21" t="inlineStr">
        <is>
          <t>protocol_report</t>
        </is>
      </c>
      <c r="F6" s="21" t="inlineStr">
        <is>
          <t>primary_done</t>
        </is>
      </c>
      <c r="G6" s="20">
        <f>IFERROR(IF(LEN(TRIM(CLEAN(SUBSTITUTE(Setup!$B$2,CHAR(160)," "))))=0,"CHECK REVIEWER ID",IF(OR(A6="",COUNTIF($A$2:$A$7,A6)&lt;&gt;1,LEFT(A6,LEN("2025::jama.2025.15185::"))&lt;&gt;"2025::jama.2025.15185::"),"CHECK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Not found in any report document (main article; Supp3 index of 9 eTables and 7 eFigures; Supp4 is the investigator list): SAP §7 center and treatment-by-center interaction model, SAP §7.2 seven prespecified subgroup interactions with forest plot (ICEMAN addendum pp.14-15), protocol §11.4.3(b) treatment x stroke type and (c) added-covariable analyses. Planned analyses reported as 'post hoc': center plot (eFigure 5) and the protocol per-protocol set (estimand 11). Main p.5 says prespecified analyses were performed as outlined in the SAP.</t>
        </is>
      </c>
    </row>
    <row r="7" ht="92" customHeight="1" s="25">
      <c r="A7" s="24" t="inlineStr">
        <is>
          <t>2025::jama.2025.15185::C006</t>
        </is>
      </c>
      <c r="B7" s="24" t="inlineStr">
        <is>
          <t>Serious-event hierarchy counts do not reconcile with their parent totals</t>
        </is>
      </c>
      <c r="C7" s="24" t="inlineStr">
        <is>
          <t>jama_engelter_2025_oi_250066_1761597796.45511.pdf — p. 6, Table 2, levodopa serious-event parent and all 13 top-level category rows; jama_engelter_2025_oi_250066_1761597796.45511.pdf — p. 6, Table 2, placebo infection parent and all six infection subtype rows; jama_engelter_2025_oi_250066_1761597796.45511.pdf — p. 6, Adverse Events narrative and table notes: corroborating event totals and unit context</t>
        </is>
      </c>
      <c r="D7" s="21" t="inlineStr">
        <is>
          <t>retain</t>
        </is>
      </c>
      <c r="E7" s="21" t="inlineStr">
        <is>
          <t>statistical_results</t>
        </is>
      </c>
      <c r="F7" s="21" t="inlineStr">
        <is>
          <t>primary_done</t>
        </is>
      </c>
      <c r="G7" s="24">
        <f>IFERROR(IF(LEN(TRIM(CLEAN(SUBSTITUTE(Setup!$B$2,CHAR(160)," "))))=0,"CHECK REVIEWER ID",IF(OR(A7="",COUNTIF($A$2:$A$7,A7)&lt;&gt;1,LEFT(A7,LEN("2025::jama.2025.15185::"))&lt;&gt;"2025::jama.2025.15185::"),"CHECK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indeterminate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Table 2 (main p.6, rendered): levodopa SAE categories sum to 143 vs 126 events (placebo 139 vs 129); infection subtypes sum to 59 vs 55 (levodopa) and 52 vs 44 (placebo). Stroke and cardiac subtypes and the prespecified-AE block (79, 67) reconcile exactly. Fall, fracture and trauma rows suggest events can carry several categories, but no note says so; only stroke subtypes are indented. Cannot decide whether this is an error or unstated multiple classification.</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2025::jama.2025.15440::C001</t>
        </is>
      </c>
      <c r="B2" s="20" t="inlineStr">
        <is>
          <t>Age-under-75 subgroup power does not reconcile with a reproducing same-table calculation</t>
        </is>
      </c>
      <c r="C2" s="20" t="inlineStr">
        <is>
          <t>joi250068supp1_prod_1760999665.28862.pdf — Protocol, PDF p. 22, Table 4, age &lt;75 row, rightmost “Power for total of 5000, 2p&lt;0.01” cell; all input and other-power comparison cells in the same Table 4. Contextual design support only: joi250068supp1_prod_1760999665.28862.pdf — protocol, PDF p. 20, Table 2, continuity-corrected sample-size heading, and joi250068supp1_prod_1760999665.28862.pdf — protocol, PDF p. 21, Table 3, whole-trial power design.</t>
        </is>
      </c>
      <c r="D2" s="21" t="inlineStr">
        <is>
          <t>retain</t>
        </is>
      </c>
      <c r="E2" s="21" t="inlineStr">
        <is>
          <t>plan_material</t>
        </is>
      </c>
      <c r="F2" s="21" t="inlineStr">
        <is>
          <t>primary_done</t>
        </is>
      </c>
      <c r="G2" s="20">
        <f>IFERROR(IF(LEN(TRIM(CLEAN(SUBSTITUTE(Setup!$B$2,CHAR(160)," "))))=0,"CHECK REVIEWER ID",IF(OR(A2="",COUNTIF($A$2:$A$2,A2)&lt;&gt;1,LEFT(A2,LEN("2025::jama.2025.15440::"))&lt;&gt;"2025::jama.2025.15440::"),"CHECK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Protocol v2.0 Table 4 (Supp1 p.22; OCR + rendered) prints 34% power for age &lt;75 at N=5000, 2p&lt;0.01. Continuity-corrected two-proportion power (R) reproduces the other cells within about 2 points (e.g., 41.8/20.5/52.1 vs 41/20/52 in the same row) but gives 28.6% for this cell. Subgroup power is low either way.</t>
        </is>
      </c>
    </row>
  </sheetData>
  <autoFilter ref="A1:R2"/>
  <conditionalFormatting sqref="H2">
    <cfRule type="expression" priority="8" dxfId="70">
      <formula>NOT(AND(OR($D2="retain",$D2=""),$E2="statistical_results"))</formula>
    </cfRule>
  </conditionalFormatting>
  <conditionalFormatting sqref="I2">
    <cfRule type="expression" priority="9" dxfId="70">
      <formula>NOT(AND(OR($D2="retain",$D2=""),$E2="statistical_results"))</formula>
    </cfRule>
  </conditionalFormatting>
  <conditionalFormatting sqref="J2">
    <cfRule type="expression" priority="10" dxfId="70">
      <formula>NOT(AND(OR($D2="retain",$D2=""),$E2="statistical_results"))</formula>
    </cfRule>
  </conditionalFormatting>
  <conditionalFormatting sqref="K2">
    <cfRule type="expression" priority="11" dxfId="70">
      <formula>NOT(AND(OR($D2="retain",$D2=""),OR($E2="report_internal_inconsistency",$E2="plan_material")))</formula>
    </cfRule>
  </conditionalFormatting>
  <conditionalFormatting sqref="L2">
    <cfRule type="expression" priority="12" dxfId="70">
      <formula>NOT(AND(OR($D2="retain",$D2=""),$E2="protocol_report"))</formula>
    </cfRule>
  </conditionalFormatting>
  <conditionalFormatting sqref="G2">
    <cfRule type="expression" priority="13" dxfId="71">
      <formula>G2&lt;&gt;"PRIMARY READY"</formula>
    </cfRule>
  </conditionalFormatting>
  <dataValidations count="8">
    <dataValidation sqref="D2" showDropDown="0" showInputMessage="0" showErrorMessage="1" allowBlank="1" errorTitle="Use a listed option" error="Choose an option; G also checks pasted entries." type="list" errorStyle="stop">
      <formula1>"retain,exclude,discuss"</formula1>
    </dataValidation>
    <dataValidation sqref="E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 showDropDown="0" showInputMessage="0" showErrorMessage="1" allowBlank="1" errorTitle="Use a listed option" error="Choose an option; G also checks pasted entries." type="list" errorStyle="stop">
      <formula1>"no,primary_done"</formula1>
    </dataValidation>
    <dataValidation sqref="H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 showDropDown="0" showInputMessage="0" showErrorMessage="1" allowBlank="1" errorTitle="Use a listed option" error="Choose an option; G also checks pasted entries." type="list" errorStyle="stop">
      <formula1>"substantive,minor_presentation,indeterminate,not_applicable"</formula1>
    </dataValidation>
    <dataValidation sqref="J2" showDropDown="0" showInputMessage="0" showErrorMessage="1" allowBlank="1" errorTitle="Use a listed option" error="Choose an option; G also checks pasted entries." type="list" errorStyle="stop">
      <formula1>"direct,possible,unlikely,unknown,not_applicable"</formula1>
    </dataValidation>
    <dataValidation sqref="K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2025::jama.2025.16450::C001</t>
        </is>
      </c>
      <c r="B2" s="20" t="inlineStr">
        <is>
          <t>Moderate-hyperglycemia qualification pathway differs across report and plan descriptions</t>
        </is>
      </c>
      <c r="C2" s="20" t="inlineStr">
        <is>
          <t>jama_ambalavanan_2025_oi_250072_1761000786.6838.pdf — Main PDF p. 1, abstract; jama_ambalavanan_2025_oi_250072_1761000786.6838.pdf — main PDF p. 3, Outcomes; jama_ambalavanan_2025_oi_250072_1761000786.6838.pdf — main PDF p. 6, Safety Outcomes; joi250072supp4_prod_1761000786.6988.pdf — results PDF p. 5, eTable 3 hyperglycemia; joi250072supp2_prod_1761000786.6938.pdf — manual PDF p. 39, moderate, severe and life-threatening hyperglycemia narrative; joi250072supp2_prod_1761000786.6938.pdf — manual PDF p. 59, Appendix A hyperglycemia row; joi250072supp3_prod_1761000786.6988.pdf — SAP PDF p. 11, §3.2.4.1.</t>
        </is>
      </c>
      <c r="D2" s="21" t="inlineStr">
        <is>
          <t>retain</t>
        </is>
      </c>
      <c r="E2" s="21" t="inlineStr">
        <is>
          <t>protocol_report</t>
        </is>
      </c>
      <c r="F2" s="21" t="inlineStr">
        <is>
          <t>primary_done</t>
        </is>
      </c>
      <c r="G2" s="20">
        <f>IFERROR(IF(LEN(TRIM(CLEAN(SUBSTITUTE(Setup!$B$2,CHAR(160)," "))))=0,"CHECK REVIEWER ID",IF(OR(A2="",COUNTIF($A$2:$A$7,A2)&lt;&gt;1,LEFT(A2,LEN("2025::jama.2025.16450::"))&lt;&gt;"2025::jama.2025.16450::"),"CHECK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Main p.3 defines moderate hyperglycemia as 120-180 mg/dL on 2 consecutive values &gt;=6 h apart OR &gt;2 values within 24 h, and severe as &gt;180 mg/dL. SAP v1.3 §3.2.4.1 (Supp3 p.11, OCR) gives moderate as 2 values &gt;=6 h apart only, severe as &gt;180 on 2 values &gt;=6 h apart or insulin; MOP Appendix A (Supp2 p.59, OCR) also lacks the 24-h pathway, while the MOP narrative (p.39) includes it. Definition of the main harm outcome differs from the SAP.</t>
        </is>
      </c>
    </row>
    <row r="3" ht="92" customHeight="1" s="25">
      <c r="A3" s="24" t="inlineStr">
        <is>
          <t>2025::jama.2025.16450::C002</t>
        </is>
      </c>
      <c r="B3" s="24" t="inlineStr">
        <is>
          <t>Reported BPD-severity contrasts differ from the planned ordinal model</t>
        </is>
      </c>
      <c r="C3" s="24" t="inlineStr">
        <is>
          <t>jama_ambalavanan_2025_oi_250072_1761000786.6838.pdf — Main PDF p. 3, secondary/exploratory BPD outcomes; jama_ambalavanan_2025_oi_250072_1761000786.6838.pdf — main PDF p. 8, Table 3 severity rows and footnote a; joi250072supp1_prod_1761000786.68881.pdf — protocol PDF p. 21, ordered severity outcomes; joi250072supp1_prod_1761000786.68881.pdf — protocol PDF p. 25, §5.1; joi250072supp3_prod_1761000786.6988.pdf — SAP PDF p. 32, pragmatic ordinal outcome; joi250072supp3_prod_1761000786.6988.pdf — SAP PDF p. 33, pragmatic coding; joi250072supp3_prod_1761000786.6988.pdf — SAP PDF p. 34, NIH ordinal outcome; joi250072supp3_prod_1761000786.6988.pdf — SAP PDF p. 35, NIH coding; joi250072supp3_prod_1761000786.6988.pdf — SAP PDF p. 39, §9.5.</t>
        </is>
      </c>
      <c r="D3" s="21" t="inlineStr">
        <is>
          <t>retain</t>
        </is>
      </c>
      <c r="E3" s="21" t="inlineStr">
        <is>
          <t>protocol_report</t>
        </is>
      </c>
      <c r="F3" s="21" t="inlineStr">
        <is>
          <t>primary_done</t>
        </is>
      </c>
      <c r="G3" s="24">
        <f>IFERROR(IF(LEN(TRIM(CLEAN(SUBSTITUTE(Setup!$B$2,CHAR(160)," "))))=0,"CHECK REVIEWER ID",IF(OR(A3="",COUNTIF($A$2:$A$7,A3)&lt;&gt;1,LEFT(A3,LEN("2025::jama.2025.16450::"))&lt;&gt;"2025::jama.2025.16450::"),"CHECK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§9.5 (Supp3 p.39, OCR) analyzes ordinal BPD severity with proportional odds models (fallback partial PO or MH mean-score test) and reserves generalized logits for nominal outcomes; Table 3 (main p.8, footnote a) reports category-vs-no-BPD ORs from generalized logit models for pragmatic and NIH severity. No stated reason (e.g., PO assumption failure).</t>
        </is>
      </c>
    </row>
    <row r="4" ht="92" customHeight="1" s="25">
      <c r="A4" s="20" t="inlineStr">
        <is>
          <t>2025::jama.2025.16450::C003</t>
        </is>
      </c>
      <c r="B4" s="20" t="inlineStr">
        <is>
          <t>Prespecified primary-analysis outputs are absent or displayed with different definitions</t>
        </is>
      </c>
      <c r="C4" s="20" t="inlineStr">
        <is>
          <t>joi250072supp1_prod_1761000786.68881.pdf — Protocol PDF p. 25, §5.1 treatment-received analyses; joi250072supp3_prod_1761000786.6988.pdf — SAP PDF p. 22, §5 population definitions; joi250072supp3_prod_1761000786.6988.pdf — SAP PDF p. 29, §7.7 interactions; joi250072supp3_prod_1761000786.6988.pdf — SAP PDF p. 36, §9.3 response coding; joi250072supp3_prod_1761000786.6988.pdf — SAP PDF p. 37, coding and sample model; joi250072supp3_prod_1761000786.6988.pdf — SAP PDF p. 38, §§9.4.1–9.4.2; jama_ambalavanan_2025_oi_250072_1761000786.6838.pdf — main PDF p. 3, statistical analysis; jama_ambalavanan_2025_oi_250072_1761000786.6838.pdf — main PDF p. 4, Figure 1 and footnotes f/j; jama_ambalavanan_2025_oi_250072_1761000786.6838.pdf — main PDF p. 7, Table 2 and sensitivity/subgroup text; jama_ambalavanan_2025_oi_250072_1761000786.6838.pdf — main PDF p. 9, Figure 2, caption and footnote a; joi250072supp4_prod_1761000786.6988.pdf — results PDF p. 2, eTable 1. The absence comparison covers all main PDF pages 1–11 and all results PDF pages 1–16, including all eight supplementary tables, rather than only these displayed anchors.</t>
        </is>
      </c>
      <c r="D4" s="21" t="inlineStr">
        <is>
          <t>retain</t>
        </is>
      </c>
      <c r="E4" s="21" t="inlineStr">
        <is>
          <t>protocol_report</t>
        </is>
      </c>
      <c r="F4" s="21" t="inlineStr">
        <is>
          <t>primary_done</t>
        </is>
      </c>
      <c r="G4" s="20">
        <f>IFERROR(IF(LEN(TRIM(CLEAN(SUBSTITUTE(Setup!$B$2,CHAR(160)," "))))=0,"CHECK REVIEWER ID",IF(OR(A4="",COUNTIF($A$2:$A$7,A4)&lt;&gt;1,LEFT(A4,LEN("2025::jama.2025.16450::"))&lt;&gt;"2025::jama.2025.16450::"),"CHECK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§9.4.1-9.4.2 and §7.7 (Supp3 pp.29, 38; OCR) plan primary-outcome replication in the SAF (as-treated) population, a baseline-covariate-adjusted model, and treatment interactions with site, GA stratum, race and sex for the primary (BPD/death) outcome. Report gives ITT, ITT-treated and PP only (Table 2), no covariate-adjusted or site-interaction result, and Figure 2 (p.9) models the favorable outcome with actual GA.</t>
        </is>
      </c>
    </row>
    <row r="5" ht="92" customHeight="1" s="25">
      <c r="A5" s="24" t="inlineStr">
        <is>
          <t>2025::jama.2025.16450::C004</t>
        </is>
      </c>
      <c r="B5" s="24" t="inlineStr">
        <is>
          <t>Historical Grade 3 BPD count and percentage do not reconcile in one protocol cell</t>
        </is>
      </c>
      <c r="C5" s="24" t="inlineStr">
        <is>
          <t>joi250072supp1_prod_1761000786.68881.pdf — Protocol PDF p. 12, Table 2, NICHD BPD Workshop Grading 2018: Grade 3 surfactant cell, combination comparator, Grade 3-or-death, Death, No BPD, Grade 1 and Grade 2.</t>
        </is>
      </c>
      <c r="D5" s="21" t="inlineStr">
        <is>
          <t>exclude</t>
        </is>
      </c>
      <c r="E5" s="21" t="inlineStr">
        <is>
          <t>plan_material</t>
        </is>
      </c>
      <c r="F5" s="21" t="inlineStr">
        <is>
          <t>primary_done</t>
        </is>
      </c>
      <c r="G5" s="24">
        <f>IFERROR(IF(LEN(TRIM(CLEAN(SUBSTITUTE(Setup!$B$2,CHAR(160)," "))))=0,"CHECK REVIEWER ID",IF(OR(A5="",COUNTIF($A$2:$A$7,A5)&lt;&gt;1,LEFT(A5,LEN("2025::jama.2025.16450::"))&lt;&gt;"2025::jama.2025.16450::"),"CHECK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inlineStr">
        <is>
          <t>Protocol Table 2 (Supp1 p.12; OCR and rendered) prints historical-cohort Grade 3 BPD as 20% (31/294); 31/294=10.5%, and 91 (grade 3 or death) - 31 (death) = 60, 60/294=20.4%, categories then sum to 294. A real typo (31 copied from the death row), but it is background data from a prior cohort, not a design element of this trial.</t>
        </is>
      </c>
    </row>
    <row r="6" ht="92" customHeight="1" s="25">
      <c r="A6" s="20" t="inlineStr">
        <is>
          <t>2025::jama.2025.16450::C005</t>
        </is>
      </c>
      <c r="B6" s="20" t="inlineStr">
        <is>
          <t>One nasal-cannula factor cell differs from the reproducible table relationship</t>
        </is>
      </c>
      <c r="C6" s="20" t="inlineStr">
        <is>
          <t>joi250072supp2_prod_1761000786.6938.pdf — Manual PDF p. 152, Appendix J Table 1: 0.125 LPM/1⁄8 LPM by 2.5 kg cell, all other 143 factor cells and nearest-input instructions; joi250072supp2_prod_1761000786.6938.pdf — manual PDF p. 154, Table 2: factor 4 and factor 5 at 100% oxygen.</t>
        </is>
      </c>
      <c r="D6" s="21" t="inlineStr">
        <is>
          <t>retain</t>
        </is>
      </c>
      <c r="E6" s="21" t="inlineStr">
        <is>
          <t>plan_material</t>
        </is>
      </c>
      <c r="F6" s="21" t="inlineStr">
        <is>
          <t>primary_done</t>
        </is>
      </c>
      <c r="G6" s="20">
        <f>IFERROR(IF(LEN(TRIM(CLEAN(SUBSTITUTE(Setup!$B$2,CHAR(160)," "))))=0,"CHECK REVIEWER ID",IF(OR(A6="",COUNTIF($A$2:$A$7,A6)&lt;&gt;1,LEFT(A6,LEN("2025::jama.2025.16450::"))&lt;&gt;"2025::jama.2025.16450::"),"CHECK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GDB MOP Appendix J Table 1 (Supp2 p.152, OCR) gives factor 4 at 0.125 LPM/2.5 kg; 100 x flow/weight = 5. The same row's 4-kg cell (3.125 -&gt; printed 4) is also off by one. Effect on effective FiO2 is 24% vs 25% at 100% O2 (Table 2, p.154), below the 27%/30% decision thresholds, so physiologic BPD classification is unaffected.</t>
        </is>
      </c>
    </row>
    <row r="7" ht="92" customHeight="1" s="25">
      <c r="A7" s="24" t="inlineStr">
        <is>
          <t>2025::jama.2025.16450::C006</t>
        </is>
      </c>
      <c r="B7" s="24" t="inlineStr">
        <is>
          <t>Sparse intervals described as exact reproduce a log-Wald pattern</t>
        </is>
      </c>
      <c r="C7" s="24" t="inlineStr">
        <is>
          <t>joi250072supp4_prod_1761000786.6988.pdf — Results PDF p. 5, eTable 3: AE endotracheal tube blockage, AE prolonged hypoxemia/bradycardia, SAE endotracheal tube blockage, SAE prolonged hypoxemia/bradycardia; joi250072supp4_prod_1761000786.6988.pdf — results PDF p. 6, eTable 3: SAE hyperglycemia, early-onset sepsis, late-onset sepsis and footnote b; joi250072supp4_prod_1761000786.6988.pdf — results PDF p. 7, eTable 4: PDA managed with surgery/cardiac catheterization; joi250072supp4_prod_1761000786.6988.pdf — results PDF p. 8, eTable 4 footnote b and nonmissing-denominator definition.</t>
        </is>
      </c>
      <c r="D7" s="21" t="inlineStr">
        <is>
          <t>retain</t>
        </is>
      </c>
      <c r="E7" s="21" t="inlineStr">
        <is>
          <t>statistical_results</t>
        </is>
      </c>
      <c r="F7" s="21" t="inlineStr">
        <is>
          <t>primary_done</t>
        </is>
      </c>
      <c r="G7" s="24">
        <f>IFERROR(IF(LEN(TRIM(CLEAN(SUBSTITUTE(Setup!$B$2,CHAR(160)," "))))=0,"CHECK REVIEWER ID",IF(OR(A7="",COUNTIF($A$2:$A$7,A7)&lt;&gt;1,LEFT(A7,LEN("2025::jama.2025.16450::"))&lt;&gt;"2025::jama.2025.16450::"),"CHECK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3/4 footnote b (Supp4 pp.6, 8) says crude ORs with exact 95% CIs; the printed CIs match log-Wald (Woolf) intervals, not exact conditional ones. E.g., PDA surgery 5/319 vs 3/308: OR 1.62, Wald 0.38-6.83 = printed; exact 0.31-10.51.</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2025::jama.2025.19563::C001</t>
        </is>
      </c>
      <c r="B2" s="20" t="inlineStr">
        <is>
          <t>Added diabetes-range HbA1c primary-composite disqualifier</t>
        </is>
      </c>
      <c r="C2" s="20" t="inlineStr">
        <is>
          <t>joi250084supp1_prod_1765403089.61351.pdf — DOC-002 p6 synopsis; joi250084supp1_prod_1765403089.61351.pdf — p15 §3.2; joi250084supp1_prod_1765403089.61351.pdf — p86 incident-diabetes SAP-change row; jama_mathioudakis_2025_oi_250084_1765403089.60451.pdf — main p3 Outcomes; jama_mathioudakis_2025_oi_250084_1765403089.60451.pdf — p4 Primary Analysis; joi250084supp2_prod_1765403089.61751.pdf — DOC-003 p29 eTable13 method begins; joi250084supp2_prod_1765403089.61751.pdf — p30 method continuation; joi250084supp2_prod_1765403089.61751.pdf — p56 eTable13</t>
        </is>
      </c>
      <c r="D2" s="21" t="inlineStr">
        <is>
          <t>retain</t>
        </is>
      </c>
      <c r="E2" s="21" t="inlineStr">
        <is>
          <t>protocol_report</t>
        </is>
      </c>
      <c r="F2" s="21" t="inlineStr">
        <is>
          <t>primary_done</t>
        </is>
      </c>
      <c r="G2" s="20">
        <f>IFERROR(IF(LEN(TRIM(CLEAN(SUBSTITUTE(Setup!$B$2,CHAR(160)," "))))=0,"CHECK REVIEWER ID",IF(OR(A2="",COUNTIF($A$2:$A$14,A2)&lt;&gt;1,LEFT(A2,LEN("2025::jama.2025.19563::"))&lt;&gt;"2025::jama.2025.19563::"),"CHECK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synopsis and §3.2 (Supp1 pp.6, 15; OCR) define the primary end point as &gt;=5% weight loss OR &gt;=4% loss + &gt;=150 min/wk PA OR &gt;=0.2-point HbA1c reduction; the report (main pp.1, 3-4) additionally requires HbA1c &lt;6.5% throughout. Disclosed in the SAP change table (Supp1 p.86) and eTable 13 method (Supp2 pp.29-30).</t>
        </is>
      </c>
    </row>
    <row r="3" ht="92" customHeight="1" s="25">
      <c r="A3" s="24" t="inlineStr">
        <is>
          <t>2025::jama.2025.19563::C002</t>
        </is>
      </c>
      <c r="B3" s="24" t="inlineStr">
        <is>
          <t>Primary PA window and endpoint-specific mapping</t>
        </is>
      </c>
      <c r="C3" s="24" t="inlineStr">
        <is>
          <t>joi250084supp1_prod_1765403089.61351.pdf — DOC-002 p6 synopsis; joi250084supp1_prod_1765403089.61351.pdf — p15 §3.2; joi250084supp1_prod_1765403089.61351.pdf — p80 version 1.4 amendment begins; joi250084supp1_prod_1765403089.61351.pdf — p81 continuation; jama_mathioudakis_2025_oi_250084_1765403089.60451.pdf — main p3 primary branch; jama_mathioudakis_2025_oi_250084_1765403089.60451.pdf — p7 Figure2; joi250084supp2_prod_1765403089.61751.pdf — DOC-003 p13 Aggregation; joi250084supp2_prod_1765403089.61751.pdf — p49 postbaseline assessments</t>
        </is>
      </c>
      <c r="D3" s="21" t="inlineStr">
        <is>
          <t>retain</t>
        </is>
      </c>
      <c r="E3" s="21" t="inlineStr">
        <is>
          <t>protocol_report</t>
        </is>
      </c>
      <c r="F3" s="21" t="inlineStr">
        <is>
          <t>primary_done</t>
        </is>
      </c>
      <c r="G3" s="24">
        <f>IFERROR(IF(LEN(TRIM(CLEAN(SUBSTITUTE(Setup!$B$2,CHAR(160)," "))))=0,"CHECK REVIEWER ID",IF(OR(A3="",COUNTIF($A$2:$A$14,A3)&lt;&gt;1,LEFT(A3,LEN("2025::jama.2025.19563::"))&lt;&gt;"2025::jama.2025.19563::"),"CHECK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version_timing</t>
        </is>
      </c>
      <c r="M3" s="24" t="n"/>
      <c r="N3" s="23" t="n"/>
      <c r="O3" s="23" t="n"/>
      <c r="P3" s="23" t="n"/>
      <c r="Q3" s="23" t="n"/>
      <c r="R3" s="22" t="inlineStr">
        <is>
          <t>Protocol (Supp1 pp.6, 15; OCR) averages PA over months 6-11 for the weight-plus-PA branch; Supp2 p.13 averages weekly MVPA over all post-baseline visits (max 11; eTable 8b months 1-11). Amendment v1.4 (03-28-2022; Supp1 p.80) says the PA time frame was 'clarified' but the revised window is not printed, so whether the report follows the amended window cannot be determined.</t>
        </is>
      </c>
    </row>
    <row r="4" ht="92" customHeight="1" s="25">
      <c r="A4" s="20" t="inlineStr">
        <is>
          <t>2025::jama.2025.19563::C003</t>
        </is>
      </c>
      <c r="B4" s="20" t="inlineStr">
        <is>
          <t>Primary HbA1c branch restricted to baseline subset</t>
        </is>
      </c>
      <c r="C4" s="20" t="inlineStr">
        <is>
          <t>joi250084supp1_prod_1765403089.61351.pdf — DOC-002 p15 original §3.2; joi250084supp1_prod_1765403089.61351.pdf — p80 version 1.4 modification begins; joi250084supp1_prod_1765403089.61351.pdf — p81 subset and eligibility continuation; jama_mathioudakis_2025_oi_250084_1765403089.60451.pdf — main p3 Outcomes; jama_mathioudakis_2025_oi_250084_1765403089.60451.pdf — p7 Figure2 row/footnote</t>
        </is>
      </c>
      <c r="D4" s="21" t="inlineStr">
        <is>
          <t>exclude</t>
        </is>
      </c>
      <c r="E4" s="21" t="inlineStr">
        <is>
          <t>protocol_report</t>
        </is>
      </c>
      <c r="F4" s="21" t="inlineStr">
        <is>
          <t>primary_done</t>
        </is>
      </c>
      <c r="G4" s="20">
        <f>IFERROR(IF(LEN(TRIM(CLEAN(SUBSTITUTE(Setup!$B$2,CHAR(160)," "))))=0,"CHECK REVIEWER ID",IF(OR(A4="",COUNTIF($A$2:$A$14,A4)&lt;&gt;1,LEFT(A4,LEN("2025::jama.2025.19563::"))&lt;&gt;"2025::jama.2025.19563::"),"CHECK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inlineStr">
        <is>
          <t>Restriction of the HbA1c-reduction branch to baseline HbA1c 5.7-6.4% was made by dated protocol amendment v1.4 (03-28-2022; Supp1 pp.80-81, OCR), and the report (main p.3; Figure 2 footnote c, 130/130) follows the amended protocol. No difference between the report and the operative plan.</t>
        </is>
      </c>
    </row>
    <row r="5" ht="92" customHeight="1" s="25">
      <c r="A5" s="24" t="inlineStr">
        <is>
          <t>2025::jama.2025.19563::C004</t>
        </is>
      </c>
      <c r="B5" s="24" t="inlineStr">
        <is>
          <t>Primary exclusions replaced by all-randomized failure assignment</t>
        </is>
      </c>
      <c r="C5" s="24" t="inlineStr">
        <is>
          <t>joi250084supp1_prod_1765403089.61351.pdf — DOC-002 p37 §9.3; joi250084supp1_prod_1765403089.61351.pdf — p86 first SAP-change row; jama_mathioudakis_2025_oi_250084_1765403089.60451.pdf — main p4 primary methods/results; jama_mathioudakis_2025_oi_250084_1765403089.60451.pdf — p5 Figure1; joi250084supp2_prod_1765403089.61751.pdf — DOC-003 p27 primary cohort; joi250084supp2_prod_1765403089.61751.pdf — p50 eTable8c</t>
        </is>
      </c>
      <c r="D5" s="21" t="inlineStr">
        <is>
          <t>retain</t>
        </is>
      </c>
      <c r="E5" s="21" t="inlineStr">
        <is>
          <t>protocol_report</t>
        </is>
      </c>
      <c r="F5" s="21" t="inlineStr">
        <is>
          <t>primary_done</t>
        </is>
      </c>
      <c r="G5" s="24">
        <f>IFERROR(IF(LEN(TRIM(CLEAN(SUBSTITUTE(Setup!$B$2,CHAR(160)," "))))=0,"CHECK REVIEWER ID",IF(OR(A5="",COUNTIF($A$2:$A$14,A5)&lt;&gt;1,LEFT(A5,LEN("2025::jama.2025.19563::"))&lt;&gt;"2025::jama.2025.19563::"),"CHECK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§9.3 (Supp1 p.37; OCR) excludes participants who withdraw from effectiveness analyses; report analyzes all 368 randomized and counts missing 12-month visits (26 AI, 29 human) as failures (main p.4; Figure 1). Disclosed in the SAP change table (Supp1 p.86).</t>
        </is>
      </c>
    </row>
    <row r="6" ht="92" customHeight="1" s="25">
      <c r="A6" s="20" t="inlineStr">
        <is>
          <t>2025::jama.2025.19563::C005</t>
        </is>
      </c>
      <c r="B6" s="20" t="inlineStr">
        <is>
          <t>Clustered logistic primary model replaced by binomial RD regression</t>
        </is>
      </c>
      <c r="C6" s="20" t="inlineStr">
        <is>
          <t>joi250084supp1_prod_1765403089.61351.pdf — DOC-002 p37 §9.4.1; joi250084supp1_prod_1765403089.61351.pdf — p38 §9.4.7; joi250084supp1_prod_1765403089.61351.pdf — p86 model change; jama_mathioudakis_2025_oi_250084_1765403089.60451.pdf — main p4 primary model and sensitivity 5; joi250084supp2_prod_1765403089.61751.pdf — DOC-003 p31 cluster methods; joi250084supp2_prod_1765403089.61751.pdf — p62 eTables19a–b</t>
        </is>
      </c>
      <c r="D6" s="21" t="inlineStr">
        <is>
          <t>retain</t>
        </is>
      </c>
      <c r="E6" s="21" t="inlineStr">
        <is>
          <t>protocol_report</t>
        </is>
      </c>
      <c r="F6" s="21" t="inlineStr">
        <is>
          <t>primary_done</t>
        </is>
      </c>
      <c r="G6" s="20">
        <f>IFERROR(IF(LEN(TRIM(CLEAN(SUBSTITUTE(Setup!$B$2,CHAR(160)," "))))=0,"CHECK REVIEWER ID",IF(OR(A6="",COUNTIF($A$2:$A$14,A6)&lt;&gt;1,LEFT(A6,LEN("2025::jama.2025.19563::"))&lt;&gt;"2025::jama.2025.19563::"),"CHECK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§9.4.7-9.4.8 (Supp1 p.38; OCR) analyzes the primary and component end points with (mixed-effects) logistic regression; report uses unadjusted binomial regression for the risk difference (main p.4). Disclosed in the SAP change table (Supp1 p.86); cluster-robust SEs added post hoc (eTables 19a-b).</t>
        </is>
      </c>
    </row>
    <row r="7" ht="92" customHeight="1" s="25">
      <c r="A7" s="24" t="inlineStr">
        <is>
          <t>2025::jama.2025.19563::C006</t>
        </is>
      </c>
      <c r="B7" s="24" t="inlineStr">
        <is>
          <t>Primary PA missing-data procedure and linked sensitivity replaced</t>
        </is>
      </c>
      <c r="C7" s="24" t="inlineStr">
        <is>
          <t>joi250084supp1_prod_1765403089.61351.pdf — DOC-002 p38 §9.4.2; joi250084supp1_prod_1765403089.61351.pdf — p39 §9.4.8 continuation; joi250084supp1_prod_1765403089.61351.pdf — p86 missing-PA change; jama_mathioudakis_2025_oi_250084_1765403089.60451.pdf — main p4 sensitivities; joi250084supp2_prod_1765403089.61751.pdf — DOC-003 p13 PA processing; joi250084supp2_prod_1765403089.61751.pdf — p30 eTables16–18 descriptions; joi250084supp2_prod_1765403089.61751.pdf — p49 eTable8b; joi250084supp2_prod_1765403089.61751.pdf — p59 MI sensitivity; joi250084supp2_prod_1765403089.61751.pdf — p60 MNAR sensitivity; joi250084supp2_prod_1765403089.61751.pdf — p61 two PA sensitivities</t>
        </is>
      </c>
      <c r="D7" s="21" t="inlineStr">
        <is>
          <t>retain</t>
        </is>
      </c>
      <c r="E7" s="21" t="inlineStr">
        <is>
          <t>protocol_report</t>
        </is>
      </c>
      <c r="F7" s="21" t="inlineStr">
        <is>
          <t>primary_done</t>
        </is>
      </c>
      <c r="G7" s="24">
        <f>IFERROR(IF(LEN(TRIM(CLEAN(SUBSTITUTE(Setup!$B$2,CHAR(160)," "))))=0,"CHECK REVIEWER ID",IF(OR(A7="",COUNTIF($A$2:$A$14,A7)&lt;&gt;1,LEFT(A7,LEN("2025::jama.2025.19563::"))&lt;&gt;"2025::jama.2025.19563::"),"CHECK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§9.4.2/9.4.8 (Supp1 pp.38-39; OCR) plans multiple imputation for PA if &gt;5% missing, with a complete-case sensitivity analysis; report assigns 0 min/week to non-wear periods (worst case; Supp2 pp.13, 30, 49) with best-case sensitivity analyses. Disclosed in the SAP change table (Supp1 p.86).</t>
        </is>
      </c>
    </row>
    <row r="8" ht="92" customHeight="1" s="25">
      <c r="A8" s="20" t="inlineStr">
        <is>
          <t>2025::jama.2025.19563::C007</t>
        </is>
      </c>
      <c r="B8" s="20" t="inlineStr">
        <is>
          <t>Program-completer analysis replaced by complete-data/no-medication cohort</t>
        </is>
      </c>
      <c r="C8" s="20" t="inlineStr">
        <is>
          <t>joi250084supp1_prod_1765403089.61351.pdf — DOC-002 p16 §3.3 completion criteria; joi250084supp1_prod_1765403089.61351.pdf — p37 §9.3; joi250084supp1_prod_1765403089.61351.pdf — p86 PP change starts; joi250084supp1_prod_1765403089.61351.pdf — p87 continuation; jama_mathioudakis_2025_oi_250084_1765403089.60451.pdf — main p4 restricted analysis; jama_mathioudakis_2025_oi_250084_1765403089.60451.pdf — p9 Figure4; joi250084supp2_prod_1765403089.61751.pdf — DOC-003 p27 cohort definition; joi250084supp2_prod_1765403089.61751.pdf — p58 eTable15</t>
        </is>
      </c>
      <c r="D8" s="21" t="inlineStr">
        <is>
          <t>retain</t>
        </is>
      </c>
      <c r="E8" s="21" t="inlineStr">
        <is>
          <t>protocol_report</t>
        </is>
      </c>
      <c r="F8" s="21" t="inlineStr">
        <is>
          <t>primary_done</t>
        </is>
      </c>
      <c r="G8" s="20">
        <f>IFERROR(IF(LEN(TRIM(CLEAN(SUBSTITUTE(Setup!$B$2,CHAR(160)," "))))=0,"CHECK REVIEWER ID",IF(OR(A8="",COUNTIF($A$2:$A$14,A8)&lt;&gt;1,LEFT(A8,LEN("2025::jama.2025.19563::"))&lt;&gt;"2025::jama.2025.19563::"),"CHECK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§9.3 (Supp1 p.37) defines the per-protocol population as program completers per CDC engagement standards (§3.3, p.16); report's restricted analysis uses participants with 12-month data who did not start prohibited medications (main p.4; Figure 4; eTable 15). Disclosed in the SAP change table (Supp1 pp.86-87).</t>
        </is>
      </c>
    </row>
    <row r="9" ht="92" customHeight="1" s="25">
      <c r="A9" s="24" t="inlineStr">
        <is>
          <t>2025::jama.2025.19563::C008</t>
        </is>
      </c>
      <c r="B9" s="24" t="inlineStr">
        <is>
          <t>Recruitment-pool portal percentages and counts</t>
        </is>
      </c>
      <c r="C9" s="24" t="inlineStr">
        <is>
          <t>joi250084supp1_prod_1765403089.61351.pdf — DOC-002 p18, Table 1 and §5.5.1 paragraph; joi250084supp1_prod_1765403089.61351.pdf — DOC-002 p18 Table1 Johns Hopkins: 13,910/21,346 (56%); joi250084supp1_prod_1765403089.61351.pdf — DOC-002 p18 Table1 Reading: 4,892/8,751 (60%); joi250084supp1_prod_1765403089.61351.pdf — DOC-002 p18 §5.5.1 paragraph: 13,910/21,410 (56%)</t>
        </is>
      </c>
      <c r="D9" s="21" t="inlineStr">
        <is>
          <t>exclude</t>
        </is>
      </c>
      <c r="E9" s="21" t="inlineStr">
        <is>
          <t>plan_material</t>
        </is>
      </c>
      <c r="F9" s="21" t="inlineStr">
        <is>
          <t>primary_done</t>
        </is>
      </c>
      <c r="G9" s="24">
        <f>IFERROR(IF(LEN(TRIM(CLEAN(SUBSTITUTE(Setup!$B$2,CHAR(160)," "))))=0,"CHECK REVIEWER ID",IF(OR(A9="",COUNTIF($A$2:$A$14,A9)&lt;&gt;1,LEFT(A9,LEN("2025::jama.2025.19563::"))&lt;&gt;"2025::jama.2025.19563::"),"CHECK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inlineStr">
        <is>
          <t>Protocol §5.5.1/Table 1 (Supp1 p.18; OCR) recruitment-pool figures are inconsistent (21,410 vs 21,346 eligible; 13,910/21,346=65.2% printed 56%; 4,892/8,751=55.9% printed 60%), but these are feasibility estimates of portal access, not a design element the analysis relies on.</t>
        </is>
      </c>
    </row>
    <row r="10" ht="92" customHeight="1" s="25">
      <c r="A10" s="20" t="inlineStr">
        <is>
          <t>2025::jama.2025.19563::C009</t>
        </is>
      </c>
      <c r="B10" s="20" t="inlineStr">
        <is>
          <t>Interpolated PA vector and printed summary inputs</t>
        </is>
      </c>
      <c r="C10" s="20" t="inlineStr">
        <is>
          <t>joi250084supp2_prod_1765403089.61751.pdf — DOC-003 p13 preprocessing/calculation; joi250084supp2_prod_1765403089.61751.pdf — p15 activity summary loop; joi250084supp2_prod_1765403089.61751.pdf — p16 bout loop</t>
        </is>
      </c>
      <c r="D10" s="21" t="inlineStr">
        <is>
          <t>retain</t>
        </is>
      </c>
      <c r="E10" s="21" t="inlineStr">
        <is>
          <t>statistical_results</t>
        </is>
      </c>
      <c r="F10" s="21" t="inlineStr">
        <is>
          <t>primary_done</t>
        </is>
      </c>
      <c r="G10" s="20">
        <f>IFERROR(IF(LEN(TRIM(CLEAN(SUBSTITUTE(Setup!$B$2,CHAR(160)," "))))=0,"CHECK REVIEWER ID",IF(OR(A10="",COUNTIF($A$2:$A$14,A10)&lt;&gt;1,LEFT(A10,LEN("2025::jama.2025.19563::"))&lt;&gt;"2025::jama.2025.19563::"),"CHECK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probable_issue</t>
        </is>
      </c>
      <c r="I10" s="21" t="inlineStr">
        <is>
          <t>indeterminate</t>
        </is>
      </c>
      <c r="J10" s="22" t="inlineStr">
        <is>
          <t>unknown</t>
        </is>
      </c>
      <c r="K10" s="21">
        <f>IF(AND(OR(D10="retain",D10=""),OR(E10="report_internal_inconsistency",E10="plan_material")),"","not_applicable")</f>
        <v/>
      </c>
      <c r="L10" s="22">
        <f>IF(AND(OR(D10="retain",D10=""),E10="protocol_report"),"","not_applicable")</f>
        <v/>
      </c>
      <c r="M10" s="20" t="n"/>
      <c r="N10" s="23" t="n"/>
      <c r="O10" s="23" t="n"/>
      <c r="P10" s="23" t="n"/>
      <c r="Q10" s="23" t="n"/>
      <c r="R10" s="22" t="inlineStr">
        <is>
          <t>Supp2 p.13 says missing data within valid days were interpolated and that the printed R code was used; in both loops (pp.15-16) ac_imp is computed but activity_stats() and BoutsOfPA() receive the raw vector ac, and the three BoutsOfPA calls are identical (no threshold argument), so threshold-specific bout outputs cannot differ.</t>
        </is>
      </c>
    </row>
    <row r="11" ht="92" customHeight="1" s="25">
      <c r="A11" s="24" t="inlineStr">
        <is>
          <t>2025::jama.2025.19563::C010</t>
        </is>
      </c>
      <c r="B11" s="24" t="inlineStr">
        <is>
          <t>PA averaging denominator after zero assignment</t>
        </is>
      </c>
      <c r="C11" s="24" t="inlineStr">
        <is>
          <t>joi250084supp2_prod_1765403089.61751.pdf — DOC-003 p13 Aggregation/compliance; joi250084supp2_prod_1765403089.61751.pdf — p30 eTable18a method; joi250084supp2_prod_1765403089.61751.pdf — p49 eTable8b zero assignment</t>
        </is>
      </c>
      <c r="D11" s="21" t="inlineStr">
        <is>
          <t>exclude</t>
        </is>
      </c>
      <c r="E11" s="21" t="inlineStr">
        <is>
          <t>statistical_results</t>
        </is>
      </c>
      <c r="F11" s="21" t="inlineStr">
        <is>
          <t>primary_done</t>
        </is>
      </c>
      <c r="G11" s="24">
        <f>IFERROR(IF(LEN(TRIM(CLEAN(SUBSTITUTE(Setup!$B$2,CHAR(160)," "))))=0,"CHECK REVIEWER ID",IF(OR(A11="",COUNTIF($A$2:$A$14,A11)&lt;&gt;1,LEFT(A11,LEN("2025::jama.2025.19563::"))&lt;&gt;"2025::jama.2025.19563::"),"CHECK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inlineStr">
        <is>
          <t>Supp2 p.13: weekly MVPA from valid wear periods is summed and divided by the number of available periods (max 11); non-compliant weeks/months get 0 (pp.13, 30, 49). Summing valid periods (zeros add nothing) over all available periods is exactly zero-imputation, so the descriptions are compatible.</t>
        </is>
      </c>
    </row>
    <row r="12" ht="92" customHeight="1" s="25">
      <c r="A12" s="20" t="inlineStr">
        <is>
          <t>2025::jama.2025.19563::C011</t>
        </is>
      </c>
      <c r="B12" s="20" t="inlineStr">
        <is>
          <t>Two AI-version exposure percentages</t>
        </is>
      </c>
      <c r="C12" s="20" t="inlineStr">
        <is>
          <t>joi250084supp2_prod_1765403089.61751.pdf — DOC-003 p37 eTable1b; joi250084supp2_prod_1765403089.61751.pdf — p27 primary cohort; joi250084supp2_prod_1765403089.61751.pdf — p41 randomized AI N=183; joi250084supp2_prod_1765403089.61751.pdf — p34 primary forest denominator; joi250084supp2_prod_1765403089.61751.pdf — DOC-003 p37 eTable1b version 11.100.131, September 2023; joi250084supp2_prod_1765403089.61751.pdf — DOC-003 p37 eTable1b version 122.100.407, December 2024</t>
        </is>
      </c>
      <c r="D12" s="21" t="inlineStr">
        <is>
          <t>retain</t>
        </is>
      </c>
      <c r="E12" s="21" t="inlineStr">
        <is>
          <t>statistical_results</t>
        </is>
      </c>
      <c r="F12" s="21" t="inlineStr">
        <is>
          <t>primary_done</t>
        </is>
      </c>
      <c r="G12" s="20">
        <f>IFERROR(IF(LEN(TRIM(CLEAN(SUBSTITUTE(Setup!$B$2,CHAR(160)," "))))=0,"CHECK REVIEWER ID",IF(OR(A12="",COUNTIF($A$2:$A$14,A12)&lt;&gt;1,LEFT(A12,LEN("2025::jama.2025.19563::"))&lt;&gt;"2025::jama.2025.19563::"),"CHECK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eTable 1b (Supp2 p.37): versions 11.100.131 and 122.100.407 each show 5 (5%) of the 183 AI participants; 5/183=2.7%. The other seven rows reproduce with N=183 (e.g., 58/183=31.7%-&gt;32; 109/183=59.6%-&gt;60).</t>
        </is>
      </c>
    </row>
    <row r="13" ht="92" customHeight="1" s="25">
      <c r="A13" s="24" t="inlineStr">
        <is>
          <t>2025::jama.2025.19563::C012</t>
        </is>
      </c>
      <c r="B13" s="24" t="inlineStr">
        <is>
          <t>Baseline HbA1c-subgroup categorical P-value mapping</t>
        </is>
      </c>
      <c r="C13" s="24" t="inlineStr">
        <is>
          <t>joi250084supp2_prod_1765403089.61751.pdf — DOC-003 p44 eTable6 counts; joi250084supp2_prod_1765403089.61751.pdf — p45 footnote 1 P values; joi250084supp2_prod_1765403089.61751.pdf — p29 eTable6 method index; joi250084supp2_prod_1765403089.61751.pdf — p28 main baseline-method pointer; joi250084supp1_prod_1765403089.61351.pdf — DOC-002 p37 general categorical baseline tests; joi250084supp2_prod_1765403089.61751.pdf — DOC-003 p44 eTable6 site rows, 79/164 and 29/96; joi250084supp2_prod_1765403089.61751.pdf — DOC-003 p45 footnote 1 site P=.024; joi250084supp2_prod_1765403089.61751.pdf — DOC-003 p44 eTable6 all four ethnicity rows; joi250084supp2_prod_1765403089.61751.pdf — DOC-003 p45 footnote 1 ethnicity P=.018</t>
        </is>
      </c>
      <c r="D13" s="21" t="inlineStr">
        <is>
          <t>retain</t>
        </is>
      </c>
      <c r="E13" s="21" t="inlineStr">
        <is>
          <t>statistical_results</t>
        </is>
      </c>
      <c r="F13" s="21" t="inlineStr">
        <is>
          <t>primary_done</t>
        </is>
      </c>
      <c r="G13" s="24">
        <f>IFERROR(IF(LEN(TRIM(CLEAN(SUBSTITUTE(Setup!$B$2,CHAR(160)," "))))=0,"CHECK REVIEWER ID",IF(OR(A13="",COUNTIF($A$2:$A$14,A13)&lt;&gt;1,LEFT(A13,LEN("2025::jama.2025.19563::"))&lt;&gt;"2025::jama.2025.19563::"),"CHECK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probable_issue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6 footnote (Supp2 p.45) gives site P=.024 and ethnicity P=.018; from the printed counts (p.44) site gives P=.063 (chi-square), .082 (Yates), .070 (Fisher); ethnicity .064 (chi-square, 4 categories), .055 (Fisher), .035-.044 (2 categories). Neither printed P reproduces.</t>
        </is>
      </c>
    </row>
    <row r="14" ht="92" customHeight="1" s="25">
      <c r="A14" s="20" t="inlineStr">
        <is>
          <t>2025::jama.2025.19563::C013</t>
        </is>
      </c>
      <c r="B14" s="20" t="inlineStr">
        <is>
          <t>MI-pooled risks and displayed risk-difference mapping</t>
        </is>
      </c>
      <c r="C14" s="20" t="inlineStr">
        <is>
          <t>joi250084supp2_prod_1765403089.61751.pdf — DOC-003 p59 eTable16; joi250084supp2_prod_1765403089.61751.pdf — p30 MI methods; joi250084supp1_prod_1765403089.61351.pdf — DOC-002 p88 MICE method</t>
        </is>
      </c>
      <c r="D14" s="21" t="inlineStr">
        <is>
          <t>retain</t>
        </is>
      </c>
      <c r="E14" s="21" t="inlineStr">
        <is>
          <t>statistical_results</t>
        </is>
      </c>
      <c r="F14" s="21" t="inlineStr">
        <is>
          <t>primary_done</t>
        </is>
      </c>
      <c r="G14" s="20">
        <f>IFERROR(IF(LEN(TRIM(CLEAN(SUBSTITUTE(Setup!$B$2,CHAR(160)," "))))=0,"CHECK REVIEWER ID",IF(OR(A14="",COUNTIF($A$2:$A$14,A14)&lt;&gt;1,LEFT(A14,LEN("2025::jama.2025.19563::"))&lt;&gt;"2025::jama.2025.19563::"),"CHECK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probable_issue</t>
        </is>
      </c>
      <c r="I14" s="21" t="inlineStr">
        <is>
          <t>minor_presentation</t>
        </is>
      </c>
      <c r="J14" s="22" t="inlineStr">
        <is>
          <t>possible</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16 (Supp2 p.59) MI-pooled risks 32.2% (AI) vs 31.9% (human) imply RD +0.3 points, but RD is printed -1.1 (one-sided bound -11.5). With Rubin's rules and the unadjusted RD model, pooled RD equals the difference of pooled risks.</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2025::jama.2025.19843::C001</t>
        </is>
      </c>
      <c r="B2" s="20" t="inlineStr">
        <is>
          <t>Primary adjustment covariate descriptions do not reconcile</t>
        </is>
      </c>
      <c r="C2" s="20" t="inlineStr">
        <is>
          <t>jama_combes_2025_oi_250087_1766516490.94011.pdf — main PDF p.2; jama_combes_2025_oi_250087_1766516490.94011.pdf — main PDF p.3; jama_combes_2025_oi_250087_1766516490.94011.pdf — main PDF p.6; joi250087supp2_prod_1766516490.96511.pdf — SAP PDF p.6, corroboration only</t>
        </is>
      </c>
      <c r="D2" s="21" t="inlineStr">
        <is>
          <t>retain</t>
        </is>
      </c>
      <c r="E2" s="21" t="inlineStr">
        <is>
          <t>statistical_results</t>
        </is>
      </c>
      <c r="F2" s="21" t="inlineStr">
        <is>
          <t>primary_done</t>
        </is>
      </c>
      <c r="G2" s="20">
        <f>IFERROR(IF(LEN(TRIM(CLEAN(SUBSTITUTE(Setup!$B$2,CHAR(160)," "))))=0,"CHECK REVIEWER ID",IF(OR(A2="",COUNTIF($A$2:$A$8,A2)&lt;&gt;1,LEFT(A2,LEN("2025::jama.2025.19843::"))&lt;&gt;"2025::jama.2025.19843::"),"CHECK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Main p.3 says the primary analysis was adjusted on the minimization stratification factors, which p.2 defines as etiology and center; Table 2 footnote c (p.6) says the Fine-Gray model was adjusted for etiology only, as does the SAP §3.5 (Supp2 p.6, OCR). The two report descriptions of the same model differ by center.</t>
        </is>
      </c>
    </row>
    <row r="3" ht="92" customHeight="1" s="25">
      <c r="A3" s="24" t="inlineStr">
        <is>
          <t>2025::jama.2025.19843::C002</t>
        </is>
      </c>
      <c r="B3" s="24" t="inlineStr">
        <is>
          <t>Organ-failure threshold differs between SAP and report</t>
        </is>
      </c>
      <c r="C3" s="24" t="inlineStr">
        <is>
          <t>joi250087supp2_prod_1766516490.96511.pdf — sap PDF p.4; joi250087supp2_prod_1766516490.96511.pdf — sap PDF p.7; jama_combes_2025_oi_250087_1766516490.94011.pdf — main PDF p.3; joi250087supp3_prod_1766516490.97011.pdf — results PDF p.5; joi250087supp3_prod_1766516490.97011.pdf — results PDF p.12</t>
        </is>
      </c>
      <c r="D3" s="21" t="inlineStr">
        <is>
          <t>retain</t>
        </is>
      </c>
      <c r="E3" s="21" t="inlineStr">
        <is>
          <t>protocol_report</t>
        </is>
      </c>
      <c r="F3" s="21" t="inlineStr">
        <is>
          <t>primary_done</t>
        </is>
      </c>
      <c r="G3" s="24">
        <f>IFERROR(IF(LEN(TRIM(CLEAN(SUBSTITUTE(Setup!$B$2,CHAR(160)," "))))=0,"CHECK REVIEWER ID",IF(OR(A3="",COUNTIF($A$2:$A$8,A3)&lt;&gt;1,LEFT(A3,LEN("2025::jama.2025.19843::"))&lt;&gt;"2025::jama.2025.19843::"),"CHECK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§2.2 and §3.6 (Supp2 pp.4, 7; OCR) define organ failure as a SOFA component score &gt;2 (i.e., &gt;=3); the report defines days alive without organ failure as SOFA 0-1 for each component (main p.3), i.e., failure = &gt;=2. Different threshold for the organ failure-free days outcome (eTable 3, Supp3 p.5).</t>
        </is>
      </c>
    </row>
    <row r="4" ht="92" customHeight="1" s="25">
      <c r="A4" s="20" t="inlineStr">
        <is>
          <t>2025::jama.2025.19843::C003</t>
        </is>
      </c>
      <c r="B4" s="20" t="inlineStr">
        <is>
          <t>Planned day-60 free-day results are absent from supplied reports</t>
        </is>
      </c>
      <c r="C4" s="20" t="inlineStr">
        <is>
          <t>Every repeated protocol endpoint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joi250087supp2_prod_1766516490.96511.pdf — sap PDF p.8. REPORT: jama_combes_2025_oi_250087_1766516490.94011.pdf — main PDF p.1; jama_combes_2025_oi_250087_1766516490.94011.pdf — main PDF p.3; jama_combes_2025_oi_250087_1766516490.94011.pdf — main PDF p.6; joi250087supp3_prod_1766516490.97011.pdf — results PDF p.5</t>
        </is>
      </c>
      <c r="D4" s="21" t="inlineStr">
        <is>
          <t>retain</t>
        </is>
      </c>
      <c r="E4" s="21" t="inlineStr">
        <is>
          <t>protocol_report</t>
        </is>
      </c>
      <c r="F4" s="21" t="inlineStr">
        <is>
          <t>primary_done</t>
        </is>
      </c>
      <c r="G4" s="20">
        <f>IFERROR(IF(LEN(TRIM(CLEAN(SUBSTITUTE(Setup!$B$2,CHAR(160)," "))))=0,"CHECK REVIEWER ID",IF(OR(A4="",COUNTIF($A$2:$A$8,A4)&lt;&gt;1,LEFT(A4,LEN("2025::jama.2025.19843::"))&lt;&gt;"2025::jama.2025.19843::"),"CHECK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(Supp1 pp.14-15 and repeats) and SAP §2.2/§3.6 (Supp2 pp.4, 7-8) plan ECMO-free and ventilation-free days at D30 and D60; main p.3 lists both windows as predefined, but only day-30 values are reported (Table 2 p.6; eTable 3 Supp3 p.5). Searched main and Supp3 for D60 free-day outputs: none.</t>
        </is>
      </c>
    </row>
    <row r="5" ht="92" customHeight="1" s="25">
      <c r="A5" s="24" t="inlineStr">
        <is>
          <t>2025::jama.2025.19843::C004</t>
        </is>
      </c>
      <c r="B5" s="24" t="inlineStr">
        <is>
          <t>Planned hierarchical LV-function composite differs from reported LVEF contrast</t>
        </is>
      </c>
      <c r="C5" s="24" t="inlineStr">
        <is>
          <t>Protocol context, every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joi250087supp2_prod_1766516490.96511.pdf — SAP PDF p.8, Left Ventricular Function; jama_combes_2025_oi_250087_1766516490.94011.pdf — main PDF p.3; joi250087supp3_prod_1766516490.97011.pdf — results PDF p.5; joi250087supp3_prod_1766516490.97011.pdf — results PDF p.6</t>
        </is>
      </c>
      <c r="D5" s="21" t="inlineStr">
        <is>
          <t>retain</t>
        </is>
      </c>
      <c r="E5" s="21" t="inlineStr">
        <is>
          <t>protocol_report</t>
        </is>
      </c>
      <c r="F5" s="21" t="inlineStr">
        <is>
          <t>primary_done</t>
        </is>
      </c>
      <c r="G5" s="24">
        <f>IFERROR(IF(LEN(TRIM(CLEAN(SUBSTITUTE(Setup!$B$2,CHAR(160)," "))))=0,"CHECK REVIEWER ID",IF(OR(A5="",COUNTIF($A$2:$A$8,A5)&lt;&gt;1,LEFT(A5,LEN("2025::jama.2025.19843::"))&lt;&gt;"2025::jama.2025.19843::"),"CHECK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§3.6 (Supp2 p.8, OCR) analyzes left ventricular function at day 30 with a Global Net Benefit hierarchical composite (death, heart transplant, LVEF &gt;30%) with bootstrap CI; the report gives only median LVEF among survivors, 45 vs 40%, difference 5 (-0 to 10) (eTable 3, Supp3 p.5). Protocol lists LVEF at day 30 without the composite.</t>
        </is>
      </c>
    </row>
    <row r="6" ht="92" customHeight="1" s="25">
      <c r="A6" s="20" t="inlineStr">
        <is>
          <t>2025::jama.2025.19843::C005</t>
        </is>
      </c>
      <c r="B6" s="20" t="inlineStr">
        <is>
          <t>Dialysis membership differs across MACE definitions</t>
        </is>
      </c>
      <c r="C6" s="20" t="inlineStr">
        <is>
          <t>Every repeated protocol composite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Main: jama_combes_2025_oi_250087_1766516490.94011.pdf — main PDF p.3. Results contents, component rows and figure: joi250087supp3_prod_1766516490.97011.pdf — results PDF p.1; joi250087supp3_prod_1766516490.97011.pdf — results PDF p.5; joi250087supp3_prod_1766516490.97011.pdf — results PDF p.6; joi250087supp3_prod_1766516490.97011.pdf — results PDF p.13</t>
        </is>
      </c>
      <c r="D6" s="21" t="inlineStr">
        <is>
          <t>retain</t>
        </is>
      </c>
      <c r="E6" s="21" t="inlineStr">
        <is>
          <t>protocol_report</t>
        </is>
      </c>
      <c r="F6" s="21" t="inlineStr">
        <is>
          <t>primary_done</t>
        </is>
      </c>
      <c r="G6" s="20">
        <f>IFERROR(IF(LEN(TRIM(CLEAN(SUBSTITUTE(Setup!$B$2,CHAR(160)," "))))=0,"CHECK REVIEWER ID",IF(OR(A6="",COUNTIF($A$2:$A$8,A6)&lt;&gt;1,LEFT(A6,LEN("2025::jama.2025.19843::"))&lt;&gt;"2025::jama.2025.19843::"),"CHECK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§2.2/§3.6 (Supp2 pp.4, 7; OCR) define MACE without dialysis; the protocol (Supp1 pp.8, 14-15, all versions) and the report (main p.3; eTable 3 component rows, Supp3 p.5) include dialysis. The report is itself inconsistent: eFigure 4 title (Supp3 p.1/p.10) defines MACE without dialysis.</t>
        </is>
      </c>
    </row>
    <row r="7" ht="92" customHeight="1" s="25">
      <c r="A7" s="24" t="inlineStr">
        <is>
          <t>2025::jama.2025.19843::C006</t>
        </is>
      </c>
      <c r="B7" s="24" t="inlineStr">
        <is>
          <t>Planned post-arrest subgroup differs from reported predefined other-etiology subgroup</t>
        </is>
      </c>
      <c r="C7" s="24" t="inlineStr">
        <is>
          <t>Every repeated endpoint/subgroup prescription: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joi250087supp1_prod_1766516490.96011.pdf — Protocol PDF p.107, allocation/minimization. Complete SAP boundary: joi250087supp2_prod_1766516490.96511.pdf — sap PDF p.1; joi250087supp2_prod_1766516490.96511.pdf — sap PDF p.2; joi250087supp2_prod_1766516490.96511.pdf — sap PDF p.3; joi250087supp2_prod_1766516490.96511.pdf — sap PDF p.4; joi250087supp2_prod_1766516490.96511.pdf — sap PDF p.5; joi250087supp2_prod_1766516490.96511.pdf — sap PDF p.6; joi250087supp2_prod_1766516490.96511.pdf — sap PDF p.7; joi250087supp2_prod_1766516490.96511.pdf — sap PDF p.8; joi250087supp2_prod_1766516490.96511.pdf — sap PDF p.9. REPORT: jama_combes_2025_oi_250087_1766516490.94011.pdf — main PDF p.4; jama_combes_2025_oi_250087_1766516490.94011.pdf — main PDF p.7; joi250087supp3_prod_1766516490.97011.pdf — results PDF p.9; joi250087supp3_prod_1766516490.97011.pdf — results PDF p.18</t>
        </is>
      </c>
      <c r="D7" s="21" t="inlineStr">
        <is>
          <t>retain</t>
        </is>
      </c>
      <c r="E7" s="21" t="inlineStr">
        <is>
          <t>protocol_report</t>
        </is>
      </c>
      <c r="F7" s="21" t="inlineStr">
        <is>
          <t>primary_done</t>
        </is>
      </c>
      <c r="G7" s="24">
        <f>IFERROR(IF(LEN(TRIM(CLEAN(SUBSTITUTE(Setup!$B$2,CHAR(160)," "))))=0,"CHECK REVIEWER ID",IF(OR(A7="",COUNTIF($A$2:$A$8,A7)&lt;&gt;1,LEFT(A7,LEN("2025::jama.2025.19843::"))&lt;&gt;"2025::jama.2025.19843::"),"CHECK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(Supp1 pp.8, 14-15, repeated in all versions) predefines subgroups AMI, myocarditis, post-cardiac surgery and post-cardiac arrest, for primary and secondary end points; the report's predefined subgroups (main p.4, Figure 3 p.7) are the minimization strata AMI, myocarditis, postcardiotomy and 'other' (cardiac arrest pooled with other causes), for the primary outcome only.</t>
        </is>
      </c>
    </row>
    <row r="8" ht="92" customHeight="1" s="25">
      <c r="A8" s="20" t="inlineStr">
        <is>
          <t>2025::jama.2025.19843::C007</t>
        </is>
      </c>
      <c r="B8" s="20" t="inlineStr">
        <is>
          <t>Planned adjusted key-secondary analyses lack supplied outputs</t>
        </is>
      </c>
      <c r="C8" s="20" t="inlineStr">
        <is>
          <t>Every protocol adjusted-analysis occurrence: joi250087supp1_prod_1766516490.96011.pdf — protocol PDF p.35; joi250087supp1_prod_1766516490.96011.pdf — protocol PDF p.37; joi250087supp1_prod_1766516490.96011.pdf — protocol PDF p.81; joi250087supp1_prod_1766516490.96011.pdf — protocol PDF p.82; joi250087supp1_prod_1766516490.96011.pdf — protocol PDF p.83; joi250087supp1_prod_1766516490.96011.pdf — protocol PDF p.84; joi250087supp1_prod_1766516490.96011.pdf — protocol PDF p.127; joi250087supp1_prod_1766516490.96011.pdf — protocol PDF p.128; joi250087supp1_prod_1766516490.96011.pdf — protocol PDF p.129; joi250087supp1_prod_1766516490.96011.pdf — protocol PDF p.130. SAP model prescriptions: joi250087supp2_prod_1766516490.96511.pdf — sap PDF p.7; joi250087supp2_prod_1766516490.96511.pdf — sap PDF p.8; joi250087supp2_prod_1766516490.96511.pdf — sap PDF p.9. Main abstract/methods/tables: jama_combes_2025_oi_250087_1766516490.94011.pdf — main PDF p.1; jama_combes_2025_oi_250087_1766516490.94011.pdf — main PDF p.4; jama_combes_2025_oi_250087_1766516490.94011.pdf — main PDF p.6; jama_combes_2025_oi_250087_1766516490.94011.pdf — main PDF p.7. Results and retained contextual displays: joi250087supp3_prod_1766516490.97011.pdf — results PDF p.5; joi250087supp3_prod_1766516490.97011.pdf — results PDF p.6; joi250087supp3_prod_1766516490.97011.pdf — results PDF p.11; joi250087supp3_prod_1766516490.97011.pdf — results PDF p.13; joi250087supp3_prod_1766516490.97011.pdf — results PDF p.16; joi250087supp3_prod_1766516490.97011.pdf — results PDF p.17</t>
        </is>
      </c>
      <c r="D8" s="21" t="inlineStr">
        <is>
          <t>retain</t>
        </is>
      </c>
      <c r="E8" s="21" t="inlineStr">
        <is>
          <t>protocol_report</t>
        </is>
      </c>
      <c r="F8" s="21" t="inlineStr">
        <is>
          <t>primary_done</t>
        </is>
      </c>
      <c r="G8" s="20">
        <f>IFERROR(IF(LEN(TRIM(CLEAN(SUBSTITUTE(Setup!$B$2,CHAR(160)," "))))=0,"CHECK REVIEWER ID",IF(OR(A8="",COUNTIF($A$2:$A$8,A8)&lt;&gt;1,LEFT(A8,LEN("2025::jama.2025.19843::"))&lt;&gt;"2025::jama.2025.19843::"),"CHECK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§3.6 (Supp2 pp.7-9, OCR) and protocol statistical sections plan etiology-adjusted Cox, general linear and Poisson models (with log-rank/Wilcoxon tests) for mortality, ECMO/ventilation/organ failure-free days, ICU/hospital stay and SAE counts; the report gives unadjusted differences with bootstrap CIs and crude RRs (Table 2 footnotes b-c), and no adjusted secondary output.</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0"/>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2025::jama.2025.20765::C001</t>
        </is>
      </c>
      <c r="B2" s="20" t="inlineStr">
        <is>
          <t>Protocol SMS totals and frequency schedules do not reconcile</t>
        </is>
      </c>
      <c r="C2" s="20" t="inlineStr">
        <is>
          <t>jama_zahid_2025_oi_250093_1768590553.08463.pdf — DOC-001 — PDF p. 1, abstract intervention; REPORT; jama_zahid_2025_oi_250093_1768590553.08463.pdf — DOC-001 — PDF p. 3, Trial Intervention; REPORT; joi250093supp1_prod_1768590553.08963.pdf — DOC-002 — PDF p. 16, lines386–390, earlier-component dose paragraph; PLAN; joi250093supp1_prod_1768590553.08963.pdf — DOC-002 — PDF p. 53, lines1526–1530, later-component dose paragraph; PLAN; joi250093supp1_prod_1768590553.08963.pdf — DOC-002 — PDF p. 77, change note; PLAN; joi250093supp1_prod_1768590553.08963.pdf — DOC-002 — PDF p. 80, lines2532–2536, SAP dose; PLAN</t>
        </is>
      </c>
      <c r="D2" s="21" t="inlineStr">
        <is>
          <t>retain</t>
        </is>
      </c>
      <c r="E2" s="21" t="inlineStr">
        <is>
          <t>protocol_report</t>
        </is>
      </c>
      <c r="F2" s="21" t="inlineStr">
        <is>
          <t>primary_done</t>
        </is>
      </c>
      <c r="G2" s="20">
        <f>IFERROR(IF(LEN(TRIM(CLEAN(SUBSTITUTE(Setup!$B$2,CHAR(160)," "))))=0,"CHECK REVIEWER ID",IF(OR(A2="",COUNTIF($A$2:$A$20,A2)&lt;&gt;1,LEFT(A2,LEN("2025::jama.2025.20765::"))&lt;&gt;"2025::jama.2025.20765::"),"CHECK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Report (main pp.1, 3): 134 messages = 100 in month 1 (3-4/day), 30 in month 2 (1/day), then 1/month for 4 months. Protocol v6.0 (Supp1 p.53, OCR) states 134 messages but a schedule of 4-5/day for 2 months, 1-2/day for 2 months and 1/week for 2 months (implying well over 300); v4.0 (p.16) states 178 with a similar schedule. The SAP (p.80) matches the report.</t>
        </is>
      </c>
    </row>
    <row r="3" ht="92" customHeight="1" s="25">
      <c r="A3" s="24" t="inlineStr">
        <is>
          <t>2025::jama.2025.20765::C002</t>
        </is>
      </c>
      <c r="B3" s="24" t="inlineStr">
        <is>
          <t>Operational eligibility criteria differ from the plan list</t>
        </is>
      </c>
      <c r="C3" s="24" t="inlineStr">
        <is>
          <t>jama_zahid_2025_oi_250093_1768590553.08463.pdf — DOC-001 — PDF p. 2, eligibility paragraph; REPORT; jama_zahid_2025_oi_250093_1768590553.08463.pdf — DOC-001 — PDF p. 4, Figure1 exclusions; REPORT; joi250093supp1_prod_1768590553.08963.pdf — DOC-002 — PDF p. 11, lines235–255 complete participant lists; PLAN; joi250093supp1_prod_1768590553.08963.pdf — DOC-002 — PDF p. 49, lines1375–1395 complete participant lists; PLAN; joi250093supp2_prod_1768590553.09463.pdf — DOC-003 — PDF p. 3, eTable1 smoking and SMS-reader reasons; REPORT</t>
        </is>
      </c>
      <c r="D3" s="21" t="inlineStr">
        <is>
          <t>retain</t>
        </is>
      </c>
      <c r="E3" s="21" t="inlineStr">
        <is>
          <t>protocol_report</t>
        </is>
      </c>
      <c r="F3" s="21" t="inlineStr">
        <is>
          <t>primary_done</t>
        </is>
      </c>
      <c r="G3" s="24">
        <f>IFERROR(IF(LEN(TRIM(CLEAN(SUBSTITUTE(Setup!$B$2,CHAR(160)," "))))=0,"CHECK REVIEWER ID",IF(OR(A3="",COUNTIF($A$2:$A$20,A3)&lt;&gt;1,LEFT(A3,LEN("2025::jama.2025.20765::"))&lt;&gt;"2025::jama.2025.20765::"),"CHECK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v6.0 §21.3-21.4 (Supp1 p.49, rendered) includes people who smoke daily OR stopped/reduced since TB diagnosis, excludes retreatment TB and current tobacco pharmacotherapy; report (main p.2) requires daily smoking (&gt;=1 puff on &gt;=25 days last month), omits retreatment, and Figure 1 (p.4) excludes 236 who 'cannot read and no one in home can read SMS', a criterion not in the plan list.</t>
        </is>
      </c>
    </row>
    <row r="4" ht="92" customHeight="1" s="25">
      <c r="A4" s="20" t="inlineStr">
        <is>
          <t>2025::jama.2025.20765::C003</t>
        </is>
      </c>
      <c r="B4" s="20" t="inlineStr">
        <is>
          <t>Prospective quit-date and reminder calendar differ from the report</t>
        </is>
      </c>
      <c r="C4" s="20" t="inlineStr">
        <is>
          <t>jama_zahid_2025_oi_250093_1768590553.08463.pdf — DOC-001 — PDF p. 3, Trial Outcomes and Trial Intervention; REPORT; joi250093supp1_prod_1768590553.08963.pdf — DOC-002 — PDF p. 101, enrollment Q(−8)/Tx(+1), message6 and footnotes; PLAN; joi250093supp1_prod_1768590553.08963.pdf — DOC-002 — PDF p. 103, Q(−1)/Tx(+8) and quit transition; PLAN; joi250093supp1_prod_1768590553.08963.pdf — DOC-002 — PDF p. 104, quit-date ordinal label and messages39–44; PLAN; joi250093supp1_prod_1768590553.08963.pdf — DOC-002 — PDF p. 109, messages129–134 and follow-up phase; PLAN</t>
        </is>
      </c>
      <c r="D4" s="21" t="inlineStr">
        <is>
          <t>retain</t>
        </is>
      </c>
      <c r="E4" s="21" t="inlineStr">
        <is>
          <t>protocol_report</t>
        </is>
      </c>
      <c r="F4" s="21" t="inlineStr">
        <is>
          <t>primary_done</t>
        </is>
      </c>
      <c r="G4" s="20">
        <f>IFERROR(IF(LEN(TRIM(CLEAN(SUBSTITUTE(Setup!$B$2,CHAR(160)," "))))=0,"CHECK REVIEWER ID",IF(OR(A4="",COUNTIF($A$2:$A$20,A4)&lt;&gt;1,LEFT(A4,LEN("2025::jama.2025.20765::"))&lt;&gt;"2025::jama.2025.20765::"),"CHECK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Report (main p.3): quit date set 5 days after enrollment, and continuous abstinence is counted from it. The supplied SMS schedule (Supp1 pp.101-103, OCR) sets the quit date 7 days after day 2 (Q(-8) at Tx(+1), i.e., about day 9) and promises 'up to 5' messages/day. The 5-day quit date appears in the protocol only for the Phase 4 face-to-face arm.</t>
        </is>
      </c>
    </row>
    <row r="5" ht="92" customHeight="1" s="25">
      <c r="A5" s="24" t="inlineStr">
        <is>
          <t>2025::jama.2025.20765::C004</t>
        </is>
      </c>
      <c r="B5" s="24" t="inlineStr">
        <is>
          <t>Primary cotinine verification lacks a planned-to-reported criterion crosswalk</t>
        </is>
      </c>
      <c r="C5" s="24" t="inlineStr">
        <is>
          <t>jama_zahid_2025_oi_250093_1768590553.08463.pdf — DOC-001 — PDF p. 3, Trial Outcomes cotinine verification; REPORT; joi250093supp1_prod_1768590553.08963.pdf — DOC-002 — PDF p. 8, lines158–161 primary endpoint; PLAN; joi250093supp1_prod_1768590553.08963.pdf — DOC-002 — PDF p. 47, lines1298–1301 primary endpoint; PLAN; joi250093supp1_prod_1768590553.08963.pdf — DOC-002 — PDF p. 84, lines2661–2665 SAP primary endpoint; PLAN</t>
        </is>
      </c>
      <c r="D5" s="21" t="inlineStr">
        <is>
          <t>retain</t>
        </is>
      </c>
      <c r="E5" s="21" t="inlineStr">
        <is>
          <t>protocol_report</t>
        </is>
      </c>
      <c r="F5" s="21" t="inlineStr">
        <is>
          <t>primary_done</t>
        </is>
      </c>
      <c r="G5" s="24">
        <f>IFERROR(IF(LEN(TRIM(CLEAN(SUBSTITUTE(Setup!$B$2,CHAR(160)," "))))=0,"CHECK REVIEWER ID",IF(OR(A5="",COUNTIF($A$2:$A$20,A5)&lt;&gt;1,LEFT(A5,LEN("2025::jama.2025.20765::"))&lt;&gt;"2025::jama.2025.20765::"),"CHECK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indeterminate</t>
        </is>
      </c>
      <c r="M5" s="24" t="n"/>
      <c r="N5" s="23" t="n"/>
      <c r="O5" s="23" t="n"/>
      <c r="P5" s="23" t="n"/>
      <c r="Q5" s="23" t="n"/>
      <c r="R5" s="22" t="inlineStr">
        <is>
          <t>Plan (protocol pp.8, 47; SAP p.84; OCR): cotinine by Accutest NicAlert strips, level &lt;3 (100-200 ng/mL) = abstinent. Report (main p.3): a rapid test cassette (AllTest) with 'a negative result' = abstinent; no cutoff given. Device differs and the equivalence of thresholds cannot be checked.</t>
        </is>
      </c>
    </row>
    <row r="6" ht="92" customHeight="1" s="25">
      <c r="A6" s="20" t="inlineStr">
        <is>
          <t>2025::jama.2025.20765::C005</t>
        </is>
      </c>
      <c r="B6" s="20" t="inlineStr">
        <is>
          <t>Primary model changes from protocol Poisson/log link to SAP/report logistic</t>
        </is>
      </c>
      <c r="C6" s="20" t="inlineStr">
        <is>
          <t>jama_zahid_2025_oi_250093_1768590553.08463.pdf — DOC-001 — PDF p. 3, Statistical Analysis; REPORT; joi250093supp1_prod_1768590553.08963.pdf — DOC-002 — PDF p. 28, lines759–764 statistical-analysis paragraph; PLAN; joi250093supp1_prod_1768590553.08963.pdf — DOC-002 — PDF p. 66, lines2011–2016 statistical-analysis paragraph; PLAN; joi250093supp1_prod_1768590553.08963.pdf — DOC-002 — PDF p. 77, change note; PLAN; joi250093supp1_prod_1768590553.08963.pdf — DOC-002 — PDF p. 91, lines2884–2889 primary model; PLAN; joi250093supp1_prod_1768590553.08963.pdf — DOC-002 — PDF p. 92, lines2919–2926 adjusted model; PLAN</t>
        </is>
      </c>
      <c r="D6" s="21" t="inlineStr">
        <is>
          <t>retain</t>
        </is>
      </c>
      <c r="E6" s="21" t="inlineStr">
        <is>
          <t>protocol_report</t>
        </is>
      </c>
      <c r="F6" s="21" t="inlineStr">
        <is>
          <t>primary_done</t>
        </is>
      </c>
      <c r="G6" s="20">
        <f>IFERROR(IF(LEN(TRIM(CLEAN(SUBSTITUTE(Setup!$B$2,CHAR(160)," "))))=0,"CHECK REVIEWER ID",IF(OR(A6="",COUNTIF($A$2:$A$20,A6)&lt;&gt;1,LEFT(A6,LEN("2025::jama.2025.20765::"))&lt;&gt;"2025::jama.2025.20765::"),"CHECK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v6.0 §28.2.2 (Supp1 p.66; v4.0 p.28; OCR) plans GLMMs with log link and Poisson distribution to estimate RRs; the report (main p.3) uses mixed-effects logistic regression, as does the SAP (p.91-92). Report follows the SAP, not the protocol.</t>
        </is>
      </c>
    </row>
    <row r="7" ht="92" customHeight="1" s="25">
      <c r="A7" s="24" t="inlineStr">
        <is>
          <t>2025::jama.2025.20765::C006</t>
        </is>
      </c>
      <c r="B7" s="24" t="inlineStr">
        <is>
          <t>Risk-ratio derivation from stated logistic analysis is unclear</t>
        </is>
      </c>
      <c r="C7" s="24" t="inlineStr">
        <is>
          <t>jama_zahid_2025_oi_250093_1768590553.08463.pdf — DOC-001 — PDF p. 3, Statistical Analysis categorical model; REPORT; jama_zahid_2025_oi_250093_1768590553.08463.pdf — DOC-001 — PDF p. 6, Table2 RR columns and notea; REPORT; joi250093supp2_prod_1768590553.09463.pdf — DOC-003 — PDF p. 11, eTable7 relative-risk row; REPORT; joi250093supp2_prod_1768590553.09463.pdf — DOC-003 — PDF p. 13, eTable9 RR columns; REPORT; joi250093supp2_prod_1768590553.09463.pdf — DOC-003 — PDF p. 14, eTable9 notee; REPORT</t>
        </is>
      </c>
      <c r="D7" s="21" t="inlineStr">
        <is>
          <t>retain</t>
        </is>
      </c>
      <c r="E7" s="21" t="inlineStr">
        <is>
          <t>statistical_results</t>
        </is>
      </c>
      <c r="F7" s="21" t="inlineStr">
        <is>
          <t>primary_done</t>
        </is>
      </c>
      <c r="G7" s="24">
        <f>IFERROR(IF(LEN(TRIM(CLEAN(SUBSTITUTE(Setup!$B$2,CHAR(160)," "))))=0,"CHECK REVIEWER ID",IF(OR(A7="",COUNTIF($A$2:$A$20,A7)&lt;&gt;1,LEFT(A7,LEN("2025::jama.2025.20765::"))&lt;&gt;"2025::jama.2025.20765::"),"CHECK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t="inlineStr">
        <is>
          <t>direct</t>
        </is>
      </c>
      <c r="K7" s="21">
        <f>IF(AND(OR(D7="retain",D7=""),OR(E7="report_internal_inconsistency",E7="plan_material")),"","not_applicable")</f>
        <v/>
      </c>
      <c r="L7" s="22">
        <f>IF(AND(OR(D7="retain",D7=""),E7="protocol_report"),"","not_applicable")</f>
        <v/>
      </c>
      <c r="M7" s="24" t="n"/>
      <c r="N7" s="23" t="n"/>
      <c r="O7" s="23" t="n"/>
      <c r="P7" s="23" t="n"/>
      <c r="Q7" s="23" t="n"/>
      <c r="R7" s="22" t="inlineStr">
        <is>
          <t>Methods (main p.3) describe mixed-effects logistic models but Table 2 reports RRs with no conversion stated. The headline 'crude' RR 3.0 (2.0-4.9) differs from the crude ratio 300/720 vs 55/360 = 2.73 and from eTable 8 'All' unadjusted RR 2.890 (1.983-4.709) for the same ITT outcome.</t>
        </is>
      </c>
    </row>
    <row r="8" ht="92" customHeight="1" s="25">
      <c r="A8" s="20" t="inlineStr">
        <is>
          <t>2025::jama.2025.20765::C007</t>
        </is>
      </c>
      <c r="B8" s="20" t="inlineStr">
        <is>
          <t>Planned tobacco-use-form adjustment has no reported primary counterpart</t>
        </is>
      </c>
      <c r="C8" s="20" t="inlineStr">
        <is>
          <t>jama_zahid_2025_oi_250093_1768590553.08463.pdf — DOC-001 — PDF p. 3, finite post hoc fixed-effect list; REPORT; jama_zahid_2025_oi_250093_1768590553.08463.pdf — DOC-001 — PDF p. 4, Primary Outcome adjusted analysis; REPORT; jama_zahid_2025_oi_250093_1768590553.08463.pdf — DOC-001 — PDF p. 6, Table2 notea; REPORT; joi250093supp1_prod_1768590553.08963.pdf — DOC-002 — PDF p. 92, lines2919–2926 fully adjusted models; PLAN; joi250093supp2_prod_1768590553.09463.pdf — DOC-003 — PDF p. 14, eTable9 notee; REPORT</t>
        </is>
      </c>
      <c r="D8" s="21" t="inlineStr">
        <is>
          <t>retain</t>
        </is>
      </c>
      <c r="E8" s="21" t="inlineStr">
        <is>
          <t>protocol_report</t>
        </is>
      </c>
      <c r="F8" s="21" t="inlineStr">
        <is>
          <t>primary_done</t>
        </is>
      </c>
      <c r="G8" s="20">
        <f>IFERROR(IF(LEN(TRIM(CLEAN(SUBSTITUTE(Setup!$B$2,CHAR(160)," "))))=0,"CHECK REVIEWER ID",IF(OR(A8="",COUNTIF($A$2:$A$20,A8)&lt;&gt;1,LEFT(A8,LEN("2025::jama.2025.20765::"))&lt;&gt;"2025::jama.2025.20765::"),"CHECK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§'Adjusted analyses' (Supp1 p.92, OCR) plans a fully adjusted model including tobacco use form with education, smoking duration and other baseline characteristics; the report's adjusted RR 3.2 (2.2-5.2) uses covariates 'selected post hoc' (age, sex, education, occupation, smoking duration), without tobacco form (main pp.3-4, Table 2 note a). Disclosed as post hoc.</t>
        </is>
      </c>
    </row>
    <row r="9" ht="92" customHeight="1" s="25">
      <c r="A9" s="24" t="inlineStr">
        <is>
          <t>2025::jama.2025.20765::C008</t>
        </is>
      </c>
      <c r="B9" s="24" t="inlineStr">
        <is>
          <t>CO&lt;6 sensitivity results appear under a primary-outcome status label</t>
        </is>
      </c>
      <c r="C9" s="24" t="inlineStr">
        <is>
          <t>jama_zahid_2025_oi_250093_1768590553.08463.pdf — DOC-001 — PDF p. 3, primaryCO&lt;10 and posthocCO&lt;6 sensitivity; REPORT; jama_zahid_2025_oi_250093_1768590553.08463.pdf — DOC-001 — PDF p. 6, Table2 Primary outcome block, both CO&lt;6 ITT and PP rows; REPORT; joi250093supp1_prod_1768590553.08963.pdf — DOC-002 — PDF p. 84, lines2653–2669 primary endpoint; PLAN; joi250093supp2_prod_1768590553.09463.pdf — DOC-003 — PDF p. 13, eTable9 Primary outcomes CO&lt;6row; REPORT</t>
        </is>
      </c>
      <c r="D9" s="21" t="inlineStr">
        <is>
          <t>retain</t>
        </is>
      </c>
      <c r="E9" s="21" t="inlineStr">
        <is>
          <t>protocol_report</t>
        </is>
      </c>
      <c r="F9" s="21" t="inlineStr">
        <is>
          <t>primary_done</t>
        </is>
      </c>
      <c r="G9" s="24">
        <f>IFERROR(IF(LEN(TRIM(CLEAN(SUBSTITUTE(Setup!$B$2,CHAR(160)," "))))=0,"CHECK REVIEWER ID",IF(OR(A9="",COUNTIF($A$2:$A$20,A9)&lt;&gt;1,LEFT(A9,LEN("2025::jama.2025.20765::"))&lt;&gt;"2025::jama.2025.20765::"),"CHECK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minor_presentation</t>
        </is>
      </c>
      <c r="M9" s="24" t="n"/>
      <c r="N9" s="23" t="n"/>
      <c r="O9" s="23" t="n"/>
      <c r="P9" s="23" t="n"/>
      <c r="Q9" s="23" t="n"/>
      <c r="R9" s="22" t="inlineStr">
        <is>
          <t>Planned primary outcome uses CO &lt;10 ppm (SAP p.84); the CO &lt;6 ppm analysis is described as post hoc sensitivity (main p.3) but its ITT and PP rows sit under the 'Primary outcome' heading of Table 2 (p.6). Labeling issue; the text makes the status clear.</t>
        </is>
      </c>
    </row>
    <row r="10" ht="92" customHeight="1" s="25">
      <c r="A10" s="20" t="inlineStr">
        <is>
          <t>2025::jama.2025.20765::C009</t>
        </is>
      </c>
      <c r="B10" s="20" t="inlineStr">
        <is>
          <t>Primary missing-outcome handling differs between protocol and SAP/report</t>
        </is>
      </c>
      <c r="C10" s="20" t="inlineStr">
        <is>
          <t>jama_zahid_2025_oi_250093_1768590553.08463.pdf — DOC-001 — PDF p. 3, missing-primary-outcome paragraph; REPORT; jama_zahid_2025_oi_250093_1768590553.08463.pdf — DOC-001 — PDF p. 4, Figure1 attrition and analysis totals; REPORT; joi250093supp1_prod_1768590553.08963.pdf — DOC-002 — PDF p. 28, lines759–764 separately headed Statistical analysis; PLAN; joi250093supp1_prod_1768590553.08963.pdf — DOC-002 — PDF p. 66, lines2012–2016 separately headed Statistical analysis; PLAN; joi250093supp1_prod_1768590553.08963.pdf — DOC-002 — PDF p. 91, lines2890–2892 ITT and Russell Standard; PLAN</t>
        </is>
      </c>
      <c r="D10" s="21" t="inlineStr">
        <is>
          <t>retain</t>
        </is>
      </c>
      <c r="E10" s="21" t="inlineStr">
        <is>
          <t>protocol_report</t>
        </is>
      </c>
      <c r="F10" s="21" t="inlineStr">
        <is>
          <t>primary_done</t>
        </is>
      </c>
      <c r="G10" s="20">
        <f>IFERROR(IF(LEN(TRIM(CLEAN(SUBSTITUTE(Setup!$B$2,CHAR(160)," "))))=0,"CHECK REVIEWER ID",IF(OR(A10="",COUNTIF($A$2:$A$20,A10)&lt;&gt;1,LEFT(A10,LEN("2025::jama.2025.20765::"))&lt;&gt;"2025::jama.2025.20765::"),"CHECK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Protocol v6.0/v4.0 §28.2.2/§11.2.2 (Supp1 pp.66, 28; OCR) plan primary analysis 'in a missing-at-random architecture'; the SAP (p.91) and report (main p.3) treat missing primary outcomes as not abstinent (Russell Standard), with complete-case analysis as sensitivity.</t>
        </is>
      </c>
    </row>
    <row r="11" ht="92" customHeight="1" s="25">
      <c r="A11" s="24" t="inlineStr">
        <is>
          <t>2025::jama.2025.20765::C010</t>
        </is>
      </c>
      <c r="B11" s="24" t="inlineStr">
        <is>
          <t>Prespecified gender-specific primary analyses are not reported</t>
        </is>
      </c>
      <c r="C11" s="24" t="inlineStr">
        <is>
          <t>jama_zahid_2025_oi_250093_1768590553.08463.pdf — DOC-001 — PDF p. 3, prespecified subgroup list; REPORT; jama_zahid_2025_oi_250093_1768590553.08463.pdf — DOC-001 — PDF p. 5, subgroup consistency narrative; REPORT; joi250093supp1_prod_1768590553.08963.pdf — DOC-002 — PDF p. 92, lines2936–2939 subgroup analysis introduction; PLAN; joi250093supp1_prod_1768590553.08963.pdf — DOC-002 — PDF p. 93, lines2940–2952, gender and interval disclosure; PLAN; joi250093supp1_prod_1768590553.08963.pdf — DOC-002 — PDF p. 99, Gender Male/Female table shell; PLAN; joi250093supp2_prod_1768590553.09463.pdf — DOC-003 — PDF p. 12, complete eTable8; REPORT</t>
        </is>
      </c>
      <c r="D11" s="21" t="inlineStr">
        <is>
          <t>retain</t>
        </is>
      </c>
      <c r="E11" s="21" t="inlineStr">
        <is>
          <t>protocol_report</t>
        </is>
      </c>
      <c r="F11" s="21" t="inlineStr">
        <is>
          <t>primary_done</t>
        </is>
      </c>
      <c r="G11" s="24">
        <f>IFERROR(IF(LEN(TRIM(CLEAN(SUBSTITUTE(Setup!$B$2,CHAR(160)," "))))=0,"CHECK REVIEWER ID",IF(OR(A11="",COUNTIF($A$2:$A$20,A11)&lt;&gt;1,LEFT(A11,LEN("2025::jama.2025.20765::"))&lt;&gt;"2025::jama.2025.20765::"),"CHECK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SAP subgroup analyses (Supp1 pp.92-93, OCR) include gender (male vs female); the report's prespecified subgroup list (main p.3) and eTable 8 (Supp2 p.12) omit sex and add an ability-to-read-SMS subgroup. No reason given (only 37 women enrolled).</t>
        </is>
      </c>
    </row>
    <row r="12" ht="92" customHeight="1" s="25">
      <c r="A12" s="20" t="inlineStr">
        <is>
          <t>2025::jama.2025.20765::C011</t>
        </is>
      </c>
      <c r="B12" s="20" t="inlineStr">
        <is>
          <t>Current primary-data attrition assumptions differ</t>
        </is>
      </c>
      <c r="C12" s="20" t="inlineStr">
        <is>
          <t>jama_zahid_2025_oi_250093_1768590553.08463.pdf — DOC-001 — PDF p. 3, sample-size20%attrition; REPORT; joi250093supp1_prod_1768590553.08963.pdf — DOC-002 — PDF p. 48, lines1344–1347 primary-data10%; PLAN; joi250093supp1_prod_1768590553.08963.pdf — DOC-002 — PDF p. 62, lines1861–1863 primary-data10%; PLAN; joi250093supp1_prod_1768590553.08963.pdf — DOC-002 — PDF p. 63, lines1894–1898 Phase3 20%calculation; PLAN; joi250093supp1_prod_1768590553.08963.pdf — DOC-002 — PDF p. 64, lines1936–1938 Phase4 contextual20%calculation; PLAN; joi250093supp1_prod_1768590553.08963.pdf — DOC-002 — PDF p. 77, sample-sizeamendment; PLAN; joi250093supp1_prod_1768590553.08963.pdf — DOC-002 — PDF p. 83, lines2624–2638 SAP20%; PLAN</t>
        </is>
      </c>
      <c r="D12" s="21" t="inlineStr">
        <is>
          <t>retain</t>
        </is>
      </c>
      <c r="E12" s="21" t="inlineStr">
        <is>
          <t>plan_material</t>
        </is>
      </c>
      <c r="F12" s="21" t="inlineStr">
        <is>
          <t>primary_done</t>
        </is>
      </c>
      <c r="G12" s="20">
        <f>IFERROR(IF(LEN(TRIM(CLEAN(SUBSTITUTE(Setup!$B$2,CHAR(160)," "))))=0,"CHECK REVIEWER ID",IF(OR(A12="",COUNTIF($A$2:$A$20,A12)&lt;&gt;1,LEFT(A12,LEN("2025::jama.2025.20765::"))&lt;&gt;"2025::jama.2025.20765::"),"CHECK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t="inlineStr">
        <is>
          <t>Changed from protocol_report. Within protocol v6.0, the sample-size overview (Supp1 pp.48, 62; OCR) assumes 10% without primary outcome data while the Phase 3 calculation (p.63) uses 20% attrition (587 x 1.2 = 704); the report's 20% (main p.3) matches the plan's actual calculation, so the conflict lies within the plan.</t>
        </is>
      </c>
    </row>
    <row r="13" ht="92" customHeight="1" s="25">
      <c r="A13" s="24" t="inlineStr">
        <is>
          <t>2025::jama.2025.20765::C012</t>
        </is>
      </c>
      <c r="B13" s="24" t="inlineStr">
        <is>
          <t>All-cause mortality percentage is attributed to TB-specific mortality</t>
        </is>
      </c>
      <c r="C13" s="24" t="inlineStr">
        <is>
          <t>jama_zahid_2025_oi_250093_1768590553.08463.pdf — DOC-001 — PDF p. 1, 1080randomized,corroboratingdenominator; REPORT; jama_zahid_2025_oi_250093_1768590553.08463.pdf — DOC-001 — PDF p. 4, Figure1 death25/27 and1080enrolled; REPORT; jama_zahid_2025_oi_250093_1768590553.08463.pdf — DOC-001 — PDF p. 5, TBcause32/52; REPORT; jama_zahid_2025_oi_250093_1768590553.08463.pdf — DOC-001 — PDF p. 6, Table2 deaths25/720and27/360; REPORT; jama_zahid_2025_oi_250093_1768590553.08463.pdf — DOC-001 — PDF p. 8, discussion4.8%diedofTB; REPORT; joi250093supp2_prod_1768590553.09463.pdf — DOC-003 — PDF p. 6, eTable4 total52 andTB32; REPORT</t>
        </is>
      </c>
      <c r="D13" s="21" t="inlineStr">
        <is>
          <t>retain</t>
        </is>
      </c>
      <c r="E13" s="21" t="inlineStr">
        <is>
          <t>report_internal_inconsistency</t>
        </is>
      </c>
      <c r="F13" s="21" t="inlineStr">
        <is>
          <t>primary_done</t>
        </is>
      </c>
      <c r="G13" s="24">
        <f>IFERROR(IF(LEN(TRIM(CLEAN(SUBSTITUTE(Setup!$B$2,CHAR(160)," "))))=0,"CHECK REVIEWER ID",IF(OR(A13="",COUNTIF($A$2:$A$20,A13)&lt;&gt;1,LEFT(A13,LEN("2025::jama.2025.20765::"))&lt;&gt;"2025::jama.2025.20765::"),"CHECK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t="inlineStr">
        <is>
          <t>substantive_inconsistency</t>
        </is>
      </c>
      <c r="L13" s="22">
        <f>IF(AND(OR(D13="retain",D13=""),E13="protocol_report"),"","not_applicable")</f>
        <v/>
      </c>
      <c r="M13" s="24" t="n"/>
      <c r="N13" s="23" t="n"/>
      <c r="O13" s="23" t="n"/>
      <c r="P13" s="23" t="n"/>
      <c r="Q13" s="23" t="n"/>
      <c r="R13" s="22" t="inlineStr">
        <is>
          <t>Discussion (main p.8) says 4.8% of participants 'died of TB' within 6 months; 4.8% is all-cause mortality (52/1080; Figure 1, Table 2). TB-attributed deaths were 32 (p.5; eTable 4), i.e., 32/1080 = 3.0%.</t>
        </is>
      </c>
    </row>
    <row r="14" ht="92" customHeight="1" s="25">
      <c r="A14" s="20" t="inlineStr">
        <is>
          <t>2025::jama.2025.20765::C013</t>
        </is>
      </c>
      <c r="B14" s="20" t="inlineStr">
        <is>
          <t>Adverse-event narrative reverses two any-symptom arm directions</t>
        </is>
      </c>
      <c r="C14" s="20" t="inlineStr">
        <is>
          <t>jama_zahid_2025_oi_250093_1768590553.08463.pdf — DOC-001 — PDF p. 5, Adverse Events ordered percentages and summarysentence; REPORT; joi250093supp2_prod_1768590553.09463.pdf — DOC-003 — PDF p. 15, eTable10 irritability/anxiety severity rows; REPORT</t>
        </is>
      </c>
      <c r="D14" s="21" t="inlineStr">
        <is>
          <t>retain</t>
        </is>
      </c>
      <c r="E14" s="21" t="inlineStr">
        <is>
          <t>statistical_results</t>
        </is>
      </c>
      <c r="F14" s="21" t="inlineStr">
        <is>
          <t>primary_done</t>
        </is>
      </c>
      <c r="G14" s="20">
        <f>IFERROR(IF(LEN(TRIM(CLEAN(SUBSTITUTE(Setup!$B$2,CHAR(160)," "))))=0,"CHECK REVIEWER ID",IF(OR(A14="",COUNTIF($A$2:$A$20,A14)&lt;&gt;1,LEFT(A14,LEN("2025::jama.2025.20765::"))&lt;&gt;"2025::jama.2025.20765::"),"CHECK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Main p.5 lists irritability 40.5% vs 43.4% and anxiety 33.3% vs 36.8% (any symptom, mHealth vs usual care) and then says irritability and anxiety were more common with mHealth. From eTable 10 (Supp2 p.15) any-symptom rates are lower with mHealth; only moderate/severe are higher (15.5% vs 8.4%; 9.3% vs 3.9%).</t>
        </is>
      </c>
    </row>
    <row r="15" ht="92" customHeight="1" s="25">
      <c r="A15" s="24" t="inlineStr">
        <is>
          <t>2025::jama.2025.20765::C014</t>
        </is>
      </c>
      <c r="B15" s="24" t="inlineStr">
        <is>
          <t>Fourteen interval rows do not reproduce a rule fitting other display rows</t>
        </is>
      </c>
      <c r="C15" s="24" t="inlineStr">
        <is>
          <t>jama_zahid_2025_oi_250093_1768590553.08463.pdf — DOC-001 — PDF p. 6, Table2CO10PPadjusted,CO6PPcrude/adjusted,self-reportadjusted; REPORT; joi250093supp2_prod_1768590553.09463.pdf — DOC-003 — PDF p. 12, eTable8All,age≥40,primary,secondary,active,dependent,smoking&lt;24,readingNo; REPORT; joi250093supp2_prod_1768590553.09463.pdf — DOC-003 — PDF p. 13, eTable9CO10crude/adjusted; REPORT; joi250093supp2_prod_1768590553.09463.pdf — DOC-003 — PDF p. 14, population/adjustmentnotes; REPORT</t>
        </is>
      </c>
      <c r="D15" s="21" t="inlineStr">
        <is>
          <t>retain</t>
        </is>
      </c>
      <c r="E15" s="21" t="inlineStr">
        <is>
          <t>statistical_results</t>
        </is>
      </c>
      <c r="F15" s="21" t="inlineStr">
        <is>
          <t>primary_done</t>
        </is>
      </c>
      <c r="G15" s="24">
        <f>IFERROR(IF(LEN(TRIM(CLEAN(SUBSTITUTE(Setup!$B$2,CHAR(160)," "))))=0,"CHECK REVIEWER ID",IF(OR(A15="",COUNTIF($A$2:$A$20,A15)&lt;&gt;1,LEFT(A15,LEN("2025::jama.2025.20765::"))&lt;&gt;"2025::jama.2025.20765::"),"CHECK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Many RR intervals in Table 2 and eTables 8-9 are not symmetric on the log scale (Python check), but with an unstated derivation (C006) asymmetry is not itself an error. Demonstrable errors in these rows: adjusted self-report RR '2.8 (1.9 to 42)' (Table 2 p.6; 4.2 intended) and mixed precision '3.6 (2.14 to 6.87)'.</t>
        </is>
      </c>
    </row>
    <row r="16" ht="92" customHeight="1" s="25">
      <c r="A16" s="20" t="inlineStr">
        <is>
          <t>2025::jama.2025.20765::C015</t>
        </is>
      </c>
      <c r="B16" s="20" t="inlineStr">
        <is>
          <t>Latest protocol and SAP prescribe different failure windows</t>
        </is>
      </c>
      <c r="C16" s="20" t="inlineStr">
        <is>
          <t>joi250093supp1_prod_1768590553.08963.pdf — DOC-002 — PDF p. 9, lines179–180 month-5 definition, explicitly headed V6.0; PLAN; joi250093supp1_prod_1768590553.08963.pdf — DOC-002 — PDF p. 47, lines1319–1320month6definition; PLAN; joi250093supp1_prod_1768590553.08963.pdf — DOC-002 — PDF p. 77, lines2413–2415 explicit5→6amendment; PLAN; joi250093supp1_prod_1768590553.08963.pdf — DOC-002 — PDF p. 85, lines2685–2686SAPmonth5; PLAN; jama_zahid_2025_oi_250093_1768590553.08463.pdf — DOC-001 — PDF p. 1, key-secondaryfailureproportions; REPORT; jama_zahid_2025_oi_250093_1768590553.08463.pdf — DOC-001 — PDF p. 3, outcomedetailpointer; REPORT; jama_zahid_2025_oi_250093_1768590553.08463.pdf — DOC-001 — PDF p. 6, Table2failure1/720versus2/360; REPORT</t>
        </is>
      </c>
      <c r="D16" s="21" t="inlineStr">
        <is>
          <t>retain</t>
        </is>
      </c>
      <c r="E16" s="21" t="inlineStr">
        <is>
          <t>plan_material</t>
        </is>
      </c>
      <c r="F16" s="21" t="inlineStr">
        <is>
          <t>primary_done</t>
        </is>
      </c>
      <c r="G16" s="20">
        <f>IFERROR(IF(LEN(TRIM(CLEAN(SUBSTITUTE(Setup!$B$2,CHAR(160)," "))))=0,"CHECK REVIEWER ID",IF(OR(A16="",COUNTIF($A$2:$A$20,A16)&lt;&gt;1,LEFT(A16,LEN("2025::jama.2025.20765::"))&lt;&gt;"2025::jama.2025.20765::"),"CHECK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minor_presentation</t>
        </is>
      </c>
      <c r="L16" s="22">
        <f>IF(AND(OR(D16="retain",D16=""),E16="protocol_report"),"","not_applicable")</f>
        <v/>
      </c>
      <c r="M16" s="20" t="n"/>
      <c r="N16" s="23" t="n"/>
      <c r="O16" s="23" t="n"/>
      <c r="P16" s="23" t="n"/>
      <c r="Q16" s="23" t="n"/>
      <c r="R16" s="22" t="inlineStr">
        <is>
          <t>Protocol v6.0 (Supp1 p.47, line 1320; OCR) defines treatment failure as smear-positive at month 6 or later, a change from month 5 recorded in the v4-to-v6 change log (p.77); the SAP (p.85, line 2686) still says month 5 or later.</t>
        </is>
      </c>
    </row>
    <row r="17" ht="92" customHeight="1" s="25">
      <c r="A17" s="24" t="inlineStr">
        <is>
          <t>2025::jama.2025.20765::C016</t>
        </is>
      </c>
      <c r="B17" s="24" t="inlineStr">
        <is>
          <t>Current Phase 3 power statements retain different cluster allocations</t>
        </is>
      </c>
      <c r="C17" s="24" t="inlineStr">
        <is>
          <t>joi250093supp1_prod_1768590553.08963.pdf — DOC-002 — PDF p. 48, lines1348–1353poweroverview; PLAN; joi250093supp1_prod_1768590553.08963.pdf — DOC-002 — PDF p. 63, lines1886–1907Phase3power/allocation; PLAN; joi250093supp1_prod_1768590553.08963.pdf — DOC-002 — PDF p. 64, Phase4allocationcontext; PLAN; joi250093supp1_prod_1768590553.08963.pdf — DOC-002 — PDF p. 65, lines1958–1963repeatedpowerparagraph; PLAN; joi250093supp1_prod_1768590553.08963.pdf — DOC-002 — PDF p. 77, lines2416–2424allocationamendment; PLAN; joi250093supp1_prod_1768590553.08963.pdf — DOC-002 — PDF p. 83, lines2629–2642SAPallocation; PLAN</t>
        </is>
      </c>
      <c r="D17" s="21" t="inlineStr">
        <is>
          <t>retain</t>
        </is>
      </c>
      <c r="E17" s="21" t="inlineStr">
        <is>
          <t>plan_material</t>
        </is>
      </c>
      <c r="F17" s="21" t="inlineStr">
        <is>
          <t>primary_done</t>
        </is>
      </c>
      <c r="G17" s="24">
        <f>IFERROR(IF(LEN(TRIM(CLEAN(SUBSTITUTE(Setup!$B$2,CHAR(160)," "))))=0,"CHECK REVIEWER ID",IF(OR(A17="",COUNTIF($A$2:$A$20,A17)&lt;&gt;1,LEFT(A17,LEN("2025::jama.2025.20765::"))&lt;&gt;"2025::jama.2025.20765::"),"CHECK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t="inlineStr">
        <is>
          <t>minor_presentation</t>
        </is>
      </c>
      <c r="L17" s="22">
        <f>IF(AND(OR(D17="retain",D17=""),E17="protocol_report"),"","not_applicable")</f>
        <v/>
      </c>
      <c r="M17" s="24" t="n"/>
      <c r="N17" s="23" t="n"/>
      <c r="O17" s="23" t="n"/>
      <c r="P17" s="23" t="n"/>
      <c r="Q17" s="23" t="n"/>
      <c r="R17" s="22" t="inlineStr">
        <is>
          <t>Protocol v6.0 Phase 3 sample-size section (Supp1 p.63; OCR) randomizes 27 clusters 18:9, but the power paragraph (p.65) and overview (p.48) still describe 90% power for 16 clusters vs 8 (the v4.0 allocation; change log p.77 records 16/8 -&gt; 18/9).</t>
        </is>
      </c>
    </row>
    <row r="18" ht="92" customHeight="1" s="25">
      <c r="A18" s="20" t="inlineStr">
        <is>
          <t>2025::jama.2025.20765::C017</t>
        </is>
      </c>
      <c r="B18" s="20" t="inlineStr">
        <is>
          <t>Two cause-of-death percentages do not reconcile within eTable 4</t>
        </is>
      </c>
      <c r="C18" s="20" t="inlineStr">
        <is>
          <t>joi250093supp2_prod_1768590553.09463.pdf — DOC-003 — PDF p. 6, eTable4usual-careDruguser,Severepneumonia,Totaldeaths; REPORT</t>
        </is>
      </c>
      <c r="D18" s="21" t="inlineStr">
        <is>
          <t>retain</t>
        </is>
      </c>
      <c r="E18" s="21" t="inlineStr">
        <is>
          <t>statistical_results</t>
        </is>
      </c>
      <c r="F18" s="21" t="inlineStr">
        <is>
          <t>primary_done</t>
        </is>
      </c>
      <c r="G18" s="20">
        <f>IFERROR(IF(LEN(TRIM(CLEAN(SUBSTITUTE(Setup!$B$2,CHAR(160)," "))))=0,"CHECK REVIEWER ID",IF(OR(A18="",COUNTIF($A$2:$A$20,A18)&lt;&gt;1,LEFT(A18,LEN("2025::jama.2025.20765::"))&lt;&gt;"2025::jama.2025.20765::"),"CHECK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eTable 4 (Supp2 p.6), usual care column: drug user 1 (7.4%) and severe pneumonia 1 (7.4%); 1/27 = 3.7%. Also small rounding slips: 16/27 = 59.3% (printed 59.2), 8/52 = 15.4% (15.2), 3/52 = 5.8% (5.7).</t>
        </is>
      </c>
    </row>
    <row r="19" ht="92" customHeight="1" s="25">
      <c r="A19" s="24" t="inlineStr">
        <is>
          <t>2025::jama.2025.20765::C018</t>
        </is>
      </c>
      <c r="B19" s="24" t="inlineStr">
        <is>
          <t>Site 2008 death count and percentage do not reproduce the table denominator</t>
        </is>
      </c>
      <c r="C19" s="24" t="inlineStr">
        <is>
          <t>joi250093supp2_prod_1768590553.09463.pdf — DOC-003 — PDF p. 9, eTable6Controlsite2008cell5(7.5),otherdeathrows; REPORT; joi250093supp2_prod_1768590553.09463.pdf — DOC-003 — PDF p. 8, eTable5site2008recruitmentandITT40,observed35; REPORT</t>
        </is>
      </c>
      <c r="D19" s="21" t="inlineStr">
        <is>
          <t>retain</t>
        </is>
      </c>
      <c r="E19" s="21" t="inlineStr">
        <is>
          <t>statistical_results</t>
        </is>
      </c>
      <c r="F19" s="21" t="inlineStr">
        <is>
          <t>primary_done</t>
        </is>
      </c>
      <c r="G19" s="24">
        <f>IFERROR(IF(LEN(TRIM(CLEAN(SUBSTITUTE(Setup!$B$2,CHAR(160)," "))))=0,"CHECK REVIEWER ID",IF(OR(A19="",COUNTIF($A$2:$A$20,A19)&lt;&gt;1,LEFT(A19,LEN("2025::jama.2025.20765::"))&lt;&gt;"2025::jama.2025.20765::"),"CHECK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minor_presentation</t>
        </is>
      </c>
      <c r="J19" s="22" t="inlineStr">
        <is>
          <t>unlikely</t>
        </is>
      </c>
      <c r="K19" s="21">
        <f>IF(AND(OR(D19="retain",D19=""),OR(E19="report_internal_inconsistency",E19="plan_material")),"","not_applicable")</f>
        <v/>
      </c>
      <c r="L19" s="22">
        <f>IF(AND(OR(D19="retain",D19=""),E19="protocol_report"),"","not_applicable")</f>
        <v/>
      </c>
      <c r="M19" s="24" t="n"/>
      <c r="N19" s="23" t="n"/>
      <c r="O19" s="23" t="n"/>
      <c r="P19" s="23" t="n"/>
      <c r="Q19" s="23" t="n"/>
      <c r="R19" s="22" t="inlineStr">
        <is>
          <t>eTable 6 (Supp2 p.9): control site 2008 deaths 5 (7.5%); with 40 recruited per cluster (eTable 5 p.8), 5/40 = 12.5%. The count is right: control-site deaths sum to 27 and mHealth to 25, matching Figure 1.</t>
        </is>
      </c>
    </row>
    <row r="20" ht="92" customHeight="1" s="25">
      <c r="A20" s="20" t="inlineStr">
        <is>
          <t>2025::jama.2025.20765::C019</t>
        </is>
      </c>
      <c r="B20" s="20" t="inlineStr">
        <is>
          <t>Treatment-failure absolute difference has the opposite signed contrast</t>
        </is>
      </c>
      <c r="C20" s="20" t="inlineStr">
        <is>
          <t>joi250093supp2_prod_1768590553.09463.pdf — DOC-003 — PDF p. 13, eTable9TreatmentFailuresabsolute-difference0.5andarmrisks; REPORT; joi250093supp2_prod_1768590553.09463.pdf — DOC-003 — PDF p. 14, notebAbsolute difference; REPORT</t>
        </is>
      </c>
      <c r="D20" s="21" t="inlineStr">
        <is>
          <t>retain</t>
        </is>
      </c>
      <c r="E20" s="21" t="inlineStr">
        <is>
          <t>statistical_results</t>
        </is>
      </c>
      <c r="F20" s="21" t="inlineStr">
        <is>
          <t>primary_done</t>
        </is>
      </c>
      <c r="G20" s="20">
        <f>IFERROR(IF(LEN(TRIM(CLEAN(SUBSTITUTE(Setup!$B$2,CHAR(160)," "))))=0,"CHECK REVIEWER ID",IF(OR(A20="",COUNTIF($A$2:$A$20,A20)&lt;&gt;1,LEFT(A20,LEN("2025::jama.2025.20765::"))&lt;&gt;"2025::jama.2025.20765::"),"CHECK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minor_presentation</t>
        </is>
      </c>
      <c r="J20" s="22" t="inlineStr">
        <is>
          <t>unlikely</t>
        </is>
      </c>
      <c r="K20" s="21">
        <f>IF(AND(OR(D20="retain",D20=""),OR(E20="report_internal_inconsistency",E20="plan_material")),"","not_applicable")</f>
        <v/>
      </c>
      <c r="L20" s="22">
        <f>IF(AND(OR(D20="retain",D20=""),E20="protocol_report"),"","not_applicable")</f>
        <v/>
      </c>
      <c r="M20" s="20" t="n"/>
      <c r="N20" s="23" t="n"/>
      <c r="O20" s="23" t="n"/>
      <c r="P20" s="23" t="n"/>
      <c r="Q20" s="23" t="n"/>
      <c r="R20" s="22" t="inlineStr">
        <is>
          <t>eTable 9 (Supp2 p.13) treatment failure 0.1% vs 0.6% with absolute difference +0.5 (-0.4 to 1.3); mHealth minus usual care is -0.5. Same sign reversal in main Table 2 (p.6) for death (3.5 vs 7.5; printed +4, 1.0 to 7.1) and treatment failure (0.1 vs 0.5; printed +0.4), whereas other rows are mHealth minus usual care.</t>
        </is>
      </c>
    </row>
  </sheetData>
  <autoFilter ref="A1:R20"/>
  <conditionalFormatting sqref="H2:H20">
    <cfRule type="expression" priority="8" dxfId="70">
      <formula>NOT(AND(OR($D2="retain",$D2=""),$E2="statistical_results"))</formula>
    </cfRule>
  </conditionalFormatting>
  <conditionalFormatting sqref="I2:I20">
    <cfRule type="expression" priority="9" dxfId="70">
      <formula>NOT(AND(OR($D2="retain",$D2=""),$E2="statistical_results"))</formula>
    </cfRule>
  </conditionalFormatting>
  <conditionalFormatting sqref="J2:J20">
    <cfRule type="expression" priority="10" dxfId="70">
      <formula>NOT(AND(OR($D2="retain",$D2=""),$E2="statistical_results"))</formula>
    </cfRule>
  </conditionalFormatting>
  <conditionalFormatting sqref="K2:K20">
    <cfRule type="expression" priority="11" dxfId="70">
      <formula>NOT(AND(OR($D2="retain",$D2=""),OR($E2="report_internal_inconsistency",$E2="plan_material")))</formula>
    </cfRule>
  </conditionalFormatting>
  <conditionalFormatting sqref="L2:L20">
    <cfRule type="expression" priority="12" dxfId="70">
      <formula>NOT(AND(OR($D2="retain",$D2=""),$E2="protocol_report"))</formula>
    </cfRule>
  </conditionalFormatting>
  <conditionalFormatting sqref="G2:G20">
    <cfRule type="expression" priority="13" dxfId="71">
      <formula>G2&lt;&gt;"PRIMARY READY"</formula>
    </cfRule>
  </conditionalFormatting>
  <dataValidations count="8">
    <dataValidation sqref="D2:D20" showDropDown="0" showInputMessage="0" showErrorMessage="1" allowBlank="1" errorTitle="Use a listed option" error="Choose an option; G also checks pasted entries." type="list" errorStyle="stop">
      <formula1>"retain,exclude,discuss"</formula1>
    </dataValidation>
    <dataValidation sqref="E2:E2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0" showDropDown="0" showInputMessage="0" showErrorMessage="1" allowBlank="1" errorTitle="Use a listed option" error="Choose an option; G also checks pasted entries." type="list" errorStyle="stop">
      <formula1>"no,primary_done"</formula1>
    </dataValidation>
    <dataValidation sqref="H2:H2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0" showDropDown="0" showInputMessage="0" showErrorMessage="1" allowBlank="1" errorTitle="Use a listed option" error="Choose an option; G also checks pasted entries." type="list" errorStyle="stop">
      <formula1>"direct,possible,unlikely,unknown,not_applicable"</formula1>
    </dataValidation>
    <dataValidation sqref="K2:K2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2025::jama.2025.24175::C001</t>
        </is>
      </c>
      <c r="B2" s="20" t="inlineStr">
        <is>
          <t>Primary mean/Welch versus responder/Fisher specification</t>
        </is>
      </c>
      <c r="C2" s="20" t="inlineStr">
        <is>
          <t>PLAN joi250116supp1_prod_1771885794.26255.pdf — DOC-002 p.7 synopsis, joi250116supp1_prod_1771885794.26255.pdf — p.24 primary endpoint/death rule, joi250116supp1_prod_1771885794.26255.pdf — p.25 corresponding day-15 mean, joi250116supp1_prod_1771885794.26255.pdf — p.27 Welch analysis, joi250116supp1_prod_1771885794.26255.pdf — p.66 SAP responder/death rule, joi250116supp1_prod_1771885794.26255.pdf — p.67 Fisher analysis, joi250116supp1_prod_1771885794.26255.pdf — p.68 day-15 construction, joi250116supp1_prod_1771885794.26255.pdf — p.69 day-15 responder continuation; REPORT jama_giamarellosbourboulis_2025_oi_250116_1771885794.23757.pdf — DOC-001 p.3 endpoint, jama_giamarellosbourboulis_2025_oi_250116_1771885794.23757.pdf — p.5 imputation/secondary definition, jama_giamarellosbourboulis_2025_oi_250116_1771885794.23757.pdf — p.6 Table 2 and statistical analyses.</t>
        </is>
      </c>
      <c r="D2" s="21" t="inlineStr">
        <is>
          <t>retain</t>
        </is>
      </c>
      <c r="E2" s="21" t="inlineStr">
        <is>
          <t>protocol_report</t>
        </is>
      </c>
      <c r="F2" s="21" t="inlineStr">
        <is>
          <t>primary_done</t>
        </is>
      </c>
      <c r="G2" s="20">
        <f>IFERROR(IF(LEN(TRIM(CLEAN(SUBSTITUTE(Setup!$B$2,CHAR(160)," "))))=0,"CHECK REVIEWER ID",IF(OR(A2="",COUNTIF($A$2:$A$15,A2)&lt;&gt;1,LEFT(A2,LEN("2025::jama.2025.24175::"))&lt;&gt;"2025::jama.2025.24175::"),"CHECK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v1.0 (Supp1 pp.7, 24, 27; OCR) defines the primary end point as the difference in mean SOFA to day 9, analyzed by Welch t test, with deaths contributing their mean SOFA until death. SAP v2.0 (18 May 2024, after last follow-up 29 Apr 2024; pp.63, 66-67) and the report (main pp.3, 5-6) use a responder end point (&gt;=1.4-point decrease), Fisher exact test, and deaths imputed as SOFA 24.</t>
        </is>
      </c>
    </row>
    <row r="3" ht="92" customHeight="1" s="25">
      <c r="A3" s="24" t="inlineStr">
        <is>
          <t>2025::jama.2025.24175::C002</t>
        </is>
      </c>
      <c r="B3" s="24" t="inlineStr">
        <is>
          <t>Home-discharge versus ICU-discharge carry-forward eligibility</t>
        </is>
      </c>
      <c r="C3" s="24" t="inlineStr">
        <is>
          <t>PLAN joi250116supp1_prod_1771885794.26255.pdf — DOC-002 p.66; REPORT jama_giamarellosbourboulis_2025_oi_250116_1771885794.23757.pdf — DOC-001 p.3 daily ICU observation, jama_giamarellosbourboulis_2025_oi_250116_1771885794.23757.pdf — p.5 home-discharge rule, jama_giamarellosbourboulis_2025_oi_250116_1771885794.23757.pdf — p.6 ICU-discharge result, joi250116supp2_prod_1771885794.27755.pdf — DOC-003 p.20 eTable 8, joi250116supp2_prod_1771885794.27755.pdf — p.46 sensitivity population.</t>
        </is>
      </c>
      <c r="D3" s="21" t="inlineStr">
        <is>
          <t>retain</t>
        </is>
      </c>
      <c r="E3" s="21" t="inlineStr">
        <is>
          <t>protocol_report</t>
        </is>
      </c>
      <c r="F3" s="21" t="inlineStr">
        <is>
          <t>primary_done</t>
        </is>
      </c>
      <c r="G3" s="24">
        <f>IFERROR(IF(LEN(TRIM(CLEAN(SUBSTITUTE(Setup!$B$2,CHAR(160)," "))))=0,"CHECK REVIEWER ID",IF(OR(A3="",COUNTIF($A$2:$A$15,A3)&lt;&gt;1,LEFT(A3,LEN("2025::jama.2025.24175::"))&lt;&gt;"2025::jama.2025.24175::"),"CHECK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(Supp1 p.66; OCR) and Methods (main p.5) carry the last SOFA forward for patients discharged home before day 9; but SOFA was captured only during ICU stay (p.3) and Results (p.6) state 8.3% had SOFA carried forward because of ICU discharge before day 9 (eTable 8). Implemented rule = ICU discharge.</t>
        </is>
      </c>
    </row>
    <row r="4" ht="92" customHeight="1" s="25">
      <c r="A4" s="20" t="inlineStr">
        <is>
          <t>2025::jama.2025.24175::C003</t>
        </is>
      </c>
      <c r="B4" s="20" t="inlineStr">
        <is>
          <t>Infection and omics outcome-status pattern</t>
        </is>
      </c>
      <c r="C4" s="20" t="inlineStr">
        <is>
          <t>PLAN joi250116supp1_prod_1771885794.26255.pdf — DOC-002 p.7 synopsis, joi250116supp1_prod_1771885794.26255.pdf — p.25 detailed hierarchy, joi250116supp1_prod_1771885794.26255.pdf — p.27 infection test hierarchy, joi250116supp1_prod_1771885794.26255.pdf — p.57 resolution appendix, joi250116supp1_prod_1771885794.26255.pdf — p.70 SAP infection; REPORT jama_giamarellosbourboulis_2025_oi_250116_1771885794.23757.pdf — DOC-001 p.5 prespecified secondary endpoints, jama_giamarellosbourboulis_2025_oi_250116_1771885794.23757.pdf — p.6 main secondary table, jama_giamarellosbourboulis_2025_oi_250116_1771885794.23757.pdf — p.7 sixth secondary result.</t>
        </is>
      </c>
      <c r="D4" s="21" t="inlineStr">
        <is>
          <t>retain</t>
        </is>
      </c>
      <c r="E4" s="21" t="inlineStr">
        <is>
          <t>protocol_report</t>
        </is>
      </c>
      <c r="F4" s="21" t="inlineStr">
        <is>
          <t>primary_done</t>
        </is>
      </c>
      <c r="G4" s="20">
        <f>IFERROR(IF(LEN(TRIM(CLEAN(SUBSTITUTE(Setup!$B$2,CHAR(160)," "))))=0,"CHECK REVIEWER ID",IF(OR(A4="",COUNTIF($A$2:$A$15,A4)&lt;&gt;1,LEFT(A4,LEN("2025::jama.2025.24175::"))&lt;&gt;"2025::jama.2025.24175::"),"CHECK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v1.0 (Supp1 pp.7, 25; OCR) lists infection resolution (and omics biomarkers) as exploratory; the SAP (p.70) and report (main p.5, Table 2) treat infection state by day 15 as the sixth prespecified secondary end point.</t>
        </is>
      </c>
    </row>
    <row r="5" ht="92" customHeight="1" s="25">
      <c r="A5" s="24" t="inlineStr">
        <is>
          <t>2025::jama.2025.24175::C004</t>
        </is>
      </c>
      <c r="B5" s="24" t="inlineStr">
        <is>
          <t>Immune-reversal endpoint window, composite and ascertainment</t>
        </is>
      </c>
      <c r="C5" s="24" t="inlineStr">
        <is>
          <t>PLAN joi250116supp1_prod_1771885794.26255.pdf — DOC-002 p.25, joi250116supp1_prod_1771885794.26255.pdf — p.69, joi250116supp1_prod_1771885794.26255.pdf — p.70 continuation; REPORT jama_giamarellosbourboulis_2025_oi_250116_1771885794.23757.pdf — DOC-001 p.5 definition, jama_giamarellosbourboulis_2025_oi_250116_1771885794.23757.pdf — p.6 Table 2/footnote, jama_giamarellosbourboulis_2025_oi_250116_1771885794.23757.pdf — p.7 by-day-28 result, joi250116supp2_prod_1771885794.27755.pdf — DOC-003 p.50 eFigure 6.</t>
        </is>
      </c>
      <c r="D5" s="21" t="inlineStr">
        <is>
          <t>retain</t>
        </is>
      </c>
      <c r="E5" s="21" t="inlineStr">
        <is>
          <t>protocol_report</t>
        </is>
      </c>
      <c r="F5" s="21" t="inlineStr">
        <is>
          <t>primary_done</t>
        </is>
      </c>
      <c r="G5" s="24">
        <f>IFERROR(IF(LEN(TRIM(CLEAN(SUBSTITUTE(Setup!$B$2,CHAR(160)," "))))=0,"CHECK REVIEWER ID",IF(OR(A5="",COUNTIF($A$2:$A$15,A5)&lt;&gt;1,LEFT(A5,LEN("2025::jama.2025.24175::"))&lt;&gt;"2025::jama.2025.24175::"),"CHECK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Plan (protocol p.25; SAP pp.69-70; OCR): reversal censored at day 15; MALS = &gt;=15% ferritin fall; immunoparalysis = HLA-DR &gt;8000 with ferritin &lt;4420. Report (main pp.5, 7; Table 2 note b): reversal by day 28, persistence over later draws and &gt;=2 serial draws required, no ferritin condition for immunoparalysis, analyzed in a 125-patient subset.</t>
        </is>
      </c>
    </row>
    <row r="6" ht="92" customHeight="1" s="25">
      <c r="A6" s="20" t="inlineStr">
        <is>
          <t>2025::jama.2025.24175::C005</t>
        </is>
      </c>
      <c r="B6" s="20" t="inlineStr">
        <is>
          <t>Continuous versus binary primary-outcome power basis</t>
        </is>
      </c>
      <c r="C6" s="20" t="inlineStr">
        <is>
          <t>PLAN joi250116supp1_prod_1771885794.26255.pdf — DOC-002 p.25 power introduction, joi250116supp1_prod_1771885794.26255.pdf — p.26 calculation; REPORT jama_giamarellosbourboulis_2025_oi_250116_1771885794.23757.pdf — DOC-001 p.5 Sample Size Calculation. The complete supplied SAP pp.63–72 has no revised binary power calculation.</t>
        </is>
      </c>
      <c r="D6" s="21" t="inlineStr">
        <is>
          <t>retain</t>
        </is>
      </c>
      <c r="E6" s="21" t="inlineStr">
        <is>
          <t>protocol_report</t>
        </is>
      </c>
      <c r="F6" s="21" t="inlineStr">
        <is>
          <t>primary_done</t>
        </is>
      </c>
      <c r="G6" s="20">
        <f>IFERROR(IF(LEN(TRIM(CLEAN(SUBSTITUTE(Setup!$B$2,CHAR(160)," "))))=0,"CHECK REVIEWER ID",IF(OR(A6="",COUNTIF($A$2:$A$15,A6)&lt;&gt;1,LEFT(A6,LEN("2025::jama.2025.24175::"))&lt;&gt;"2025::jama.2025.24175::"),"CHECK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v1.0 (Supp1 p.26; OCR) powers the trial for a 1.4-point difference in mean SOFA (SD 3.2), two-sided t test, 90% power; the report (main p.5) powers for responder proportions 40% vs 20% (117/group, 280 with 15% dropout). SAP v2.0 has no power section.</t>
        </is>
      </c>
    </row>
    <row r="7" ht="92" customHeight="1" s="25">
      <c r="A7" s="24" t="inlineStr">
        <is>
          <t>2025::jama.2025.24175::C006</t>
        </is>
      </c>
      <c r="B7" s="24" t="inlineStr">
        <is>
          <t>Binary planned versus ordinal reported infection analysis</t>
        </is>
      </c>
      <c r="C7" s="24" t="inlineStr">
        <is>
          <t>PLAN joi250116supp1_prod_1771885794.26255.pdf — DOC-002 p.27 Fisher/Mantel–Haenszel infection analysis, joi250116supp1_prod_1771885794.26255.pdf — p.70 binary resolved/not-resolved SAP analysis; REPORT jama_giamarellosbourboulis_2025_oi_250116_1771885794.23757.pdf — DOC-001 p.6 Table 2/statistical analysis/SAP-following statement, jama_giamarellosbourboulis_2025_oi_250116_1771885794.23757.pdf — p.7 ordinal result, joi250116supp2_prod_1771885794.27755.pdf — DOC-003 p.49 four-state figure.</t>
        </is>
      </c>
      <c r="D7" s="21" t="inlineStr">
        <is>
          <t>retain</t>
        </is>
      </c>
      <c r="E7" s="21" t="inlineStr">
        <is>
          <t>protocol_report</t>
        </is>
      </c>
      <c r="F7" s="21" t="inlineStr">
        <is>
          <t>primary_done</t>
        </is>
      </c>
      <c r="G7" s="24">
        <f>IFERROR(IF(LEN(TRIM(CLEAN(SUBSTITUTE(Setup!$B$2,CHAR(160)," "))))=0,"CHECK REVIEWER ID",IF(OR(A7="",COUNTIF($A$2:$A$15,A7)&lt;&gt;1,LEFT(A7,LEN("2025::jama.2025.24175::"))&lt;&gt;"2025::jama.2025.24175::"),"CHECK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(Supp1 p.27) and SAP (p.70; OCR) compare infection resolution (resolved vs not) by Fisher exact test with MH OR; the report uses ordinal regression over 4 categories (resolved, intermediate, failure, superinfection), OR 0.59 (0.38-0.91) (main p.6-7, Table 2), while stating all analyses followed the SAP.</t>
        </is>
      </c>
    </row>
    <row r="8" ht="92" customHeight="1" s="25">
      <c r="A8" s="20" t="inlineStr">
        <is>
          <t>2025::jama.2025.24175::C007</t>
        </is>
      </c>
      <c r="B8" s="20" t="inlineStr">
        <is>
          <t>Prespecified primary and key-secondary analysis families not located</t>
        </is>
      </c>
      <c r="C8" s="20" t="inlineStr">
        <is>
          <t>PLAN joi250116supp1_prod_1771885794.26255.pdf — DOC-002 p.67 immune-state response homogeneity, joi250116supp1_prod_1771885794.26255.pdf — p.68 survivor secondary means and 28-day immune-state mortality, joi250116supp1_prod_1771885794.26255.pdf — p.71 severity/homogeneity and antibiotics, joi250116supp1_prod_1771885794.26255.pdf — p.72 antibiotic-primary continuation; REPORT jama_giamarellosbourboulis_2025_oi_250116_1771885794.23757.pdf — DOC-001 p.5 endpoint definitions, jama_giamarellosbourboulis_2025_oi_250116_1771885794.23757.pdf — p.6 methods/results, jama_giamarellosbourboulis_2025_oi_250116_1771885794.23757.pdf — p.7 response/mortality/post hoc results, jama_giamarellosbourboulis_2025_oi_250116_1771885794.23757.pdf — p.8 interaction continuation, joi250116supp2_prod_1771885794.27755.pdf — DOC-003 p.16 antibiotic footnote, joi250116supp2_prod_1771885794.27755.pdf — p.21 primary model, joi250116supp2_prod_1771885794.27755.pdf — p.22 immune response, joi250116supp2_prod_1771885794.27755.pdf — p.23 subset baseline, joi250116supp2_prod_1771885794.27755.pdf — p.24 subset baseline continuation, joi250116supp2_prod_1771885794.27755.pdf — p.47 overall mortality, joi250116supp2_prod_1771885794.27755.pdf — p.51 primary severity, joi250116supp2_prod_1771885794.27755.pdf — p.52 28-day severity, joi250116supp2_prod_1771885794.27755.pdf — p.53 90-day severity, with absence assessed against complete DOC-001 pp.1–12 and DOC-003 pp.1–54 result maps and source-linked text.</t>
        </is>
      </c>
      <c r="D8" s="21" t="inlineStr">
        <is>
          <t>retain</t>
        </is>
      </c>
      <c r="E8" s="21" t="inlineStr">
        <is>
          <t>protocol_report</t>
        </is>
      </c>
      <c r="F8" s="21" t="inlineStr">
        <is>
          <t>primary_done</t>
        </is>
      </c>
      <c r="G8" s="20">
        <f>IFERROR(IF(LEN(TRIM(CLEAN(SUBSTITUTE(Setup!$B$2,CHAR(160)," "))))=0,"CHECK REVIEWER ID",IF(OR(A8="",COUNTIF($A$2:$A$15,A8)&lt;&gt;1,LEFT(A8,LEN("2025::jama.2025.24175::"))&lt;&gt;"2025::jama.2025.24175::"),"CHECK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(Supp1 pp.67-72; OCR) plans Breslow-Day/Tarone comparisons of ORs between immune states and severity strata, survivor-only mean SOFA t tests within strata, mortality by immune state, infection resolution by infection type/stratum, and subgroups by appropriate vs inappropriate antibiotics. None appears in the main article or Supp2 (searched); severity subgroups are reported as 'interaction tests' and called post hoc (main p.5) although the SAP prespecifies them.</t>
        </is>
      </c>
    </row>
    <row r="9" ht="92" customHeight="1" s="25">
      <c r="A9" s="24" t="inlineStr">
        <is>
          <t>2025::jama.2025.24175::C008</t>
        </is>
      </c>
      <c r="B9" s="24" t="inlineStr">
        <is>
          <t>Unadjusted day-15 immunoparalysis odds ratio does not reconcile with its counts</t>
        </is>
      </c>
      <c r="C9" s="24" t="inlineStr">
        <is>
          <t>joi250116supp2_prod_1771885794.27755.pdf — physical PDF p.22, eTable 10, final day-15 immunoparalysis row and all three companion rows.</t>
        </is>
      </c>
      <c r="D9" s="21" t="inlineStr">
        <is>
          <t>retain</t>
        </is>
      </c>
      <c r="E9" s="21" t="inlineStr">
        <is>
          <t>statistical_results</t>
        </is>
      </c>
      <c r="F9" s="21" t="inlineStr">
        <is>
          <t>primary_done</t>
        </is>
      </c>
      <c r="G9" s="24">
        <f>IFERROR(IF(LEN(TRIM(CLEAN(SUBSTITUTE(Setup!$B$2,CHAR(160)," "))))=0,"CHECK REVIEWER ID",IF(OR(A9="",COUNTIF($A$2:$A$15,A9)&lt;&gt;1,LEFT(A9,LEN("2025::jama.2025.24175::"))&lt;&gt;"2025::jama.2025.24175::"),"CHECK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eTable 10 (Supp2 p.22) day-15 immunoparalysis row: 40/106 vs 29/122, OR printed 1.194 (1.09 to 3.45), i.e., point estimate below its CI. Computed OR = (40x93)/(66x29) = 1.94 (Woolf 1.10-3.45); '1.194' is a typo for 1.94.</t>
        </is>
      </c>
    </row>
    <row r="10" ht="92" customHeight="1" s="25">
      <c r="A10" s="20" t="inlineStr">
        <is>
          <t>2025::jama.2025.24175::C009</t>
        </is>
      </c>
      <c r="B10" s="20" t="inlineStr">
        <is>
          <t>MALS number-needed-to-harm direction does not reconcile with patient risks</t>
        </is>
      </c>
      <c r="C10" s="20" t="inlineStr">
        <is>
          <t>joi250116supp2_prod_1771885794.27755.pdf — physical PDF p.27, eTable 13, MALS Any SAE row; joi250116supp2_prod_1771885794.27755.pdf — physical PDF p.44, eTable 15, MALS NNH1 and induce-harm definition. Definition support: joi250116supp2_prod_1771885794.27755.pdf — physical PDF p.29, eTable 13 footnote a.</t>
        </is>
      </c>
      <c r="D10" s="21" t="inlineStr">
        <is>
          <t>retain</t>
        </is>
      </c>
      <c r="E10" s="21" t="inlineStr">
        <is>
          <t>statistical_results</t>
        </is>
      </c>
      <c r="F10" s="21" t="inlineStr">
        <is>
          <t>primary_done</t>
        </is>
      </c>
      <c r="G10" s="20">
        <f>IFERROR(IF(LEN(TRIM(CLEAN(SUBSTITUTE(Setup!$B$2,CHAR(160)," "))))=0,"CHECK REVIEWER ID",IF(OR(A10="",COUNTIF($A$2:$A$15,A10)&lt;&gt;1,LEFT(A10,LEN("2025::jama.2025.24175::"))&lt;&gt;"2025::jama.2025.24175::"),"CHECK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eTable 13 (Supp2 p.27): any serious TEAE in MALS 20/25 (80.0%) with anakinra vs 21/23 (91.3%) with placebo, RD -11.3 points (fewer events on treatment). eTable 15 (p.44) reports this as NNH1 = 8.8, i.e., harm; 1/0.113 = 8.8 is a number needed to benefit.</t>
        </is>
      </c>
    </row>
    <row r="11" ht="92" customHeight="1" s="25">
      <c r="A11" s="24" t="inlineStr">
        <is>
          <t>2025::jama.2025.24175::C010</t>
        </is>
      </c>
      <c r="B11" s="24" t="inlineStr">
        <is>
          <t>Finite NNH1 intervals versus nonsignificant source-specified safety comparisons</t>
        </is>
      </c>
      <c r="C11" s="24" t="inlineStr">
        <is>
          <t>joi250116supp2_prod_1771885794.27755.pdf — physical PDF p.27, eTable 13, MALS and immunoparalysis Any SAE patient rows; joi250116supp2_prod_1771885794.27755.pdf — physical PDF p.44, eTable 15, both NNH1 intervals. Patient-count support: joi250116supp2_prod_1771885794.27755.pdf — physical PDF p.29, footnote a. Test corroboration: jama_giamarellosbourboulis_2025_oi_250116_1771885794.23757.pdf — physical PDF p.6, significance and SAP-following statements; joi250116supp1_prod_1771885794.26255.pdf — physical PDF p.70, SAP Safety and two-sided significance specification.</t>
        </is>
      </c>
      <c r="D11" s="21" t="inlineStr">
        <is>
          <t>retain</t>
        </is>
      </c>
      <c r="E11" s="21" t="inlineStr">
        <is>
          <t>statistical_results</t>
        </is>
      </c>
      <c r="F11" s="21" t="inlineStr">
        <is>
          <t>primary_done</t>
        </is>
      </c>
      <c r="G11" s="24">
        <f>IFERROR(IF(LEN(TRIM(CLEAN(SUBSTITUTE(Setup!$B$2,CHAR(160)," "))))=0,"CHECK REVIEWER ID",IF(OR(A11="",COUNTIF($A$2:$A$15,A11)&lt;&gt;1,LEFT(A11,LEN("2025::jama.2025.24175::"))&lt;&gt;"2025::jama.2025.24175::"),"CHECK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15 (Supp2 p.44) gives finite NNH1 intervals for MALS (3.2 to 10.0) and immunoparalysis (9.9 to 55.8), but the underlying SAE differences are nonsignificant (Fisher P=.42 and .67), so the RD CIs include 0 and the NNT/NNH intervals must pass through infinity.</t>
        </is>
      </c>
    </row>
    <row r="12" ht="92" customHeight="1" s="25">
      <c r="A12" s="20" t="inlineStr">
        <is>
          <t>2025::jama.2025.24175::C011</t>
        </is>
      </c>
      <c r="B12" s="20" t="inlineStr">
        <is>
          <t>Five subgroup P values do not reproduce under the companion-row test</t>
        </is>
      </c>
      <c r="C12" s="20" t="inlineStr">
        <is>
          <t>joi250116supp2_prod_1771885794.27755.pdf — physical PDF p.51, eFigure 7 panel A, primary response, APACHE II≥25, CCI≥5 and SOFA≥10 rows; joi250116supp2_prod_1771885794.27755.pdf — physical PDF p.52, eFigure 8 panel A, 28-day mortality, SOFA≥10 row; joi250116supp2_prod_1771885794.27755.pdf — physical PDF p.53, eFigure 9 panel A, 90-day mortality, SOFA≥10 row. Each page's remaining panel-A rows supplies companion evidence. Corroborating methods: jama_giamarellosbourboulis_2025_oi_250116_1771885794.23757.pdf — physical PDF p.6.</t>
        </is>
      </c>
      <c r="D12" s="21" t="inlineStr">
        <is>
          <t>retain</t>
        </is>
      </c>
      <c r="E12" s="21" t="inlineStr">
        <is>
          <t>statistical_results</t>
        </is>
      </c>
      <c r="F12" s="21" t="inlineStr">
        <is>
          <t>primary_done</t>
        </is>
      </c>
      <c r="G12" s="20">
        <f>IFERROR(IF(LEN(TRIM(CLEAN(SUBSTITUTE(Setup!$B$2,CHAR(160)," "))))=0,"CHECK REVIEWER ID",IF(OR(A12="",COUNTIF($A$2:$A$15,A12)&lt;&gt;1,LEFT(A12,LEN("2025::jama.2025.24175::"))&lt;&gt;"2025::jama.2025.24175::"),"CHECK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eFigure 7-9 panel A (Supp2 pp.51-53, rendered): Fisher P computed from printed counts reproduces most rows but not eFig 7 APACHE&gt;=25 (.439 vs .303), CCI&gt;=5 (.003 vs &lt;.001), SOFA&gt;=10 (.035 vs .007), eFig 9 SOFA&gt;=10 (.209 vs .147); eFig 8 SOFA&gt;=10 .045 vs .034 (Yates .044). No row changes significance.</t>
        </is>
      </c>
    </row>
    <row r="13" ht="92" customHeight="1" s="25">
      <c r="A13" s="24" t="inlineStr">
        <is>
          <t>2025::jama.2025.24175::C012</t>
        </is>
      </c>
      <c r="B13" s="24" t="inlineStr">
        <is>
          <t>Repeated APACHE coefficient does not reproduce the companion interval construction</t>
        </is>
      </c>
      <c r="C13" s="24" t="inlineStr">
        <is>
          <t>joi250116supp2_prod_1771885794.27755.pdf — physical PDF p.51, eFigure 7 panel B, APACHE II≥25 main-effect row and five companions; joi250116supp2_prod_1771885794.27755.pdf — physical PDF p.52, eFigure 8 panel B, corresponding row and five companions.</t>
        </is>
      </c>
      <c r="D13" s="21" t="inlineStr">
        <is>
          <t>retain</t>
        </is>
      </c>
      <c r="E13" s="21" t="inlineStr">
        <is>
          <t>statistical_results</t>
        </is>
      </c>
      <c r="F13" s="21" t="inlineStr">
        <is>
          <t>primary_done</t>
        </is>
      </c>
      <c r="G13" s="24">
        <f>IFERROR(IF(LEN(TRIM(CLEAN(SUBSTITUTE(Setup!$B$2,CHAR(160)," "))))=0,"CHECK REVIEWER ID",IF(OR(A13="",COUNTIF($A$2:$A$15,A13)&lt;&gt;1,LEFT(A13,LEN("2025::jama.2025.24175::"))&lt;&gt;"2025::jama.2025.24175::"),"CHECK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eFigure 7 and 8 panel B (Supp2 pp.51-52): 'APACHE II &gt;=25' OR 0.47 (0.30-1.62), P=.70. The CI is centered (log scale) at 0.697 and implies P about .08 for OR 0.47; the printed P equals the CI midpoint, suggesting a transposed cell.</t>
        </is>
      </c>
    </row>
    <row r="14" ht="92" customHeight="1" s="25">
      <c r="A14" s="20" t="inlineStr">
        <is>
          <t>2025::jama.2025.24175::C013</t>
        </is>
      </c>
      <c r="B14" s="20" t="inlineStr">
        <is>
          <t>Complete six-row output has unresolved attribution to two outcomes</t>
        </is>
      </c>
      <c r="C14" s="20" t="inlineStr">
        <is>
          <t>joi250116supp2_prod_1771885794.27755.pdf — physical PDF p.51, eFigure 7 complete panel B and primary-response caption; joi250116supp2_prod_1771885794.27755.pdf — physical PDF p.52, eFigure 8 complete panel B and 28-day-mortality caption. Narrative corroboration: jama_giamarellosbourboulis_2025_oi_250116_1771885794.23757.pdf — physical PDF p.7, Post Hoc and Subgroup Analyses opening; jama_giamarellosbourboulis_2025_oi_250116_1771885794.23757.pdf — physical PDF p.8, interaction continuation.</t>
        </is>
      </c>
      <c r="D14" s="21" t="inlineStr">
        <is>
          <t>retain</t>
        </is>
      </c>
      <c r="E14" s="21" t="inlineStr">
        <is>
          <t>report_internal_inconsistency</t>
        </is>
      </c>
      <c r="F14" s="21" t="inlineStr">
        <is>
          <t>primary_done</t>
        </is>
      </c>
      <c r="G14" s="20">
        <f>IFERROR(IF(LEN(TRIM(CLEAN(SUBSTITUTE(Setup!$B$2,CHAR(160)," "))))=0,"CHECK REVIEWER ID",IF(OR(A14="",COUNTIF($A$2:$A$15,A14)&lt;&gt;1,LEFT(A14,LEN("2025::jama.2025.24175::"))&lt;&gt;"2025::jama.2025.24175::"),"CHECK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substantive_inconsistency</t>
        </is>
      </c>
      <c r="L14" s="22">
        <f>IF(AND(OR(D14="retain",D14=""),E14="protocol_report"),"","not_applicable")</f>
        <v/>
      </c>
      <c r="M14" s="20" t="n"/>
      <c r="N14" s="23" t="n"/>
      <c r="O14" s="23" t="n"/>
      <c r="P14" s="23" t="n"/>
      <c r="Q14" s="23" t="n"/>
      <c r="R14" s="22" t="inlineStr">
        <is>
          <t>eFigure 8 panel B (28-day mortality) is identical to eFigure 7 panel B (primary end point). Recomputation shows these rows are the primary-end-point treatment ORs within the high-severity subgroups (e.g., 'SOFA&gt;=10 x PI' 3.08 (1.37-6.96) = 25/67 vs 11/68), not mortality and not interaction terms. Main p.8 claims significant CCI and SOFA interactions for 28-day mortality on this basis.</t>
        </is>
      </c>
    </row>
    <row r="15" ht="92" customHeight="1" s="25">
      <c r="A15" s="24" t="inlineStr">
        <is>
          <t>2025::jama.2025.24175::C014</t>
        </is>
      </c>
      <c r="B15" s="24" t="inlineStr">
        <is>
          <t>90-day APACHE-treatment point lies outside its stated confidence interval</t>
        </is>
      </c>
      <c r="C15" s="24" t="inlineStr">
        <is>
          <t>joi250116supp2_prod_1771885794.27755.pdf — physical PDF p.53, eFigure 9 panel B, APACHE II≥25×precision-immunotherapy row and 90-day-mortality caption.</t>
        </is>
      </c>
      <c r="D15" s="21" t="inlineStr">
        <is>
          <t>retain</t>
        </is>
      </c>
      <c r="E15" s="21" t="inlineStr">
        <is>
          <t>statistical_results</t>
        </is>
      </c>
      <c r="F15" s="21" t="inlineStr">
        <is>
          <t>primary_done</t>
        </is>
      </c>
      <c r="G15" s="24">
        <f>IFERROR(IF(LEN(TRIM(CLEAN(SUBSTITUTE(Setup!$B$2,CHAR(160)," "))))=0,"CHECK REVIEWER ID",IF(OR(A15="",COUNTIF($A$2:$A$15,A15)&lt;&gt;1,LEFT(A15,LEN("2025::jama.2025.24175::"))&lt;&gt;"2025::jama.2025.24175::"),"CHECK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eFigure 9 panel B (Supp2 p.53, rendered): 'APACHE II &gt;=25 x Precision Immunotherapy' 0.11 (0.36-3.42), P=.86: point estimate outside its CI. From the panel A counts (31/38 vs 32/40) the within-subgroup OR is 1.11 (0.36-3.42), uncorrected chi-square P=.86, so '0.11' is a typo for 1.11.</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2025::jama.2025.4390::C001</t>
        </is>
      </c>
      <c r="B2" s="20" t="inlineStr">
        <is>
          <t>Figure 3 primary and subgroup rate quantity/scale</t>
        </is>
      </c>
      <c r="C2" s="20" t="inlineStr">
        <is>
          <t>REPORT jama_garrison_2025_oi_250019_1749674951.29054.pdf — physical PDF p. 9; REPORT jama_garrison_2025_oi_250019_1749674951.29054.pdf — physical PDF p. 8; REPORT jama_garrison_2025_oi_250019_1749674951.29054.pdf — physical PDF p. 1; REPORT jama_garrison_2025_oi_250019_1749674951.29054.pdf — physical PDF p. 2; REPORT jama_garrison_2025_oi_250019_1749674951.29054.pdf — physical PDF p. 6</t>
        </is>
      </c>
      <c r="D2" s="21" t="inlineStr">
        <is>
          <t>retain</t>
        </is>
      </c>
      <c r="E2" s="21" t="inlineStr">
        <is>
          <t>statistical_results</t>
        </is>
      </c>
      <c r="F2" s="21" t="inlineStr">
        <is>
          <t>primary_done</t>
        </is>
      </c>
      <c r="G2" s="20">
        <f>IFERROR(IF(LEN(TRIM(CLEAN(SUBSTITUTE(Setup!$B$2,CHAR(160)," "))))=0,"CHECK REVIEWER ID",IF(OR(A2="",COUNTIF($A$2:$A$14,A2)&lt;&gt;1,LEFT(A2,LEN("2025::jama.2025.4390::"))&lt;&gt;"2025::jama.2025.4390::"),"CHECK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Figure 3 (main p.9) columns labeled 'Rate per 100 patient-years' contain 71.0/71.0 for all patients (and 30.5 + 40.5 = 71.0 for sex), whereas the primary rates are 2.30 and 2.44 per 100 patient-years (pp.1, 6, 8). The values are patient-years in hundreds, not rates.</t>
        </is>
      </c>
    </row>
    <row r="3" ht="92" customHeight="1" s="25">
      <c r="A3" s="24" t="inlineStr">
        <is>
          <t>2025::jama.2025.4390::C002</t>
        </is>
      </c>
      <c r="B3" s="24" t="inlineStr">
        <is>
          <t>Utilization endpoint restriction</t>
        </is>
      </c>
      <c r="C3" s="24" t="inlineStr">
        <is>
          <t>PLAN joi250019supp1_prod_1749674951.29554.pdf — physical PDF p. 3; PLAN joi250019supp2_prod_1749674951.30054.pdf — physical PDF p. 2; PLAN joi250019supp2_prod_1749674951.30054.pdf — physical PDF p. 4; REPORT jama_garrison_2025_oi_250019_1749674951.29054.pdf — physical PDF p. 1; REPORT jama_garrison_2025_oi_250019_1749674951.29054.pdf — physical PDF p. 3; REPORT jama_garrison_2025_oi_250019_1749674951.29054.pdf — physical PDF p. 8; REPORT joi250019supp3_prod_1749674951.30054.pdf — physical PDF p. 15</t>
        </is>
      </c>
      <c r="D3" s="21" t="inlineStr">
        <is>
          <t>retain</t>
        </is>
      </c>
      <c r="E3" s="21" t="inlineStr">
        <is>
          <t>protocol_report</t>
        </is>
      </c>
      <c r="F3" s="21" t="inlineStr">
        <is>
          <t>primary_done</t>
        </is>
      </c>
      <c r="G3" s="24">
        <f>IFERROR(IF(LEN(TRIM(CLEAN(SUBSTITUTE(Setup!$B$2,CHAR(160)," "))))=0,"CHECK REVIEWER ID",IF(OR(A3="",COUNTIF($A$2:$A$14,A3)&lt;&gt;1,LEFT(A3,LEN("2025::jama.2025.4390::"))&lt;&gt;"2025::jama.2025.4390::"),"CHECK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(May 2016; Supp1 p.3) lists all-cause hospital admission, and the SAP (Supp2 pp.2, 4; 'only version', Dec 2021) lists all-cause hospitalization/ED visit; the report restricts the outcome to all-cause UNPLANNED hospitalization/ED visit (main pp.1, 3, 8; adjudication rule in eAppendix Supp3). Not among the disclosed secondary-outcome changes (eAppendix Section 5).</t>
        </is>
      </c>
    </row>
    <row r="4" ht="92" customHeight="1" s="25">
      <c r="A4" s="20" t="inlineStr">
        <is>
          <t>2025::jama.2025.4390::C003</t>
        </is>
      </c>
      <c r="B4" s="20" t="inlineStr">
        <is>
          <t>Adaptive diuretic decision time/population</t>
        </is>
      </c>
      <c r="C4" s="20" t="inlineStr">
        <is>
          <t>PLAN joi250019supp1_prod_1749674951.29554.pdf — physical PDF p. 4; REPORT jama_garrison_2025_oi_250019_1749674951.29054.pdf — physical PDF p. 2</t>
        </is>
      </c>
      <c r="D4" s="21" t="inlineStr">
        <is>
          <t>retain</t>
        </is>
      </c>
      <c r="E4" s="21" t="inlineStr">
        <is>
          <t>protocol_report</t>
        </is>
      </c>
      <c r="F4" s="21" t="inlineStr">
        <is>
          <t>primary_done</t>
        </is>
      </c>
      <c r="G4" s="20">
        <f>IFERROR(IF(LEN(TRIM(CLEAN(SUBSTITUTE(Setup!$B$2,CHAR(160)," "))))=0,"CHECK REVIEWER ID",IF(OR(A4="",COUNTIF($A$2:$A$14,A4)&lt;&gt;1,LEFT(A4,LEN("2025::jama.2025.4390::"))&lt;&gt;"2025::jama.2025.4390::"),"CHECK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version_timing</t>
        </is>
      </c>
      <c r="M4" s="20" t="n"/>
      <c r="N4" s="23" t="n"/>
      <c r="O4" s="23" t="n"/>
      <c r="P4" s="23" t="n"/>
      <c r="Q4" s="23" t="n"/>
      <c r="R4" s="22" t="inlineStr">
        <is>
          <t>Protocol May 2016 (Supp1 p.4): adaptive diuretic decision after 200 diuretic-only enrollees, based on 6-week compliance of all bedtime-allocated BP drugs; report (main p.2): predefined interim assessment of 6-month adherence to bedtime diuretic use in monotherapy participants. The final published protocol (2022), cited as the source, is not supplied, and the amendment log does not cover this change.</t>
        </is>
      </c>
    </row>
    <row r="5" ht="92" customHeight="1" s="25">
      <c r="A5" s="24" t="inlineStr">
        <is>
          <t>2025::jama.2025.4390::C004</t>
        </is>
      </c>
      <c r="B5" s="24" t="inlineStr">
        <is>
          <t>Allocation specification</t>
        </is>
      </c>
      <c r="C5" s="24" t="inlineStr">
        <is>
          <t>PLAN joi250019supp1_prod_1749674951.29554.pdf — physical PDF p. 4; REPORT jama_garrison_2025_oi_250019_1749674951.29054.pdf — physical PDF p. 3; REPORT jama_garrison_2025_oi_250019_1749674951.29054.pdf — physical PDF p. 7; PLAN joi250019supp2_prod_1749674951.30054.pdf — physical PDF p. 4</t>
        </is>
      </c>
      <c r="D5" s="21" t="inlineStr">
        <is>
          <t>retain</t>
        </is>
      </c>
      <c r="E5" s="21" t="inlineStr">
        <is>
          <t>protocol_report</t>
        </is>
      </c>
      <c r="F5" s="21" t="inlineStr">
        <is>
          <t>primary_done</t>
        </is>
      </c>
      <c r="G5" s="24">
        <f>IFERROR(IF(LEN(TRIM(CLEAN(SUBSTITUTE(Setup!$B$2,CHAR(160)," "))))=0,"CHECK REVIEWER ID",IF(OR(A5="",COUNTIF($A$2:$A$14,A5)&lt;&gt;1,LEFT(A5,LEN("2025::jama.2025.4390::"))&lt;&gt;"2025::jama.2025.4390::"),"CHECK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version_timing</t>
        </is>
      </c>
      <c r="M5" s="24" t="n"/>
      <c r="N5" s="23" t="n"/>
      <c r="O5" s="23" t="n"/>
      <c r="P5" s="23" t="n"/>
      <c r="Q5" s="23" t="n"/>
      <c r="R5" s="22" t="inlineStr">
        <is>
          <t>Protocol May 2016 (Supp1 p.4): simple randomization with no stratification or blocking; report (main p.3): permuted blocks of 10 or 12 stratified by province. Amendment log silent; final 2022 protocol not supplied.</t>
        </is>
      </c>
    </row>
    <row r="6" ht="92" customHeight="1" s="25">
      <c r="A6" s="20" t="inlineStr">
        <is>
          <t>2025::jama.2025.4390::C005</t>
        </is>
      </c>
      <c r="B6" s="20" t="inlineStr">
        <is>
          <t>LTC medication-control criterion</t>
        </is>
      </c>
      <c r="C6" s="20" t="inlineStr">
        <is>
          <t>PLAN joi250019supp2_prod_1749674951.30054.pdf — physical PDF p. 2; REPORT jama_garrison_2025_oi_250019_1749674951.29054.pdf — physical PDF p. 3; REPORT jama_garrison_2025_oi_250019_1749674951.29054.pdf — physical PDF p. 8; REPORT joi250019supp3_prod_1749674951.30054.pdf — physical PDF p. 16</t>
        </is>
      </c>
      <c r="D6" s="21" t="inlineStr">
        <is>
          <t>retain</t>
        </is>
      </c>
      <c r="E6" s="21" t="inlineStr">
        <is>
          <t>protocol_report</t>
        </is>
      </c>
      <c r="F6" s="21" t="inlineStr">
        <is>
          <t>primary_done</t>
        </is>
      </c>
      <c r="G6" s="20">
        <f>IFERROR(IF(LEN(TRIM(CLEAN(SUBSTITUTE(Setup!$B$2,CHAR(160)," "))))=0,"CHECK REVIEWER ID",IF(OR(A6="",COUNTIF($A$2:$A$14,A6)&lt;&gt;1,LEFT(A6,LEN("2025::jama.2025.4390::"))&lt;&gt;"2025::jama.2025.4390::"),"CHECK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(Supp2 p.2; OCR) defines long-term care admission as admission to a nursing home or assisted living facility (protocol: nursing home admission); the report (Table 2 note g, main p.8) defines 'nursing home admission' as admission to a group living facility where participants no longer control their own medication timing.</t>
        </is>
      </c>
    </row>
    <row r="7" ht="92" customHeight="1" s="25">
      <c r="A7" s="24" t="inlineStr">
        <is>
          <t>2025::jama.2025.4390::C006</t>
        </is>
      </c>
      <c r="B7" s="24" t="inlineStr">
        <is>
          <t>Versioned health/glaucoma outcome hierarchy</t>
        </is>
      </c>
      <c r="C7" s="24" t="inlineStr">
        <is>
          <t>PLAN joi250019supp1_prod_1749674951.29554.pdf — physical PDF p. 3; PLAN joi250019supp2_prod_1749674951.30054.pdf — physical PDF p. 2; PLAN joi250019supp2_prod_1749674951.30054.pdf — physical PDF p. 3; REPORT jama_garrison_2025_oi_250019_1749674951.29054.pdf — physical PDF p. 3; REPORT jama_garrison_2025_oi_250019_1749674951.29054.pdf — physical PDF p. 7; REPORT jama_garrison_2025_oi_250019_1749674951.29054.pdf — physical PDF p. 8; REPORT joi250019supp3_prod_1749674951.30054.pdf — physical PDF p. 21</t>
        </is>
      </c>
      <c r="D7" s="21" t="inlineStr">
        <is>
          <t>retain</t>
        </is>
      </c>
      <c r="E7" s="21" t="inlineStr">
        <is>
          <t>protocol_report</t>
        </is>
      </c>
      <c r="F7" s="21" t="inlineStr">
        <is>
          <t>primary_done</t>
        </is>
      </c>
      <c r="G7" s="24">
        <f>IFERROR(IF(LEN(TRIM(CLEAN(SUBSTITUTE(Setup!$B$2,CHAR(160)," "))))=0,"CHECK REVIEWER ID",IF(OR(A7="",COUNTIF($A$2:$A$14,A7)&lt;&gt;1,LEFT(A7,LEN("2025::jama.2025.4390::"))&lt;&gt;"2025::jama.2025.4390::"),"CHECK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2016 (Supp1 p.3): quality of life (EQ-5D) secondary, glaucoma diagnosis a safety outcome; SAP (Supp2 pp.2-3) and report (main pp.3, 7-8): glaucoma diagnosis secondary, EQ-5D overall health score exploratory. Partly disclosed (eAppendix Section 5: EQ-5D change-score altered; glaucoma added).</t>
        </is>
      </c>
    </row>
    <row r="8" ht="92" customHeight="1" s="25">
      <c r="A8" s="20" t="inlineStr">
        <is>
          <t>2025::jama.2025.4390::C007</t>
        </is>
      </c>
      <c r="B8" s="20" t="inlineStr">
        <is>
          <t>Vision recall reference and aggregation</t>
        </is>
      </c>
      <c r="C8" s="20" t="inlineStr">
        <is>
          <t>PLAN joi250019supp1_prod_1749674951.29554.pdf — physical PDF p. 3; PLAN joi250019supp2_prod_1749674951.30054.pdf — physical PDF p. 2; REPORT jama_garrison_2025_oi_250019_1749674951.29054.pdf — physical PDF p. 3; REPORT jama_garrison_2025_oi_250019_1749674951.29054.pdf — physical PDF p. 8</t>
        </is>
      </c>
      <c r="D8" s="21" t="inlineStr">
        <is>
          <t>retain</t>
        </is>
      </c>
      <c r="E8" s="21" t="inlineStr">
        <is>
          <t>protocol_report</t>
        </is>
      </c>
      <c r="F8" s="21" t="inlineStr">
        <is>
          <t>primary_done</t>
        </is>
      </c>
      <c r="G8" s="20">
        <f>IFERROR(IF(LEN(TRIM(CLEAN(SUBSTITUTE(Setup!$B$2,CHAR(160)," "))))=0,"CHECK REVIEWER ID",IF(OR(A8="",COUNTIF($A$2:$A$14,A8)&lt;&gt;1,LEFT(A8,LEN("2025::jama.2025.4390::"))&lt;&gt;"2025::jama.2025.4390::"),"CHECK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2016 (Supp1 p.3): self-reported worsening of vision since study start (unchanged/slightly/much worse); SAP (Supp2 p.2) and report (main pp.3, 8): 'much worse' than last follow-up at any point or 'slightly worse' than last follow-up on &gt;=2 occasions.</t>
        </is>
      </c>
    </row>
    <row r="9" ht="92" customHeight="1" s="25">
      <c r="A9" s="24" t="inlineStr">
        <is>
          <t>2025::jama.2025.4390::C008</t>
        </is>
      </c>
      <c r="B9" s="24" t="inlineStr">
        <is>
          <t>Six medication-class subgroup prespecification axes</t>
        </is>
      </c>
      <c r="C9" s="24" t="inlineStr">
        <is>
          <t>PLAN joi250019supp2_prod_1749674951.30054.pdf — physical PDF p. 6; REPORT jama_garrison_2025_oi_250019_1749674951.29054.pdf — physical PDF p. 6; REPORT jama_garrison_2025_oi_250019_1749674951.29054.pdf — physical PDF p. 9</t>
        </is>
      </c>
      <c r="D9" s="21" t="inlineStr">
        <is>
          <t>retain</t>
        </is>
      </c>
      <c r="E9" s="21" t="inlineStr">
        <is>
          <t>protocol_report</t>
        </is>
      </c>
      <c r="F9" s="21" t="inlineStr">
        <is>
          <t>primary_done</t>
        </is>
      </c>
      <c r="G9" s="24">
        <f>IFERROR(IF(LEN(TRIM(CLEAN(SUBSTITUTE(Setup!$B$2,CHAR(160)," "))))=0,"CHECK REVIEWER ID",IF(OR(A9="",COUNTIF($A$2:$A$14,A9)&lt;&gt;1,LEFT(A9,LEN("2025::jama.2025.4390::"))&lt;&gt;"2025::jama.2025.4390::"),"CHECK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SAP subgroup list (Supp2 p.6; rendered) has age, sex, frailty, polypharmacy, health score, resistant HTN, CHF, diabetes, CAD, stroke/TIA, sleep apnea, CKD, sedentary; Figure 3 (main p.9) adds six medication-class subgroups (ACEI, ARB, beta-blocker, CCB, diuretic, combination) and its footnote and p.6 call all subgroups prespecified/predefined.</t>
        </is>
      </c>
    </row>
    <row r="10" ht="92" customHeight="1" s="25">
      <c r="A10" s="20" t="inlineStr">
        <is>
          <t>2025::jama.2025.4390::C009</t>
        </is>
      </c>
      <c r="B10" s="20" t="inlineStr">
        <is>
          <t>Planned within-arm withdrawal sensitivity contrast</t>
        </is>
      </c>
      <c r="C10" s="20" t="inlineStr">
        <is>
          <t>PLAN joi250019supp2_prod_1749674951.30054.pdf — physical PDF p. 6; REPORT joi250019supp3_prod_1749674951.30054.pdf — physical PDF p. 33; REPORT joi250019supp3_prod_1749674951.30054.pdf — physical PDF p. 34; REPORT joi250019supp3_prod_1749674951.30054.pdf — physical PDF p. 35; REPORT joi250019supp3_prod_1749674951.30054.pdf — physical PDF p. 36; REPORT joi250019supp3_prod_1749674951.30054.pdf — physical PDF p. 37; REPORT joi250019supp3_prod_1749674951.30054.pdf — physical PDF p. 38; REPORT joi250019supp3_prod_1749674951.30054.pdf — physical PDF p. 39; REPORT joi250019supp3_prod_1749674951.30054.pdf — physical PDF p. 40</t>
        </is>
      </c>
      <c r="D10" s="21" t="inlineStr">
        <is>
          <t>retain</t>
        </is>
      </c>
      <c r="E10" s="21" t="inlineStr">
        <is>
          <t>protocol_report</t>
        </is>
      </c>
      <c r="F10" s="21" t="inlineStr">
        <is>
          <t>primary_done</t>
        </is>
      </c>
      <c r="G10" s="20">
        <f>IFERROR(IF(LEN(TRIM(CLEAN(SUBSTITUTE(Setup!$B$2,CHAR(160)," "))))=0,"CHECK REVIEWER ID",IF(OR(A10="",COUNTIF($A$2:$A$14,A10)&lt;&gt;1,LEFT(A10,LEN("2025::jama.2025.4390::"))&lt;&gt;"2025::jama.2025.4390::"),"CHECK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SAP (Supp2 p.6; rendered): present, by treatment group, baseline characteristics of those censored for withdrawal/loss to follow-up and compare them with those not censored (Fisher exact). Report: eTable 4 compares censored vs not with arms pooled (Supp3 pp.33-36); eTable 5 compares arms only among the 101 untrackable dropouts (pp.37-40). The planned within-arm contrast is not shown.</t>
        </is>
      </c>
    </row>
    <row r="11" ht="92" customHeight="1" s="25">
      <c r="A11" s="24" t="inlineStr">
        <is>
          <t>2025::jama.2025.4390::C010</t>
        </is>
      </c>
      <c r="B11" s="24" t="inlineStr">
        <is>
          <t>eTable 4 chronotype test reproduction</t>
        </is>
      </c>
      <c r="C11" s="24" t="inlineStr">
        <is>
          <t>REPORT joi250019supp3_prod_1749674951.30054.pdf — physical PDF p. 33; REPORT joi250019supp3_prod_1749674951.30054.pdf — physical PDF p. 34; REPORT joi250019supp3_prod_1749674951.30054.pdf — physical PDF p. 35; REPORT joi250019supp3_prod_1749674951.30054.pdf — physical PDF p. 36</t>
        </is>
      </c>
      <c r="D11" s="21" t="inlineStr">
        <is>
          <t>retain</t>
        </is>
      </c>
      <c r="E11" s="21" t="inlineStr">
        <is>
          <t>statistical_results</t>
        </is>
      </c>
      <c r="F11" s="21" t="inlineStr">
        <is>
          <t>primary_done</t>
        </is>
      </c>
      <c r="G11" s="24">
        <f>IFERROR(IF(LEN(TRIM(CLEAN(SUBSTITUTE(Setup!$B$2,CHAR(160)," "))))=0,"CHECK REVIEWER ID",IF(OR(A11="",COUNTIF($A$2:$A$14,A11)&lt;&gt;1,LEFT(A11,LEN("2025::jama.2025.4390::"))&lt;&gt;"2025::jama.2025.4390::"),"CHECK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4 (Supp3 p.33) chronotype 1388/818/520 vs 352/154/125 with P=0.09; chi-square from these counts gives P=0.018 (Fisher 0.017). Other rows reproduce (sex P=.11; smoking .004).</t>
        </is>
      </c>
    </row>
    <row r="12" ht="92" customHeight="1" s="25">
      <c r="A12" s="20" t="inlineStr">
        <is>
          <t>2025::jama.2025.4390::C011</t>
        </is>
      </c>
      <c r="B12" s="20" t="inlineStr">
        <is>
          <t>eTable 5 ethnicity totals</t>
        </is>
      </c>
      <c r="C12" s="20" t="inlineStr">
        <is>
          <t>REPORT joi250019supp3_prod_1749674951.30054.pdf — physical PDF p. 37; REPORT joi250019supp3_prod_1749674951.30054.pdf — physical PDF p. 40</t>
        </is>
      </c>
      <c r="D12" s="21" t="inlineStr">
        <is>
          <t>retain</t>
        </is>
      </c>
      <c r="E12" s="21" t="inlineStr">
        <is>
          <t>statistical_results</t>
        </is>
      </c>
      <c r="F12" s="21" t="inlineStr">
        <is>
          <t>primary_done</t>
        </is>
      </c>
      <c r="G12" s="20">
        <f>IFERROR(IF(LEN(TRIM(CLEAN(SUBSTITUTE(Setup!$B$2,CHAR(160)," "))))=0,"CHECK REVIEWER ID",IF(OR(A12="",COUNTIF($A$2:$A$14,A12)&lt;&gt;1,LEFT(A12,LEN("2025::jama.2025.4390::"))&lt;&gt;"2025::jama.2025.4390::"),"CHECK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eTable 5 (Supp3 p.37) ethnicity: the 'Other' row repeats the White row (40 (90.9) / 53 (93.0)), so ethnicity categories sum to 85 and 107 against n=44 and 57.</t>
        </is>
      </c>
    </row>
    <row r="13" ht="92" customHeight="1" s="25">
      <c r="A13" s="24" t="inlineStr">
        <is>
          <t>2025::jama.2025.4390::C012</t>
        </is>
      </c>
      <c r="B13" s="24" t="inlineStr">
        <is>
          <t>Identical medication tables, differing P values</t>
        </is>
      </c>
      <c r="C13" s="24" t="inlineStr">
        <is>
          <t>REPORT joi250019supp3_prod_1749674951.30054.pdf — physical PDF p. 39; REPORT joi250019supp3_prod_1749674951.30054.pdf — physical PDF p. 37; REPORT joi250019supp3_prod_1749674951.30054.pdf — physical PDF p. 40</t>
        </is>
      </c>
      <c r="D13" s="21" t="inlineStr">
        <is>
          <t>retain</t>
        </is>
      </c>
      <c r="E13" s="21" t="inlineStr">
        <is>
          <t>statistical_results</t>
        </is>
      </c>
      <c r="F13" s="21" t="inlineStr">
        <is>
          <t>primary_done</t>
        </is>
      </c>
      <c r="G13" s="24">
        <f>IFERROR(IF(LEN(TRIM(CLEAN(SUBSTITUTE(Setup!$B$2,CHAR(160)," "))))=0,"CHECK REVIEWER ID",IF(OR(A13="",COUNTIF($A$2:$A$14,A13)&lt;&gt;1,LEFT(A13,LEN("2025::jama.2025.4390::"))&lt;&gt;"2025::jama.2025.4390::"),"CHECK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5 (Supp3 p.39): Diuretic 9 (20.5) vs 16 (28.1), P=0.34 and Combination BP med 9 (20.5) vs 16 (28.1), P=0.38: identical counts with different P values. 9/44 vs 16/57 gives uncorrected chi-square P=0.38, so the diuretic row's counts (or P) are wrong.</t>
        </is>
      </c>
    </row>
    <row r="14" ht="92" customHeight="1" s="25">
      <c r="A14" s="20" t="inlineStr">
        <is>
          <t>2025::jama.2025.4390::C013</t>
        </is>
      </c>
      <c r="B14" s="20" t="inlineStr">
        <is>
          <t>ARB bedtime Other Reason fraction</t>
        </is>
      </c>
      <c r="C14" s="20" t="inlineStr">
        <is>
          <t>REPORT joi250019supp3_prod_1749674951.30054.pdf — physical PDF p. 46; REPORT joi250019supp3_prod_1749674951.30054.pdf — physical PDF p. 45; REPORT joi250019supp3_prod_1749674951.30054.pdf — physical PDF p. 48</t>
        </is>
      </c>
      <c r="D14" s="21" t="inlineStr">
        <is>
          <t>retain</t>
        </is>
      </c>
      <c r="E14" s="21" t="inlineStr">
        <is>
          <t>statistical_results</t>
        </is>
      </c>
      <c r="F14" s="21" t="inlineStr">
        <is>
          <t>primary_done</t>
        </is>
      </c>
      <c r="G14" s="20">
        <f>IFERROR(IF(LEN(TRIM(CLEAN(SUBSTITUTE(Setup!$B$2,CHAR(160)," "))))=0,"CHECK REVIEWER ID",IF(OR(A14="",COUNTIF($A$2:$A$14,A14)&lt;&gt;1,LEFT(A14,LEN("2025::jama.2025.4390::"))&lt;&gt;"2025::jama.2025.4390::"),"CHECK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8 (Supp3 p.46, rendered) 'Other Reason/Cannot Remember', ARB bedtime column: 1/37 printed as 7.7%; 1/37 = 2.7%. Neighboring cells reproduce (2/38 = 5.3%; 2/26 = 7.7%).</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2025::jama.2025.7583::C001</t>
        </is>
      </c>
      <c r="B2" s="20" t="inlineStr">
        <is>
          <t>Planned complication comparison has no supplied comparative result</t>
        </is>
      </c>
      <c r="C2" s="20" t="inlineStr">
        <is>
          <t>PLAN joi250033supp1_prod_1750956987.76581.pdf — p. 50, secondary-endpoint analysis; PLAN joi250033supp5_prod_1750956987.78281.pdf — p. 4, section 2.2, joi250033supp5_prod_1750956987.78281.pdf — p. 7, section 3.6 fifth bullet. REPORT jama_shotar_2025_oi_250033_1750956987.75881.pdf — p. 1, abstract, jama_shotar_2025_oi_250033_1750956987.75881.pdf — p. 3, Secondary End Points/Statistical Analysis, jama_shotar_2025_oi_250033_1750956987.75881.pdf — p. 6, Table 2 complication rows, footnote j and narrative, jama_shotar_2025_oi_250033_1750956987.75881.pdf — p. 7, complication narrative. REPORT joi250033supp4_prod_1750956987.77981.pdf — p. 12, eTable 3, joi250033supp4_prod_1750956987.77981.pdf — p. 13, eTable 3 continuation.</t>
        </is>
      </c>
      <c r="D2" s="21" t="inlineStr">
        <is>
          <t>retain</t>
        </is>
      </c>
      <c r="E2" s="21" t="inlineStr">
        <is>
          <t>protocol_report</t>
        </is>
      </c>
      <c r="F2" s="21" t="inlineStr">
        <is>
          <t>primary_done</t>
        </is>
      </c>
      <c r="G2" s="20">
        <f>IFERROR(IF(LEN(TRIM(CLEAN(SUBSTITUTE(Setup!$B$2,CHAR(160)," "))))=0,"CHECK REVIEWER ID",IF(OR(A2="",COUNTIF($A$2:$A$5,A2)&lt;&gt;1,LEFT(A2,LEN("2025::jama.2025.7583::"))&lt;&gt;"2025::jama.2025.7583::"),"CHECK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inlineStr">
        <is>
          <t>Protocol v1.1 (Supp1 p.50) and SAP v2 §3.6 (Supp5 p.7) plan a between-group comparison of minor and major complication rates (chi-square/Fisher); the report gives procedure-related complications for the embolization arm only (1 major, 3 minor; main pp.1, 6, Table 2), with no comparative result. L left blank: by definition the control arm cannot have embolization-procedure complications, so the planned test is degenerate.</t>
        </is>
      </c>
    </row>
    <row r="3" ht="92" customHeight="1" s="25">
      <c r="A3" s="24" t="inlineStr">
        <is>
          <t>2025::jama.2025.7583::C002</t>
        </is>
      </c>
      <c r="B3" s="24" t="inlineStr">
        <is>
          <t>Strict versus inclusive primary recurrence boundary</t>
        </is>
      </c>
      <c r="C3" s="24" t="inlineStr">
        <is>
          <t>PLAN joi250033supp5_prod_1750956987.78281.pdf — p. 3, section 2.1 first bullet. PLAN joi250033supp1_prod_1750956987.76581.pdf — p. 7, synopsis, joi250033supp1_prod_1750956987.76581.pdf — p. 16, section 4.1.1 primary endpoint, joi250033supp1_prod_1750956987.76581.pdf — p. 21, both follow-up recurrence definitions, joi250033supp1_prod_1750956987.76581.pdf — p. 31, section 8.1. REPORT jama_shotar_2025_oi_250033_1750956987.75881.pdf — p. 3, End Points. REPORT joi250033supp4_prod_1750956987.77981.pdf — p. 11, eTable 2 criteria 1 and 1a, joi250033supp4_prod_1750956987.77981.pdf — p. 15, EMPROTECT primary endpoint.</t>
        </is>
      </c>
      <c r="D3" s="21" t="inlineStr">
        <is>
          <t>retain</t>
        </is>
      </c>
      <c r="E3" s="21" t="inlineStr">
        <is>
          <t>protocol_report</t>
        </is>
      </c>
      <c r="F3" s="21" t="inlineStr">
        <is>
          <t>primary_done</t>
        </is>
      </c>
      <c r="G3" s="24">
        <f>IFERROR(IF(LEN(TRIM(CLEAN(SUBSTITUTE(Setup!$B$2,CHAR(160)," "))))=0,"CHECK REVIEWER ID",IF(OR(A3="",COUNTIF($A$2:$A$5,A3)&lt;&gt;1,LEFT(A3,LEN("2025::jama.2025.7583::"))&lt;&gt;"2025::jama.2025.7583::"),"CHECK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Primary recurrence criterion: protocol v1.1 (Supp1 pp.7, 16, 21, 31) and report (main p.3) use midline shift &gt;=5 mm; SAP v2 §2.1 (Supp5 p.3) uses &gt;5 mm. Report matches the protocol; the SAP differs at the boundary value of exactly 5 mm.</t>
        </is>
      </c>
    </row>
    <row r="4" ht="92" customHeight="1" s="25">
      <c r="A4" s="20" t="inlineStr">
        <is>
          <t>2025::jama.2025.7583::C003</t>
        </is>
      </c>
      <c r="B4" s="20" t="inlineStr">
        <is>
          <t>Disclosed cause-restricted death amendment in primary composite</t>
        </is>
      </c>
      <c r="C4" s="20" t="inlineStr">
        <is>
          <t>PLAN joi250033supp1_prod_1750956987.76581.pdf — p. 48, interim analysis, joi250033supp1_prod_1750956987.76581.pdf — p. 49, final primary analysis. PLAN joi250033supp5_prod_1750956987.78281.pdf — p. 5, interim analysis, joi250033supp5_prod_1750956987.78281.pdf — p. 6, final analysis, joi250033supp5_prod_1750956987.78281.pdf — p. 8, version-change table. REPORT jama_shotar_2025_oi_250033_1750956987.75881.pdf — p. 3, Statistical Analysis, jama_shotar_2025_oi_250033_1750956987.75881.pdf — p. 4, Figure 1, jama_shotar_2025_oi_250033_1750956987.75881.pdf — p. 5, Primary End Point narrative, jama_shotar_2025_oi_250033_1750956987.75881.pdf — p. 6, Table 2. REPORT joi250033supp4_prod_1750956987.77981.pdf — p. 5, imputation methods, joi250033supp4_prod_1750956987.77981.pdf — p. 9, no-imputation sensitivity footnote, joi250033supp4_prod_1750956987.77981.pdf — p. 11, recurrence/death criteria.</t>
        </is>
      </c>
      <c r="D4" s="21" t="inlineStr">
        <is>
          <t>retain</t>
        </is>
      </c>
      <c r="E4" s="21" t="inlineStr">
        <is>
          <t>protocol_report</t>
        </is>
      </c>
      <c r="F4" s="21" t="inlineStr">
        <is>
          <t>primary_done</t>
        </is>
      </c>
      <c r="G4" s="20">
        <f>IFERROR(IF(LEN(TRIM(CLEAN(SUBSTITUTE(Setup!$B$2,CHAR(160)," "))))=0,"CHECK REVIEWER ID",IF(OR(A4="",COUNTIF($A$2:$A$5,A4)&lt;&gt;1,LEFT(A4,LEN("2025::jama.2025.7583::"))&lt;&gt;"2025::jama.2025.7583::"),"CHECK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v1.1 (Supp1 pp.48-49) and SAP v1 count any death without recurrence as failure; SAP v2 (28 Feb 2024; Supp5 pp.6, 8 change table) and the report (main p.3, Figure 1) count only deaths from neurological or undetermined cause as recurrence; other deaths are imputed. Disclosed (SAP change table).</t>
        </is>
      </c>
    </row>
    <row r="5" ht="92" customHeight="1" s="25">
      <c r="A5" s="24" t="inlineStr">
        <is>
          <t>2025::jama.2025.7583::C004</t>
        </is>
      </c>
      <c r="B5" s="24" t="inlineStr">
        <is>
          <t>Midline-shift samples exceed stated unilateral populations</t>
        </is>
      </c>
      <c r="C5" s="24" t="inlineStr">
        <is>
          <t>REPORT jama_shotar_2025_oi_250033_1750956987.75881.pdf — physical p. 5, Table 1 headers, Unilateral CSDH row, Midline shift row and continuation footnote d. Physical p. 5 is printed journal p. 131; evidence links use physical pagination.</t>
        </is>
      </c>
      <c r="D5" s="21" t="inlineStr">
        <is>
          <t>retain</t>
        </is>
      </c>
      <c r="E5" s="21" t="inlineStr">
        <is>
          <t>statistical_results</t>
        </is>
      </c>
      <c r="F5" s="21" t="inlineStr">
        <is>
          <t>primary_done</t>
        </is>
      </c>
      <c r="G5" s="24">
        <f>IFERROR(IF(LEN(TRIM(CLEAN(SUBSTITUTE(Setup!$B$2,CHAR(160)," "))))=0,"CHECK REVIEWER ID",IF(OR(A5="",COUNTIF($A$2:$A$5,A5)&lt;&gt;1,LEFT(A5,LEN("2025::jama.2025.7583::"))&lt;&gt;"2025::jama.2025.7583::"),"CHECK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(main p.5): midline shift median (IQR) with [n = 161] in each arm, footnote d 'data provided for unilateral CSDH only', but unilateral CSDH totals are 127 and 130 (thickness n = 122 each). 161 exceeds the unilateral population.</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2025::jama.2025.7710::C001</t>
        </is>
      </c>
      <c r="B2" s="20" t="inlineStr">
        <is>
          <t>Planned prognostic-adjusted primary result is not identified</t>
        </is>
      </c>
      <c r="C2" s="20" t="inlineStr">
        <is>
          <t>PLAN joi250034supp1_prod_1750956984.09018.pdf — protocol p.20, §13.2; joi250034supp2_prod_1750956984.11521.pdf — SAP p.12, §3.2, joi250034supp2_prod_1750956984.11521.pdf — SAP p.13, §3.9, and joi250034supp2_prod_1750956984.11521.pdf — SAP p.26, Table 12. REPORT jama_kumar_2025_oi_250034_1750956984.08518.pdf — main p.3, Statistical Analysis, jama_kumar_2025_oi_250034_1750956984.08518.pdf — main p.6, primary/sensitivity paragraph, jama_kumar_2025_oi_250034_1750956984.08518.pdf — main p.7, Table 3, jama_kumar_2025_oi_250034_1750956984.08518.pdf — main p.8, Figure 2/Table 4, and joi250034supp3_prod_1750956984.12018.pdf — results p.2, eTable 1. All main pp.1–11 and results-supplement pp.1–6 were inspected for the output. joi250034supp2_prod_1750956984.11521.pdf — SAP p.4 supplies blinded-development context only.</t>
        </is>
      </c>
      <c r="D2" s="21" t="inlineStr">
        <is>
          <t>retain</t>
        </is>
      </c>
      <c r="E2" s="21" t="inlineStr">
        <is>
          <t>protocol_report</t>
        </is>
      </c>
      <c r="F2" s="21" t="inlineStr">
        <is>
          <t>primary_done</t>
        </is>
      </c>
      <c r="G2" s="20">
        <f>IFERROR(IF(LEN(TRIM(CLEAN(SUBSTITUTE(Setup!$B$2,CHAR(160)," "))))=0,"CHECK REVIEWER ID",IF(OR(A2="",COUNTIF($A$2:$A$4,A2)&lt;&gt;1,LEFT(A2,LEN("2025::jama.2025.7710::"))&lt;&gt;"2025::jama.2025.7710::"),"CHECK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v2.1 §13.2 (Supp1 p.20) and SAP §3.2/§3.9 with Table 12 shell (Supp2 pp.12-13, 26) plan a secondary analysis of the primary outcome adjusted for prognostic factors (SGA, preeclampsia, delivery method in previous pregnancy, fetal anomaly). Main p.3 says it was undertaken, but no prognostic-adjusted RR appears in the article or eTable 1 (Supp3 p.2), which adjusts only for a cord-pH 'not done' indicator.</t>
        </is>
      </c>
    </row>
    <row r="3" ht="92" customHeight="1" s="25">
      <c r="A3" s="24" t="inlineStr">
        <is>
          <t>2025::jama.2025.7710::C002</t>
        </is>
      </c>
      <c r="B3" s="24" t="inlineStr">
        <is>
          <t>Planned component multiplicity adjustment differs from reported rule</t>
        </is>
      </c>
      <c r="C3" s="24" t="inlineStr">
        <is>
          <t>PLAN joi250034supp1_prod_1750956984.09018.pdf — protocol p.20, §13.2, with contextual continuation joi250034supp1_prod_1750956984.09018.pdf — p.21; joi250034supp2_prod_1750956984.11521.pdf — SAP p.12, §3.2, and joi250034supp2_prod_1750956984.11521.pdf — SAP p.25, Table 11 adjusted-P column. REPORT jama_kumar_2025_oi_250034_1750956984.08518.pdf — main p.3, outcome/interpretation paragraphs, jama_kumar_2025_oi_250034_1750956984.08518.pdf — main p.4, no-adjustment statement, and jama_kumar_2025_oi_250034_1750956984.08518.pdf — main p.7, Table 3, every component P-value row.</t>
        </is>
      </c>
      <c r="D3" s="21" t="inlineStr">
        <is>
          <t>retain</t>
        </is>
      </c>
      <c r="E3" s="21" t="inlineStr">
        <is>
          <t>protocol_report</t>
        </is>
      </c>
      <c r="F3" s="21" t="inlineStr">
        <is>
          <t>primary_done</t>
        </is>
      </c>
      <c r="G3" s="24">
        <f>IFERROR(IF(LEN(TRIM(CLEAN(SUBSTITUTE(Setup!$B$2,CHAR(160)," "))))=0,"CHECK REVIEWER ID",IF(OR(A3="",COUNTIF($A$2:$A$4,A3)&lt;&gt;1,LEFT(A3,LEN("2025::jama.2025.7710::"))&lt;&gt;"2025::jama.2025.7710::"),"CHECK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§13.2 (Supp1 p.20) and SAP §3.2 and Table 11 (Supp2 pp.12, 25) require Benjamini-Hochberg-adjusted P values for the 10 primary-composite components; the report states there was no adjustment for multiple testing and interprets the pattern of findings (main pp.3-4); no adjusted P values are shown.</t>
        </is>
      </c>
    </row>
    <row r="4" ht="92" customHeight="1" s="25">
      <c r="A4" s="20" t="inlineStr">
        <is>
          <t>2025::jama.2025.7710::C003</t>
        </is>
      </c>
      <c r="B4" s="20" t="inlineStr">
        <is>
          <t>Prior-cesarean subgroup history window differs from protocol</t>
        </is>
      </c>
      <c r="C4" s="20" t="inlineStr">
        <is>
          <t>PLAN comparator joi250034supp1_prod_1750956984.09018.pdf — protocol p.17, §8 subgroup 4. REPORT jama_kumar_2025_oi_250034_1750956984.08518.pdf — main p.4, prespecified-subgroup paragraph, jama_kumar_2025_oi_250034_1750956984.08518.pdf — main p.7, repeated subgroup-results description, and jama_kumar_2025_oi_250034_1750956984.08518.pdf — main p.8, Figure 2 preceding-pregnancy-cesarean family/caption. Corroborating PLAN joi250034supp2_prod_1750956984.11521.pdf — SAP p.14, §3.11, joi250034supp2_prod_1750956984.11521.pdf — SAP p.29, Table 15, and joi250034supp2_prod_1750956984.11521.pdf — SAP p.4, revision history/blinded-preparation declaration. Additional timing/process context: jama_kumar_2025_oi_250034_1750956984.08518.pdf — main p.3, prespecification-before-lock statement and joi250034supp1_prod_1750956984.09018.pdf — protocol p.22, §15.3 amendment process.</t>
        </is>
      </c>
      <c r="D4" s="21" t="inlineStr">
        <is>
          <t>retain</t>
        </is>
      </c>
      <c r="E4" s="21" t="inlineStr">
        <is>
          <t>protocol_report</t>
        </is>
      </c>
      <c r="F4" s="21" t="inlineStr">
        <is>
          <t>primary_done</t>
        </is>
      </c>
      <c r="G4" s="20">
        <f>IFERROR(IF(LEN(TRIM(CLEAN(SUBSTITUTE(Setup!$B$2,CHAR(160)," "))))=0,"CHECK REVIEWER ID",IF(OR(A4="",COUNTIF($A$2:$A$4,A4)&lt;&gt;1,LEFT(A4,LEN("2025::jama.2025.7710::"))&lt;&gt;"2025::jama.2025.7710::"),"CHECK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§8 (Supp1 p.17) subgroup: one or more previous cesarean deliveries; SAP (Supp2 subgroup list) and report (main pp.4, 7; Figure 2 p.8): cesarean delivery in the preceding pregnancy. Report follows the SAP.</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2025::jama.2025.9110::C001</t>
        </is>
      </c>
      <c r="B2" s="20" t="inlineStr">
        <is>
          <t>Planned ventilation Cox analysis replaced by a tobit mean contrast</t>
        </is>
      </c>
      <c r="C2" s="20" t="inlineStr">
        <is>
          <t>REPORT jama_summers_2025_oi_250040_1753124024.36498.pdf — main article p. 1, abstract ventilation effect; REPORT jama_summers_2025_oi_250040_1753124024.36498.pdf — main article p. 4, SAP-concordance statement; REPORT jama_summers_2025_oi_250040_1753124024.36498.pdf — main article p. 5, repeated ventilation mean contrast; REPORT jama_summers_2025_oi_250040_1753124024.36498.pdf — main article p. 7, Table 2 ventilation row; PLAN joi250040supp1_prod_1753124024.37199.pdf — protocol p. 21, lines 679–684; PLAN joi250040supp2_prod_1753124024.37799.pdf — SAP p. 18, lines 416–431; PLAN joi250040supp2_prod_1753124024.37799.pdf — SAP p. 28, Table 1 ventilation analysis; REPORT joi250040supp3_prod_1753124024.38098.pdf — results supplement p. 4, Duration of invasive ventilation; REPORT joi250040supp3_prod_1753124024.38098.pdf — results supplement p. 6, metobit/margins</t>
        </is>
      </c>
      <c r="D2" s="21" t="inlineStr">
        <is>
          <t>retain</t>
        </is>
      </c>
      <c r="E2" s="21" t="inlineStr">
        <is>
          <t>protocol_report</t>
        </is>
      </c>
      <c r="F2" s="21" t="inlineStr">
        <is>
          <t>primary_done</t>
        </is>
      </c>
      <c r="G2" s="20">
        <f>IFERROR(IF(LEN(TRIM(CLEAN(SUBSTITUTE(Setup!$B$2,CHAR(160)," "))))=0,"CHECK REVIEWER ID",IF(OR(A2="",COUNTIF($A$2:$A$4,A2)&lt;&gt;1,LEFT(A2,LEN("2025::jama.2025.9110::"))&lt;&gt;"2025::jama.2025.9110::"),"CHECK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SAP (Supp2 pp.18-19; OCR) analyzes duration of invasive ventilation as time to event (cause-specific Cox HR, death censored); the report gives a tobit mixed-model mean difference of 6.8 h (abstract p.1; pp.5, 7). Disclosed in eMethods (Supp3: 'rather than as a time-to-event outcome as stated in the published SAP'), although main p.4 says all analyses followed the SAP.</t>
        </is>
      </c>
    </row>
    <row r="3" ht="92" customHeight="1" s="25">
      <c r="A3" s="24" t="inlineStr">
        <is>
          <t>2025::jama.2025.9110::C002</t>
        </is>
      </c>
      <c r="B3" s="24" t="inlineStr">
        <is>
          <t>Printed ICU confidence interval and P value have different null-status readings</t>
        </is>
      </c>
      <c r="C3" s="24" t="inlineStr">
        <is>
          <t>REPORT jama_summers_2025_oi_250040_1753124024.36498.pdf — main article p. 1, abstract ICU-discharge interval; REPORT jama_summers_2025_oi_250040_1753124024.36498.pdf — main article p. 4, two-sided testing and threshold; REPORT jama_summers_2025_oi_250040_1753124024.36498.pdf — main article p. 5, secondary-outcome ICU interval; REPORT jama_summers_2025_oi_250040_1753124024.36498.pdf — main article p. 7, Table 2 ICU row and footnote b</t>
        </is>
      </c>
      <c r="D3" s="21" t="inlineStr">
        <is>
          <t>exclude</t>
        </is>
      </c>
      <c r="E3" s="21" t="inlineStr">
        <is>
          <t>statistical_results</t>
        </is>
      </c>
      <c r="F3" s="21" t="inlineStr">
        <is>
          <t>primary_done</t>
        </is>
      </c>
      <c r="G3" s="24">
        <f>IFERROR(IF(LEN(TRIM(CLEAN(SUBSTITUTE(Setup!$B$2,CHAR(160)," "))))=0,"CHECK REVIEWER ID",IF(OR(A3="",COUNTIF($A$2:$A$4,A3)&lt;&gt;1,LEFT(A3,LEN("2025::jama.2025.9110::"))&lt;&gt;"2025::jama.2025.9110::"),"CHECK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inlineStr">
        <is>
          <t>ICU discharge HR 0.93 (95% CI 0.88-1.00), P=.04 (abstract, p.5, Table 2 p.7). The printed upper limit 1.00 is rounded; letting estimate and limits vary within their half-units, the CI-implied P ranges from .009 to .057 (about .026 at the printed values), which contains .04. Display rounding, not a conflict.</t>
        </is>
      </c>
    </row>
    <row r="4" ht="92" customHeight="1" s="25">
      <c r="A4" s="20" t="inlineStr">
        <is>
          <t>2025::jama.2025.9110::C003</t>
        </is>
      </c>
      <c r="B4" s="20" t="inlineStr">
        <is>
          <t>Original primary-power correlation assumptions differ between SAP and report</t>
        </is>
      </c>
      <c r="C4" s="20" t="inlineStr">
        <is>
          <t>REPORT jama_summers_2025_oi_250040_1753124024.36498.pdf — main article p. 3, original sample-size rationale begins; REPORT jama_summers_2025_oi_250040_1753124024.36498.pdf — main article p. 4, correlation assumptions and continuation; PLAN joi250040supp2_prod_1753124024.37799.pdf — SAP p. 13, lines 301–308; PLAN joi250040supp2_prod_1753124024.37799.pdf — SAP p. 14, lines 309–321; Corroborating PLAN joi250040supp1_prod_1753124024.37199.pdf — protocol p. 20, lines 651–665</t>
        </is>
      </c>
      <c r="D4" s="21" t="inlineStr">
        <is>
          <t>retain</t>
        </is>
      </c>
      <c r="E4" s="21" t="inlineStr">
        <is>
          <t>protocol_report</t>
        </is>
      </c>
      <c r="F4" s="21" t="inlineStr">
        <is>
          <t>primary_done</t>
        </is>
      </c>
      <c r="G4" s="20">
        <f>IFERROR(IF(LEN(TRIM(CLEAN(SUBSTITUTE(Setup!$B$2,CHAR(160)," "))))=0,"CHECK REVIEWER ID",IF(OR(A4="",COUNTIF($A$2:$A$4,A4)&lt;&gt;1,LEFT(A4,LEN("2025::jama.2025.9110::"))&lt;&gt;"2025::jama.2025.9110::"),"CHECK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sample size (Supp2 pp.13-14; OCR): SD 11.3 days, ICC 0.02 (extremes 0.001-0.1), CV of cluster size 0.5, 8 clusters, about 2560-3000 patients for 90% power for 1 day. Report (main pp.3-4): within-cluster within-period correlation 0.01-0.05 (base 0.02) and cluster autocorrelation 0.64-0.96 (base 0.8), not in the SAP.</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2025::jama.2025.9663::C001</t>
        </is>
      </c>
      <c r="B2" s="20" t="inlineStr">
        <is>
          <t>Missing stratification-only primary-outcome analysis</t>
        </is>
      </c>
      <c r="C2" s="20" t="inlineStr">
        <is>
          <t>PLAN original protocol: joi250042supp1_prod_1753377747.92525.pdf — p. 30, §4.2.2; PLAN final protocol: joi250042supp1_prod_1753377747.92525.pdf — p. 70, §4.2.2; REPORT model description: jama_martin_2025_oi_250042_1753377747.91025.pdf — p. 3, Statistical Analysis; REPORT narrative effects: jama_martin_2025_oi_250042_1753377747.91025.pdf — p. 6, Primary and Secondary Outcomes; REPORT tabulated effects and adjustment sets: jama_martin_2025_oi_250042_1753377747.91025.pdf — p. 8, Table 2 and footnotes a/b; PLAN alternative specification: joi250042supp1_prod_1753377747.92525.pdf — p. 126, §5.3.1, joi250042supp1_prod_1753377747.92525.pdf — p. 127, continuation, and joi250042supp1_prod_1753377747.92525.pdf — p. 136, SAP changes</t>
        </is>
      </c>
      <c r="D2" s="21" t="inlineStr">
        <is>
          <t>retain</t>
        </is>
      </c>
      <c r="E2" s="21" t="inlineStr">
        <is>
          <t>protocol_report</t>
        </is>
      </c>
      <c r="F2" s="21" t="inlineStr">
        <is>
          <t>primary_done</t>
        </is>
      </c>
      <c r="G2" s="20">
        <f>IFERROR(IF(LEN(TRIM(CLEAN(SUBSTITUTE(Setup!$B$2,CHAR(160)," "))))=0,"CHECK REVIEWER ID",IF(OR(A2="",COUNTIF($A$2:$A$6,A2)&lt;&gt;1,LEFT(A2,LEN("2025::jama.2025.9663::"))&lt;&gt;"2025::jama.2025.9663::"),"CHECK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Original and final protocol §4.2.2 (Supp1 pp.30, 70; rendered) plan the primary outcome analysis both adjusted only for the stratification variables (site, HIE, acute brain injury, sepsis) and fully adjusted. The report gives the fully adjusted estimate (RD 0.7, -0.7 to 2.0) and an unadjusted RD 0.5 (-1.0 to 2.0) (main pp.3, 6, 8) but no stratification-only result; none found in Supp2.</t>
        </is>
      </c>
    </row>
    <row r="3" ht="92" customHeight="1" s="25">
      <c r="A3" s="24" t="inlineStr">
        <is>
          <t>2025::jama.2025.9663::C002</t>
        </is>
      </c>
      <c r="B3" s="24" t="inlineStr">
        <is>
          <t>Retained protocol stay test versus SAP/report stay method</t>
        </is>
      </c>
      <c r="C3" s="24" t="inlineStr">
        <is>
          <t>PLAN original protocol: joi250042supp1_prod_1753377747.92525.pdf — p. 30, §4.2.2; PLAN final protocol: joi250042supp1_prod_1753377747.92525.pdf — p. 70, §4.2.2, and joi250042supp1_prod_1753377747.92525.pdf — p. 71, continuation; PLAN original SAP: joi250042supp1_prod_1753377747.92525.pdf — p. 104, §5.3.2; PLAN final SAP: joi250042supp1_prod_1753377747.92525.pdf — p. 128, §5.3.4; REPORT methods: jama_martin_2025_oi_250042_1753377747.91025.pdf — p. 3, Statistical Analysis; REPORT stay results: jama_martin_2025_oi_250042_1753377747.91025.pdf — p. 8, Table 2; PLAN amendment context: joi250042supp1_prod_1753377747.92525.pdf — p. 136, SAP changes</t>
        </is>
      </c>
      <c r="D3" s="21" t="inlineStr">
        <is>
          <t>retain</t>
        </is>
      </c>
      <c r="E3" s="21" t="inlineStr">
        <is>
          <t>protocol_report</t>
        </is>
      </c>
      <c r="F3" s="21" t="inlineStr">
        <is>
          <t>primary_done</t>
        </is>
      </c>
      <c r="G3" s="24">
        <f>IFERROR(IF(LEN(TRIM(CLEAN(SUBSTITUTE(Setup!$B$2,CHAR(160)," "))))=0,"CHECK REVIEWER ID",IF(OR(A3="",COUNTIF($A$2:$A$6,A3)&lt;&gt;1,LEFT(A3,LEN("2025::jama.2025.9663::"))&lt;&gt;"2025::jama.2025.9663::"),"CHECK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Final protocol v1.8 (14 Oct 2024; Supp1 pp.70-71, rendered) analyzes ICU and hospital stay by Wilcoxon rank-sum tests stratified by survival status; the original and final SAPs (pp.104, 128; OCR) and the report (main p.3, Table 2) use Fine-Gray subdistribution hazards among survivors with death as a competing risk. Report follows the SAP.</t>
        </is>
      </c>
    </row>
    <row r="4" ht="92" customHeight="1" s="25">
      <c r="A4" s="20" t="inlineStr">
        <is>
          <t>2025::jama.2025.9663::C003</t>
        </is>
      </c>
      <c r="B4" s="20" t="inlineStr">
        <is>
          <t>SAP all-outcome MICE versus reported selected predictors and stay censoring</t>
        </is>
      </c>
      <c r="C4" s="20" t="inlineStr">
        <is>
          <t>PLAN final SAP: joi250042supp1_prod_1753377747.92525.pdf — p. 131, §7 start, and joi250042supp1_prod_1753377747.92525.pdf — p. 132, §7 continuation; REPORT imputation description: jama_martin_2025_oi_250042_1753377747.91025.pdf — p. 3, imputation paragraph; REPORT effects and duration exception: jama_martin_2025_oi_250042_1753377747.91025.pdf — p. 8, all imputed Table 2 outcomes and footnote b; REPORT complete outcome-specific model/auxiliary rows and baseline footnote: joi250042supp2_prod_1753377747.93025.pdf — p. 24, eTable 7, every row and footnote a; REPORT missing ICU/hospital duration handling: joi250042supp2_prod_1753377747.93025.pdf — p. 24, duration rows and footnote e; PLAN amendment context: joi250042supp1_prod_1753377747.92525.pdf — p. 136, expanded missing-data description</t>
        </is>
      </c>
      <c r="D4" s="21" t="inlineStr">
        <is>
          <t>retain</t>
        </is>
      </c>
      <c r="E4" s="21" t="inlineStr">
        <is>
          <t>protocol_report</t>
        </is>
      </c>
      <c r="F4" s="21" t="inlineStr">
        <is>
          <t>primary_done</t>
        </is>
      </c>
      <c r="G4" s="20">
        <f>IFERROR(IF(LEN(TRIM(CLEAN(SUBSTITUTE(Setup!$B$2,CHAR(160)," "))))=0,"CHECK REVIEWER ID",IF(OR(A4="",COUNTIF($A$2:$A$6,A4)&lt;&gt;1,LEFT(A4,LEN("2025::jama.2025.9663::"))&lt;&gt;"2025::jama.2025.9663::"),"CHECK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Final SAP §7 (Supp1 pp.131-132; OCR) specifies MICE with every imputation model including all baseline adjustment variables and all outcome variables; the report uses outcome-specific auxiliary variables (eTable 7, Supp2 p.24) and does not impute ICU/hospital stay, censoring missing durations shortly after randomization instead (Table 2 note b, main p.8).</t>
        </is>
      </c>
    </row>
    <row r="5" ht="92" customHeight="1" s="25">
      <c r="A5" s="24" t="inlineStr">
        <is>
          <t>2025::jama.2025.9663::C004</t>
        </is>
      </c>
      <c r="B5" s="24" t="inlineStr">
        <is>
          <t>Hospital missing-duration censoring at one hour versus one day</t>
        </is>
      </c>
      <c r="C5" s="24" t="inlineStr">
        <is>
          <t>REPORT hospital effect and censoring definition: jama_martin_2025_oi_250042_1753377747.91025.pdf — p. 8, Table 2 acute-hospital stay row and footnote b; REPORT hospital missing count and outcome-specific censoring definition: joi250042supp2_prod_1753377747.93025.pdf — p. 24, eTable 7 acute-hospital duration row and footnote e</t>
        </is>
      </c>
      <c r="D5" s="21" t="inlineStr">
        <is>
          <t>retain</t>
        </is>
      </c>
      <c r="E5" s="21" t="inlineStr">
        <is>
          <t>statistical_results</t>
        </is>
      </c>
      <c r="F5" s="21" t="inlineStr">
        <is>
          <t>primary_done</t>
        </is>
      </c>
      <c r="G5" s="24">
        <f>IFERROR(IF(LEN(TRIM(CLEAN(SUBSTITUTE(Setup!$B$2,CHAR(160)," "))))=0,"CHECK REVIEWER ID",IF(OR(A5="",COUNTIF($A$2:$A$6,A5)&lt;&gt;1,LEFT(A5,LEN("2025::jama.2025.9663::"))&lt;&gt;"2025::jama.2025.9663::"),"CHECK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Missing acute-hospital durations are said to be censored 1 hour after randomization in Table 2 note b (main p.8) but 1 day after randomization in eTable 7 note e (Supp2 p.24; ICU stay 1 hour in both).</t>
        </is>
      </c>
    </row>
    <row r="6" ht="92" customHeight="1" s="25">
      <c r="A6" s="20" t="inlineStr">
        <is>
          <t>2025::jama.2025.9663::C005</t>
        </is>
      </c>
      <c r="B6" s="20" t="inlineStr">
        <is>
          <t>Pilot adherence numerator and progression direction</t>
        </is>
      </c>
      <c r="C6" s="20" t="inlineStr">
        <is>
          <t>PLAN original SAP numerator and thresholds: joi250042supp1_prod_1753377747.92525.pdf — p. 95, Table 1 and footnote; PLAN original SAP adherence definition: joi250042supp1_prod_1753377747.92525.pdf — p. 98, §3.2.2 continuation; PLAN final SAP repeated numerator and thresholds: joi250042supp1_prod_1753377747.92525.pdf — p. 118, Table 1 and footnote; PLAN final protocol adherence definition: joi250042supp1_prod_1753377747.92525.pdf — p. 69, Table 2 adherence footnote; PLAN decision consequences: joi250042supp1_prod_1753377747.92525.pdf — p. 70, §4.2.1, joi250042supp1_prod_1753377747.92525.pdf — p. 96, original SAP pilot continuation, and joi250042supp1_prod_1753377747.92525.pdf — p. 119, final SAP pilot continuation</t>
        </is>
      </c>
      <c r="D6" s="21" t="inlineStr">
        <is>
          <t>exclude</t>
        </is>
      </c>
      <c r="E6" s="21" t="inlineStr">
        <is>
          <t>plan_material</t>
        </is>
      </c>
      <c r="F6" s="21" t="inlineStr">
        <is>
          <t>primary_done</t>
        </is>
      </c>
      <c r="G6" s="20">
        <f>IFERROR(IF(LEN(TRIM(CLEAN(SUBSTITUTE(Setup!$B$2,CHAR(160)," "))))=0,"CHECK REVIEWER ID",IF(OR(A6="",COUNTIF($A$2:$A$6,A6)&lt;&gt;1,LEFT(A6,LEN("2025::jama.2025.9663::"))&lt;&gt;"2025::jama.2025.9663::"),"CHECK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inlineStr">
        <is>
          <t>Original/final SAP pilot progression Table 1 footnote (Supp1 pp.95, 118; OCR) computes the adherence % as patients WITH &gt;=1 protocol deviation while green is &gt;=75%; the same SAP (p.98) and protocol (p.69) define adherence as having no deviation. Wording slip in internal-pilot progression criteria, which do not enter the reported analyses.</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2026-10-14T19:23:13Z</dcterms:modified>
</cp:coreProperties>
</file>