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24.0318" sheetId="4" state="visible" r:id="rId4"/>
    <sheet name="C_jama.2024.0572" sheetId="5" state="visible" r:id="rId5"/>
    <sheet name="C_jama.2024.11057" sheetId="6" state="visible" r:id="rId6"/>
    <sheet name="C_jama.2024.12829" sheetId="7" state="visible" r:id="rId7"/>
    <sheet name="C_jama.2024.19585" sheetId="8" state="visible" r:id="rId8"/>
    <sheet name="C_jama.2024.2302" sheetId="9" state="visible" r:id="rId9"/>
    <sheet name="C_jama.2024.23898" sheetId="10" state="visible" r:id="rId10"/>
    <sheet name="C_jama.2024.25786" sheetId="11" state="visible" r:id="rId11"/>
    <sheet name="C_jama.2024.4183" sheetId="12" state="visible" r:id="rId12"/>
    <sheet name="C_jama.2024.6063" sheetId="13" state="visible" r:id="rId13"/>
    <sheet name="Codebook" sheetId="14" state="visible" r:id="rId14"/>
  </sheets>
  <definedNames>
    <definedName name="_xlnm._FilterDatabase" localSheetId="3" hidden="1">'C_jama.2024.0318'!$A$1:$R$15</definedName>
    <definedName name="_xlnm._FilterDatabase" localSheetId="4" hidden="1">'C_jama.2024.0572'!$A$1:$R$20</definedName>
    <definedName name="_xlnm._FilterDatabase" localSheetId="5" hidden="1">'C_jama.2024.11057'!$A$1:$R$6</definedName>
    <definedName name="_xlnm._FilterDatabase" localSheetId="6" hidden="1">'C_jama.2024.12829'!$A$1:$R$8</definedName>
    <definedName name="_xlnm._FilterDatabase" localSheetId="7" hidden="1">'C_jama.2024.19585'!$A$1:$R$8</definedName>
    <definedName name="_xlnm._FilterDatabase" localSheetId="8" hidden="1">'C_jama.2024.2302'!$A$1:$R$7</definedName>
    <definedName name="_xlnm._FilterDatabase" localSheetId="9" hidden="1">'C_jama.2024.23898'!$A$1:$R$14</definedName>
    <definedName name="_xlnm._FilterDatabase" localSheetId="10" hidden="1">'C_jama.2024.25786'!$A$1:$R$16</definedName>
    <definedName name="_xlnm._FilterDatabase" localSheetId="11" hidden="1">'C_jama.2024.4183'!$A$1:$R$15</definedName>
    <definedName name="_xlnm._FilterDatabase" localSheetId="12" hidden="1">'C_jama.2024.6063'!$A$1:$R$14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6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0" fillId="0" borderId="0" pivotButton="0" quotePrefix="0" xfId="0"/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inlineStr">
        <is>
          <t>R_Bulun</t>
        </is>
      </c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R_Bulun</t>
        </is>
      </c>
    </row>
    <row r="5" ht="42" customFormat="1" customHeight="1" s="14">
      <c r="A5" s="17" t="inlineStr">
        <is>
          <t>year</t>
        </is>
      </c>
      <c r="B5" s="17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113</v>
      </c>
    </row>
    <row r="4" ht="55" customFormat="1" customHeight="1" s="14">
      <c r="A4" s="16" t="inlineStr">
        <is>
          <t>Primary ready rows</t>
        </is>
      </c>
      <c r="B4" s="16">
        <f>COUNTIF('C_jama.2024.0318'!$G$2:$G$15,"PRIMARY READY")+COUNTIF('C_jama.2024.0572'!$G$2:$G$20,"PRIMARY READY")+COUNTIF('C_jama.2024.11057'!$G$2:$G$6,"PRIMARY READY")+COUNTIF('C_jama.2024.12829'!$G$2:$G$8,"PRIMARY READY")+COUNTIF('C_jama.2024.19585'!$G$2:$G$8,"PRIMARY READY")+COUNTIF('C_jama.2024.2302'!$G$2:$G$7,"PRIMARY READY")+COUNTIF('C_jama.2024.23898'!$G$2:$G$14,"PRIMARY READY")+COUNTIF('C_jama.2024.25786'!$G$2:$G$16,"PRIMARY READY")+COUNTIF('C_jama.2024.4183'!$G$2:$G$15,"PRIMARY READY")+COUNTIF('C_jama.2024.6063'!$G$2:$G$14,"PRIMARY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2024.0318'!$D$2:$D$15,"discuss")+COUNTIF('C_jama.2024.0572'!$D$2:$D$20,"discuss")+COUNTIF('C_jama.2024.11057'!$D$2:$D$6,"discuss")+COUNTIF('C_jama.2024.12829'!$D$2:$D$8,"discuss")+COUNTIF('C_jama.2024.19585'!$D$2:$D$8,"discuss")+COUNTIF('C_jama.2024.2302'!$D$2:$D$7,"discuss")+COUNTIF('C_jama.2024.23898'!$D$2:$D$14,"discuss")+COUNTIF('C_jama.2024.25786'!$D$2:$D$16,"discuss")+COUNTIF('C_jama.2024.4183'!$D$2:$D$15,"discuss")+COUNTIF('C_jama.2024.6063'!$D$2:$D$14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Height="1" s="25">
      <c r="A2" s="16" t="inlineStr">
        <is>
          <t>jama.2024.0318</t>
        </is>
      </c>
      <c r="B2" s="16" t="inlineStr">
        <is>
          <t>C_jama.2024.0318</t>
        </is>
      </c>
      <c r="C2" s="16" t="n">
        <v>14</v>
      </c>
    </row>
    <row r="3" ht="36" customHeight="1" s="25">
      <c r="A3" s="17" t="inlineStr">
        <is>
          <t>jama.2024.0572</t>
        </is>
      </c>
      <c r="B3" s="17" t="inlineStr">
        <is>
          <t>C_jama.2024.0572</t>
        </is>
      </c>
      <c r="C3" s="17" t="n">
        <v>19</v>
      </c>
    </row>
    <row r="4" ht="36" customHeight="1" s="25">
      <c r="A4" s="16" t="inlineStr">
        <is>
          <t>jama.2024.11057</t>
        </is>
      </c>
      <c r="B4" s="16" t="inlineStr">
        <is>
          <t>C_jama.2024.11057</t>
        </is>
      </c>
      <c r="C4" s="16" t="n">
        <v>5</v>
      </c>
    </row>
    <row r="5" ht="36" customHeight="1" s="25">
      <c r="A5" s="17" t="inlineStr">
        <is>
          <t>jama.2024.12829</t>
        </is>
      </c>
      <c r="B5" s="17" t="inlineStr">
        <is>
          <t>C_jama.2024.12829</t>
        </is>
      </c>
      <c r="C5" s="17" t="n">
        <v>7</v>
      </c>
    </row>
    <row r="6" ht="36" customHeight="1" s="25">
      <c r="A6" s="16" t="inlineStr">
        <is>
          <t>jama.2024.19585</t>
        </is>
      </c>
      <c r="B6" s="16" t="inlineStr">
        <is>
          <t>C_jama.2024.19585</t>
        </is>
      </c>
      <c r="C6" s="16" t="n">
        <v>7</v>
      </c>
    </row>
    <row r="7" ht="36" customHeight="1" s="25">
      <c r="A7" s="17" t="inlineStr">
        <is>
          <t>jama.2024.2302</t>
        </is>
      </c>
      <c r="B7" s="17" t="inlineStr">
        <is>
          <t>C_jama.2024.2302</t>
        </is>
      </c>
      <c r="C7" s="17" t="n">
        <v>6</v>
      </c>
    </row>
    <row r="8" ht="36" customHeight="1" s="25">
      <c r="A8" s="16" t="inlineStr">
        <is>
          <t>jama.2024.23898</t>
        </is>
      </c>
      <c r="B8" s="16" t="inlineStr">
        <is>
          <t>C_jama.2024.23898</t>
        </is>
      </c>
      <c r="C8" s="16" t="n">
        <v>13</v>
      </c>
    </row>
    <row r="9" ht="36" customHeight="1" s="25">
      <c r="A9" s="17" t="inlineStr">
        <is>
          <t>jama.2024.25786</t>
        </is>
      </c>
      <c r="B9" s="17" t="inlineStr">
        <is>
          <t>C_jama.2024.25786</t>
        </is>
      </c>
      <c r="C9" s="17" t="n">
        <v>15</v>
      </c>
    </row>
    <row r="10" ht="36" customHeight="1" s="25">
      <c r="A10" s="16" t="inlineStr">
        <is>
          <t>jama.2024.4183</t>
        </is>
      </c>
      <c r="B10" s="16" t="inlineStr">
        <is>
          <t>C_jama.2024.4183</t>
        </is>
      </c>
      <c r="C10" s="16" t="n">
        <v>14</v>
      </c>
    </row>
    <row r="11" ht="36" customHeight="1" s="25">
      <c r="A11" s="17" t="inlineStr">
        <is>
          <t>jama.2024.6063</t>
        </is>
      </c>
      <c r="B11" s="17" t="inlineStr">
        <is>
          <t>C_jama.2024.6063</t>
        </is>
      </c>
      <c r="C11" s="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2024::jama.2024.0318::C001</t>
        </is>
      </c>
      <c r="B2" s="20" t="inlineStr">
        <is>
          <t>Positive HbA1c point and signed interval</t>
        </is>
      </c>
      <c r="C2" s="20" t="inlineStr">
        <is>
          <t>every affected occurrence: jama_courcoulas_2024_oi_240004_1721756962.76052.pdf — main p1 abstract, jama_courcoulas_2024_oi_240004_1721756962.76052.pdf — main p3 Results paragraph, and jama_courcoulas_2024_oi_240004_1721756962.76052.pdf — main p6 Table 2 HbA1c row and footnote b; all REPORT by published result content.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ID",IF(OR(A2="",COUNTIF($A$2:$A$15,A2)&lt;&gt;1,LEFT(A2,LEN("2024::jama.2024.0318::"))&lt;&gt;"2024::jama.2024.0318::"),"CHECK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minor_presentation</t>
        </is>
      </c>
      <c r="J2" s="22" t="inlineStr">
        <is>
          <t>possible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Height="1" s="25">
      <c r="A3" s="24" t="inlineStr">
        <is>
          <t>2024::jama.2024.0318::C002</t>
        </is>
      </c>
      <c r="B3" s="24" t="inlineStr">
        <is>
          <t>Year-12 HbA1c P value</t>
        </is>
      </c>
      <c r="C3" s="24" t="inlineStr">
        <is>
          <t>jama_courcoulas_2024_oi_240004_1721756962.76052.pdf — main p1 abstract, jama_courcoulas_2024_oi_240004_1721756962.76052.pdf — main p3 year-12 result, joi240004supp2_prod_1721756962.82552.pdf — supplement p15 eTable 2 HbA1c row, and joi240004supp2_prod_1721756962.82552.pdf — supplement p4 ITT model/visit contrasts; all REPORT. Contextual correction notice: jama_courcoulas_2024_oi_240004_1721756962.76052.pdf — main p9 registry-link correction.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ID",IF(OR(A3="",COUNTIF($A$2:$A$15,A3)&lt;&gt;1,LEFT(A3,LEN("2024::jama.2024.0318::"))&lt;&gt;"2024::jama.2024.0318::"),"CHECK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unlikely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2024::jama.2024.0318::C003</t>
        </is>
      </c>
      <c r="B4" s="20" t="inlineStr">
        <is>
          <t>Pooled mortality percentage</t>
        </is>
      </c>
      <c r="C4" s="20" t="inlineStr">
        <is>
          <t>jama_courcoulas_2024_oi_240004_1721756962.76052.pdf — main p1 abstract cohort and deaths, jama_courcoulas_2024_oi_240004_1721756962.76052.pdf — p3 enrolled cohort, jama_courcoulas_2024_oi_240004_1721756962.76052.pdf — p4 Table 1 headers, jama_courcoulas_2024_oi_240004_1721756962.76052.pdf — p7 death paragraph, and jama_courcoulas_2024_oi_240004_1721756962.76052.pdf — p8 Table 3 headers/Death row/footnote; all REPORT.</t>
        </is>
      </c>
      <c r="D4" s="21" t="inlineStr">
        <is>
          <t>retain</t>
        </is>
      </c>
      <c r="E4" s="21" t="inlineStr">
        <is>
          <t>statistical_results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ID",IF(OR(A4="",COUNTIF($A$2:$A$15,A4)&lt;&gt;1,LEFT(A4,LEN("2024::jama.2024.0318::"))&lt;&gt;"2024::jama.2024.0318::"),"CHECK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 t="inlineStr">
        <is>
          <t>confirmed_issue</t>
        </is>
      </c>
      <c r="I4" s="21" t="inlineStr">
        <is>
          <t>minor_presentation</t>
        </is>
      </c>
      <c r="J4" s="22" t="inlineStr">
        <is>
          <t>unlikely</t>
        </is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2024::jama.2024.0318::C004</t>
        </is>
      </c>
      <c r="B5" s="24" t="inlineStr">
        <is>
          <t>Primary HbA1c response scale</t>
        </is>
      </c>
      <c r="C5" s="24" t="inlineStr">
        <is>
          <t>PLAN joi240004supp1_prod_1721756962.80052.pdf — p17 primary endpoint, joi240004supp1_prod_1721756962.80052.pdf — p26 A1 response, joi240004supp1_prod_1721756962.80052.pdf — p27 hypothesis/power assumptions, joi240004supp1_prod_1721756962.80052.pdf — p29 Table A1/Figure A1; REPORT jama_courcoulas_2024_oi_240004_1721756962.76052.pdf — main p2 outcome/statistical methods, jama_courcoulas_2024_oi_240004_1721756962.76052.pdf — main p6 Table 2/footnotes, joi240004supp2_prod_1721756962.82552.pdf — supplement p4 primary model, joi240004supp2_prod_1721756962.82552.pdf — p15 eTable 2/footnote b, joi240004supp2_prod_1721756962.82552.pdf — p16 continued footnote c.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ID",IF(OR(A5="",COUNTIF($A$2:$A$15,A5)&lt;&gt;1,LEFT(A5,LEN("2024::jama.2024.0318::"))&lt;&gt;"2024::jama.2024.0318::"),"CHECK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2024::jama.2024.0318::C005</t>
        </is>
      </c>
      <c r="B6" s="20" t="inlineStr">
        <is>
          <t>Remission medication-free window</t>
        </is>
      </c>
      <c r="C6" s="20" t="inlineStr">
        <is>
          <t>PLAN joi240004supp1_prod_1721756962.80052.pdf — p18 remission item 2, joi240004supp1_prod_1721756962.80052.pdf — p29 Table A1 remission row; REPORT jama_courcoulas_2024_oi_240004_1721756962.76052.pdf — main p2 remission definition, jama_courcoulas_2024_oi_240004_1721756962.76052.pdf — p1 abstract remission rates, jama_courcoulas_2024_oi_240004_1721756962.76052.pdf — p7 Figure 3/caption. The associated reported OR is found in jama_courcoulas_2024_oi_240004_1721756962.76052.pdf — main p6 Table 2.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ID",IF(OR(A6="",COUNTIF($A$2:$A$15,A6)&lt;&gt;1,LEFT(A6,LEN("2024::jama.2024.0318::"))&lt;&gt;"2024::jama.2024.0318::"),"CHECK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minor_presentation</t>
        </is>
      </c>
      <c r="M6" s="20" t="n"/>
      <c r="N6" s="23" t="n"/>
      <c r="O6" s="23" t="n"/>
      <c r="P6" s="23" t="n"/>
      <c r="Q6" s="23" t="n"/>
      <c r="R6" s="22"/>
    </row>
    <row r="7" ht="92" customHeight="1" s="25">
      <c r="A7" s="24" t="inlineStr">
        <is>
          <t>2024::jama.2024.0318::C006</t>
        </is>
      </c>
      <c r="B7" s="24" t="inlineStr">
        <is>
          <t>Cardiovascular outcome status</t>
        </is>
      </c>
      <c r="C7" s="24" t="inlineStr">
        <is>
          <t>PLAN joi240004supp1_prod_1721756962.80052.pdf — p18 secondary list/section 4.4, joi240004supp1_prod_1721756962.80052.pdf — p29 Table A1 Aim 2 efficacy entries, joi240004supp1_prod_1721756962.80052.pdf — p30 Table A1 continuation/safety entry; REPORT jama_courcoulas_2024_oi_240004_1721756962.76052.pdf — main p2 other secondary outcomes, jama_courcoulas_2024_oi_240004_1721756962.76052.pdf — p1 abstract cardiovascular finding, jama_courcoulas_2024_oi_240004_1721756962.76052.pdf — p8 Table 3 cardiovascular rows.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ID",IF(OR(A7="",COUNTIF($A$2:$A$15,A7)&lt;&gt;1,LEFT(A7,LEN("2024::jama.2024.0318::"))&lt;&gt;"2024::jama.2024.0318::"),"CHECK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indeterminate</t>
        </is>
      </c>
      <c r="M7" s="24" t="n"/>
      <c r="N7" s="23" t="n"/>
      <c r="O7" s="23" t="n"/>
      <c r="P7" s="23" t="n"/>
      <c r="Q7" s="23" t="n"/>
      <c r="R7" s="22"/>
    </row>
    <row r="8" ht="92" customHeight="1" s="25">
      <c r="A8" s="20" t="inlineStr">
        <is>
          <t>2024::jama.2024.0318::C007</t>
        </is>
      </c>
      <c r="B8" s="20" t="inlineStr">
        <is>
          <t>Primary baseline adjustment</t>
        </is>
      </c>
      <c r="C8" s="20" t="inlineStr">
        <is>
          <t>PLAN joi240004supp1_prod_1721756962.80052.pdf — p26 A1 and Z definition, joi240004supp1_prod_1721756962.80052.pdf — p34 further baseline sensitivities; REPORT jama_courcoulas_2024_oi_240004_1721756962.76052.pdf — main p2 fixed-effect list, jama_courcoulas_2024_oi_240004_1721756962.76052.pdf — p3 fixed-effect continuation, joi240004supp2_prod_1721756962.82552.pdf — supplement p4 primary model.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ID",IF(OR(A8="",COUNTIF($A$2:$A$15,A8)&lt;&gt;1,LEFT(A8,LEN("2024::jama.2024.0318::"))&lt;&gt;"2024::jama.2024.0318::"),"CHECK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/>
    </row>
    <row r="9" ht="92" customHeight="1" s="25">
      <c r="A9" s="24" t="inlineStr">
        <is>
          <t>2024::jama.2024.0318::C008</t>
        </is>
      </c>
      <c r="B9" s="24" t="inlineStr">
        <is>
          <t>Planned primary sensitivity package not reported</t>
        </is>
      </c>
      <c r="C9" s="24" t="inlineStr">
        <is>
          <t>PLAN joi240004supp1_prod_1721756962.80052.pdf — p30 MICE/Rubin/pattern-mixture/crossover sensitivity, joi240004supp1_prod_1721756962.80052.pdf — p31 treatment×censoring weight and postcrossover discard, joi240004supp1_prod_1721756962.80052.pdf — p34 expanded baseline sensitivities; REPORT jama_courcoulas_2024_oi_240004_1721756962.76052.pdf — main p3 methods/sensitivity estimate, jama_courcoulas_2024_oi_240004_1721756962.76052.pdf — p9 limitations, joi240004supp2_prod_1721756962.82552.pdf — supplement p4 model, joi240004supp2_prod_1721756962.82552.pdf — p5 IPW formula/assignment/missingness, joi240004supp2_prod_1721756962.82552.pdf — p6 continuation, joi240004supp2_prod_1721756962.82552.pdf — p9 eFigure 2.</t>
        </is>
      </c>
      <c r="D9" s="21" t="inlineStr">
        <is>
          <t>retain</t>
        </is>
      </c>
      <c r="E9" s="21" t="inlineStr">
        <is>
          <t>protocol_report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ID",IF(OR(A9="",COUNTIF($A$2:$A$15,A9)&lt;&gt;1,LEFT(A9,LEN("2024::jama.2024.0318::"))&lt;&gt;"2024::jama.2024.0318::"),"CHECK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 t="inlineStr">
        <is>
          <t>substantive_difference</t>
        </is>
      </c>
      <c r="M9" s="24" t="n"/>
      <c r="N9" s="23" t="n"/>
      <c r="O9" s="23" t="n"/>
      <c r="P9" s="23" t="n"/>
      <c r="Q9" s="23" t="n"/>
      <c r="R9" s="22"/>
    </row>
    <row r="10" ht="92" customHeight="1" s="25">
      <c r="A10" s="20" t="inlineStr">
        <is>
          <t>2024::jama.2024.0318::C009</t>
        </is>
      </c>
      <c r="B10" s="20" t="inlineStr">
        <is>
          <t>Planned binary A2 and reported GEE</t>
        </is>
      </c>
      <c r="C10" s="20" t="inlineStr">
        <is>
          <t>PLAN joi240004supp1_prod_1721756962.80052.pdf — p27 A2/secondary-model text; REPORT jama_courcoulas_2024_oi_240004_1721756962.76052.pdf — main p3 binary/GEE paragraph, jama_courcoulas_2024_oi_240004_1721756962.76052.pdf — p6 Table 2 binary rows, joi240004supp2_prod_1721756962.82552.pdf — supplement p4 binary GEE, joi240004supp2_prod_1721756962.82552.pdf — p5 continuation, joi240004supp2_prod_1721756962.82552.pdf — p15 eTable 2 binary rows.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ID",IF(OR(A10="",COUNTIF($A$2:$A$15,A10)&lt;&gt;1,LEFT(A10,LEN("2024::jama.2024.0318::"))&lt;&gt;"2024::jama.2024.0318::"),"CHECK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/>
    </row>
    <row r="11" ht="92" customHeight="1" s="25">
      <c r="A11" s="24" t="inlineStr">
        <is>
          <t>2024::jama.2024.0318::C010</t>
        </is>
      </c>
      <c r="B11" s="24" t="inlineStr">
        <is>
          <t>Medical medication OR interval pattern</t>
        </is>
      </c>
      <c r="C11" s="24" t="inlineStr">
        <is>
          <t>REPORT jama_courcoulas_2024_oi_240004_1721756962.76052.pdf — main p6 Table 2 use-of-medications medical change column and all binary comparator cells/footnotes, and corroborating REPORT joi240004supp2_prod_1721756962.82552.pdf — supplement p4 GEE/sandwich method. Every lower/upper limit and displayed decimal precision was visually checked.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ID",IF(OR(A11="",COUNTIF($A$2:$A$15,A11)&lt;&gt;1,LEFT(A11,LEN("2024::jama.2024.0318::"))&lt;&gt;"2024::jama.2024.0318::"),"CHECK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probable_issue</t>
        </is>
      </c>
      <c r="I11" s="21" t="inlineStr">
        <is>
          <t>minor_presentation</t>
        </is>
      </c>
      <c r="J11" s="22" t="inlineStr">
        <is>
          <t>unlikely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Height="1" s="25">
      <c r="A12" s="20" t="inlineStr">
        <is>
          <t>2024::jama.2024.0318::C011</t>
        </is>
      </c>
      <c r="B12" s="20" t="inlineStr">
        <is>
          <t>Vascular and safety test mapping</t>
        </is>
      </c>
      <c r="C12" s="20" t="inlineStr">
        <is>
          <t>PLAN joi240004supp1_prod_1721756962.80052.pdf — p34 Aim 2 vascular/safety paragraph, joi240004supp1_prod_1721756962.80052.pdf — p35 power/secondary continuation, joi240004supp1_prod_1721756962.80052.pdf — p26 separate baseline-comparison CMH paragraph; REPORT jama_courcoulas_2024_oi_240004_1721756962.76052.pdf — main p1 abstract cardiovascular statement, jama_courcoulas_2024_oi_240004_1721756962.76052.pdf — p7 event/procedure narrative, joi240004supp2_prod_1721756962.82552.pdf — supplement p6 event-test methods, joi240004supp2_prod_1721756962.82552.pdf — p17 nutritional categorical comparisons, joi240004supp2_prod_1721756962.82552.pdf — p19 eTable 5 example P cells, joi240004supp2_prod_1721756962.82552.pdf — p20 eTable 5 footnote b, joi240004supp2_prod_1721756962.82552.pdf — p21 eTable 6/footnote b.</t>
        </is>
      </c>
      <c r="D12" s="21" t="inlineStr">
        <is>
          <t>retain</t>
        </is>
      </c>
      <c r="E12" s="21" t="inlineStr">
        <is>
          <t>protocol_report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ID",IF(OR(A12="",COUNTIF($A$2:$A$15,A12)&lt;&gt;1,LEFT(A12,LEN("2024::jama.2024.0318::"))&lt;&gt;"2024::jama.2024.0318::"),"CHECK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 t="inlineStr">
        <is>
          <t>substantive_difference</t>
        </is>
      </c>
      <c r="M12" s="20" t="n"/>
      <c r="N12" s="23" t="n"/>
      <c r="O12" s="23" t="n"/>
      <c r="P12" s="23" t="n"/>
      <c r="Q12" s="23" t="n"/>
      <c r="R12" s="22"/>
    </row>
    <row r="13" ht="92" customHeight="1" s="25">
      <c r="A13" s="24" t="inlineStr">
        <is>
          <t>2024::jama.2024.0318::C012</t>
        </is>
      </c>
      <c r="B13" s="24" t="inlineStr">
        <is>
          <t>Fixed site and power variance specification</t>
        </is>
      </c>
      <c r="C13" s="24" t="inlineStr">
        <is>
          <t>PLAN joi240004supp1_prod_1721756962.80052.pdf — p26 A1/b_i/Z definition, joi240004supp1_prod_1721756962.80052.pdf — p28 primary power variance-component paragraph, joi240004supp1_prod_1721756962.80052.pdf — p31 heterogeneity/distribution paragraph; corroborating REPORT jama_courcoulas_2024_oi_240004_1721756962.76052.pdf — main p2 primary model, jama_courcoulas_2024_oi_240004_1721756962.76052.pdf — p3 fixed-effect continuation, joi240004supp2_prod_1721756962.82552.pdf — supplement p4 fixed-site model. PLAN joi240004supp1_prod_1721756962.80052.pdf — p27 identifiability clause was also reread.</t>
        </is>
      </c>
      <c r="D13" s="21" t="inlineStr">
        <is>
          <t>retain</t>
        </is>
      </c>
      <c r="E13" s="21" t="inlineStr">
        <is>
          <t>plan_material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ID",IF(OR(A13="",COUNTIF($A$2:$A$15,A13)&lt;&gt;1,LEFT(A13,LEN("2024::jama.2024.0318::"))&lt;&gt;"2024::jama.2024.0318::"),"CHECK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 t="inlineStr">
        <is>
          <t>minor_presentation</t>
        </is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Height="1" s="25">
      <c r="A14" s="20" t="inlineStr">
        <is>
          <t>2024::jama.2024.0318::C013</t>
        </is>
      </c>
      <c r="B14" s="20" t="inlineStr">
        <is>
          <t>Appendix randomization-dropout accounting</t>
        </is>
      </c>
      <c r="C14" s="20" t="inlineStr">
        <is>
          <t>PLAN joi240004supp1_prod_1721756962.80052.pdf — p55 Appendix 2 table title, # Randomized and Number underwent intervention† rows, joi240004supp1_prod_1721756962.80052.pdf — p56 table continuation and dagger definition/dropout statement, and corroborating PLAN joi240004supp1_prod_1721756962.80052.pdf — p27 randomized/initiated population paragraph.</t>
        </is>
      </c>
      <c r="D14" s="21" t="inlineStr">
        <is>
          <t>retain</t>
        </is>
      </c>
      <c r="E14" s="21" t="inlineStr">
        <is>
          <t>plan_material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ID",IF(OR(A14="",COUNTIF($A$2:$A$15,A14)&lt;&gt;1,LEFT(A14,LEN("2024::jama.2024.0318::"))&lt;&gt;"2024::jama.2024.0318::"),"CHECK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 t="inlineStr">
        <is>
          <t>minor_presentation</t>
        </is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  <row r="15" ht="92" customHeight="1" s="25">
      <c r="A15" s="24" t="inlineStr">
        <is>
          <t>2024::jama.2024.0318::C014</t>
        </is>
      </c>
      <c r="B15" s="24" t="inlineStr">
        <is>
          <t>Other race count and percentage</t>
        </is>
      </c>
      <c r="C15" s="24" t="inlineStr">
        <is>
          <t>REPORT joi240004supp2_prod_1721756962.82552.pdf — supplement p14 eTable 1 7-year column, race rows and footnotes a/b.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ID",IF(OR(A15="",COUNTIF($A$2:$A$15,A15)&lt;&gt;1,LEFT(A15,LEN("2024::jama.2024.0318::"))&lt;&gt;"2024::jama.2024.0318::"),"CHECK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minor_presentation</t>
        </is>
      </c>
      <c r="J15" s="22" t="inlineStr">
        <is>
          <t>unlikely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/>
    </row>
  </sheetData>
  <autoFilter ref="A1:R15"/>
  <conditionalFormatting sqref="H2:H15">
    <cfRule type="expression" priority="8" dxfId="70">
      <formula>NOT(AND(OR($D2="retain",$D2=""),$E2="statistical_results"))</formula>
    </cfRule>
  </conditionalFormatting>
  <conditionalFormatting sqref="I2:I15">
    <cfRule type="expression" priority="9" dxfId="70">
      <formula>NOT(AND(OR($D2="retain",$D2=""),$E2="statistical_results"))</formula>
    </cfRule>
  </conditionalFormatting>
  <conditionalFormatting sqref="J2:J15">
    <cfRule type="expression" priority="10" dxfId="70">
      <formula>NOT(AND(OR($D2="retain",$D2=""),$E2="statistical_results"))</formula>
    </cfRule>
  </conditionalFormatting>
  <conditionalFormatting sqref="K2:K15">
    <cfRule type="expression" priority="11" dxfId="70">
      <formula>NOT(AND(OR($D2="retain",$D2=""),OR($E2="report_internal_inconsistency",$E2="plan_material")))</formula>
    </cfRule>
  </conditionalFormatting>
  <conditionalFormatting sqref="L2:L15">
    <cfRule type="expression" priority="12" dxfId="70">
      <formula>NOT(AND(OR($D2="retain",$D2=""),$E2="protocol_report"))</formula>
    </cfRule>
  </conditionalFormatting>
  <conditionalFormatting sqref="G2:G15">
    <cfRule type="expression" priority="13" dxfId="71">
      <formula>G2&lt;&gt;"PRIMARY READY"</formula>
    </cfRule>
  </conditionalFormatting>
  <dataValidations count="8">
    <dataValidation sqref="D2:D15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5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5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5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5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5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5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5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2024::jama.2024.0572::C001</t>
        </is>
      </c>
      <c r="B2" s="20" t="inlineStr">
        <is>
          <t>Follow-up MRI analysis-population count</t>
        </is>
      </c>
      <c r="C2" s="20" t="inlineStr">
        <is>
          <t>jama_sarraj_2024_oi_240006_1708623114.96234.pdf — Main p.4, Results imaging paragraph; jama_sarraj_2024_oi_240006_1708623114.96234.pdf — Main p.9, infarct-growth paragraph; jama_sarraj_2024_oi_240006_1708623114.96234.pdf — Main p.11 discussion; joi240006supp5_prod_1708623115.01733.pdf — Results p.51 eTable11; jama_sarraj_2024_oi_240006_1708623114.96234.pdf — Main p.6 baseline-MRI context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ID",IF(OR(A2="",COUNTIF($A$2:$A$20,A2)&lt;&gt;1,LEFT(A2,LEN("2024::jama.2024.0572::"))&lt;&gt;"2024::jama.2024.0572::"),"CHECK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substantive</t>
        </is>
      </c>
      <c r="J2" s="22" t="inlineStr">
        <is>
          <t>possible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Height="1" s="25">
      <c r="A3" s="24" t="inlineStr">
        <is>
          <t>2024::jama.2024.0572::C002</t>
        </is>
      </c>
      <c r="B3" s="24" t="inlineStr">
        <is>
          <t>Primary treatment-group specification</t>
        </is>
      </c>
      <c r="C3" s="24" t="inlineStr">
        <is>
          <t>joi240006supp4_prod_1708623115.00733.pdf — Analysis SAP p.3, §5.1; joi240006supp4_prod_1708623115.00733.pdf — Its p.4, §5.2.1; jama_sarraj_2024_oi_240006_1708623114.96234.pdf — Main p.4, Statistical Analysis; jama_sarraj_2024_oi_240006_1708623114.96234.pdf — Main p.6 Figure1; joi240006supp5_prod_1708623115.01733.pdf — results p.8 flow diagram; joi240006supp5_prod_1708623115.01733.pdf — Results p.38 eTable2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ID",IF(OR(A3="",COUNTIF($A$2:$A$20,A3)&lt;&gt;1,LEFT(A3,LEN("2024::jama.2024.0572::"))&lt;&gt;"2024::jama.2024.0572::"),"CHECK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2024::jama.2024.0572::C003</t>
        </is>
      </c>
      <c r="B4" s="20" t="inlineStr">
        <is>
          <t>Composite-core analysis hierarchy and prespecification</t>
        </is>
      </c>
      <c r="C4" s="20" t="inlineStr">
        <is>
          <t>joi240006supp4_prod_1708623115.00733.pdf — Analysis SAP p.3 imaging-definition bullets; joi240006supp4_prod_1708623115.00733.pdf — SAP p.7 appendix item1; jama_sarraj_2024_oi_240006_1708623114.96234.pdf — Main p.4 methods; jama_sarraj_2024_oi_240006_1708623114.96234.pdf — Main p.6; jama_sarraj_2024_oi_240006_1708623114.96234.pdf — main p.8 Figure3; joi240006supp5_prod_1708623115.01733.pdf — results p.16 eFigure10; jama_sarraj_2024_oi_240006_1708623114.96234.pdf — Main p.1 abstract; jama_sarraj_2024_oi_240006_1708623114.96234.pdf — Main p.11 limitations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ID",IF(OR(A4="",COUNTIF($A$2:$A$20,A4)&lt;&gt;1,LEFT(A4,LEN("2024::jama.2024.0572::"))&lt;&gt;"2024::jama.2024.0572::"),"CHECK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2024::jama.2024.0572::C004</t>
        </is>
      </c>
      <c r="B5" s="24" t="inlineStr">
        <is>
          <t>Finite all-zero subgroup risk estimates</t>
        </is>
      </c>
      <c r="C5" s="24" t="inlineStr">
        <is>
          <t>jama_sarraj_2024_oi_240006_1708623114.96234.pdf — Main p.4; joi240006supp5_prod_1708623115.01733.pdf — results p.13 eFigure7 ASPECTS0–2; joi240006supp5_prod_1708623115.01733.pdf — p.14 eFigure8 ASPECTS0–2; joi240006supp4_prod_1708623115.00733.pdf — Analysis SAP p.4; joi240006supp4_prod_1708623115.00733.pdf — p.5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ID",IF(OR(A5="",COUNTIF($A$2:$A$20,A5)&lt;&gt;1,LEFT(A5,LEN("2024::jama.2024.0572::"))&lt;&gt;"2024::jama.2024.0572::"),"CHECK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substantive</t>
        </is>
      </c>
      <c r="J5" s="22" t="inlineStr">
        <is>
          <t>direct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2024::jama.2024.0572::C005</t>
        </is>
      </c>
      <c r="B6" s="20" t="inlineStr">
        <is>
          <t>Printed null-boundary intervals and significant associations</t>
        </is>
      </c>
      <c r="C6" s="20" t="inlineStr">
        <is>
          <t>jama_sarraj_2024_oi_240006_1708623114.96234.pdf — Main p.6 ASPECTS paragraph; jama_sarraj_2024_oi_240006_1708623114.96234.pdf — main p.7 Table2; jama_sarraj_2024_oi_240006_1708623114.96234.pdf — Main p.10 age/time paragraph; jama_sarraj_2024_oi_240006_1708623114.96234.pdf — Main p.4; jama_sarraj_2024_oi_240006_1708623114.96234.pdf — p.1 abstract</t>
        </is>
      </c>
      <c r="D6" s="21" t="inlineStr">
        <is>
          <t>exclude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ID",IF(OR(A6="",COUNTIF($A$2:$A$20,A6)&lt;&gt;1,LEFT(A6,LEN("2024::jama.2024.0572::"))&lt;&gt;"2024::jama.2024.0572::"),"CHECK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Main p6/abstract (aGenOR 0.91, 0.82-1.00, 'significantly worse') and p10 (aRR 0.97, 0.93-1.00, 'significantly decreased'): upper limits print as 1.00 at two decimals; unrounded limits in [0.995, 1.000) are compatible with the significance statements. No P values are given that would contradict them. Rounding explains the apparent conflict.</t>
        </is>
      </c>
    </row>
    <row r="7" ht="92" customHeight="1" s="25">
      <c r="A7" s="24" t="inlineStr">
        <is>
          <t>2024::jama.2024.0572::C006</t>
        </is>
      </c>
      <c r="B7" s="24" t="inlineStr">
        <is>
          <t>Large-core primary mRS distribution and functional thresholds</t>
        </is>
      </c>
      <c r="C7" s="24" t="inlineStr">
        <is>
          <t>jama_sarraj_2024_oi_240006_1708623114.96234.pdf — main p.7 Figure2B; joi240006supp5_prod_1708623115.01733.pdf — results p.13 eFigure7 ≥100mL; joi240006supp5_prod_1708623115.01733.pdf — p.14 eFigure8 ≥100mL; jama_sarraj_2024_oi_240006_1708623114.96234.pdf — Main p.3 outcomes; jama_sarraj_2024_oi_240006_1708623114.96234.pdf — Main p.10 discussion</t>
        </is>
      </c>
      <c r="D7" s="21" t="inlineStr">
        <is>
          <t>retain</t>
        </is>
      </c>
      <c r="E7" s="21" t="inlineStr">
        <is>
          <t>statistical_results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ID",IF(OR(A7="",COUNTIF($A$2:$A$20,A7)&lt;&gt;1,LEFT(A7,LEN("2024::jama.2024.0572::"))&lt;&gt;"2024::jama.2024.0572::"),"CHECK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 t="inlineStr">
        <is>
          <t>confirmed_issue</t>
        </is>
      </c>
      <c r="I7" s="21" t="inlineStr">
        <is>
          <t>substantive</t>
        </is>
      </c>
      <c r="J7" s="22" t="inlineStr">
        <is>
          <t>direct</t>
        </is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/>
    </row>
    <row r="8" ht="92" customHeight="1" s="25">
      <c r="A8" s="20" t="inlineStr">
        <is>
          <t>2024::jama.2024.0572::C007</t>
        </is>
      </c>
      <c r="B8" s="20" t="inlineStr">
        <is>
          <t>EVT continuous mismatch prediction direction</t>
        </is>
      </c>
      <c r="C8" s="20" t="inlineStr">
        <is>
          <t>jama_sarraj_2024_oi_240006_1708623114.96234.pdf — Main p.8 final mismatch paragraph; jama_sarraj_2024_oi_240006_1708623114.96234.pdf — p.9; joi240006supp5_prod_1708623115.01733.pdf — results p.23 eFigure17A/B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ID",IF(OR(A8="",COUNTIF($A$2:$A$20,A8)&lt;&gt;1,LEFT(A8,LEN("2024::jama.2024.0572::"))&lt;&gt;"2024::jama.2024.0572::"),"CHECK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substantive</t>
        </is>
      </c>
      <c r="J8" s="22" t="inlineStr">
        <is>
          <t>possible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  <row r="9" ht="92" customHeight="1" s="25">
      <c r="A9" s="24" t="inlineStr">
        <is>
          <t>2024::jama.2024.0572::C008</t>
        </is>
      </c>
      <c r="B9" s="24" t="inlineStr">
        <is>
          <t>Core covariate identity in age/time surfaces</t>
        </is>
      </c>
      <c r="C9" s="24" t="inlineStr">
        <is>
          <t>jama_sarraj_2024_oi_240006_1708623114.96234.pdf — main p.10; jama_sarraj_2024_oi_240006_1708623114.96234.pdf — Main p.3 imaging definitions; joi240006supp5_prod_1708623115.01733.pdf — Results p.24 eFigure18 title; joi240006supp5_prod_1708623115.01733.pdf — Results p.25 eFigure19 title and explanation</t>
        </is>
      </c>
      <c r="D9" s="21" t="inlineStr">
        <is>
          <t>retain</t>
        </is>
      </c>
      <c r="E9" s="21" t="inlineStr">
        <is>
          <t>report_internal_inconsistency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ID",IF(OR(A9="",COUNTIF($A$2:$A$20,A9)&lt;&gt;1,LEFT(A9,LEN("2024::jama.2024.0572::"))&lt;&gt;"2024::jama.2024.0572::"),"CHECK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 t="inlineStr">
        <is>
          <t>minor_presentation</t>
        </is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Height="1" s="25">
      <c r="A10" s="20" t="inlineStr">
        <is>
          <t>2024::jama.2024.0572::C009</t>
        </is>
      </c>
      <c r="B10" s="20" t="inlineStr">
        <is>
          <t>Planned versus reported prognostic time predictor</t>
        </is>
      </c>
      <c r="C10" s="20" t="inlineStr">
        <is>
          <t>joi240006supp4_prod_1708623115.00733.pdf — Analysis SAP p.5 §5.2.3; jama_sarraj_2024_oi_240006_1708623114.96234.pdf — Main p.10 age/time results; joi240006supp5_prod_1708623115.01733.pdf — results p.24 eFigure18; joi240006supp5_prod_1708623115.01733.pdf — Results p.25 eFigure19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ID",IF(OR(A10="",COUNTIF($A$2:$A$20,A10)&lt;&gt;1,LEFT(A10,LEN("2024::jama.2024.0572::"))&lt;&gt;"2024::jama.2024.0572::"),"CHECK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/>
    </row>
    <row r="11" ht="92" customHeight="1" s="25">
      <c r="A11" s="24" t="inlineStr">
        <is>
          <t>2024::jama.2024.0572::C010</t>
        </is>
      </c>
      <c r="B11" s="24" t="inlineStr">
        <is>
          <t>Planned outcome hierarchy</t>
        </is>
      </c>
      <c r="C11" s="24" t="inlineStr">
        <is>
          <t>joi240006supp2_prod_1708623114.99233.pdf — Protocol p.8 synopsis; joi240006supp2_prod_1708623114.99233.pdf — p.37 primary-outcome section; joi240006supp2_prod_1708623114.99233.pdf — Protocol p.50 secondary analysis; joi240006supp3_prod_1708623114.99733.pdf — trial SAP p.13; joi240006supp3_prod_1708623114.99733.pdf — SAP p.14; joi240006supp3_prod_1708623114.99733.pdf — SAP p.17</t>
        </is>
      </c>
      <c r="D11" s="21" t="inlineStr">
        <is>
          <t>retain</t>
        </is>
      </c>
      <c r="E11" s="21" t="inlineStr">
        <is>
          <t>plan_material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ID",IF(OR(A11="",COUNTIF($A$2:$A$20,A11)&lt;&gt;1,LEFT(A11,LEN("2024::jama.2024.0572::"))&lt;&gt;"2024::jama.2024.0572::"),"CHECK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 t="inlineStr">
        <is>
          <t>substantive_inconsistency</t>
        </is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Height="1" s="25">
      <c r="A12" s="20" t="inlineStr">
        <is>
          <t>2024::jama.2024.0572::C011</t>
        </is>
      </c>
      <c r="B12" s="20" t="inlineStr">
        <is>
          <t>Historical SELECT intervals at the null and significant P values</t>
        </is>
      </c>
      <c r="C12" s="20" t="inlineStr">
        <is>
          <t>PLAN joi240006supp2_prod_1708623114.99233.pdf — protocol — PDF p.13, historical SELECT functional-independence and ordinal-shift results.</t>
        </is>
      </c>
      <c r="D12" s="21" t="inlineStr">
        <is>
          <t>exclude</t>
        </is>
      </c>
      <c r="E12" s="21" t="inlineStr">
        <is>
          <t>plan_material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ID",IF(OR(A12="",COUNTIF($A$2:$A$20,A12)&lt;&gt;1,LEFT(A12,LEN("2024::jama.2024.0572::"))&lt;&gt;"2024::jama.2024.0572::"),"CHECK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Protocol p13 background: results of the earlier non-randomized SELECT cohort (aOR 2.92, 1.00-7.91, P=.041; 2.01, 1.00-4.03, P=.049). Background literature, not a design element of SELECT2 or this analysis; the 1.00 lower limits are also compatible with rounding.</t>
        </is>
      </c>
    </row>
    <row r="13" ht="92" customHeight="1" s="25">
      <c r="A13" s="24" t="inlineStr">
        <is>
          <t>2024::jama.2024.0572::C012</t>
        </is>
      </c>
      <c r="B13" s="24" t="inlineStr">
        <is>
          <t>Historical safety significance statement includes P = .072</t>
        </is>
      </c>
      <c r="C13" s="24" t="inlineStr">
        <is>
          <t>PLAN joi240006supp2_prod_1708623114.99233.pdf — protocol — PDF p.16, historical safety paragraph.</t>
        </is>
      </c>
      <c r="D13" s="21" t="inlineStr">
        <is>
          <t>exclude</t>
        </is>
      </c>
      <c r="E13" s="21" t="inlineStr">
        <is>
          <t>plan_material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ID",IF(OR(A13="",COUNTIF($A$2:$A$20,A13)&lt;&gt;1,LEFT(A13,LEN("2024::jama.2024.0572::"))&lt;&gt;"2024::jama.2024.0572::"),"CHECK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inlineStr">
        <is>
          <t>Protocol p14 background: SELECT cohort safety outcomes 'significantly increased' include sICH 8/173 vs 3/18, P=.072. A wording slip in the historical rationale, not a design element of this trial or analysis.</t>
        </is>
      </c>
    </row>
    <row r="14" ht="92" customHeight="1" s="25">
      <c r="A14" s="20" t="inlineStr">
        <is>
          <t>2024::jama.2024.0572::C013</t>
        </is>
      </c>
      <c r="B14" s="20" t="inlineStr">
        <is>
          <t>Planned efficacy probability has the opposite treatment-score orientation</t>
        </is>
      </c>
      <c r="C14" s="20" t="inlineStr">
        <is>
          <t>PLAN joi240006supp2_prod_1708623114.99233.pdf — protocol — PDF p.37, lower-score benefit, joi240006supp2_prod_1708623114.99233.pdf — p.80, statistic and efficacy rule, joi240006supp2_prod_1708623114.99233.pdf — p.81, alternative and variable labels; PLAN joi240006supp3_prod_1708623114.99733.pdf — trial SAP — PDF p.39, repeated statistic, joi240006supp3_prod_1708623114.99733.pdf — p.40, alternative and bounds. REPORT jama_sarraj_2024_oi_240006_1708623114.96234.pdf — main article — PDF p.3, mRS direction corroborates only.</t>
        </is>
      </c>
      <c r="D14" s="21" t="inlineStr">
        <is>
          <t>retain</t>
        </is>
      </c>
      <c r="E14" s="21" t="inlineStr">
        <is>
          <t>plan_material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ID",IF(OR(A14="",COUNTIF($A$2:$A$20,A14)&lt;&gt;1,LEFT(A14,LEN("2024::jama.2024.0572::"))&lt;&gt;"2024::jama.2024.0572::"),"CHECK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 t="inlineStr">
        <is>
          <t>minor_presentation</t>
        </is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  <row r="15" ht="92" customHeight="1" s="25">
      <c r="A15" s="24" t="inlineStr">
        <is>
          <t>2024::jama.2024.0572::C014</t>
        </is>
      </c>
      <c r="B15" s="24" t="inlineStr">
        <is>
          <t>Retained interim schedule does not identify the 300-outcome rejection rule</t>
        </is>
      </c>
      <c r="C15" s="24" t="inlineStr">
        <is>
          <t>PLAN joi240006supp3_prod_1708623114.99733.pdf — trial SAP — PDF p.9, §7.2 planned looks, joi240006supp3_prod_1708623114.99733.pdf — p.11, planned sample counts, joi240006supp3_prod_1708623114.99733.pdf — p.12, §7.5 300-outcome review and unchanged-design statements, joi240006supp3_prod_1708623114.99733.pdf — p.40, calibrated settings.</t>
        </is>
      </c>
      <c r="D15" s="21" t="inlineStr">
        <is>
          <t>retain</t>
        </is>
      </c>
      <c r="E15" s="21" t="inlineStr">
        <is>
          <t>plan_material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ID",IF(OR(A15="",COUNTIF($A$2:$A$20,A15)&lt;&gt;1,LEFT(A15,LEN("2024::jama.2024.0572::"))&lt;&gt;"2024::jama.2024.0572::"),"CHECK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 t="inlineStr">
        <is>
          <t>substantive_inconsistency</t>
        </is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/>
    </row>
    <row r="16" ht="92" customHeight="1" s="25">
      <c r="A16" s="20" t="inlineStr">
        <is>
          <t>2024::jama.2024.0572::C015</t>
        </is>
      </c>
      <c r="B16" s="20" t="inlineStr">
        <is>
          <t>PLAN sICH window and death component differ</t>
        </is>
      </c>
      <c r="C16" s="20" t="inlineStr">
        <is>
          <t>PLAN joi240006supp4_prod_1708623115.00733.pdf — analysis-specific SAP — PDF p.5, §5.2.5; PLAN joi240006supp3_prod_1708623114.99733.pdf — trial SAP — PDF p.13, secondary endpoints, joi240006supp3_prod_1708623114.99733.pdf — p.18, §10.2.3.4.1, joi240006supp3_prod_1708623114.99733.pdf — p.31, template footnote. REPORT jama_sarraj_2024_oi_240006_1708623114.96234.pdf — main article — PDF p.3, endpoint name and joi240006supp5_prod_1708623115.01733.pdf — results supplement — PDF p.38, eTable2 counts establish relevance and corroborate only.</t>
        </is>
      </c>
      <c r="D16" s="21" t="inlineStr">
        <is>
          <t>retain</t>
        </is>
      </c>
      <c r="E16" s="21" t="inlineStr">
        <is>
          <t>plan_material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ID",IF(OR(A16="",COUNTIF($A$2:$A$20,A16)&lt;&gt;1,LEFT(A16,LEN("2024::jama.2024.0572::"))&lt;&gt;"2024::jama.2024.0572::"),"CHECK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 t="inlineStr">
        <is>
          <t>minor_presentation</t>
        </is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/>
    </row>
    <row r="17" ht="92" customHeight="1" s="25">
      <c r="A17" s="24" t="inlineStr">
        <is>
          <t>2024::jama.2024.0572::C016</t>
        </is>
      </c>
      <c r="B17" s="24" t="inlineStr">
        <is>
          <t>Planned mismatch-volume primary strata have no supplied counterpart</t>
        </is>
      </c>
      <c r="C17" s="24" t="inlineStr">
        <is>
          <t>PLAN joi240006supp4_prod_1708623115.00733.pdf — analysis-specific SAP — PDF p.6, §5.3.3, joi240006supp4_prod_1708623115.00733.pdf — p.4, §5.2.1 primary endpoint. Identified REPORT comparisons: jama_sarraj_2024_oi_240006_1708623114.96234.pdf — main article — PDF p.6, Figure1, jama_sarraj_2024_oi_240006_1708623114.96234.pdf — p.8, mismatch results, joi240006supp5_prod_1708623115.01733.pdf — results supplement — PDF p.23, eFigure17, joi240006supp5_prod_1708623115.01733.pdf — p.43, eTable7. Complete counterpart scope: jama_sarraj_2024_oi_240006_1708623114.96234.pdf — main article, PDF pp.1–14; entry p.1, joi240006supp5_prod_1708623115.01733.pdf — results supplement, PDF pp.1–53; entry p.1, joi240006supp1_prod_1708623114.97236.pdf — contributors, PDF pp.1–30; entry p.1, and joi240006supp6_prod_1708623115.02733.pdf — data sharing, PDF p.1.</t>
        </is>
      </c>
      <c r="D17" s="21" t="inlineStr">
        <is>
          <t>retain</t>
        </is>
      </c>
      <c r="E17" s="21" t="inlineStr">
        <is>
          <t>protocol_report</t>
        </is>
      </c>
      <c r="F17" s="21" t="inlineStr">
        <is>
          <t>primary_done</t>
        </is>
      </c>
      <c r="G17" s="24">
        <f>IFERROR(IF(LEN(TRIM(CLEAN(SUBSTITUTE(Setup!$B$2,CHAR(160)," "))))=0,"CHECK REVIEWER ID",IF(OR(A17="",COUNTIF($A$2:$A$20,A17)&lt;&gt;1,LEFT(A17,LEN("2024::jama.2024.0572::"))&lt;&gt;"2024::jama.2024.0572::"),"CHECK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 t="inlineStr">
        <is>
          <t>substantive_difference</t>
        </is>
      </c>
      <c r="M17" s="24" t="n"/>
      <c r="N17" s="23" t="n"/>
      <c r="O17" s="23" t="n"/>
      <c r="P17" s="23" t="n"/>
      <c r="Q17" s="23" t="n"/>
      <c r="R17" s="22"/>
    </row>
    <row r="18" ht="92" customHeight="1" s="25">
      <c r="A18" s="20" t="inlineStr">
        <is>
          <t>2024::jama.2024.0572::C017</t>
        </is>
      </c>
      <c r="B18" s="20" t="inlineStr">
        <is>
          <t>Adverse-outcome forest favors labels reverse its printed contrast</t>
        </is>
      </c>
      <c r="C18" s="20" t="inlineStr">
        <is>
          <t>REPORT joi240006supp5_prod_1708623115.01733.pdf — results supplement — PDF p.19, eFigure13 title, contrast, axis labels and all 16 rows; REPORT joi240006supp5_prod_1708623115.01733.pdf — results supplement — PDF p.15, eFigure9 direction convention and jama_sarraj_2024_oi_240006_1708623114.96234.pdf — main article — PDF p.3, mRS 5–6 definition corroborate only.</t>
        </is>
      </c>
      <c r="D18" s="21" t="inlineStr">
        <is>
          <t>retain</t>
        </is>
      </c>
      <c r="E18" s="21" t="inlineStr">
        <is>
          <t>statistical_results</t>
        </is>
      </c>
      <c r="F18" s="21" t="inlineStr">
        <is>
          <t>primary_done</t>
        </is>
      </c>
      <c r="G18" s="20">
        <f>IFERROR(IF(LEN(TRIM(CLEAN(SUBSTITUTE(Setup!$B$2,CHAR(160)," "))))=0,"CHECK REVIEWER ID",IF(OR(A18="",COUNTIF($A$2:$A$20,A18)&lt;&gt;1,LEFT(A18,LEN("2024::jama.2024.0572::"))&lt;&gt;"2024::jama.2024.0572::"),"CHECK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 t="inlineStr">
        <is>
          <t>confirmed_issue</t>
        </is>
      </c>
      <c r="I18" s="21" t="inlineStr">
        <is>
          <t>minor_presentation</t>
        </is>
      </c>
      <c r="J18" s="22" t="inlineStr">
        <is>
          <t>unlikely</t>
        </is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/>
    </row>
    <row r="19" ht="92" customHeight="1" s="25">
      <c r="A19" s="24" t="inlineStr">
        <is>
          <t>2024::jama.2024.0572::C018</t>
        </is>
      </c>
      <c r="B19" s="24" t="inlineStr">
        <is>
          <t>Discordant-profile counts exceed disjoint totals and change arm attribution</t>
        </is>
      </c>
      <c r="C19" s="24" t="inlineStr">
        <is>
          <t>REPORT joi240006supp5_prod_1708623115.01733.pdf — results supplement — PDF p.45, eTable8 independence, joi240006supp5_prod_1708623115.01733.pdf — p.46, eTable8 ambulation/adverse outcomes, joi240006supp5_prod_1708623115.01733.pdf — p.47, eTable9 favorable outcomes, joi240006supp5_prod_1708623115.01733.pdf — p.48, eTable9 adverse outcomes, joi240006supp5_prod_1708623115.01733.pdf — p.49, eTable10 favorable outcomes, joi240006supp5_prod_1708623115.01733.pdf — p.50, eTable10 adverse outcomes, joi240006supp5_prod_1708623115.01733.pdf — p.31, eFigure20x profile heading, and joi240006supp5_prod_1708623115.01733.pdf — p.32, eFigure20x distribution.</t>
        </is>
      </c>
      <c r="D19" s="21" t="inlineStr">
        <is>
          <t>retain</t>
        </is>
      </c>
      <c r="E19" s="21" t="inlineStr">
        <is>
          <t>statistical_results</t>
        </is>
      </c>
      <c r="F19" s="21" t="inlineStr">
        <is>
          <t>primary_done</t>
        </is>
      </c>
      <c r="G19" s="24">
        <f>IFERROR(IF(LEN(TRIM(CLEAN(SUBSTITUTE(Setup!$B$2,CHAR(160)," "))))=0,"CHECK REVIEWER ID",IF(OR(A19="",COUNTIF($A$2:$A$20,A19)&lt;&gt;1,LEFT(A19,LEN("2024::jama.2024.0572::"))&lt;&gt;"2024::jama.2024.0572::"),"CHECK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 t="inlineStr">
        <is>
          <t>confirmed_issue</t>
        </is>
      </c>
      <c r="I19" s="21" t="inlineStr">
        <is>
          <t>substantive</t>
        </is>
      </c>
      <c r="J19" s="22" t="inlineStr">
        <is>
          <t>direct</t>
        </is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/>
    </row>
    <row r="20" ht="92" customHeight="1" s="25">
      <c r="A20" s="20" t="inlineStr">
        <is>
          <t>2024::jama.2024.0572::C019</t>
        </is>
      </c>
      <c r="B20" s="20" t="inlineStr">
        <is>
          <t>Final overall efficacy failure has competing rescue and terminal branches</t>
        </is>
      </c>
      <c r="C20" s="20" t="inlineStr">
        <is>
          <t>Principal PLAN comparison: joi240006supp2_prod_1708623114.99233.pdf — protocol — PDF p.48, final scenario 1 items 2/2.1/2.2 versus joi240006supp3_prod_1708623114.99733.pdf — trial SAP — PDF p.10, final paragraph and conclusions. PLAN context: joi240006supp2_prod_1708623114.99233.pdf — protocol p.1, August 4, 2021 date, joi240006supp2_prod_1708623114.99233.pdf — p.45, primary analysis/selection, joi240006supp2_prod_1708623114.99233.pdf — p.46, schedule/bounds, joi240006supp2_prod_1708623114.99233.pdf — p.47, enrollment scenarios, joi240006supp2_prod_1708623114.99233.pdf — p.49, simulation context, joi240006supp2_prod_1708623114.99233.pdf — p.81, final appendix rule; joi240006supp3_prod_1708623114.99733.pdf — trial SAP p.2, November 20, 2022 v1.0.0 approval, joi240006supp3_prod_1708623114.99733.pdf — p.9, retained final-selection language, joi240006supp3_prod_1708623114.99733.pdf — p.12, early-stop chronology, joi240006supp3_prod_1708623114.99733.pdf — p.40, final appendix threshold.</t>
        </is>
      </c>
      <c r="D20" s="21" t="inlineStr">
        <is>
          <t>retain</t>
        </is>
      </c>
      <c r="E20" s="21" t="inlineStr">
        <is>
          <t>plan_material</t>
        </is>
      </c>
      <c r="F20" s="21" t="inlineStr">
        <is>
          <t>primary_done</t>
        </is>
      </c>
      <c r="G20" s="20">
        <f>IFERROR(IF(LEN(TRIM(CLEAN(SUBSTITUTE(Setup!$B$2,CHAR(160)," "))))=0,"CHECK REVIEWER ID",IF(OR(A20="",COUNTIF($A$2:$A$20,A20)&lt;&gt;1,LEFT(A20,LEN("2024::jama.2024.0572::"))&lt;&gt;"2024::jama.2024.0572::"),"CHECK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>
        <f>IF(AND(OR(D20="retain",D20=""),E20="statistical_results"),"","not_applicable")</f>
        <v/>
      </c>
      <c r="I20" s="21">
        <f>IF(AND(OR(D20="retain",D20=""),E20="statistical_results"),"","not_applicable")</f>
        <v/>
      </c>
      <c r="J20" s="22">
        <f>IF(AND(OR(D20="retain",D20=""),E20="statistical_results"),"","not_applicable")</f>
        <v/>
      </c>
      <c r="K20" s="21" t="inlineStr">
        <is>
          <t>substantive_inconsistency</t>
        </is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/>
    </row>
  </sheetData>
  <autoFilter ref="A1:R20"/>
  <conditionalFormatting sqref="H2:H20">
    <cfRule type="expression" priority="8" dxfId="70">
      <formula>NOT(AND(OR($D2="retain",$D2=""),$E2="statistical_results"))</formula>
    </cfRule>
  </conditionalFormatting>
  <conditionalFormatting sqref="I2:I20">
    <cfRule type="expression" priority="9" dxfId="70">
      <formula>NOT(AND(OR($D2="retain",$D2=""),$E2="statistical_results"))</formula>
    </cfRule>
  </conditionalFormatting>
  <conditionalFormatting sqref="J2:J20">
    <cfRule type="expression" priority="10" dxfId="70">
      <formula>NOT(AND(OR($D2="retain",$D2=""),$E2="statistical_results"))</formula>
    </cfRule>
  </conditionalFormatting>
  <conditionalFormatting sqref="K2:K20">
    <cfRule type="expression" priority="11" dxfId="70">
      <formula>NOT(AND(OR($D2="retain",$D2=""),OR($E2="report_internal_inconsistency",$E2="plan_material")))</formula>
    </cfRule>
  </conditionalFormatting>
  <conditionalFormatting sqref="L2:L20">
    <cfRule type="expression" priority="12" dxfId="70">
      <formula>NOT(AND(OR($D2="retain",$D2=""),$E2="protocol_report"))</formula>
    </cfRule>
  </conditionalFormatting>
  <conditionalFormatting sqref="G2:G20">
    <cfRule type="expression" priority="13" dxfId="71">
      <formula>G2&lt;&gt;"PRIMARY READY"</formula>
    </cfRule>
  </conditionalFormatting>
  <dataValidations count="8">
    <dataValidation sqref="D2:D20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0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0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0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0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0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0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0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2024::jama.2024.11057::C001</t>
        </is>
      </c>
      <c r="B2" s="20" t="inlineStr">
        <is>
          <t>Primary estimate attribution to planned baseline adjustment</t>
        </is>
      </c>
      <c r="C2" s="20" t="inlineStr">
        <is>
          <t>PLAN joi240078supp1_prod_1739900423.22574.pdf — p. 5, Primary Analysis; REPORT jama_graham_2024_oi_240078_1739900423.19074.pdf — p. 1, abstract, jama_graham_2024_oi_240078_1739900423.19074.pdf — p. 4, Statistical Methods, jama_graham_2024_oi_240078_1739900423.19074.pdf — p. 5, Vaping Cessation, and jama_graham_2024_oi_240078_1739900423.19074.pdf — p. 6, Table 2; REPORT joi240078supp2_prod_1739900423.24574.pdf — p. 14, eTable 5, Missing=Vaping; Amendment context: PLAN joi240078supp1_prod_1739900423.22574.pdf — p. 15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ID",IF(OR(A2="",COUNTIF($A$2:$A$6,A2)&lt;&gt;1,LEFT(A2,LEN("2024::jama.2024.11057::"))&lt;&gt;"2024::jama.2024.11057::"),"CHECK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Height="1" s="25">
      <c r="A3" s="24" t="inlineStr">
        <is>
          <t>2024::jama.2024.11057::C002</t>
        </is>
      </c>
      <c r="B3" s="24" t="inlineStr">
        <is>
          <t>Retention test population and waitlist exclusion</t>
        </is>
      </c>
      <c r="C3" s="24" t="inlineStr">
        <is>
          <t>REPORT jama_graham_2024_oi_240078_1739900423.19074.pdf — p. 2, waitlist discussion, jama_graham_2024_oi_240078_1739900423.19074.pdf — p. 4, first Results retention paragraph, and jama_graham_2024_oi_240078_1739900423.19074.pdf — p. 6, corroborating participant-flow figure.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ID",IF(OR(A3="",COUNTIF($A$2:$A$6,A3)&lt;&gt;1,LEFT(A3,LEN("2024::jama.2024.11057::"))&lt;&gt;"2024::jama.2024.11057::"),"CHECK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unlikely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2024::jama.2024.11057::C003</t>
        </is>
      </c>
      <c r="B4" s="20" t="inlineStr">
        <is>
          <t>Prequit intervention duration across supplied documents</t>
        </is>
      </c>
      <c r="C4" s="20" t="inlineStr">
        <is>
          <t>REPORT jama_graham_2024_oi_240078_1739900423.19074.pdf — p. 3, intervention description; PLAN joi240078supp1_prod_1739900423.22574.pdf — p. 2, program description and joi240078supp1_prod_1739900423.22574.pdf — p. 4, trial intervention assignment; REPORT joi240078supp2_prod_1739900423.24574.pdf — p. 2, eAppendix A; Amendment context: PLAN joi240078supp1_prod_1739900423.22574.pdf — p. 15</t>
        </is>
      </c>
      <c r="D4" s="21" t="inlineStr">
        <is>
          <t>retain</t>
        </is>
      </c>
      <c r="E4" s="21" t="inlineStr">
        <is>
          <t>report_internal_inconsistency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ID",IF(OR(A4="",COUNTIF($A$2:$A$6,A4)&lt;&gt;1,LEFT(A4,LEN("2024::jama.2024.11057::"))&lt;&gt;"2024::jama.2024.11057::"),"CHECK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 t="inlineStr">
        <is>
          <t>substantive_inconsistency</t>
        </is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2024::jama.2024.11057::C004</t>
        </is>
      </c>
      <c r="B5" s="24" t="inlineStr">
        <is>
          <t>Planned moderator selection and reported testing family</t>
        </is>
      </c>
      <c r="C5" s="24" t="inlineStr">
        <is>
          <t>PLAN joi240078supp1_prod_1739900423.22574.pdf — p. 5, Primary Analysis and joi240078supp1_prod_1739900423.22574.pdf — p. 6, opening continuation; REPORT jama_graham_2024_oi_240078_1739900423.19074.pdf — p. 4, Statistical Methods and jama_graham_2024_oi_240078_1739900423.19074.pdf — p. 5, Moderator Results; REPORT joi240078supp2_prod_1739900423.24574.pdf — p. 6, eAppendix D and joi240078supp2_prod_1739900423.24574.pdf — p. 15, eTable 6; Amendment context: PLAN joi240078supp1_prod_1739900423.22574.pdf — p. 15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ID",IF(OR(A5="",COUNTIF($A$2:$A$6,A5)&lt;&gt;1,LEFT(A5,LEN("2024::jama.2024.11057::"))&lt;&gt;"2024::jama.2024.11057::"),"CHECK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2024::jama.2024.11057::C005</t>
        </is>
      </c>
      <c r="B6" s="20" t="inlineStr">
        <is>
          <t>Weighted odds-ratio upper confidence limit in eTable 5</t>
        </is>
      </c>
      <c r="C6" s="20" t="inlineStr">
        <is>
          <t>REPORT joi240078supp2_prod_1739900423.24574.pdf — p. 14, eTable 5, 30-day IPRW OR cell and all five comparator OR cells; method context in REPORT joi240078supp2_prod_1739900423.24574.pdf — the same PDF — p. 5, eAppendix C.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ID",IF(OR(A6="",COUNTIF($A$2:$A$6,A6)&lt;&gt;1,LEFT(A6,LEN("2024::jama.2024.11057::"))&lt;&gt;"2024::jama.2024.11057::"),"CHECK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minor_presentation</t>
        </is>
      </c>
      <c r="J6" s="22" t="inlineStr">
        <is>
          <t>unlikely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2024::jama.2024.12829::C001</t>
        </is>
      </c>
      <c r="B2" s="20" t="inlineStr">
        <is>
          <t>BMI subgroup partition and prespecification</t>
        </is>
      </c>
      <c r="C2" s="20" t="inlineStr">
        <is>
          <t>REPORT jama_sun_2024_oi_240088_1746815064.14747.pdf — main p4, Statistical Analysis prespecification sentence, jama_sun_2024_oi_240088_1746815064.14747.pdf — p5, subgroup narrative, and jama_sun_2024_oi_240088_1746815064.14747.pdf — p7, Figure 2, both BMI rows and interaction cell; PLAN joi240088supp2_prod_1746815064.36071.pdf — original protocol p41, line 760, joi240088supp2_prod_1746815064.36071.pdf — final protocol p103, line 1779, joi240088supp2_prod_1746815064.36071.pdf — original SAP p140, line 2358, and joi240088supp2_prod_1746815064.36071.pdf — final SAP p160, line 2768. The original-SAP line locator was clarified to 2358 during screening, before stable registration.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ID",IF(OR(A2="",COUNTIF($A$2:$A$8,A2)&lt;&gt;1,LEFT(A2,LEN("2024::jama.2024.12829::"))&lt;&gt;"2024::jama.2024.12829::"),"CHECK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Height="1" s="25">
      <c r="A3" s="24" t="inlineStr">
        <is>
          <t>2024::jama.2024.12829::C002</t>
        </is>
      </c>
      <c r="B3" s="24" t="inlineStr">
        <is>
          <t>Sensitivity-analysis population headers</t>
        </is>
      </c>
      <c r="C3" s="24" t="inlineStr">
        <is>
          <t>REPORT jama_sun_2024_oi_240088_1746815064.14747.pdf — main p5, Figure 1 final per-protocol boxes; joi240088supp1_prod_1746815064.21247.pdf — results supplement p20, Table S7 both arm headers, both site totals, and both arms' event rows; joi240088supp1_prod_1746815064.21247.pdf — p21, Table S8 title, both headers, primary row, and all three component rows; joi240088supp1_prod_1746815064.21247.pdf — p23, Table S10 per-protocol section.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ID",IF(OR(A3="",COUNTIF($A$2:$A$8,A3)&lt;&gt;1,LEFT(A3,LEN("2024::jama.2024.12829::"))&lt;&gt;"2024::jama.2024.12829::"),"CHECK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possible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2024::jama.2024.12829::C003</t>
        </is>
      </c>
      <c r="B4" s="20" t="inlineStr">
        <is>
          <t>Center-adjusted primary event count</t>
        </is>
      </c>
      <c r="C4" s="20" t="inlineStr">
        <is>
          <t>REPORT jama_sun_2024_oi_240088_1746815064.14747.pdf — main p7, Figure 2 overall row, jama_sun_2024_oi_240088_1746815064.14747.pdf — p8, Table 2 primary row, arm headers, and first-event footnote, jama_sun_2024_oi_240088_1746815064.14747.pdf — p6, adjusted-result narrative; joi240088supp1_prod_1746815064.21247.pdf — results supplement p19, Table S6 primary row, headers, full endpoint, and adjustment footnotes. joi240088supp1_prod_1746815064.21247.pdf — Supplement p21, Table S8 is an alternative-population locator only.</t>
        </is>
      </c>
      <c r="D4" s="21" t="inlineStr">
        <is>
          <t>retain</t>
        </is>
      </c>
      <c r="E4" s="21" t="inlineStr">
        <is>
          <t>statistical_results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ID",IF(OR(A4="",COUNTIF($A$2:$A$8,A4)&lt;&gt;1,LEFT(A4,LEN("2024::jama.2024.12829::"))&lt;&gt;"2024::jama.2024.12829::"),"CHECK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 t="inlineStr">
        <is>
          <t>confirmed_issue</t>
        </is>
      </c>
      <c r="I4" s="21" t="inlineStr">
        <is>
          <t>minor_presentation</t>
        </is>
      </c>
      <c r="J4" s="22" t="inlineStr">
        <is>
          <t>unlikely</t>
        </is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2024::jama.2024.12829::C004</t>
        </is>
      </c>
      <c r="B5" s="24" t="inlineStr">
        <is>
          <t>Outside-territory stroke difference interval</t>
        </is>
      </c>
      <c r="C5" s="24" t="inlineStr">
        <is>
          <t>REPORT jama_sun_2024_oi_240088_1746815064.14747.pdf — main p8, Table 2 one-year outside-territory stroke row, all count/difference/HR/P cells; jama_sun_2024_oi_240088_1746815064.14747.pdf — p4, Statistical Analysis confidence and significance conventions.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ID",IF(OR(A5="",COUNTIF($A$2:$A$8,A5)&lt;&gt;1,LEFT(A5,LEN("2024::jama.2024.12829::"))&lt;&gt;"2024::jama.2024.12829::"),"CHECK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substantive</t>
        </is>
      </c>
      <c r="J5" s="22" t="inlineStr">
        <is>
          <t>direct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2024::jama.2024.12829::C005</t>
        </is>
      </c>
      <c r="B6" s="20" t="inlineStr">
        <is>
          <t>Ninety-day mRS count and percentage</t>
        </is>
      </c>
      <c r="C6" s="20" t="inlineStr">
        <is>
          <t>REPORT joi240088supp1_prod_1746815064.21247.pdf — results supplement p13, Figure S4 BA header, all seven category annotations and mRS 2 leader. jama_sun_2024_oi_240088_1746815064.14747.pdf — Main p8, 90-day mRS generalized-OR row and footnote is corroborative only.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ID",IF(OR(A6="",COUNTIF($A$2:$A$8,A6)&lt;&gt;1,LEFT(A6,LEN("2024::jama.2024.12829::"))&lt;&gt;"2024::jama.2024.12829::"),"CHECK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minor_presentation</t>
        </is>
      </c>
      <c r="J6" s="22" t="inlineStr">
        <is>
          <t>unlikely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/>
    </row>
    <row r="7" ht="92" customHeight="1" s="25">
      <c r="A7" s="24" t="inlineStr">
        <is>
          <t>2024::jama.2024.12829::C006</t>
        </is>
      </c>
      <c r="B7" s="24" t="inlineStr">
        <is>
          <t>Safety-test specification</t>
        </is>
      </c>
      <c r="C7" s="24" t="inlineStr">
        <is>
          <t>PLAN joi240088supp2_prod_1746815064.36071.pdf — original SAP p142, §12.4, lines 2387–2390, joi240088supp2_prod_1746815064.36071.pdf — final SAP p162, lines 2801–2806; REPORT joi240088supp1_prod_1746815064.21247.pdf — results supplement p24, Table S11 overall, nervous-system, and disabling-stroke rows, superscripts c/d and both test footnotes. jama_sun_2024_oi_240088_1746815064.14747.pdf — Main p6, disabling-stroke narrative corroborates the reported result only.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ID",IF(OR(A7="",COUNTIF($A$2:$A$8,A7)&lt;&gt;1,LEFT(A7,LEN("2024::jama.2024.12829::"))&lt;&gt;"2024::jama.2024.12829::"),"CHECK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minor_presentation</t>
        </is>
      </c>
      <c r="M7" s="24" t="n"/>
      <c r="N7" s="23" t="n"/>
      <c r="O7" s="23" t="n"/>
      <c r="P7" s="23" t="n"/>
      <c r="Q7" s="23" t="n"/>
      <c r="R7" s="22"/>
    </row>
    <row r="8" ht="92" customHeight="1" s="25">
      <c r="A8" s="20" t="inlineStr">
        <is>
          <t>2024::jama.2024.12829::C007</t>
        </is>
      </c>
      <c r="B8" s="20" t="inlineStr">
        <is>
          <t>Original planned event forecast</t>
        </is>
      </c>
      <c r="C8" s="20" t="inlineStr">
        <is>
          <t>PLAN joi240088supp2_prod_1746815064.36071.pdf — original protocol p11, sample-size synopsis, joi240088supp2_prod_1746815064.36071.pdf — p12, 728→802 expansion and follow-up, joi240088supp2_prod_1746815064.36071.pdf — p18, twelve-month primary hypothesis and 1:1 allocation, joi240088supp2_prod_1746815064.36071.pdf — p40, original statistical section and sample-size opening, joi240088supp2_prod_1746815064.36071.pdf — p41, detailed sample-size continuation. jama_sun_2024_oi_240088_1746815064.14747.pdf — Main p3, original 802 design history is corroborative only. joi240088supp2_prod_1746815064.36071.pdf — PLAN p126, later 802→512 amendment establishes the revised-design boundary.</t>
        </is>
      </c>
      <c r="D8" s="21" t="inlineStr">
        <is>
          <t>retain</t>
        </is>
      </c>
      <c r="E8" s="21" t="inlineStr">
        <is>
          <t>plan_material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ID",IF(OR(A8="",COUNTIF($A$2:$A$8,A8)&lt;&gt;1,LEFT(A8,LEN("2024::jama.2024.12829::"))&lt;&gt;"2024::jama.2024.12829::"),"CHECK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 t="inlineStr">
        <is>
          <t>indeterminate</t>
        </is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2024::jama.2024.19585::C001</t>
        </is>
      </c>
      <c r="B2" s="20" t="inlineStr">
        <is>
          <t>ED absolute-effect interval and separately adjusted test give different null-value readings</t>
        </is>
      </c>
      <c r="C2" s="20" t="inlineStr">
        <is>
          <t>REPORT jama_dupuis_2024_oi_240111_1733431204.38761.pdf — DOC-001 p. 9 Table 3 ED row and footnote b; REPORT jama_dupuis_2024_oi_240111_1733431204.38761.pdf — p. 4 significance rule; corroborating REPORT jama_dupuis_2024_oi_240111_1733431204.38761.pdf — p. 1 abstract, jama_dupuis_2024_oi_240111_1733431204.38761.pdf — p. 6 ED narrative, and joi240111supp2_prod_1733431204.76024.pdf — DOC-003 p. 17 eTable 12 Poisson ED result.</t>
        </is>
      </c>
      <c r="D2" s="21" t="inlineStr">
        <is>
          <t>exclude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ID",IF(OR(A2="",COUNTIF($A$2:$A$8,A2)&lt;&gt;1,LEFT(A2,LEN("2024::jama.2024.19585::"))&lt;&gt;"2024::jama.2024.19585::"),"CHECK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inlineStr">
        <is>
          <t>Table 3 (main p9) ED visits: absolute difference 3.38 (95% CrI -0.57 to 7.94) vs rate ratio 1.72 (1.03-2.87), P=.04. Footnote b states the absolute difference comes from a different model (treatment plus random site only, marginalized; credible interval), while the RR and P come from the adjusted mixed Poisson model. Different models and inferential summaries; no contradiction.</t>
        </is>
      </c>
    </row>
    <row r="3" ht="92" customHeight="1" s="25">
      <c r="A3" s="24" t="inlineStr">
        <is>
          <t>2024::jama.2024.19585::C002</t>
        </is>
      </c>
      <c r="B3" s="24" t="inlineStr">
        <is>
          <t>Triggered primary total-score ordinal sensitivity is absent from the supplied report</t>
        </is>
      </c>
      <c r="C3" s="24" t="inlineStr">
        <is>
          <t>PLAN joi240111supp1_prod_1733431204.57929.pdf — DOC-002 p. 11 final protocol primary analysis, joi240111supp1_prod_1733431204.57929.pdf — p. 36 SAP primary analysis, joi240111supp1_prod_1733431204.57929.pdf — p. 31 amendment history; REPORT jama_dupuis_2024_oi_240111_1733431204.38761.pdf — DOC-001 p. 3 primary methods, jama_dupuis_2024_oi_240111_1733431204.38761.pdf — p. 4 sensitivities, joi240111supp2_prod_1733431204.76024.pdf — DOC-003 p. 18 eFigure 1 item 2, joi240111supp2_prod_1733431204.76024.pdf — p. 19 other sensitivities. Absence check covers DOC-001 pp. 1–11 and DOC-003 pp. 1–23, as mapped and independently searched.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ID",IF(OR(A3="",COUNTIF($A$2:$A$8,A3)&lt;&gt;1,LEFT(A3,LEN("2024::jama.2024.19585::"))&lt;&gt;"2024::jama.2024.19585::"),"CHECK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2024::jama.2024.19585::C003</t>
        </is>
      </c>
      <c r="B4" s="20" t="inlineStr">
        <is>
          <t>Explicitly planned week-4 symptom and chart-outcome comparisons are not supplied</t>
        </is>
      </c>
      <c r="C4" s="20" t="inlineStr">
        <is>
          <t>PLAN joi240111supp1_prod_1733431204.57929.pdf — DOC-002 p. 11 final protocol secondary items 1–4, joi240111supp1_prod_1733431204.57929.pdf — p. 12 item 5, joi240111supp1_prod_1733431204.57929.pdf — p. 34 PRO definitions, joi240111supp1_prod_1733431204.57929.pdf — p. 35 chart endpoints, joi240111supp1_prod_1733431204.57929.pdf — p. 36 symptom models, joi240111supp1_prod_1733431204.57929.pdf — p. 37 secondary models; REPORT jama_dupuis_2024_oi_240111_1733431204.38761.pdf — DOC-001 p. 1 abstract, jama_dupuis_2024_oi_240111_1733431204.38761.pdf — p. 4 analyses/results, jama_dupuis_2024_oi_240111_1733431204.38761.pdf — p. 7 Table 2; REPORT joi240111supp2_prod_1733431204.76024.pdf — DOC-003 p. 12 eTable 9, joi240111supp2_prod_1733431204.76024.pdf — p. 13 eTable 10, joi240111supp2_prod_1733431204.76024.pdf — p. 14 eTable 10, joi240111supp2_prod_1733431204.76024.pdf — p. 15 eTable 10, joi240111supp2_prod_1733431204.76024.pdf — p. 20 eFigure 2, joi240111supp2_prod_1733431204.76024.pdf — p. 21 eFigure 3. Complete absence search: all supplied REPORT pages.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ID",IF(OR(A4="",COUNTIF($A$2:$A$8,A4)&lt;&gt;1,LEFT(A4,LEN("2024::jama.2024.19585::"))&lt;&gt;"2024::jama.2024.19585::"),"CHECK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2024::jama.2024.19585::C004</t>
        </is>
      </c>
      <c r="B5" s="24" t="inlineStr">
        <is>
          <t>Final planned intervention effects and reported logistic OR analyses differ</t>
        </is>
      </c>
      <c r="C5" s="24" t="inlineStr">
        <is>
          <t>PLAN joi240111supp1_prod_1733431204.57929.pdf — DOC-002 p. 12 final protocol item 5, joi240111supp1_prod_1733431204.57929.pdf — p. 37 final SAP item 5, joi240111supp1_prod_1733431204.57929.pdf — p. 31 version history; REPORT jama_dupuis_2024_oi_240111_1733431204.38761.pdf — DOC-001 p. 1 abstract secondary outcomes/conclusion, jama_dupuis_2024_oi_240111_1733431204.38761.pdf — p. 4 secondary methods, joi240111supp2_prod_1733431204.76024.pdf — DOC-003 p. 13 eTable 10, joi240111supp2_prod_1733431204.76024.pdf — p. 14 eTable 10, joi240111supp2_prod_1733431204.76024.pdf — p. 15 footnote b, joi240111supp2_prod_1733431204.76024.pdf — p. 22 eMethods.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ID",IF(OR(A5="",COUNTIF($A$2:$A$8,A5)&lt;&gt;1,LEFT(A5,LEN("2024::jama.2024.19585::"))&lt;&gt;"2024::jama.2024.19585::"),"CHECK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2024::jama.2024.19585::C005</t>
        </is>
      </c>
      <c r="B6" s="20" t="inlineStr">
        <is>
          <t>Finite severe-mouth-sore ORs accompany an empty intervention cohort</t>
        </is>
      </c>
      <c r="C6" s="20" t="inlineStr">
        <is>
          <t>REPORT joi240111supp2_prod_1733431204.76024.pdf — DOC-003 p. 13 documentation, mouth sores, SSPedi≥3; REPORT joi240111supp2_prod_1733431204.76024.pdf — p. 14 any intervention, mouth sores, SSPedi≥3; REPORT joi240111supp2_prod_1733431204.76024.pdf — p. 14 symptom-specific intervention, mouth sores, SSPedi≥3; REPORT joi240111supp2_prod_1733431204.76024.pdf — p. 15 footnotes b/c and joi240111supp2_prod_1733431204.76024.pdf — p. 22 eMethods.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ID",IF(OR(A6="",COUNTIF($A$2:$A$8,A6)&lt;&gt;1,LEFT(A6,LEN("2024::jama.2024.19585::"))&lt;&gt;"2024::jama.2024.19585::"),"CHECK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minor_presentation</t>
        </is>
      </c>
      <c r="J6" s="22" t="inlineStr">
        <is>
          <t>unlikely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/>
    </row>
    <row r="7" ht="92" customHeight="1" s="25">
      <c r="A7" s="24" t="inlineStr">
        <is>
          <t>2024::jama.2024.19585::C006</t>
        </is>
      </c>
      <c r="B7" s="24" t="inlineStr">
        <is>
          <t>Sadness interval excludes one while the displayed P is at the strict threshold</t>
        </is>
      </c>
      <c r="C7" s="24" t="inlineStr">
        <is>
          <t>REPORT joi240111supp2_prod_1733431204.76024.pdf — DOC-003 p. 13 eTable 10 any intervention, sadness, all participants; REPORT jama_dupuis_2024_oi_240111_1733431204.38761.pdf — DOC-001 p. 4 P&lt;.05 rule, jama_dupuis_2024_oi_240111_1733431204.38761.pdf — p. 5 matched counts/P and significance narrative; REPORT joi240111supp2_prod_1733431204.76024.pdf — DOC-003 p. 15 footnote b, joi240111supp2_prod_1733431204.76024.pdf — p. 22 eMethods.</t>
        </is>
      </c>
      <c r="D7" s="21" t="inlineStr">
        <is>
          <t>exclude</t>
        </is>
      </c>
      <c r="E7" s="21" t="inlineStr">
        <is>
          <t>statistical_results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ID",IF(OR(A7="",COUNTIF($A$2:$A$8,A7)&lt;&gt;1,LEFT(A7,LEN("2024::jama.2024.19585::"))&lt;&gt;"2024::jama.2024.19585::"),"CHECK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eTable 10 sadness, any intervention, all participants: OR 0.51 (0.26-0.99), P=.05, called significant (main p5) under the P&lt;.05 rule. The CI implies P about .048, which rounds to .05 and is below .05. Consistent once rounding is considered.</t>
        </is>
      </c>
    </row>
    <row r="8" ht="92" customHeight="1" s="25">
      <c r="A8" s="20" t="inlineStr">
        <is>
          <t>2024::jama.2024.19585::C007</t>
        </is>
      </c>
      <c r="B8" s="20" t="inlineStr">
        <is>
          <t>Neuropathy and hunger symptom-specific intervals include one with significant P values</t>
        </is>
      </c>
      <c r="C8" s="20" t="inlineStr">
        <is>
          <t>REPORT joi240111supp2_prod_1733431204.76024.pdf — DOC-003 p. 14 symptom-specific intervention, neuropathy, SSPedi≥1; REPORT joi240111supp2_prod_1733431204.76024.pdf — p. 14 symptom-specific intervention, hunger, SSPedi≥1; REPORT joi240111supp2_prod_1733431204.76024.pdf — p. 15 footnotes b/c and joi240111supp2_prod_1733431204.76024.pdf — p. 22 eMethods; REPORT jama_dupuis_2024_oi_240111_1733431204.38761.pdf — DOC-001 p. 4 threshold/methods, jama_dupuis_2024_oi_240111_1733431204.38761.pdf — p. 5 matched counts and jama_dupuis_2024_oi_240111_1733431204.38761.pdf — p. 6 significance statements.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ID",IF(OR(A8="",COUNTIF($A$2:$A$8,A8)&lt;&gt;1,LEFT(A8,LEN("2024::jama.2024.19585::"))&lt;&gt;"2024::jama.2024.19585::"),"CHECK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possible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2024::jama.2024.2302::C001</t>
        </is>
      </c>
      <c r="B2" s="20" t="inlineStr">
        <is>
          <t>Abstract operative-repair population count</t>
        </is>
      </c>
      <c r="C2" s="20" t="inlineStr">
        <is>
          <t>REPORT jama_blakely_2024_oi_240020_1710443209.74411.pdf — main PDF p. 1, Abstract Results; jama_blakely_2024_oi_240020_1710443209.74411.pdf — p. 3, Figure 1 repair/no-repair branches; jama_blakely_2024_oi_240020_1710443209.74411.pdf — p. 4, Patient Characteristics and Surgery Characteristics; jama_blakely_2024_oi_240020_1710443209.74411.pdf — p. 5, Surgery Characteristics continuation.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ID",IF(OR(A2="",COUNTIF($A$2:$A$7,A2)&lt;&gt;1,LEFT(A2,LEN("2024::jama.2024.2302::"))&lt;&gt;"2024::jama.2024.2302::"),"CHECK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substantive</t>
        </is>
      </c>
      <c r="J2" s="22" t="inlineStr">
        <is>
          <t>possible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Height="1" s="25">
      <c r="A3" s="24" t="inlineStr">
        <is>
          <t>2024::jama.2024.2302::C002</t>
        </is>
      </c>
      <c r="B3" s="24" t="inlineStr">
        <is>
          <t>Planned and reported primary and hospital-day analysis specifications</t>
        </is>
      </c>
      <c r="C3" s="24" t="inlineStr">
        <is>
          <t>PLAN joi240020supp1_prod_1710443209.74911.pdf — protocol PDF p. 13, lines 471–488, primary/hospital analysis paragraphs; PLAN joi240020supp2_prod_1710443209.75411.pdf — SAP p. 7, lines 263–266, joi240020supp2_prod_1710443209.75411.pdf — p. 8, lines 267–271; REPORT jama_blakely_2024_oi_240020_1710443209.74411.pdf — main p. 4, Statistical Analysis, jama_blakely_2024_oi_240020_1710443209.74411.pdf — p. 6, Table 2; REPORT joi240020supp3_prod_1710443209.75411.pdf — results supplement p. 5, eTable 2 and model footnote.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ID",IF(OR(A3="",COUNTIF($A$2:$A$7,A3)&lt;&gt;1,LEFT(A3,LEN("2024::jama.2024.2302::"))&lt;&gt;"2024::jama.2024.2302::"),"CHECK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2024::jama.2024.2302::C003</t>
        </is>
      </c>
      <c r="B4" s="20" t="inlineStr">
        <is>
          <t>Bayesian intervention and subgroup main-effect prior specifications</t>
        </is>
      </c>
      <c r="C4" s="20" t="inlineStr">
        <is>
          <t>PLAN joi240020supp1_prod_1710443209.74911.pdf — protocol p. 13, lines 486–498; PLAN joi240020supp2_prod_1710443209.75411.pdf — SAP p. 8, lines 283–290, joi240020supp2_prod_1710443209.75411.pdf — p. 9, lines 327–332; REPORT jama_blakely_2024_oi_240020_1710443209.74411.pdf — main p. 4, priors/modifier paragraphs; affected REPORT results jama_blakely_2024_oi_240020_1710443209.74411.pdf — main p. 6, Table 2/Figure 2, jama_blakely_2024_oi_240020_1710443209.74411.pdf — p. 8, Figure 3.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ID",IF(OR(A4="",COUNTIF($A$2:$A$7,A4)&lt;&gt;1,LEFT(A4,LEN("2024::jama.2024.2302::"))&lt;&gt;"2024::jama.2024.2302::"),"CHECK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2024::jama.2024.2302::C004</t>
        </is>
      </c>
      <c r="B5" s="24" t="inlineStr">
        <is>
          <t>Formal interim analysis information milestone</t>
        </is>
      </c>
      <c r="C5" s="24" t="inlineStr">
        <is>
          <t>PLAN joi240020supp1_prod_1710443209.74911.pdf — protocol p. 14, lines 519–530, joi240020supp1_prod_1710443209.74911.pdf — p. 25, version 7 history, lines 979–982; PLAN joi240020supp2_prod_1710443209.75411.pdf — SAP p. 4, lines 119–127; REPORT jama_blakely_2024_oi_240020_1710443209.74411.pdf — main p. 4, formal interim paragraph, jama_blakely_2024_oi_240020_1710443209.74411.pdf — p. 8, early-stopping limitation.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ID",IF(OR(A5="",COUNTIF($A$2:$A$7,A5)&lt;&gt;1,LEFT(A5,LEN("2024::jama.2024.2302::"))&lt;&gt;"2024::jama.2024.2302::"),"CHECK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2024::jama.2024.2302::C005</t>
        </is>
      </c>
      <c r="B6" s="20" t="inlineStr">
        <is>
          <t>Planned primary and key-secondary analyses without supplied reported counterparts</t>
        </is>
      </c>
      <c r="C6" s="20" t="inlineStr">
        <is>
          <t>PLAN joi240020supp2_prod_1710443209.75411.pdf — SAP p. 4, lines 133–149, modeled death, joi240020supp2_prod_1710443209.75411.pdf — p. 5, lines 163–166, PP population, joi240020supp2_prod_1710443209.75411.pdf — p. 8, lines 269–276, ≥3%/≥5% benefit, joi240020supp2_prod_1710443209.75411.pdf — p. 9, lines 315–347, PP/modifiers/continuous GA; PLAN joi240020supp1_prod_1710443209.74911.pdf — protocol p. 13, lines 490–500, modifiers; alternative publication scope joi240020supp2_prod_1710443209.75411.pdf — SAP p. 2, lines 28–37. REPORT counterparts/search: jama_blakely_2024_oi_240020_1710443209.74411.pdf — main p. 4, methods and developmental deferral, jama_blakely_2024_oi_240020_1710443209.74411.pdf — p. 6, primary/hospital results, jama_blakely_2024_oi_240020_1710443209.74411.pdf — p. 7, Table 3 and heterogeneity, jama_blakely_2024_oi_240020_1710443209.74411.pdf — p. 8, Figure 3; joi240020supp3_prod_1710443209.75411.pdf — results supplement p. 1, contents, joi240020supp3_prod_1710443209.75411.pdf — p. 5, eTable 2. Complete absence search covers main physical pp. 1–10 and results-supplement pp. 1–8, including all other flow/baseline/center/reference/acknowledgment pages.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ID",IF(OR(A6="",COUNTIF($A$2:$A$7,A6)&lt;&gt;1,LEFT(A6,LEN("2024::jama.2024.2302::"))&lt;&gt;"2024::jama.2024.2302::"),"CHECK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Height="1" s="25">
      <c r="A7" s="24" t="inlineStr">
        <is>
          <t>2024::jama.2024.2302::C006</t>
        </is>
      </c>
      <c r="B7" s="24" t="inlineStr">
        <is>
          <t>Protocol hospital-day median assumptions</t>
        </is>
      </c>
      <c r="C7" s="24" t="inlineStr">
        <is>
          <t>PLAN joi240020supp1_prod_1710443209.74911.pdf — protocol p. 3, lines 105–109, specific aim, joi240020supp1_prod_1710443209.74911.pdf — p. 12, lines 460–462, power assumptions; corroborating PLAN joi240020supp2_prod_1710443209.75411.pdf — SAP p. 3, lines 73–80, clarification; related power outputs joi240020supp1_prod_1710443209.74911.pdf — protocol p. 13, Table 4, joi240020supp2_prod_1710443209.75411.pdf — SAP p. 4, lines 114–115.</t>
        </is>
      </c>
      <c r="D7" s="21" t="inlineStr">
        <is>
          <t>retain</t>
        </is>
      </c>
      <c r="E7" s="21" t="inlineStr">
        <is>
          <t>plan_material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ID",IF(OR(A7="",COUNTIF($A$2:$A$7,A7)&lt;&gt;1,LEFT(A7,LEN("2024::jama.2024.2302::"))&lt;&gt;"2024::jama.2024.2302::"),"CHECK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 t="inlineStr">
        <is>
          <t>minor_presentation</t>
        </is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/>
    </row>
  </sheetData>
  <autoFilter ref="A1:R7"/>
  <conditionalFormatting sqref="H2:H7">
    <cfRule type="expression" priority="8" dxfId="70">
      <formula>NOT(AND(OR($D2="retain",$D2=""),$E2="statistical_results"))</formula>
    </cfRule>
  </conditionalFormatting>
  <conditionalFormatting sqref="I2:I7">
    <cfRule type="expression" priority="9" dxfId="70">
      <formula>NOT(AND(OR($D2="retain",$D2=""),$E2="statistical_results"))</formula>
    </cfRule>
  </conditionalFormatting>
  <conditionalFormatting sqref="J2:J7">
    <cfRule type="expression" priority="10" dxfId="70">
      <formula>NOT(AND(OR($D2="retain",$D2=""),$E2="statistical_results"))</formula>
    </cfRule>
  </conditionalFormatting>
  <conditionalFormatting sqref="K2:K7">
    <cfRule type="expression" priority="11" dxfId="70">
      <formula>NOT(AND(OR($D2="retain",$D2=""),OR($E2="report_internal_inconsistency",$E2="plan_material")))</formula>
    </cfRule>
  </conditionalFormatting>
  <conditionalFormatting sqref="L2:L7">
    <cfRule type="expression" priority="12" dxfId="70">
      <formula>NOT(AND(OR($D2="retain",$D2=""),$E2="protocol_report"))</formula>
    </cfRule>
  </conditionalFormatting>
  <conditionalFormatting sqref="G2:G7">
    <cfRule type="expression" priority="13" dxfId="71">
      <formula>G2&lt;&gt;"PRIMARY READY"</formula>
    </cfRule>
  </conditionalFormatting>
  <dataValidations count="8">
    <dataValidation sqref="D2:D7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7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7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7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7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7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7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7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4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2024::jama.2024.23898::C001</t>
        </is>
      </c>
      <c r="B2" s="20" t="inlineStr">
        <is>
          <t>Secondary quality-of-life significance summary</t>
        </is>
      </c>
      <c r="C2" s="20" t="inlineStr">
        <is>
          <t>REPORT jama_paterson_2024_oi_240139_1741633738.12862.pdf — PDF p. 1; jama_paterson_2024_oi_240139_1741633738.12862.pdf — PDF p. 5; jama_paterson_2024_oi_240139_1741633738.12862.pdf — PDF p. 6; jama_paterson_2024_oi_240139_1741633738.12862.pdf — PDF p. 7; jama_paterson_2024_oi_240139_1741633738.12862.pdf — PDF p. 8; corroborating PLAN joi240139supp2_prod_1741633738.17362.pdf — PDF p. 14, secondary multiplicity convention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ID",IF(OR(A2="",COUNTIF($A$2:$A$14,A2)&lt;&gt;1,LEFT(A2,LEN("2024::jama.2024.23898::"))&lt;&gt;"2024::jama.2024.23898::"),"CHECK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minor_presentation</t>
        </is>
      </c>
      <c r="J2" s="22" t="inlineStr">
        <is>
          <t>unlikely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Height="1" s="25">
      <c r="A3" s="24" t="inlineStr">
        <is>
          <t>2024::jama.2024.23898::C002</t>
        </is>
      </c>
      <c r="B3" s="24" t="inlineStr">
        <is>
          <t>Safety analysis population and exposure requirement</t>
        </is>
      </c>
      <c r="C3" s="24" t="inlineStr">
        <is>
          <t>PLAN joi240139supp2_prod_1741633738.17362.pdf — PDF p. 13, adverse-event population; REPORT jama_paterson_2024_oi_240139_1741633738.12862.pdf — PDF p. 3, Figure 1 receipt/safety boxes and footnote b; jama_paterson_2024_oi_240139_1741633738.12862.pdf — PDF p. 8, Table 3 AE/SAE rows, headings and footnote e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ID",IF(OR(A3="",COUNTIF($A$2:$A$14,A3)&lt;&gt;1,LEFT(A3,LEN("2024::jama.2024.23898::"))&lt;&gt;"2024::jama.2024.23898::"),"CHECK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2024::jama.2024.23898::C003</t>
        </is>
      </c>
      <c r="B4" s="20" t="inlineStr">
        <is>
          <t>Postoperative opioid accumulation window</t>
        </is>
      </c>
      <c r="C4" s="20" t="inlineStr">
        <is>
          <t>PLAN joi240139supp1_prod_1741633738.16362.pdf — PDF p. 17; joi240139supp1_prod_1741633738.16362.pdf — PDF p. 33; joi240139supp1_prod_1741633738.16362.pdf — PDF p. 35; joi240139supp2_prod_1741633738.17362.pdf — PDF p. 11, collection schedule; REPORT jama_paterson_2024_oi_240139_1741633738.12862.pdf — PDF p. 4; jama_paterson_2024_oi_240139_1741633738.12862.pdf — PDF p. 5; jama_paterson_2024_oi_240139_1741633738.12862.pdf — PDF p. 6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ID",IF(OR(A4="",COUNTIF($A$2:$A$14,A4)&lt;&gt;1,LEFT(A4,LEN("2024::jama.2024.23898::"))&lt;&gt;"2024::jama.2024.23898::"),"CHECK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2024::jama.2024.23898::C004</t>
        </is>
      </c>
      <c r="B5" s="24" t="inlineStr">
        <is>
          <t>Total hospital stay outcome hierarchy</t>
        </is>
      </c>
      <c r="C5" s="24" t="inlineStr">
        <is>
          <t>Conflicting REPORT jama_paterson_2024_oi_240139_1741633738.12862.pdf — PDF p. 4; jama_paterson_2024_oi_240139_1741633738.12862.pdf — PDF p. 7; jama_paterson_2024_oi_240139_1741633738.12862.pdf — PDF p. 8; corroborating PLAN joi240139supp1_prod_1741633738.16362.pdf — PDF p. 16; joi240139supp1_prod_1741633738.16362.pdf — PDF p. 18; joi240139supp2_prod_1741633738.17362.pdf — PDF p. 10, tertiary outcomes</t>
        </is>
      </c>
      <c r="D5" s="21" t="inlineStr">
        <is>
          <t>retain</t>
        </is>
      </c>
      <c r="E5" s="21" t="inlineStr">
        <is>
          <t>report_internal_inconsistency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ID",IF(OR(A5="",COUNTIF($A$2:$A$14,A5)&lt;&gt;1,LEFT(A5,LEN("2024::jama.2024.23898::"))&lt;&gt;"2024::jama.2024.23898::"),"CHECK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 t="inlineStr">
        <is>
          <t>minor_presentation</t>
        </is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2024::jama.2024.23898::C005</t>
        </is>
      </c>
      <c r="B6" s="20" t="inlineStr">
        <is>
          <t>Unplanned readmission observation window</t>
        </is>
      </c>
      <c r="C6" s="20" t="inlineStr">
        <is>
          <t>PLAN joi240139supp1_prod_1741633738.16362.pdf — PDF p. 16; joi240139supp1_prod_1741633738.16362.pdf — PDF p. 18; joi240139supp2_prod_1741633738.17362.pdf — PDF p. 10; joi240139supp2_prod_1741633738.17362.pdf — PDF p. 27; REPORT jama_paterson_2024_oi_240139_1741633738.12862.pdf — PDF p. 4, outcomes and follow-up; jama_paterson_2024_oi_240139_1741633738.12862.pdf — PDF p. 8, Table 3 readmission row and footnote c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ID",IF(OR(A6="",COUNTIF($A$2:$A$14,A6)&lt;&gt;1,LEFT(A6,LEN("2024::jama.2024.23898::"))&lt;&gt;"2024::jama.2024.23898::"),"CHECK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Height="1" s="25">
      <c r="A7" s="24" t="inlineStr">
        <is>
          <t>2024::jama.2024.23898::C006</t>
        </is>
      </c>
      <c r="B7" s="24" t="inlineStr">
        <is>
          <t>Primary logit and log-link specifications</t>
        </is>
      </c>
      <c r="C7" s="24" t="inlineStr">
        <is>
          <t>PLAN joi240139supp1_prod_1741633738.16362.pdf — PDF p. 40, §10.2; physical page, printed footer Page 41 of 61; joi240139supp2_prod_1741633738.17362.pdf — PDF p. 3; joi240139supp2_prod_1741633738.17362.pdf — PDF p. 14; joi240139supp2_prod_1741633738.17362.pdf — PDF p. 34; REPORT jama_paterson_2024_oi_240139_1741633738.12862.pdf — PDF p. 5; jama_paterson_2024_oi_240139_1741633738.12862.pdf — PDF p. 6; protocol cover/version context joi240139supp1_prod_1741633738.16362.pdf — PDF p. 1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ID",IF(OR(A7="",COUNTIF($A$2:$A$14,A7)&lt;&gt;1,LEFT(A7,LEN("2024::jama.2024.23898::"))&lt;&gt;"2024::jama.2024.23898::"),"CHECK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Height="1" s="25">
      <c r="A8" s="20" t="inlineStr">
        <is>
          <t>2024::jama.2024.23898::C007</t>
        </is>
      </c>
      <c r="B8" s="20" t="inlineStr">
        <is>
          <t>Planned unadjusted primary and key-secondary analyses</t>
        </is>
      </c>
      <c r="C8" s="20" t="inlineStr">
        <is>
          <t>PLAN joi240139supp2_prod_1741633738.17362.pdf — PDF p. 20, Tables 13.8–13.9; joi240139supp2_prod_1741633738.17362.pdf — PDF p. 21, Table 13.10; joi240139supp2_prod_1741633738.17362.pdf — PDF p. 26, Tables 13.21–13.22; reported-output/key-secondary identification jama_paterson_2024_oi_240139_1741633738.12862.pdf — PDF p. 1; jama_paterson_2024_oi_240139_1741633738.12862.pdf — PDF p. 5; jama_paterson_2024_oi_240139_1741633738.12862.pdf — PDF p. 6; jama_paterson_2024_oi_240139_1741633738.12862.pdf — PDF p. 7; jama_paterson_2024_oi_240139_1741633738.12862.pdf — PDF p. 8; joi240139supp3_prod_1741633738.18862.pdf — PDF p. 2, subgroup outputs; complete absence-search REPORT union: jama_paterson_2024_oi_240139_1741633738.12862.pdf — PDF p. 1; jama_paterson_2024_oi_240139_1741633738.12862.pdf — PDF p. 2; jama_paterson_2024_oi_240139_1741633738.12862.pdf — PDF p. 3; jama_paterson_2024_oi_240139_1741633738.12862.pdf — PDF p. 4; jama_paterson_2024_oi_240139_1741633738.12862.pdf — PDF p. 5; jama_paterson_2024_oi_240139_1741633738.12862.pdf — PDF p. 6; jama_paterson_2024_oi_240139_1741633738.12862.pdf — PDF p. 7; jama_paterson_2024_oi_240139_1741633738.12862.pdf — PDF p. 8; jama_paterson_2024_oi_240139_1741633738.12862.pdf — PDF p. 9; jama_paterson_2024_oi_240139_1741633738.12862.pdf — PDF p. 10; joi240139supp3_prod_1741633738.18862.pdf — PDF p. 1; joi240139supp3_prod_1741633738.18862.pdf — PDF p. 2; joi240139supp4_prod_1741633738.20861.pdf — PDF p. 1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ID",IF(OR(A8="",COUNTIF($A$2:$A$14,A8)&lt;&gt;1,LEFT(A8,LEN("2024::jama.2024.23898::"))&lt;&gt;"2024::jama.2024.23898::"),"CHECK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  <row r="9" ht="92" customHeight="1" s="25">
      <c r="A9" s="24" t="inlineStr">
        <is>
          <t>2024::jama.2024.23898::C008</t>
        </is>
      </c>
      <c r="B9" s="24" t="inlineStr">
        <is>
          <t>Planned Edinburgh primary sensitivity analysis</t>
        </is>
      </c>
      <c r="C9" s="24" t="inlineStr">
        <is>
          <t>PLAN joi240139supp2_prod_1741633738.17362.pdf — PDF p.15, §11.6 primary sensitivity analysis. REPORT jama_paterson_2024_oi_240139_1741633738.12862.pdf — PDF p.5, analysis methods and results, jama_paterson_2024_oi_240139_1741633738.12862.pdf — PDF p.6, Table 2 primary estimates, jama_paterson_2024_oi_240139_1741633738.12862.pdf — PDF p.7, robustness discussion, jama_paterson_2024_oi_240139_1741633738.12862.pdf — PDF p.9, limitations, and joi240139supp3_prod_1741633738.18862.pdf — PDF p.2, subgroup eFigure. The absence check also covered every remaining page of the main article, both pages of the subgroup supplement and joi240139supp4_prod_1741633738.20861.pdf — PDF p.1, data-sharing statement, comprising all 13 supplied REPORT pages.</t>
        </is>
      </c>
      <c r="D9" s="21" t="inlineStr">
        <is>
          <t>retain</t>
        </is>
      </c>
      <c r="E9" s="21" t="inlineStr">
        <is>
          <t>protocol_report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ID",IF(OR(A9="",COUNTIF($A$2:$A$14,A9)&lt;&gt;1,LEFT(A9,LEN("2024::jama.2024.23898::"))&lt;&gt;"2024::jama.2024.23898::"),"CHECK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 t="inlineStr">
        <is>
          <t>substantive_difference</t>
        </is>
      </c>
      <c r="M9" s="24" t="n"/>
      <c r="N9" s="23" t="n"/>
      <c r="O9" s="23" t="n"/>
      <c r="P9" s="23" t="n"/>
      <c r="Q9" s="23" t="n"/>
      <c r="R9" s="22"/>
    </row>
    <row r="10" ht="92" customHeight="1" s="25">
      <c r="A10" s="20" t="inlineStr">
        <is>
          <t>2024::jama.2024.23898::C009</t>
        </is>
      </c>
      <c r="B10" s="20" t="inlineStr">
        <is>
          <t>Discharge and readiness model specifications</t>
        </is>
      </c>
      <c r="C10" s="20" t="inlineStr">
        <is>
          <t>PLAN joi240139supp2_prod_1741633738.17362.pdf — PDF p.14, §11.4 secondary analyses, joi240139supp2_prod_1741633738.17362.pdf — PDF p.26, Tables 13.21–13.22 and model footnotes, and joi240139supp2_prod_1741633738.17362.pdf — PDF p.36, discharge/readiness sample commands. REPORT jama_paterson_2024_oi_240139_1741633738.12862.pdf — PDF p.5, time-to-event methods and jama_paterson_2024_oi_240139_1741633738.12862.pdf — PDF p.7, Table 2 medical-discharge/patient-readiness rows and footnotes c,d.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ID",IF(OR(A10="",COUNTIF($A$2:$A$14,A10)&lt;&gt;1,LEFT(A10,LEN("2024::jama.2024.23898::"))&lt;&gt;"2024::jama.2024.23898::"),"CHECK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indeterminate</t>
        </is>
      </c>
      <c r="M10" s="20" t="n"/>
      <c r="N10" s="23" t="n"/>
      <c r="O10" s="23" t="n"/>
      <c r="P10" s="23" t="n"/>
      <c r="Q10" s="23" t="n"/>
      <c r="R10" s="22"/>
    </row>
    <row r="11" ht="92" customHeight="1" s="25">
      <c r="A11" s="24" t="inlineStr">
        <is>
          <t>2024::jama.2024.23898::C010</t>
        </is>
      </c>
      <c r="B11" s="24" t="inlineStr">
        <is>
          <t>Planned key-secondary result components</t>
        </is>
      </c>
      <c r="C11" s="24" t="inlineStr">
        <is>
          <t>The five component groups and their affected locations are listed separately below. Key-secondary status is established by REPORT jama_paterson_2024_oi_240139_1741633738.12862.pdf — PDF p.1, abstract outcome list and jama_paterson_2024_oi_240139_1741633738.12862.pdf — PDF p.4, outcome list; jama_paterson_2024_oi_240139_1741633738.12862.pdf — PDF p.5, results summary supplies no missing component output. The absence comparison covered the complete main article, the two-page subgroup supplement and joi240139supp4_prod_1741633738.20861.pdf — PDF p.1, all 13 REPORT pages.</t>
        </is>
      </c>
      <c r="D11" s="21" t="inlineStr">
        <is>
          <t>retain</t>
        </is>
      </c>
      <c r="E11" s="21" t="inlineStr">
        <is>
          <t>protocol_report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ID",IF(OR(A11="",COUNTIF($A$2:$A$14,A11)&lt;&gt;1,LEFT(A11,LEN("2024::jama.2024.23898::"))&lt;&gt;"2024::jama.2024.23898::"),"CHECK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Height="1" s="25">
      <c r="A12" s="20" t="inlineStr">
        <is>
          <t>2024::jama.2024.23898::C011</t>
        </is>
      </c>
      <c r="B12" s="20" t="inlineStr">
        <is>
          <t>GI-2 and GI-3 survival time origin</t>
        </is>
      </c>
      <c r="C12" s="20" t="inlineStr">
        <is>
          <t>PLAN joi240139supp1_prod_1741633738.16362.pdf — PDF p.16, GI-2/GI-3 endpoint definitions; joi240139supp2_prod_1741633738.17362.pdf — PDF p.9, endpoint prose, joi240139supp2_prod_1741633738.17362.pdf — PDF p.33, binary composite definitions, and joi240139supp2_prod_1741633738.17362.pdf — PDF p.34, continuous survival Time definitions. Corroborating REPORT jama_paterson_2024_oi_240139_1741633738.12862.pdf — PDF p.6, GI-2/GI-3 time-to-event results and jama_paterson_2024_oi_240139_1741633738.12862.pdf — PDF p.8, Figure 2 time axis.</t>
        </is>
      </c>
      <c r="D12" s="21" t="inlineStr">
        <is>
          <t>retain</t>
        </is>
      </c>
      <c r="E12" s="21" t="inlineStr">
        <is>
          <t>plan_material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ID",IF(OR(A12="",COUNTIF($A$2:$A$14,A12)&lt;&gt;1,LEFT(A12,LEN("2024::jama.2024.23898::"))&lt;&gt;"2024::jama.2024.23898::"),"CHECK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 t="inlineStr">
        <is>
          <t>minor_presentation</t>
        </is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/>
    </row>
    <row r="13" ht="92" customHeight="1" s="25">
      <c r="A13" s="24" t="inlineStr">
        <is>
          <t>2024::jama.2024.23898::C012</t>
        </is>
      </c>
      <c r="B13" s="24" t="inlineStr">
        <is>
          <t>ERAS subgroup age adjustment specification</t>
        </is>
      </c>
      <c r="C13" s="24" t="inlineStr">
        <is>
          <t>PLAN joi240139supp2_prod_1741633738.17362.pdf — PDF p.14, §11.3–11.5 model/subgroup instructions, joi240139supp2_prod_1741633738.17362.pdf — PDF p.15, subgroup specification continued, and joi240139supp2_prod_1741633738.17362.pdf — PDF p.38, ERAS sample command and adjacent age-subgroup command. joi240139supp2_prod_1741633738.17362.pdf — SAP PDF p.34, primary-model sample command corroborates the age term. REPORT jama_paterson_2024_oi_240139_1741633738.12862.pdf — PDF p.5, subgroup interaction method and joi240139supp3_prod_1741633738.18862.pdf — PDF p.2, ERAS subgroup results provide context and the affected estimates.</t>
        </is>
      </c>
      <c r="D13" s="21" t="inlineStr">
        <is>
          <t>retain</t>
        </is>
      </c>
      <c r="E13" s="21" t="inlineStr">
        <is>
          <t>plan_material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ID",IF(OR(A13="",COUNTIF($A$2:$A$14,A13)&lt;&gt;1,LEFT(A13,LEN("2024::jama.2024.23898::"))&lt;&gt;"2024::jama.2024.23898::"),"CHECK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 t="inlineStr">
        <is>
          <t>minor_presentation</t>
        </is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Height="1" s="25">
      <c r="A14" s="20" t="inlineStr">
        <is>
          <t>2024::jama.2024.23898::C013</t>
        </is>
      </c>
      <c r="B14" s="20" t="inlineStr">
        <is>
          <t>Subgroup confidence-level definitions</t>
        </is>
      </c>
      <c r="C14" s="20" t="inlineStr">
        <is>
          <t>REPORT joi240139supp3_prod_1741633738.18862.pdf — PDF p.2, eFigure horizontal-line legend, 12 subgroup rows, overall row and numeric-interval caption. Corroborating REPORT jama_paterson_2024_oi_240139_1741633738.12862.pdf — PDF p.5, confidence/subgroup methods, jama_paterson_2024_oi_240139_1741633738.12862.pdf — PDF p.6, overall primary 95% interval, and PLAN joi240139supp2_prod_1741633738.17362.pdf — PDF p.15, subgroup significance and CI rule.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ID",IF(OR(A14="",COUNTIF($A$2:$A$14,A14)&lt;&gt;1,LEFT(A14,LEN("2024::jama.2024.23898::"))&lt;&gt;"2024::jama.2024.23898::"),"CHECK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possible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2024::jama.2024.25786::C001</t>
        </is>
      </c>
      <c r="B2" s="20" t="inlineStr">
        <is>
          <t>Randomized counts carry retained or analyzed population labels</t>
        </is>
      </c>
      <c r="C2" s="20" t="inlineStr">
        <is>
          <t>jama_arleth_2024_oi_240147_1738701765.27201.pdf — REPORT main PDF p. 1; jama_arleth_2024_oi_240147_1738701765.27201.pdf — REPORT main PDF p. 2; jama_arleth_2024_oi_240147_1738701765.27201.pdf — REPORT main PDF p. 3; jama_arleth_2024_oi_240147_1738701765.27201.pdf — REPORT main PDF p. 5.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ID",IF(OR(A2="",COUNTIF($A$2:$A$16,A2)&lt;&gt;1,LEFT(A2,LEN("2024::jama.2024.25786::"))&lt;&gt;"2024::jama.2024.25786::"),"CHECK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minor_presentation</t>
        </is>
      </c>
      <c r="J2" s="22" t="inlineStr">
        <is>
          <t>possible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Height="1" s="25">
      <c r="A3" s="24" t="inlineStr">
        <is>
          <t>2024::jama.2024.25786::C002</t>
        </is>
      </c>
      <c r="B3" s="24" t="inlineStr">
        <is>
          <t>Accrual maximum and evaluable target use unclear populations</t>
        </is>
      </c>
      <c r="C3" s="24" t="inlineStr">
        <is>
          <t>jama_arleth_2024_oi_240147_1738701765.27201.pdf — REPORT main PDF p. 3; jama_arleth_2024_oi_240147_1738701765.27201.pdf — REPORT main PDF p. 5; joi240147supp1_prod_1738701765.28701.pdf — PLAN plan PDF p. 13; joi240147supp1_prod_1738701765.28701.pdf — PLAN plan PDF p. 26; joi240147supp1_prod_1738701765.28701.pdf — PLAN plan PDF p. 49; joi240147supp1_prod_1738701765.28701.pdf — PLAN plan PDF p. 62; joi240147supp1_prod_1738701765.28701.pdf — PLAN plan PDF p. 84; joi240147supp1_prod_1738701765.28701.pdf — PLAN plan PDF p. 85.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ID",IF(OR(A3="",COUNTIF($A$2:$A$16,A3)&lt;&gt;1,LEFT(A3,LEN("2024::jama.2024.25786::"))&lt;&gt;"2024::jama.2024.25786::"),"CHECK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indeterminate</t>
        </is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2024::jama.2024.25786::C003</t>
        </is>
      </c>
      <c r="B4" s="20" t="inlineStr">
        <is>
          <t>Prespecified secondary outcome hierarchy becomes key or exploratory</t>
        </is>
      </c>
      <c r="C4" s="20" t="inlineStr">
        <is>
          <t>jama_arleth_2024_oi_240147_1738701765.27201.pdf — REPORT main PDF p. 5; jama_arleth_2024_oi_240147_1738701765.27201.pdf — REPORT main PDF p. 6; joi240147supp1_prod_1738701765.28701.pdf — PLAN plan PDF p. 13; joi240147supp1_prod_1738701765.28701.pdf — PLAN plan PDF p. 23; joi240147supp1_prod_1738701765.28701.pdf — PLAN plan PDF p. 24; joi240147supp1_prod_1738701765.28701.pdf — PLAN plan PDF p. 49; joi240147supp1_prod_1738701765.28701.pdf — PLAN plan PDF p. 59; joi240147supp1_prod_1738701765.28701.pdf — PLAN plan PDF p. 60; joi240147supp1_prod_1738701765.28701.pdf — PLAN plan PDF p. 80; joi240147supp1_prod_1738701765.28701.pdf — PLAN plan PDF p. 84; joi240147supp1_prod_1738701765.28701.pdf — PLAN plan PDF p. 85; joi240147supp1_prod_1738701765.28701.pdf — PLAN plan PDF p. 86; joi240147supp1_prod_1738701765.28701.pdf — PLAN plan PDF p. 88; joi240147supp1_prod_1738701765.28701.pdf — PLAN plan PDF p. 89; joi240147supp1_prod_1738701765.28701.pdf — PLAN plan PDF p. 92; joi240147supp1_prod_1738701765.28701.pdf — PLAN plan PDF p. 100; joi240147supp1_prod_1738701765.28701.pdf — PLAN plan PDF p. 101; joi240147supp2_prod_1738701765.29201.pdf — REPORT results PDF p. 10; joi240147supp2_prod_1738701765.29201.pdf — REPORT results PDF p. 17; joi240147supp2_prod_1738701765.29201.pdf — REPORT results PDF p. 18; joi240147supp2_prod_1738701765.29201.pdf — REPORT results PDF p. 19.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ID",IF(OR(A4="",COUNTIF($A$2:$A$16,A4)&lt;&gt;1,LEFT(A4,LEN("2024::jama.2024.25786::"))&lt;&gt;"2024::jama.2024.25786::"),"CHECK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2024::jama.2024.25786::C004</t>
        </is>
      </c>
      <c r="B5" s="24" t="inlineStr">
        <is>
          <t>Protocol pneumonia-adjusted primary model is absent from reported model set</t>
        </is>
      </c>
      <c r="C5" s="24" t="inlineStr">
        <is>
          <t>jama_arleth_2024_oi_240147_1738701765.27201.pdf — REPORT main PDF p. 5; joi240147supp1_prod_1738701765.28701.pdf — PLAN plan PDF p. 26; joi240147supp1_prod_1738701765.28701.pdf — PLAN plan PDF p. 62; joi240147supp1_prod_1738701765.28701.pdf — PLAN plan PDF p. 78; joi240147supp1_prod_1738701765.28701.pdf — PLAN plan PDF p. 79; joi240147supp1_prod_1738701765.28701.pdf — PLAN plan PDF p. 80; joi240147supp1_prod_1738701765.28701.pdf — PLAN plan PDF p. 84; joi240147supp1_prod_1738701765.28701.pdf — PLAN plan PDF p. 88; joi240147supp1_prod_1738701765.28701.pdf — PLAN plan PDF p. 89; joi240147supp2_prod_1738701765.29201.pdf — REPORT results PDF p. 11; joi240147supp2_prod_1738701765.29201.pdf — REPORT results PDF p. 12; joi240147supp2_prod_1738701765.29201.pdf — REPORT results PDF p. 17; joi240147supp2_prod_1738701765.29201.pdf — REPORT results PDF p. 22.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ID",IF(OR(A5="",COUNTIF($A$2:$A$16,A5)&lt;&gt;1,LEFT(A5,LEN("2024::jama.2024.25786::"))&lt;&gt;"2024::jama.2024.25786::"),"CHECK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2024::jama.2024.25786::C005</t>
        </is>
      </c>
      <c r="B6" s="20" t="inlineStr">
        <is>
          <t>Planned primary-outcome hypoxemia subgroup is not reported</t>
        </is>
      </c>
      <c r="C6" s="20" t="inlineStr">
        <is>
          <t>jama_arleth_2024_oi_240147_1738701765.27201.pdf — REPORT main PDF p. 5; jama_arleth_2024_oi_240147_1738701765.27201.pdf — REPORT main PDF p. 8; joi240147supp1_prod_1738701765.28701.pdf — PLAN plan PDF p. 26; joi240147supp1_prod_1738701765.28701.pdf — PLAN plan PDF p. 62; joi240147supp1_prod_1738701765.28701.pdf — PLAN plan PDF p. 84; joi240147supp1_prod_1738701765.28701.pdf — PLAN plan PDF p. 89; joi240147supp2_prod_1738701765.29201.pdf — REPORT results PDF p. 17; joi240147supp2_prod_1738701765.29201.pdf — REPORT results PDF p. 18; joi240147supp2_prod_1738701765.29201.pdf — REPORT results PDF p. 19; joi240147supp2_prod_1738701765.29201.pdf — REPORT results PDF p. 20; joi240147supp2_prod_1738701765.29201.pdf — REPORT results PDF p. 21; joi240147supp2_prod_1738701765.29201.pdf — REPORT results PDF p. 22; joi240147supp2_prod_1738701765.29201.pdf — REPORT results PDF p. 23; joi240147supp2_prod_1738701765.29201.pdf — REPORT results PDF p. 24; joi240147supp2_prod_1738701765.29201.pdf — REPORT results PDF p. 25.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ID",IF(OR(A6="",COUNTIF($A$2:$A$16,A6)&lt;&gt;1,LEFT(A6,LEN("2024::jama.2024.25786::"))&lt;&gt;"2024::jama.2024.25786::"),"CHECK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Height="1" s="25">
      <c r="A7" s="24" t="inlineStr">
        <is>
          <t>2024::jama.2024.25786::C006</t>
        </is>
      </c>
      <c r="B7" s="24" t="inlineStr">
        <is>
          <t>Intubation subgroup changes from trauma clock to randomization status</t>
        </is>
      </c>
      <c r="C7" s="24" t="inlineStr">
        <is>
          <t>jama_arleth_2024_oi_240147_1738701765.27201.pdf — REPORT main PDF p. 5; jama_arleth_2024_oi_240147_1738701765.27201.pdf — REPORT main PDF p. 8; joi240147supp1_prod_1738701765.28701.pdf — PLAN plan PDF p. 26; joi240147supp1_prod_1738701765.28701.pdf — PLAN plan PDF p. 62; joi240147supp1_prod_1738701765.28701.pdf — PLAN plan PDF p. 84; joi240147supp1_prod_1738701765.28701.pdf — PLAN plan PDF p. 89; joi240147supp2_prod_1738701765.29201.pdf — REPORT results PDF p. 16; joi240147supp2_prod_1738701765.29201.pdf — REPORT results PDF p. 20; joi240147supp2_prod_1738701765.29201.pdf — REPORT results PDF p. 21.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ID",IF(OR(A7="",COUNTIF($A$2:$A$16,A7)&lt;&gt;1,LEFT(A7,LEN("2024::jama.2024.25786::"))&lt;&gt;"2024::jama.2024.25786::"),"CHECK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Height="1" s="25">
      <c r="A8" s="20" t="inlineStr">
        <is>
          <t>2024::jama.2024.25786::C007</t>
        </is>
      </c>
      <c r="B8" s="20" t="inlineStr">
        <is>
          <t>Planned categorical key-secondary tests are replaced by logistic models</t>
        </is>
      </c>
      <c r="C8" s="20" t="inlineStr">
        <is>
          <t>jama_arleth_2024_oi_240147_1738701765.27201.pdf — REPORT main PDF p. 5; jama_arleth_2024_oi_240147_1738701765.27201.pdf — REPORT main PDF p. 6; joi240147supp1_prod_1738701765.28701.pdf — PLAN plan PDF p. 23; joi240147supp1_prod_1738701765.28701.pdf — PLAN plan PDF p. 26; joi240147supp1_prod_1738701765.28701.pdf — PLAN plan PDF p. 59; joi240147supp1_prod_1738701765.28701.pdf — PLAN plan PDF p. 62; joi240147supp1_prod_1738701765.28701.pdf — PLAN plan PDF p. 78; joi240147supp1_prod_1738701765.28701.pdf — PLAN plan PDF p. 79; joi240147supp1_prod_1738701765.28701.pdf — PLAN plan PDF p. 80; joi240147supp1_prod_1738701765.28701.pdf — PLAN plan PDF p. 84; joi240147supp1_prod_1738701765.28701.pdf — PLAN plan PDF p. 88; joi240147supp1_prod_1738701765.28701.pdf — PLAN plan PDF p. 89; joi240147supp2_prod_1738701765.29201.pdf — REPORT results PDF p. 17.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ID",IF(OR(A8="",COUNTIF($A$2:$A$16,A8)&lt;&gt;1,LEFT(A8,LEN("2024::jama.2024.25786::"))&lt;&gt;"2024::jama.2024.25786::"),"CHECK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/>
    </row>
    <row r="9" ht="92" customHeight="1" s="25">
      <c r="A9" s="24" t="inlineStr">
        <is>
          <t>2024::jama.2024.25786::C008</t>
        </is>
      </c>
      <c r="B9" s="24" t="inlineStr">
        <is>
          <t>SSI risk-difference interval and nominal odds-ratio tests give different null readings</t>
        </is>
      </c>
      <c r="C9" s="24" t="inlineStr">
        <is>
          <t>jama_arleth_2024_oi_240147_1738701765.27201.pdf — REPORT main PDF p. 5; jama_arleth_2024_oi_240147_1738701765.27201.pdf — REPORT main PDF p. 6; joi240147supp1_prod_1738701765.28701.pdf — PLAN plan PDF p. 86; joi240147supp2_prod_1738701765.29201.pdf — REPORT results PDF p. 18.</t>
        </is>
      </c>
      <c r="D9" s="21" t="inlineStr">
        <is>
          <t>exclude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ID",IF(OR(A9="",COUNTIF($A$2:$A$16,A9)&lt;&gt;1,LEFT(A9,LEN("2024::jama.2024.25786::"))&lt;&gt;"2024::jama.2024.25786::"),"CHECK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Figure 2 (p6) and eTable 5 (supp 2 p18): SSI OR 0.50 (0.25-0.99) and adjusted OR 0.49 (0.26-0.93), P=.03, vs risk difference -3.04 (-6.87 to 0.79). Different measures from different models (stratification-adjusted OR; RD method unstated), and the report correctly states no exploratory outcome was significant after FDR control. Not a contradiction.</t>
        </is>
      </c>
    </row>
    <row r="10" ht="92" customHeight="1" s="25">
      <c r="A10" s="20" t="inlineStr">
        <is>
          <t>2024::jama.2024.25786::C009</t>
        </is>
      </c>
      <c r="B10" s="20" t="inlineStr">
        <is>
          <t>SSI classification criteria differ between SAP and results supplement</t>
        </is>
      </c>
      <c r="C10" s="20" t="inlineStr">
        <is>
          <t>jama_arleth_2024_oi_240147_1738701765.27201.pdf — REPORT main PDF p. 6; joi240147supp1_prod_1738701765.28701.pdf — PLAN plan PDF p. 84; joi240147supp1_prod_1738701765.28701.pdf — PLAN plan PDF p. 101; joi240147supp2_prod_1738701765.29201.pdf — REPORT results PDF p. 9; joi240147supp2_prod_1738701765.29201.pdf — REPORT results PDF p. 18.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ID",IF(OR(A10="",COUNTIF($A$2:$A$16,A10)&lt;&gt;1,LEFT(A10,LEN("2024::jama.2024.25786::"))&lt;&gt;"2024::jama.2024.25786::"),"CHECK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/>
    </row>
    <row r="11" ht="92" customHeight="1" s="25">
      <c r="A11" s="24" t="inlineStr">
        <is>
          <t>2024::jama.2024.25786::C010</t>
        </is>
      </c>
      <c r="B11" s="24" t="inlineStr">
        <is>
          <t>ICU subgroup membership does not map to reported ICU admission counts</t>
        </is>
      </c>
      <c r="C11" s="24" t="inlineStr">
        <is>
          <t>jama_arleth_2024_oi_240147_1738701765.27201.pdf — REPORT main PDF p. 4; jama_arleth_2024_oi_240147_1738701765.27201.pdf — REPORT main PDF p. 5; jama_arleth_2024_oi_240147_1738701765.27201.pdf — REPORT main PDF p. 8; joi240147supp2_prod_1738701765.29201.pdf — REPORT results PDF p. 9; joi240147supp2_prod_1738701765.29201.pdf — REPORT results PDF p. 10; joi240147supp2_prod_1738701765.29201.pdf — REPORT results PDF p. 18; joi240147supp2_prod_1738701765.29201.pdf — REPORT results PDF p. 20; joi240147supp1_prod_1738701765.28701.pdf — PLAN plan PDF p. 89.</t>
        </is>
      </c>
      <c r="D11" s="21" t="inlineStr">
        <is>
          <t>retain</t>
        </is>
      </c>
      <c r="E11" s="21" t="inlineStr">
        <is>
          <t>report_internal_inconsistency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ID",IF(OR(A11="",COUNTIF($A$2:$A$16,A11)&lt;&gt;1,LEFT(A11,LEN("2024::jama.2024.25786::"))&lt;&gt;"2024::jama.2024.25786::"),"CHECK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 t="inlineStr">
        <is>
          <t>minor_presentation</t>
        </is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Height="1" s="25">
      <c r="A12" s="20" t="inlineStr">
        <is>
          <t>2024::jama.2024.25786::C011</t>
        </is>
      </c>
      <c r="B12" s="20" t="inlineStr">
        <is>
          <t>Liberal AIS below 3 percentage does not reconcile across displays and its count pair</t>
        </is>
      </c>
      <c r="C12" s="20" t="inlineStr">
        <is>
          <t>jama_arleth_2024_oi_240147_1738701765.27201.pdf — REPORT main PDF p. 8; joi240147supp2_prod_1738701765.29201.pdf — REPORT results PDF p. 20; joi240147supp2_prod_1738701765.29201.pdf — REPORT results PDF p. 21.</t>
        </is>
      </c>
      <c r="D12" s="21" t="inlineStr">
        <is>
          <t>retain</t>
        </is>
      </c>
      <c r="E12" s="21" t="inlineStr">
        <is>
          <t>statistical_results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ID",IF(OR(A12="",COUNTIF($A$2:$A$16,A12)&lt;&gt;1,LEFT(A12,LEN("2024::jama.2024.25786::"))&lt;&gt;"2024::jama.2024.25786::"),"CHECK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 t="inlineStr">
        <is>
          <t>confirmed_issue</t>
        </is>
      </c>
      <c r="I12" s="21" t="inlineStr">
        <is>
          <t>substantive</t>
        </is>
      </c>
      <c r="J12" s="22" t="inlineStr">
        <is>
          <t>direct</t>
        </is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/>
    </row>
    <row r="13" ht="92" customHeight="1" s="25">
      <c r="A13" s="24" t="inlineStr">
        <is>
          <t>2024::jama.2024.25786::C012</t>
        </is>
      </c>
      <c r="B13" s="24" t="inlineStr">
        <is>
          <t>Bern receiving-center percentages do not reconcile with printed pairs</t>
        </is>
      </c>
      <c r="C13" s="24" t="inlineStr">
        <is>
          <t>joi240147supp2_prod_1738701765.29201.pdf — REPORT results PDF p. 14.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ID",IF(OR(A13="",COUNTIF($A$2:$A$16,A13)&lt;&gt;1,LEFT(A13,LEN("2024::jama.2024.25786::"))&lt;&gt;"2024::jama.2024.25786::"),"CHECK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minor_presentation</t>
        </is>
      </c>
      <c r="J13" s="22" t="inlineStr">
        <is>
          <t>unlikely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Height="1" s="25">
      <c r="A14" s="20" t="inlineStr">
        <is>
          <t>2024::jama.2024.25786::C013</t>
        </is>
      </c>
      <c r="B14" s="20" t="inlineStr">
        <is>
          <t>Liberal walk-in percentage differs from its printed count pair</t>
        </is>
      </c>
      <c r="C14" s="20" t="inlineStr">
        <is>
          <t>joi240147supp2_prod_1738701765.29201.pdf — REPORT results PDF p. 15.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ID",IF(OR(A14="",COUNTIF($A$2:$A$16,A14)&lt;&gt;1,LEFT(A14,LEN("2024::jama.2024.25786::"))&lt;&gt;"2024::jama.2024.25786::"),"CHECK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unlikely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  <row r="15" ht="92" customHeight="1" s="25">
      <c r="A15" s="24" t="inlineStr">
        <is>
          <t>2024::jama.2024.25786::C014</t>
        </is>
      </c>
      <c r="B15" s="24" t="inlineStr">
        <is>
          <t>Liberal vascular-surgery percentage is positive beside a zero numerator</t>
        </is>
      </c>
      <c r="C15" s="24" t="inlineStr">
        <is>
          <t>joi240147supp2_prod_1738701765.29201.pdf — REPORT results PDF p. 15.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ID",IF(OR(A15="",COUNTIF($A$2:$A$16,A15)&lt;&gt;1,LEFT(A15,LEN("2024::jama.2024.25786::"))&lt;&gt;"2024::jama.2024.25786::"),"CHECK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minor_presentation</t>
        </is>
      </c>
      <c r="J15" s="22" t="inlineStr">
        <is>
          <t>unlikely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/>
    </row>
    <row r="16" ht="92" customHeight="1" s="25">
      <c r="A16" s="20" t="inlineStr">
        <is>
          <t>2024::jama.2024.25786::C015</t>
        </is>
      </c>
      <c r="B16" s="20" t="inlineStr">
        <is>
          <t>Exclusion percentages and printed denominators describe different quantities</t>
        </is>
      </c>
      <c r="C16" s="20" t="inlineStr">
        <is>
          <t>joi240147supp2_prod_1738701765.29201.pdf — REPORT results PDF p. 24.</t>
        </is>
      </c>
      <c r="D16" s="21" t="inlineStr">
        <is>
          <t>retain</t>
        </is>
      </c>
      <c r="E16" s="21" t="inlineStr">
        <is>
          <t>statistical_results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ID",IF(OR(A16="",COUNTIF($A$2:$A$16,A16)&lt;&gt;1,LEFT(A16,LEN("2024::jama.2024.25786::"))&lt;&gt;"2024::jama.2024.25786::"),"CHECK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 t="inlineStr">
        <is>
          <t>confirmed_issue</t>
        </is>
      </c>
      <c r="I16" s="21" t="inlineStr">
        <is>
          <t>minor_presentation</t>
        </is>
      </c>
      <c r="J16" s="22" t="inlineStr">
        <is>
          <t>unlikely</t>
        </is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/>
    </row>
  </sheetData>
  <autoFilter ref="A1:R16"/>
  <conditionalFormatting sqref="H2:H16">
    <cfRule type="expression" priority="8" dxfId="70">
      <formula>NOT(AND(OR($D2="retain",$D2=""),$E2="statistical_results"))</formula>
    </cfRule>
  </conditionalFormatting>
  <conditionalFormatting sqref="I2:I16">
    <cfRule type="expression" priority="9" dxfId="70">
      <formula>NOT(AND(OR($D2="retain",$D2=""),$E2="statistical_results"))</formula>
    </cfRule>
  </conditionalFormatting>
  <conditionalFormatting sqref="J2:J16">
    <cfRule type="expression" priority="10" dxfId="70">
      <formula>NOT(AND(OR($D2="retain",$D2=""),$E2="statistical_results"))</formula>
    </cfRule>
  </conditionalFormatting>
  <conditionalFormatting sqref="K2:K16">
    <cfRule type="expression" priority="11" dxfId="70">
      <formula>NOT(AND(OR($D2="retain",$D2=""),OR($E2="report_internal_inconsistency",$E2="plan_material")))</formula>
    </cfRule>
  </conditionalFormatting>
  <conditionalFormatting sqref="L2:L16">
    <cfRule type="expression" priority="12" dxfId="70">
      <formula>NOT(AND(OR($D2="retain",$D2=""),$E2="protocol_report"))</formula>
    </cfRule>
  </conditionalFormatting>
  <conditionalFormatting sqref="G2:G16">
    <cfRule type="expression" priority="13" dxfId="71">
      <formula>G2&lt;&gt;"PRIMARY READY"</formula>
    </cfRule>
  </conditionalFormatting>
  <dataValidations count="8">
    <dataValidation sqref="D2:D1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2024::jama.2024.4183::C001</t>
        </is>
      </c>
      <c r="B2" s="20" t="inlineStr">
        <is>
          <t>Planned and reported primary continuation populations</t>
        </is>
      </c>
      <c r="C2" s="20" t="inlineStr">
        <is>
          <t>joi240036supp1_prod_1716416466.00349.pdf — p.7, Participants; joi240036supp1_prod_1716416466.00349.pdf — p.24, final pharmacotherapy paragraph; joi240036supp1_prod_1716416466.00349.pdf — p.25, first paragraph; joi240036supp1_prod_1716416466.00349.pdf — p.28, general strategy and coding/model; joi240036supp1_prod_1716416466.00349.pdf — p.29, Aims 2–3; joi240036supp1_prod_1716416466.00349.pdf — p.30, continuing Aim 3 contrasts; jama_cinciripini_2024_oi_240036_1716416465.98349.pdf — main p.1, both Results paragraphs; jama_cinciripini_2024_oi_240036_1716416465.98349.pdf — Main p.4, Results/flow prose; jama_cinciripini_2024_oi_240036_1716416465.98349.pdf — Main p.6, Figure 2 and footnote c; jama_cinciripini_2024_oi_240036_1716416465.98349.pdf — Main p.8, first limitation; joi240036supp2_prod_1716416466.01349.pdf — supplement p.6, phase-II weighting/coding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ID",IF(OR(A2="",COUNTIF($A$2:$A$15,A2)&lt;&gt;1,LEFT(A2,LEN("2024::jama.2024.4183::"))&lt;&gt;"2024::jama.2024.4183::"),"CHECK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Height="1" s="25">
      <c r="A3" s="24" t="inlineStr">
        <is>
          <t>2024::jama.2024.4183::C002</t>
        </is>
      </c>
      <c r="B3" s="24" t="inlineStr">
        <is>
          <t>Weight mapping for 75 assigned continuation participants</t>
        </is>
      </c>
      <c r="C3" s="24" t="inlineStr">
        <is>
          <t>jama_cinciripini_2024_oi_240036_1716416465.98349.pdf — main p.1, assigned counts; jama_cinciripini_2024_oi_240036_1716416465.98349.pdf — p.4, statistical methods and participant flow; jama_cinciripini_2024_oi_240036_1716416465.98349.pdf — p.6, Figure 2/footnote c; jama_cinciripini_2024_oi_240036_1716416465.98349.pdf — main p.7, Figure 3; joi240036supp2_prod_1716416466.01349.pdf — supplement p.5, opening eAppendix 3; joi240036supp2_prod_1716416466.01349.pdf — P.6, first two paragraphs and coding; joi240036supp2_prod_1716416466.01349.pdf — Supplement p.19, eTable 3 headings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ID",IF(OR(A3="",COUNTIF($A$2:$A$15,A3)&lt;&gt;1,LEFT(A3,LEN("2024::jama.2024.4183::"))&lt;&gt;"2024::jama.2024.4183::"),"CHECK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probable_issue</t>
        </is>
      </c>
      <c r="I3" s="21" t="inlineStr">
        <is>
          <t>indeterminate</t>
        </is>
      </c>
      <c r="J3" s="22" t="inlineStr">
        <is>
          <t>possible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2024::jama.2024.4183::C003</t>
        </is>
      </c>
      <c r="B4" s="20" t="inlineStr">
        <is>
          <t>Mixed denominators in abstract allocation percentages</t>
        </is>
      </c>
      <c r="C4" s="20" t="inlineStr">
        <is>
          <t>jama_cinciripini_2024_oi_240036_1716416465.98349.pdf — main p.1, CNRT and VAR Results paragraphs; jama_cinciripini_2024_oi_240036_1716416465.98349.pdf — main p.6, Figure 2 branches</t>
        </is>
      </c>
      <c r="D4" s="21" t="inlineStr">
        <is>
          <t>retain</t>
        </is>
      </c>
      <c r="E4" s="21" t="inlineStr">
        <is>
          <t>statistical_results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ID",IF(OR(A4="",COUNTIF($A$2:$A$15,A4)&lt;&gt;1,LEFT(A4,LEN("2024::jama.2024.4183::"))&lt;&gt;"2024::jama.2024.4183::"),"CHECK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 t="inlineStr">
        <is>
          <t>confirmed_issue</t>
        </is>
      </c>
      <c r="I4" s="21" t="inlineStr">
        <is>
          <t>minor_presentation</t>
        </is>
      </c>
      <c r="J4" s="22" t="inlineStr">
        <is>
          <t>unlikely</t>
        </is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2024::jama.2024.4183::C004</t>
        </is>
      </c>
      <c r="B5" s="24" t="inlineStr">
        <is>
          <t>Primary CNRT lower credible limit differs across locations</t>
        </is>
      </c>
      <c r="C5" s="24" t="inlineStr">
        <is>
          <t>jama_cinciripini_2024_oi_240036_1716416465.98349.pdf — main p.1, CNRT Results; jama_cinciripini_2024_oi_240036_1716416465.98349.pdf — main p.5, Smoking Cessation End of Phase 2, CNRT paragraph; joi240036supp2_prod_1716416466.01349.pdf — supplement p.21, eTable 4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ID",IF(OR(A5="",COUNTIF($A$2:$A$15,A5)&lt;&gt;1,LEFT(A5,LEN("2024::jama.2024.4183::"))&lt;&gt;"2024::jama.2024.4183::"),"CHECK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minor_presentation</t>
        </is>
      </c>
      <c r="J5" s="22" t="inlineStr">
        <is>
          <t>possible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2024::jama.2024.4183::C005</t>
        </is>
      </c>
      <c r="B6" s="20" t="inlineStr">
        <is>
          <t>Primary varenicline-to-CNRT direction, sign, and attribution</t>
        </is>
      </c>
      <c r="C6" s="20" t="inlineStr">
        <is>
          <t>jama_cinciripini_2024_oi_240036_1716416465.98349.pdf — main p.1, VAR Results; jama_cinciripini_2024_oi_240036_1716416465.98349.pdf — main p.5, VAR nonabstainer paragraph; jama_cinciripini_2024_oi_240036_1716416465.98349.pdf — main p.7, Figure 3 VAR nonabstainer rows; joi240036supp2_prod_1716416466.01349.pdf — supplement p.21, eTable 4 VAR switch-CNRT versus VAR-stay row; jama_cinciripini_2024_oi_240036_1716416465.98349.pdf — Main p.8, Discussion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ID",IF(OR(A6="",COUNTIF($A$2:$A$15,A6)&lt;&gt;1,LEFT(A6,LEN("2024::jama.2024.4183::"))&lt;&gt;"2024::jama.2024.4183::"),"CHECK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substantive</t>
        </is>
      </c>
      <c r="J6" s="22" t="inlineStr">
        <is>
          <t>possible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/>
    </row>
    <row r="7" ht="92" customHeight="1" s="25">
      <c r="A7" s="24" t="inlineStr">
        <is>
          <t>2024::jama.2024.4183::C006</t>
        </is>
      </c>
      <c r="B7" s="24" t="inlineStr">
        <is>
          <t>Reported prespecified posterior criterion differs from plan</t>
        </is>
      </c>
      <c r="C7" s="24" t="inlineStr">
        <is>
          <t>joi240036supp1_prod_1716416466.00349.pdf — p.31, paragraph preceding Data Simulation Model; joi240036supp1_prod_1716416466.00349.pdf — Plan p.33, power prose; joi240036supp1_prod_1716416466.00349.pdf — p.34, Table 3; jama_cinciripini_2024_oi_240036_1716416465.98349.pdf — main p.4, Sample Size Determination and Statistical Analysis Plan; joi240036supp2_prod_1716416466.01349.pdf — supplement p.9, first paragraph; joi240036supp2_prod_1716416466.01349.pdf — supplement p.18, eTable 2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ID",IF(OR(A7="",COUNTIF($A$2:$A$15,A7)&lt;&gt;1,LEFT(A7,LEN("2024::jama.2024.4183::"))&lt;&gt;"2024::jama.2024.4183::"),"CHECK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Height="1" s="25">
      <c r="A8" s="20" t="inlineStr">
        <is>
          <t>2024::jama.2024.4183::C007</t>
        </is>
      </c>
      <c r="B8" s="20" t="inlineStr">
        <is>
          <t>Planned primary-model robustness analyses absent from reports</t>
        </is>
      </c>
      <c r="C8" s="20" t="inlineStr">
        <is>
          <t>joi240036supp1_prod_1716416466.00349.pdf — p.28, general analytic strategy and prior paragraphs; jama_cinciripini_2024_oi_240036_1716416465.98349.pdf — p.4, methods/intent-to-treat; jama_cinciripini_2024_oi_240036_1716416465.98349.pdf — p.7, secondary outcomes; jama_cinciripini_2024_oi_240036_1716416465.98349.pdf — p.8, post hoc analyses/limitations; joi240036supp2_prod_1716416466.01349.pdf — pp.1–3, complete contents; joi240036supp2_prod_1716416466.01349.pdf — p.5; joi240036supp2_prod_1716416466.01349.pdf — p.6; joi240036supp2_prod_1716416466.01349.pdf — p.7; joi240036supp2_prod_1716416466.01349.pdf — p.8; joi240036supp2_prod_1716416466.01349.pdf — p.9; joi240036supp2_prod_1716416466.01349.pdf — p.10; joi240036supp2_prod_1716416466.01349.pdf — p.11; joi240036supp2_prod_1716416466.01349.pdf — p.12; joi240036supp2_prod_1716416466.01349.pdf — p.13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ID",IF(OR(A8="",COUNTIF($A$2:$A$15,A8)&lt;&gt;1,LEFT(A8,LEN("2024::jama.2024.4183::"))&lt;&gt;"2024::jama.2024.4183::"),"CHECK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/>
    </row>
    <row r="9" ht="92" customHeight="1" s="25">
      <c r="A9" s="24" t="inlineStr">
        <is>
          <t>2024::jama.2024.4183::C008</t>
        </is>
      </c>
      <c r="B9" s="24" t="inlineStr">
        <is>
          <t>EOT plus 30-day varenicline continuation denominator</t>
        </is>
      </c>
      <c r="C9" s="24" t="inlineStr">
        <is>
          <t>jama_cinciripini_2024_oi_240036_1716416465.98349.pdf — main p.7, Secondary Outcomes of Abstinence; joi240036supp2_prod_1716416466.01349.pdf — supplement p.10, opening continuation of summarized analysis; joi240036supp2_prod_1716416466.01349.pdf — supplement p.15, eFigure 2 final VAR nonabstainer-to-VAR row; jama_cinciripini_2024_oi_240036_1716416465.98349.pdf — main p.6, VAR continuation branch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ID",IF(OR(A9="",COUNTIF($A$2:$A$15,A9)&lt;&gt;1,LEFT(A9,LEN("2024::jama.2024.4183::"))&lt;&gt;"2024::jama.2024.4183::"),"CHECK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Height="1" s="25">
      <c r="A10" s="20" t="inlineStr">
        <is>
          <t>2024::jama.2024.4183::C009</t>
        </is>
      </c>
      <c r="B10" s="20" t="inlineStr">
        <is>
          <t>Six-month CNRT summary probabilities and risk difference</t>
        </is>
      </c>
      <c r="C10" s="20" t="inlineStr">
        <is>
          <t>jama_cinciripini_2024_oi_240036_1716416465.98349.pdf — main p.7, six-month Secondary Outcomes sentence; joi240036supp2_prod_1716416466.01349.pdf — supplement p.10, six-month summarized analysis; jama_cinciripini_2024_oi_240036_1716416465.98349.pdf — Main p.1, final Results sentence; joi240036supp2_prod_1716416466.01349.pdf — supplement p.11, six-month CNRT detailed paragraph; joi240036supp2_prod_1716416466.01349.pdf — Supplement p.16, eFigure 3 matched CNRT rows; joi240036supp2_prod_1716416466.01349.pdf — Supplement p.33, eTable 9 six-month CNRT+ contrast</t>
        </is>
      </c>
      <c r="D10" s="21" t="inlineStr">
        <is>
          <t>retain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ID",IF(OR(A10="",COUNTIF($A$2:$A$15,A10)&lt;&gt;1,LEFT(A10,LEN("2024::jama.2024.4183::"))&lt;&gt;"2024::jama.2024.4183::"),"CHECK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 t="inlineStr">
        <is>
          <t>confirmed_issue</t>
        </is>
      </c>
      <c r="I10" s="21" t="inlineStr">
        <is>
          <t>minor_presentation</t>
        </is>
      </c>
      <c r="J10" s="22" t="inlineStr">
        <is>
          <t>unlikely</t>
        </is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/>
    </row>
    <row r="11" ht="92" customHeight="1" s="25">
      <c r="A11" s="24" t="inlineStr">
        <is>
          <t>2024::jama.2024.4183::C010</t>
        </is>
      </c>
      <c r="B11" s="24" t="inlineStr">
        <is>
          <t>Week-6 design intervals and generating beta distributions</t>
        </is>
      </c>
      <c r="C11" s="24" t="inlineStr">
        <is>
          <t>joi240036supp1_prod_1716416466.00349.pdf — p.31, Data Simulation Model; joi240036supp1_prod_1716416466.00349.pdf — p.32, Figure 2; joi240036supp2_prod_1716416466.01349.pdf — supplement p.5, eFigure 1 description; joi240036supp2_prod_1716416466.01349.pdf — supplement p.14, eFigure 1</t>
        </is>
      </c>
      <c r="D11" s="21" t="inlineStr">
        <is>
          <t>retain</t>
        </is>
      </c>
      <c r="E11" s="21" t="inlineStr">
        <is>
          <t>plan_material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ID",IF(OR(A11="",COUNTIF($A$2:$A$15,A11)&lt;&gt;1,LEFT(A11,LEN("2024::jama.2024.4183::"))&lt;&gt;"2024::jama.2024.4183::"),"CHECK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 t="inlineStr">
        <is>
          <t>indeterminate</t>
        </is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Height="1" s="25">
      <c r="A12" s="20" t="inlineStr">
        <is>
          <t>2024::jama.2024.4183::C011</t>
        </is>
      </c>
      <c r="B12" s="20" t="inlineStr">
        <is>
          <t>Revised normal prior variance and printed odds interval</t>
        </is>
      </c>
      <c r="C12" s="20" t="inlineStr">
        <is>
          <t>joi240036supp2_prod_1716416466.01349.pdf — supplement p.7, initial coefficient-prior paragraph; joi240036supp2_prod_1716416466.01349.pdf — p.8, first prior paragraph; joi240036supp2_prod_1716416466.01349.pdf — p.8 model-fitting paragraph</t>
        </is>
      </c>
      <c r="D12" s="21" t="inlineStr">
        <is>
          <t>retain</t>
        </is>
      </c>
      <c r="E12" s="21" t="inlineStr">
        <is>
          <t>statistical_results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ID",IF(OR(A12="",COUNTIF($A$2:$A$15,A12)&lt;&gt;1,LEFT(A12,LEN("2024::jama.2024.4183::"))&lt;&gt;"2024::jama.2024.4183::"),"CHECK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 t="inlineStr">
        <is>
          <t>confirmed_issue</t>
        </is>
      </c>
      <c r="I12" s="21" t="inlineStr">
        <is>
          <t>minor_presentation</t>
        </is>
      </c>
      <c r="J12" s="22" t="inlineStr">
        <is>
          <t>unlikely</t>
        </is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/>
    </row>
    <row r="13" ht="92" customHeight="1" s="25">
      <c r="A13" s="24" t="inlineStr">
        <is>
          <t>2024::jama.2024.4183::C012</t>
        </is>
      </c>
      <c r="B13" s="24" t="inlineStr">
        <is>
          <t>Repeated EOT plus 30-day decimal-scale discrepancies</t>
        </is>
      </c>
      <c r="C13" s="24" t="inlineStr">
        <is>
          <t>joi240036supp2_prod_1716416466.01349.pdf — Supplement p.10, CNRT nonabstainer switch probability; joi240036supp2_prod_1716416466.01349.pdf — P.15, eFigure 2 CNRT nonabstainer→VAR; joi240036supp2_prod_1716416466.01349.pdf — P.10, same CNRT probability sentence, increase; joi240036supp2_prod_1716416466.01349.pdf — P.15, eFigure 2 CNRT nonabstainer→CNRT+; joi240036supp2_prod_1716416466.01349.pdf — P.10, CNRT switch-minus-continuation ARD; joi240036supp2_prod_1716416466.01349.pdf — P.33, eTable 9 EOT+30 CNRT VAR-switch column; joi240036supp2_prod_1716416466.01349.pdf — P.10, final VAR nonabstainer probability sentence, increase; joi240036supp2_prod_1716416466.01349.pdf — P.15, eFigure 2 VAR nonabstainer→VAR+; joi240036supp2_prod_1716416466.01349.pdf — P.11, first paragraph, VAR increase-minus-continuation ARD; joi240036supp2_prod_1716416466.01349.pdf — P.33, eTable 9 EOT+30 VAR+ column; joi240036supp2_prod_1716416466.01349.pdf — P.11, second paragraph, VAR increase-minus-switch ARD; joi240036supp2_prod_1716416466.01349.pdf — P.34, eTable 10 EOT+30 VAR column; joi240036supp2_prod_1716416466.01349.pdf — P.11, phase-1 abstainers paragraph, CNRT versus VAR ARD; joi240036supp2_prod_1716416466.01349.pdf — P.35, eTable 11 EOT+30 row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ID",IF(OR(A13="",COUNTIF($A$2:$A$15,A13)&lt;&gt;1,LEFT(A13,LEN("2024::jama.2024.4183::"))&lt;&gt;"2024::jama.2024.4183::"),"CHECK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minor_presentation</t>
        </is>
      </c>
      <c r="J13" s="22" t="inlineStr">
        <is>
          <t>unlikely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Height="1" s="25">
      <c r="A14" s="20" t="inlineStr">
        <is>
          <t>2024::jama.2024.4183::C013</t>
        </is>
      </c>
      <c r="B14" s="20" t="inlineStr">
        <is>
          <t>Six-month responder credible limits differ across locations</t>
        </is>
      </c>
      <c r="C14" s="20" t="inlineStr">
        <is>
          <t>joi240036supp2_prod_1716416466.01349.pdf — supplement p.12, Continuous Abstinence at 6 months for Abstainers; joi240036supp2_prod_1716416466.01349.pdf — supplement p.35, eTable 11 six-month Continuous Abstinence row; joi240036supp2_prod_1716416466.01349.pdf — P.16, eFigure 3 responder rows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ID",IF(OR(A14="",COUNTIF($A$2:$A$15,A14)&lt;&gt;1,LEFT(A14,LEN("2024::jama.2024.4183::"))&lt;&gt;"2024::jama.2024.4183::"),"CHECK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unlikely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  <row r="15" ht="92" customHeight="1" s="25">
      <c r="A15" s="24" t="inlineStr">
        <is>
          <t>2024::jama.2024.4183::C014</t>
        </is>
      </c>
      <c r="B15" s="24" t="inlineStr">
        <is>
          <t>Augmented-CNRT dose attached to the primary-design input</t>
        </is>
      </c>
      <c r="C15" s="24" t="inlineStr">
        <is>
          <t>joi240036supp2_prod_1716416466.01349.pdf — supplement p.14, eFigure 1 caption and CNRT+ week-12 cell; joi240036supp2_prod_1716416466.01349.pdf — supplement p.17, eTable 1 caption; joi240036supp2_prod_1716416466.01349.pdf — Supplement p.18, eTable 2 caption; joi240036supp2_prod_1716416466.01349.pdf — P.15, eFigure 2 caption; joi240036supp2_prod_1716416466.01349.pdf — p.16, eFigure 3 caption; jama_cinciripini_2024_oi_240036_1716416465.98349.pdf — main p.4, first medication paragraph; jama_cinciripini_2024_oi_240036_1716416465.98349.pdf — main p.7, Figure 3 caption; jama_cinciripini_2024_oi_240036_1716416465.98349.pdf — Main p.8, second limitation; joi240036supp1_prod_1716416466.00349.pdf — p.25, medication paragraph</t>
        </is>
      </c>
      <c r="D15" s="21" t="inlineStr">
        <is>
          <t>retain</t>
        </is>
      </c>
      <c r="E15" s="21" t="inlineStr">
        <is>
          <t>report_internal_inconsistency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ID",IF(OR(A15="",COUNTIF($A$2:$A$15,A15)&lt;&gt;1,LEFT(A15,LEN("2024::jama.2024.4183::"))&lt;&gt;"2024::jama.2024.4183::"),"CHECK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 t="inlineStr">
        <is>
          <t>minor_presentation</t>
        </is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/>
    </row>
  </sheetData>
  <autoFilter ref="A1:R15"/>
  <conditionalFormatting sqref="H2:H15">
    <cfRule type="expression" priority="8" dxfId="70">
      <formula>NOT(AND(OR($D2="retain",$D2=""),$E2="statistical_results"))</formula>
    </cfRule>
  </conditionalFormatting>
  <conditionalFormatting sqref="I2:I15">
    <cfRule type="expression" priority="9" dxfId="70">
      <formula>NOT(AND(OR($D2="retain",$D2=""),$E2="statistical_results"))</formula>
    </cfRule>
  </conditionalFormatting>
  <conditionalFormatting sqref="J2:J15">
    <cfRule type="expression" priority="10" dxfId="70">
      <formula>NOT(AND(OR($D2="retain",$D2=""),$E2="statistical_results"))</formula>
    </cfRule>
  </conditionalFormatting>
  <conditionalFormatting sqref="K2:K15">
    <cfRule type="expression" priority="11" dxfId="70">
      <formula>NOT(AND(OR($D2="retain",$D2=""),OR($E2="report_internal_inconsistency",$E2="plan_material")))</formula>
    </cfRule>
  </conditionalFormatting>
  <conditionalFormatting sqref="L2:L15">
    <cfRule type="expression" priority="12" dxfId="70">
      <formula>NOT(AND(OR($D2="retain",$D2=""),$E2="protocol_report"))</formula>
    </cfRule>
  </conditionalFormatting>
  <conditionalFormatting sqref="G2:G15">
    <cfRule type="expression" priority="13" dxfId="71">
      <formula>G2&lt;&gt;"PRIMARY READY"</formula>
    </cfRule>
  </conditionalFormatting>
  <dataValidations count="8">
    <dataValidation sqref="D2:D15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5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5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5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5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5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5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5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2024::jama.2024.6063::C001</t>
        </is>
      </c>
      <c r="B2" s="20" t="inlineStr">
        <is>
          <t>Primary signed contrast differs between report locations</t>
        </is>
      </c>
      <c r="C2" s="20" t="inlineStr">
        <is>
          <t>DOC-001 jama_laslett_2024_oi_240048_1727199125.7595.pdf — p1 abstract, jama_laslett_2024_oi_240048_1727199125.7595.pdf — p2 Key Points, jama_laslett_2024_oi_240048_1727199125.7595.pdf — p6 Table 2, jama_laslett_2024_oi_240048_1727199125.7595.pdf — p7 primary text; DOC-004 joi240048supp3_prod_1727199125.83025.pdf — p2 original row, joi240048supp3_prod_1727199125.83025.pdf — p5 VAS24.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ID",IF(OR(A2="",COUNTIF($A$2:$A$14,A2)&lt;&gt;1,LEFT(A2,LEN("2024::jama.2024.6063::"))&lt;&gt;"2024::jama.2024.6063::"),"CHECK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minor_presentation</t>
        </is>
      </c>
      <c r="J2" s="22" t="inlineStr">
        <is>
          <t>unlikely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Height="1" s="25">
      <c r="A3" s="24" t="inlineStr">
        <is>
          <t>2024::jama.2024.6063::C002</t>
        </is>
      </c>
      <c r="B3" s="24" t="inlineStr">
        <is>
          <t>Placebo composition percentages differ by a decimal place</t>
        </is>
      </c>
      <c r="C3" s="24" t="inlineStr">
        <is>
          <t>DOC-001 jama_laslett_2024_oi_240048_1727199125.7595.pdf — p2 intervention last line, jama_laslett_2024_oi_240048_1727199125.7595.pdf — p3 continuation, jama_laslett_2024_oi_240048_1727199125.7595.pdf — p9 Discussion.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ID",IF(OR(A3="",COUNTIF($A$2:$A$14,A3)&lt;&gt;1,LEFT(A3,LEN("2024::jama.2024.6063::"))&lt;&gt;"2024::jama.2024.6063::"),"CHECK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unlikely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/>
    </row>
    <row r="4" ht="92" customHeight="1" s="25">
      <c r="A4" s="20" t="inlineStr">
        <is>
          <t>2024::jama.2024.6063::C003</t>
        </is>
      </c>
      <c r="B4" s="20" t="inlineStr">
        <is>
          <t>Primary VAS recall periods differ between plan and report</t>
        </is>
      </c>
      <c r="C4" s="20" t="inlineStr">
        <is>
          <t>DOC-001 jama_laslett_2024_oi_240048_1727199125.7595.pdf — p3 primary outcome, jama_laslett_2024_oi_240048_1727199125.7595.pdf — p5 Table 1 footnote b; DOC-002 joi240048supp1_prod_1727199125.7845.pdf — p6 primary definition, joi240048supp1_prod_1727199125.7845.pdf — p8 primary question.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ID",IF(OR(A4="",COUNTIF($A$2:$A$14,A4)&lt;&gt;1,LEFT(A4,LEN("2024::jama.2024.6063::"))&lt;&gt;"2024::jama.2024.6063::"),"CHECK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Height="1" s="25">
      <c r="A5" s="24" t="inlineStr">
        <is>
          <t>2024::jama.2024.6063::C004</t>
        </is>
      </c>
      <c r="B5" s="24" t="inlineStr">
        <is>
          <t>ICOAP item count does not identify the scoring denominator</t>
        </is>
      </c>
      <c r="C5" s="24" t="inlineStr">
        <is>
          <t>DOC-001 jama_laslett_2024_oi_240048_1727199125.7595.pdf — p4 post hoc scoring, jama_laslett_2024_oi_240048_1727199125.7595.pdf — p5 Table 1 footnote g, jama_laslett_2024_oi_240048_1727199125.7595.pdf — p6 ICOAP rows/descriptions.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ID",IF(OR(A5="",COUNTIF($A$2:$A$14,A5)&lt;&gt;1,LEFT(A5,LEN("2024::jama.2024.6063::"))&lt;&gt;"2024::jama.2024.6063::"),"CHECK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minor_presentation</t>
        </is>
      </c>
      <c r="J5" s="22" t="inlineStr">
        <is>
          <t>unlikely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Height="1" s="25">
      <c r="A6" s="20" t="inlineStr">
        <is>
          <t>2024::jama.2024.6063::C005</t>
        </is>
      </c>
      <c r="B6" s="20" t="inlineStr">
        <is>
          <t>Adopted power specifications differ between plan and report</t>
        </is>
      </c>
      <c r="C6" s="20" t="inlineStr">
        <is>
          <t>DOC-001 jama_laslett_2024_oi_240048_1727199125.7595.pdf — p4 power; DOC-002 joi240048supp1_prod_1727199125.7845.pdf — p2 effusion hypothesis, joi240048supp1_prod_1727199125.7845.pdf — p12 adopted power.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ID",IF(OR(A6="",COUNTIF($A$2:$A$14,A6)&lt;&gt;1,LEFT(A6,LEN("2024::jama.2024.6063::"))&lt;&gt;"2024::jama.2024.6063::"),"CHECK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Height="1" s="25">
      <c r="A7" s="24" t="inlineStr">
        <is>
          <t>2024::jama.2024.6063::C006</t>
        </is>
      </c>
      <c r="B7" s="24" t="inlineStr">
        <is>
          <t>Reported primary model differs from the supplied planned model</t>
        </is>
      </c>
      <c r="C7" s="24" t="inlineStr">
        <is>
          <t>DOC-001 jama_laslett_2024_oi_240048_1727199125.7595.pdf — p4 statistical methods, jama_laslett_2024_oi_240048_1727199125.7595.pdf — p7 continuation; DOC-002 joi240048supp1_prod_1727199125.7845.pdf — p12 Statistics; DOC-003 joi240048supp2_prod_1727199125.8245.pdf — p1 lines 5–7.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ID",IF(OR(A7="",COUNTIF($A$2:$A$14,A7)&lt;&gt;1,LEFT(A7,LEN("2024::jama.2024.6063::"))&lt;&gt;"2024::jama.2024.6063::"),"CHECK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Height="1" s="25">
      <c r="A8" s="20" t="inlineStr">
        <is>
          <t>2024::jama.2024.6063::C007</t>
        </is>
      </c>
      <c r="B8" s="20" t="inlineStr">
        <is>
          <t>Planned per-protocol primary efficacy analysis is not reported</t>
        </is>
      </c>
      <c r="C8" s="20" t="inlineStr">
        <is>
          <t>DOC-002 joi240048supp1_prod_1727199125.7845.pdf — p12 Statistics; DOC-003 joi240048supp2_prod_1727199125.8245.pdf — p1 lines 8–9; DOC-001 jama_laslett_2024_oi_240048_1727199125.7595.pdf — p4 methods, jama_laslett_2024_oi_240048_1727199125.7595.pdf — p6 efficacy table, jama_laslett_2024_oi_240048_1727199125.7595.pdf — p7 methods/results; DOC-004 joi240048supp3_prod_1727199125.83025.pdf — p2 sensitivity table, joi240048supp3_prod_1727199125.83025.pdf — p3 adherence.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ID",IF(OR(A8="",COUNTIF($A$2:$A$14,A8)&lt;&gt;1,LEFT(A8,LEN("2024::jama.2024.6063::"))&lt;&gt;"2024::jama.2024.6063::"),"CHECK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/>
    </row>
    <row r="9" ht="92" customHeight="1" s="25">
      <c r="A9" s="24" t="inlineStr">
        <is>
          <t>2024::jama.2024.6063::C008</t>
        </is>
      </c>
      <c r="B9" s="24" t="inlineStr">
        <is>
          <t>Repeated modeled arm-change and point-contrast discrepancies</t>
        </is>
      </c>
      <c r="C9" s="24" t="inlineStr">
        <is>
          <t>DOC-001 jama_laslett_2024_oi_240048_1727199125.7595.pdf — p6 ICOAP total/intermittent; DOC-004 joi240048supp3_prod_1727199125.83025.pdf — p5 weight-bearing/function week4, joi240048supp3_prod_1727199125.83025.pdf — p6 hsCRP12/24 and glucose12. Producing model corroboration: DOC-001 jama_laslett_2024_oi_240048_1727199125.7595.pdf — p4, jama_laslett_2024_oi_240048_1727199125.7595.pdf — p7.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ID",IF(OR(A9="",COUNTIF($A$2:$A$14,A9)&lt;&gt;1,LEFT(A9,LEN("2024::jama.2024.6063::"))&lt;&gt;"2024::jama.2024.6063::"),"CHECK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Height="1" s="25">
      <c r="A10" s="20" t="inlineStr">
        <is>
          <t>2024::jama.2024.6063::C009</t>
        </is>
      </c>
      <c r="B10" s="20" t="inlineStr">
        <is>
          <t>Selected adverse-event counts change treatment attribution</t>
        </is>
      </c>
      <c r="C10" s="20" t="inlineStr">
        <is>
          <t>DOC-001 jama_laslett_2024_oi_240048_1727199125.7595.pdf — p8 Table 3; DOC-004 joi240048supp3_prod_1727199125.83025.pdf — p10 cough and treatment headers, joi240048supp3_prod_1727199125.83025.pdf — p11 gastrointestinal rows.</t>
        </is>
      </c>
      <c r="D10" s="21" t="inlineStr">
        <is>
          <t>retain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ID",IF(OR(A10="",COUNTIF($A$2:$A$14,A10)&lt;&gt;1,LEFT(A10,LEN("2024::jama.2024.6063::"))&lt;&gt;"2024::jama.2024.6063::"),"CHECK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 t="inlineStr">
        <is>
          <t>confirmed_issue</t>
        </is>
      </c>
      <c r="I10" s="21" t="inlineStr">
        <is>
          <t>substantive</t>
        </is>
      </c>
      <c r="J10" s="22" t="inlineStr">
        <is>
          <t>direct</t>
        </is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/>
    </row>
    <row r="11" ht="92" customHeight="1" s="25">
      <c r="A11" s="24" t="inlineStr">
        <is>
          <t>2024::jama.2024.6063::C010</t>
        </is>
      </c>
      <c r="B11" s="24" t="inlineStr">
        <is>
          <t>Serious-event relatedness classifications do not reconcile</t>
        </is>
      </c>
      <c r="C11" s="24" t="inlineStr">
        <is>
          <t>DOC-001 jama_laslett_2024_oi_240048_1727199125.7595.pdf — p8 Table 3, footnote b, narrative; DOC-004 joi240048supp3_prod_1727199125.83025.pdf — p14 eTable 8 relatedness entries.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ID",IF(OR(A11="",COUNTIF($A$2:$A$14,A11)&lt;&gt;1,LEFT(A11,LEN("2024::jama.2024.6063::"))&lt;&gt;"2024::jama.2024.6063::"),"CHECK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substantive</t>
        </is>
      </c>
      <c r="J11" s="22" t="inlineStr">
        <is>
          <t>direct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Height="1" s="25">
      <c r="A12" s="20" t="inlineStr">
        <is>
          <t>2024::jama.2024.6063::C011</t>
        </is>
      </c>
      <c r="B12" s="20" t="inlineStr">
        <is>
          <t>Planned effusion power does not reproduce from supplied inputs</t>
        </is>
      </c>
      <c r="C12" s="20" t="inlineStr">
        <is>
          <t>DOC-002 joi240048supp1_prod_1727199125.7845.pdf — p2 effusion hypothesis, joi240048supp1_prod_1727199125.7845.pdf — p12 Power/Statistics; DOC-003 joi240048supp2_prod_1727199125.8245.pdf — p1 model and significance corroboration.</t>
        </is>
      </c>
      <c r="D12" s="21" t="inlineStr">
        <is>
          <t>retain</t>
        </is>
      </c>
      <c r="E12" s="21" t="inlineStr">
        <is>
          <t>plan_material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ID",IF(OR(A12="",COUNTIF($A$2:$A$14,A12)&lt;&gt;1,LEFT(A12,LEN("2024::jama.2024.6063::"))&lt;&gt;"2024::jama.2024.6063::"),"CHECK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 t="inlineStr">
        <is>
          <t>indeterminate</t>
        </is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/>
    </row>
    <row r="13" ht="92" customHeight="1" s="25">
      <c r="A13" s="24" t="inlineStr">
        <is>
          <t>2024::jama.2024.6063::C012</t>
        </is>
      </c>
      <c r="B13" s="24" t="inlineStr">
        <is>
          <t>Repeated contrast-interval widths differ from a reproducing display rule</t>
        </is>
      </c>
      <c r="C13" s="24" t="inlineStr">
        <is>
          <t>DOC-004 joi240048supp3_prod_1727199125.83025.pdf — p6 glucose12/24, TG12, HDL12, LDL12, hsCRP12 and adjustment footnote, joi240048supp3_prod_1727199125.83025.pdf — p5 WOMAC total4/8/12/16/20/24; DOC-001 jama_laslett_2024_oi_240048_1727199125.7595.pdf — p6 WOMAC total24 and glucose24 corroboration, jama_laslett_2024_oi_240048_1727199125.7595.pdf — p4 model methods, jama_laslett_2024_oi_240048_1727199125.7595.pdf — p7 model continuation.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ID",IF(OR(A13="",COUNTIF($A$2:$A$14,A13)&lt;&gt;1,LEFT(A13,LEN("2024::jama.2024.6063::"))&lt;&gt;"2024::jama.2024.6063::"),"CHECK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minor_presentation</t>
        </is>
      </c>
      <c r="J13" s="22" t="inlineStr">
        <is>
          <t>unlikely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Height="1" s="25">
      <c r="A14" s="20" t="inlineStr">
        <is>
          <t>2024::jama.2024.6063::C013</t>
        </is>
      </c>
      <c r="B14" s="20" t="inlineStr">
        <is>
          <t>WORMS smaller-one-unit percentages differ from their counts</t>
        </is>
      </c>
      <c r="C14" s="20" t="inlineStr">
        <is>
          <t>DOC-004 joi240048supp3_prod_1727199125.83025.pdf — p8 eTable 5 smaller-one-unit and totals.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ID",IF(OR(A14="",COUNTIF($A$2:$A$14,A14)&lt;&gt;1,LEFT(A14,LEN("2024::jama.2024.6063::"))&lt;&gt;"2024::jama.2024.6063::"),"CHECK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unlikely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2026-10-14T05:18:52Z</dcterms:modified>
</cp:coreProperties>
</file>