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Setup" sheetId="1" state="visible" r:id="rId1"/>
    <sheet name="Checks" sheetId="2" state="visible" r:id="rId2"/>
    <sheet name="Papers" sheetId="3" state="visible" r:id="rId3"/>
    <sheet name="C_jama.2024.24764" sheetId="4" state="visible" r:id="rId4"/>
    <sheet name="C_jama.2024.27643" sheetId="5" state="visible" r:id="rId5"/>
    <sheet name="C_jama.2025.11178" sheetId="6" state="visible" r:id="rId6"/>
    <sheet name="C_jama.2025.15185" sheetId="7" state="visible" r:id="rId7"/>
    <sheet name="C_jama.2025.15440" sheetId="8" state="visible" r:id="rId8"/>
    <sheet name="C_jama.2025.16450" sheetId="9" state="visible" r:id="rId9"/>
    <sheet name="C_jama.2025.19563" sheetId="10" state="visible" r:id="rId10"/>
    <sheet name="C_jama.2025.19843" sheetId="11" state="visible" r:id="rId11"/>
    <sheet name="C_jama.2025.20765" sheetId="12" state="visible" r:id="rId12"/>
    <sheet name="C_jama.2025.24175" sheetId="13" state="visible" r:id="rId13"/>
    <sheet name="C_jama.2025.4390" sheetId="14" state="visible" r:id="rId14"/>
    <sheet name="C_jama.2025.7583" sheetId="15" state="visible" r:id="rId15"/>
    <sheet name="C_jama.2025.7710" sheetId="16" state="visible" r:id="rId16"/>
    <sheet name="C_jama.2025.9110" sheetId="17" state="visible" r:id="rId17"/>
    <sheet name="C_jama.2025.9663" sheetId="18" state="visible" r:id="rId18"/>
    <sheet name="Codebook" sheetId="19" state="visible" r:id="rId19"/>
  </sheets>
  <definedNames>
    <definedName name="_xlnm._FilterDatabase" localSheetId="3" hidden="1">'C_jama.2024.24764'!$A$1:$R$6</definedName>
    <definedName name="_xlnm._FilterDatabase" localSheetId="4" hidden="1">'C_jama.2024.27643'!$A$1:$R$17</definedName>
    <definedName name="_xlnm._FilterDatabase" localSheetId="5" hidden="1">'C_jama.2025.11178'!$A$1:$R$19</definedName>
    <definedName name="_xlnm._FilterDatabase" localSheetId="6" hidden="1">'C_jama.2025.15185'!$A$1:$R$7</definedName>
    <definedName name="_xlnm._FilterDatabase" localSheetId="7" hidden="1">'C_jama.2025.15440'!$A$1:$R$2</definedName>
    <definedName name="_xlnm._FilterDatabase" localSheetId="8" hidden="1">'C_jama.2025.16450'!$A$1:$R$7</definedName>
    <definedName name="_xlnm._FilterDatabase" localSheetId="9" hidden="1">'C_jama.2025.19563'!$A$1:$R$14</definedName>
    <definedName name="_xlnm._FilterDatabase" localSheetId="10" hidden="1">'C_jama.2025.19843'!$A$1:$R$8</definedName>
    <definedName name="_xlnm._FilterDatabase" localSheetId="11" hidden="1">'C_jama.2025.20765'!$A$1:$R$20</definedName>
    <definedName name="_xlnm._FilterDatabase" localSheetId="12" hidden="1">'C_jama.2025.24175'!$A$1:$R$15</definedName>
    <definedName name="_xlnm._FilterDatabase" localSheetId="13" hidden="1">'C_jama.2025.4390'!$A$1:$R$14</definedName>
    <definedName name="_xlnm._FilterDatabase" localSheetId="14" hidden="1">'C_jama.2025.7583'!$A$1:$R$5</definedName>
    <definedName name="_xlnm._FilterDatabase" localSheetId="15" hidden="1">'C_jama.2025.7710'!$A$1:$R$4</definedName>
    <definedName name="_xlnm._FilterDatabase" localSheetId="16" hidden="1">'C_jama.2025.9110'!$A$1:$R$4</definedName>
    <definedName name="_xlnm._FilterDatabase" localSheetId="17" hidden="1">'C_jama.2025.9663'!$A$1:$R$6</definedName>
  </definedNames>
  <calcPr calcId="124519" calcMode="auto" fullCalcOnLoad="1" forceFullCalc="1"/>
</workbook>
</file>

<file path=xl/styles.xml><?xml version="1.0" encoding="utf-8"?>
<styleSheet xmlns="http://schemas.openxmlformats.org/spreadsheetml/2006/main">
  <numFmts count="0"/>
  <fonts count="5">
    <font>
      <name val="Carlito"/>
      <sz val="11"/>
    </font>
    <font>
      <name val="Calibri"/>
      <color rgb="FF173F57"/>
      <sz val="11"/>
    </font>
    <font>
      <name val="Calibri"/>
      <b val="1"/>
      <color rgb="FFFFFFFF"/>
      <sz val="11"/>
    </font>
    <font>
      <name val="Calibri"/>
      <color rgb="00173F57"/>
      <sz val="11"/>
    </font>
    <font>
      <name val="Calibri"/>
      <b val="1"/>
      <color rgb="00FFFFFF"/>
      <sz val="11"/>
    </font>
  </fonts>
  <fills count="10">
    <fill>
      <patternFill/>
    </fill>
    <fill>
      <patternFill patternType="gray125"/>
    </fill>
    <fill>
      <patternFill patternType="solid">
        <fgColor rgb="FF173F57"/>
      </patternFill>
    </fill>
    <fill>
      <patternFill patternType="solid">
        <fgColor rgb="FFF4F8FA"/>
      </patternFill>
    </fill>
    <fill>
      <patternFill patternType="solid">
        <fgColor rgb="FFFFF2CC"/>
      </patternFill>
    </fill>
    <fill>
      <patternFill patternType="solid">
        <fgColor rgb="FFEAF3FC"/>
      </patternFill>
    </fill>
    <fill>
      <patternFill patternType="solid">
        <fgColor rgb="00173F57"/>
      </patternFill>
    </fill>
    <fill>
      <patternFill patternType="solid">
        <fgColor rgb="00F4F8FA"/>
      </patternFill>
    </fill>
    <fill>
      <patternFill patternType="solid">
        <fgColor rgb="00FFF2CC"/>
      </patternFill>
    </fill>
    <fill>
      <patternFill patternType="solid">
        <fgColor rgb="00EAF3FC"/>
      </patternFill>
    </fill>
  </fills>
  <borders count="1">
    <border/>
  </borders>
  <cellStyleXfs count="1">
    <xf numFmtId="0" fontId="0" fillId="0" borderId="0" applyProtection="1">
      <protection locked="0" hidden="0"/>
    </xf>
  </cellStyleXfs>
  <cellXfs count="26">
    <xf numFmtId="0" fontId="0" fillId="0" borderId="0" applyProtection="1" pivotButton="0" quotePrefix="0" xfId="0">
      <protection locked="0" hidden="0"/>
    </xf>
    <xf numFmtId="0" fontId="1" fillId="0" borderId="0" applyProtection="1" pivotButton="0" quotePrefix="0" xfId="0">
      <protection locked="0" hidden="0"/>
    </xf>
    <xf numFmtId="0" fontId="1" fillId="0" borderId="0" applyAlignment="1" applyProtection="1" pivotButton="0" quotePrefix="0" xfId="0">
      <alignment wrapText="1"/>
      <protection locked="0" hidden="0"/>
    </xf>
    <xf numFmtId="0" fontId="1" fillId="0" borderId="0" applyAlignment="1" applyProtection="1" pivotButton="0" quotePrefix="0" xfId="0">
      <alignment vertical="center" wrapText="1"/>
      <protection locked="0" hidden="0"/>
    </xf>
    <xf numFmtId="0" fontId="1" fillId="2" borderId="0" applyAlignment="1" applyProtection="1" pivotButton="0" quotePrefix="0" xfId="0">
      <alignment vertical="center" wrapText="1"/>
      <protection locked="0" hidden="0"/>
    </xf>
    <xf numFmtId="0" fontId="2" fillId="2" borderId="0" applyAlignment="1" applyProtection="1" pivotButton="0" quotePrefix="0" xfId="0">
      <alignment vertical="center" wrapText="1"/>
      <protection locked="0" hidden="0"/>
    </xf>
    <xf numFmtId="0" fontId="1" fillId="3" borderId="0" applyAlignment="1" applyProtection="1" pivotButton="0" quotePrefix="0" xfId="0">
      <alignment vertical="center" wrapText="1"/>
      <protection locked="0" hidden="0"/>
    </xf>
    <xf numFmtId="0" fontId="1" fillId="4" borderId="0" applyAlignment="1" applyProtection="1" pivotButton="0" quotePrefix="0" xfId="0">
      <alignment vertical="center" wrapText="1"/>
      <protection locked="0" hidden="0"/>
    </xf>
    <xf numFmtId="0" fontId="0" fillId="0" borderId="0" applyProtection="1" pivotButton="0" quotePrefix="0" xfId="0">
      <protection locked="0" hidden="0"/>
    </xf>
    <xf numFmtId="0" fontId="1" fillId="0" borderId="0" applyProtection="1" pivotButton="0" quotePrefix="0" xfId="0">
      <protection locked="0" hidden="0"/>
    </xf>
    <xf numFmtId="0" fontId="1" fillId="0" borderId="0" applyAlignment="1" applyProtection="1" pivotButton="0" quotePrefix="0" xfId="0">
      <alignment wrapText="1"/>
      <protection locked="0" hidden="0"/>
    </xf>
    <xf numFmtId="0" fontId="1" fillId="0" borderId="0" applyAlignment="1" applyProtection="1" pivotButton="0" quotePrefix="0" xfId="0">
      <alignment vertical="center" wrapText="1"/>
      <protection locked="0" hidden="0"/>
    </xf>
    <xf numFmtId="0" fontId="1" fillId="3" borderId="0" applyAlignment="1" applyProtection="1" pivotButton="0" quotePrefix="0" xfId="0">
      <alignment vertical="center" wrapText="1"/>
      <protection locked="0" hidden="0"/>
    </xf>
    <xf numFmtId="0" fontId="1" fillId="5" borderId="0" applyAlignment="1" applyProtection="1" pivotButton="0" quotePrefix="0" xfId="0">
      <alignment vertical="center" wrapText="1"/>
      <protection locked="0" hidden="0"/>
    </xf>
    <xf numFmtId="0" fontId="0" fillId="0" borderId="0" applyProtection="1" pivotButton="0" quotePrefix="0" xfId="0">
      <protection locked="0" hidden="0"/>
    </xf>
    <xf numFmtId="0" fontId="4" fillId="6" borderId="0" applyAlignment="1" applyProtection="1" pivotButton="0" quotePrefix="0" xfId="0">
      <alignment vertical="center" wrapText="1"/>
      <protection locked="0" hidden="0"/>
    </xf>
    <xf numFmtId="0" fontId="3" fillId="7" borderId="0" applyAlignment="1" applyProtection="1" pivotButton="0" quotePrefix="0" xfId="0">
      <alignment vertical="center" wrapText="1"/>
      <protection locked="0" hidden="0"/>
    </xf>
    <xf numFmtId="0" fontId="3" fillId="0" borderId="0" applyAlignment="1" applyProtection="1" pivotButton="0" quotePrefix="0" xfId="0">
      <alignment vertical="center" wrapText="1"/>
      <protection locked="0" hidden="0"/>
    </xf>
    <xf numFmtId="0" fontId="3" fillId="8" borderId="0" applyAlignment="1" applyProtection="1" pivotButton="0" quotePrefix="0" xfId="0">
      <alignment vertical="center" wrapText="1"/>
      <protection locked="0" hidden="0"/>
    </xf>
    <xf numFmtId="0" fontId="2" fillId="2" borderId="0" applyAlignment="1" applyProtection="1" pivotButton="0" quotePrefix="0" xfId="0">
      <alignment vertical="center" wrapText="1"/>
      <protection locked="0" hidden="0"/>
    </xf>
    <xf numFmtId="0" fontId="1" fillId="3" borderId="0" applyAlignment="1" applyProtection="1" pivotButton="0" quotePrefix="0" xfId="0">
      <alignment vertical="center" wrapText="1"/>
      <protection locked="0" hidden="0"/>
    </xf>
    <xf numFmtId="0" fontId="1" fillId="8" borderId="0" applyAlignment="1" applyProtection="1" pivotButton="0" quotePrefix="0" xfId="0">
      <alignment vertical="center" wrapText="1"/>
      <protection locked="0" hidden="0"/>
    </xf>
    <xf numFmtId="0" fontId="1" fillId="9" borderId="0" applyAlignment="1" applyProtection="1" pivotButton="0" quotePrefix="0" xfId="0">
      <alignment vertical="center" wrapText="1"/>
      <protection locked="0" hidden="0"/>
    </xf>
    <xf numFmtId="0" fontId="1" fillId="4" borderId="0" applyAlignment="1" applyProtection="1" pivotButton="0" quotePrefix="0" xfId="0">
      <alignment vertical="center" wrapText="1"/>
      <protection locked="0" hidden="0"/>
    </xf>
    <xf numFmtId="0" fontId="1" fillId="0" borderId="0" applyAlignment="1" applyProtection="1" pivotButton="0" quotePrefix="0" xfId="0">
      <alignment vertical="center" wrapText="1"/>
      <protection locked="0" hidden="0"/>
    </xf>
    <xf numFmtId="0" fontId="0" fillId="0" borderId="0" pivotButton="0" quotePrefix="0" xfId="0"/>
  </cellXfs>
  <cellStyles count="1">
    <cellStyle name="Normal" xfId="0"/>
  </cellStyles>
  <dxfs count="72">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9C0006"/>
      </font>
      <fill>
        <patternFill patternType="solid">
          <bgColor rgb="FFFFF2CC"/>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FF687783"/>
      </font>
      <fill>
        <patternFill patternType="solid">
          <bgColor rgb="FFEDF2F5"/>
        </patternFill>
      </fill>
    </dxf>
    <dxf>
      <font>
        <color rgb="00687783"/>
      </font>
      <fill>
        <patternFill patternType="solid">
          <fgColor rgb="00EDF2F5"/>
        </patternFill>
      </fill>
    </dxf>
    <dxf>
      <font>
        <color rgb="009C0006"/>
      </font>
      <fill>
        <patternFill patternType="solid">
          <fgColor rgb="00FFF2CC"/>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B5"/>
  <sheetViews>
    <sheetView showGridLines="0" tabSelected="1"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4" customWidth="1" style="14" min="1" max="1"/>
    <col width="65" customWidth="1" style="14" min="2" max="2"/>
  </cols>
  <sheetData>
    <row r="1" ht="42" customFormat="1" customHeight="1" s="14">
      <c r="A1" s="15" t="inlineStr">
        <is>
          <t>Field</t>
        </is>
      </c>
      <c r="B1" s="15" t="inlineStr">
        <is>
          <t>Value</t>
        </is>
      </c>
    </row>
    <row r="2" ht="42" customFormat="1" customHeight="1" s="14">
      <c r="A2" s="16" t="inlineStr">
        <is>
          <t>reviewerId</t>
        </is>
      </c>
      <c r="B2" s="18" t="inlineStr">
        <is>
          <t>R_Bulun</t>
        </is>
      </c>
    </row>
    <row r="3" ht="42" customFormat="1" customHeight="1" s="14">
      <c r="A3" s="17" t="inlineStr">
        <is>
          <t>reviewerName (optional)</t>
        </is>
      </c>
      <c r="B3" s="18" t="n"/>
    </row>
    <row r="4" ht="42" customFormat="1" customHeight="1" s="14">
      <c r="A4" s="16" t="inlineStr">
        <is>
          <t>reviewerRole</t>
        </is>
      </c>
      <c r="B4" s="16" t="inlineStr">
        <is>
          <t>R_Bulun</t>
        </is>
      </c>
    </row>
    <row r="5" ht="42" customFormat="1" customHeight="1" s="14">
      <c r="A5" s="17" t="inlineStr">
        <is>
          <t>year</t>
        </is>
      </c>
      <c r="B5" s="17" t="n">
        <v>2025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showGridLines="0" tabSelected="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5" customWidth="1" style="14" min="1" max="1"/>
    <col width="100" customWidth="1" style="14" min="2" max="2"/>
  </cols>
  <sheetData>
    <row r="1" ht="42" customFormat="1" customHeight="1" s="14">
      <c r="A1" s="15" t="inlineStr">
        <is>
          <t>Check</t>
        </is>
      </c>
      <c r="B1" s="15" t="inlineStr">
        <is>
          <t>Result</t>
        </is>
      </c>
    </row>
    <row r="2" ht="55" customFormat="1" customHeight="1" s="14">
      <c r="A2" s="16" t="inlineStr">
        <is>
          <t>Reviewer role</t>
        </is>
      </c>
      <c r="B2" s="16">
        <f>Setup!B4</f>
        <v/>
      </c>
    </row>
    <row r="3" ht="55" customFormat="1" customHeight="1" s="14">
      <c r="A3" s="17" t="inlineStr">
        <is>
          <t>Candidates</t>
        </is>
      </c>
      <c r="B3" s="17" t="n">
        <v>133</v>
      </c>
    </row>
    <row r="4" ht="55" customFormat="1" customHeight="1" s="14">
      <c r="A4" s="16" t="inlineStr">
        <is>
          <t>Primary ready rows</t>
        </is>
      </c>
      <c r="B4" s="16">
        <f>COUNTIF('C_jama.2024.24764'!$G$2:$G$6,"PRIMARY READY")+COUNTIF('C_jama.2024.27643'!$G$2:$G$17,"PRIMARY READY")+COUNTIF('C_jama.2025.11178'!$G$2:$G$19,"PRIMARY READY")+COUNTIF('C_jama.2025.15185'!$G$2:$G$7,"PRIMARY READY")+COUNTIF('C_jama.2025.15440'!$G$2:$G$2,"PRIMARY READY")+COUNTIF('C_jama.2025.16450'!$G$2:$G$7,"PRIMARY READY")+COUNTIF('C_jama.2025.19563'!$G$2:$G$14,"PRIMARY READY")+COUNTIF('C_jama.2025.19843'!$G$2:$G$8,"PRIMARY READY")+COUNTIF('C_jama.2025.20765'!$G$2:$G$20,"PRIMARY READY")+COUNTIF('C_jama.2025.24175'!$G$2:$G$15,"PRIMARY READY")+COUNTIF('C_jama.2025.4390'!$G$2:$G$14,"PRIMARY READY")+COUNTIF('C_jama.2025.7583'!$G$2:$G$5,"PRIMARY READY")+COUNTIF('C_jama.2025.7710'!$G$2:$G$4,"PRIMARY READY")+COUNTIF('C_jama.2025.9110'!$G$2:$G$4,"PRIMARY READY")+COUNTIF('C_jama.2025.9663'!$G$2:$G$6,"PRIMARY READY")</f>
        <v/>
      </c>
    </row>
    <row r="5" ht="55" customFormat="1" customHeight="1" s="14">
      <c r="A5" s="17" t="inlineStr">
        <is>
          <t>Discuss / unresolved rows</t>
        </is>
      </c>
      <c r="B5" s="17">
        <f>COUNTIF('C_jama.2024.24764'!$D$2:$D$6,"discuss")+COUNTIF('C_jama.2024.27643'!$D$2:$D$17,"discuss")+COUNTIF('C_jama.2025.11178'!$D$2:$D$19,"discuss")+COUNTIF('C_jama.2025.15185'!$D$2:$D$7,"discuss")+COUNTIF('C_jama.2025.15440'!$D$2:$D$2,"discuss")+COUNTIF('C_jama.2025.16450'!$D$2:$D$7,"discuss")+COUNTIF('C_jama.2025.19563'!$D$2:$D$14,"discuss")+COUNTIF('C_jama.2025.19843'!$D$2:$D$8,"discuss")+COUNTIF('C_jama.2025.20765'!$D$2:$D$20,"discuss")+COUNTIF('C_jama.2025.24175'!$D$2:$D$15,"discuss")+COUNTIF('C_jama.2025.4390'!$D$2:$D$14,"discuss")+COUNTIF('C_jama.2025.7583'!$D$2:$D$5,"discuss")+COUNTIF('C_jama.2025.7710'!$D$2:$D$4,"discuss")+COUNTIF('C_jama.2025.9110'!$D$2:$D$4,"discuss")+COUNTIF('C_jama.2025.9663'!$D$2:$D$6,"discuss")</f>
        <v/>
      </c>
    </row>
    <row r="6" ht="55" customFormat="1" customHeight="1" s="14">
      <c r="A6" s="16" t="inlineStr">
        <is>
          <t>Unfinished rows</t>
        </is>
      </c>
      <c r="B6" s="16">
        <f>B3-B4</f>
        <v/>
      </c>
    </row>
    <row r="7" ht="55" customFormat="1" customHeight="1" s="14">
      <c r="A7" s="17" t="inlineStr">
        <is>
          <t>Workflow status</t>
        </is>
      </c>
      <c r="B7" s="17">
        <f>IF(B4=B3,"PRIMARY READY","ACTION NEEDED")</f>
        <v/>
      </c>
    </row>
    <row r="8" ht="55" customFormat="1" customHeight="1" s="14">
      <c r="A8" s="16" t="inlineStr">
        <is>
          <t>Meaning</t>
        </is>
      </c>
      <c r="B8" s="16" t="inlineStr">
        <is>
          <t>PRIMARY READY means independent entry is complete. Discuss remains unresolved and is not counted as absence of error.</t>
        </is>
      </c>
    </row>
    <row r="9" ht="55" customFormat="1" customHeight="1" s="14">
      <c r="A9" s="17" t="inlineStr">
        <is>
          <t>Next action</t>
        </is>
      </c>
      <c r="B9" s="17" t="inlineStr">
        <is>
          <t>Inspect G on the C_ sheets. Save and deliver this file after review.</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6"/>
  <sheetViews>
    <sheetView showGridLines="0" tabSelected="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2" customWidth="1" style="14" min="1" max="1"/>
    <col width="38" customWidth="1" style="14" min="2" max="2"/>
    <col width="18" customWidth="1" style="14" min="3" max="3"/>
  </cols>
  <sheetData>
    <row r="1" ht="42" customFormat="1" customHeight="1" s="14">
      <c r="A1" s="15" t="inlineStr">
        <is>
          <t>Paper</t>
        </is>
      </c>
      <c r="B1" s="15" t="inlineStr">
        <is>
          <t>Review worksheet</t>
        </is>
      </c>
      <c r="C1" s="15" t="inlineStr">
        <is>
          <t>Candidates</t>
        </is>
      </c>
    </row>
    <row r="2" ht="36" customHeight="1" s="25">
      <c r="A2" s="16" t="inlineStr">
        <is>
          <t>jama.2024.24764</t>
        </is>
      </c>
      <c r="B2" s="16" t="inlineStr">
        <is>
          <t>C_jama.2024.24764</t>
        </is>
      </c>
      <c r="C2" s="16" t="n">
        <v>5</v>
      </c>
    </row>
    <row r="3" ht="36" customHeight="1" s="25">
      <c r="A3" s="17" t="inlineStr">
        <is>
          <t>jama.2024.27643</t>
        </is>
      </c>
      <c r="B3" s="17" t="inlineStr">
        <is>
          <t>C_jama.2024.27643</t>
        </is>
      </c>
      <c r="C3" s="17" t="n">
        <v>16</v>
      </c>
    </row>
    <row r="4" ht="36" customHeight="1" s="25">
      <c r="A4" s="16" t="inlineStr">
        <is>
          <t>jama.2025.11178</t>
        </is>
      </c>
      <c r="B4" s="16" t="inlineStr">
        <is>
          <t>C_jama.2025.11178</t>
        </is>
      </c>
      <c r="C4" s="16" t="n">
        <v>18</v>
      </c>
    </row>
    <row r="5" ht="36" customHeight="1" s="25">
      <c r="A5" s="17" t="inlineStr">
        <is>
          <t>jama.2025.15185</t>
        </is>
      </c>
      <c r="B5" s="17" t="inlineStr">
        <is>
          <t>C_jama.2025.15185</t>
        </is>
      </c>
      <c r="C5" s="17" t="n">
        <v>6</v>
      </c>
    </row>
    <row r="6" ht="36" customHeight="1" s="25">
      <c r="A6" s="16" t="inlineStr">
        <is>
          <t>jama.2025.15440</t>
        </is>
      </c>
      <c r="B6" s="16" t="inlineStr">
        <is>
          <t>C_jama.2025.15440</t>
        </is>
      </c>
      <c r="C6" s="16" t="n">
        <v>1</v>
      </c>
    </row>
    <row r="7" ht="36" customHeight="1" s="25">
      <c r="A7" s="17" t="inlineStr">
        <is>
          <t>jama.2025.16450</t>
        </is>
      </c>
      <c r="B7" s="17" t="inlineStr">
        <is>
          <t>C_jama.2025.16450</t>
        </is>
      </c>
      <c r="C7" s="17" t="n">
        <v>6</v>
      </c>
    </row>
    <row r="8" ht="36" customHeight="1" s="25">
      <c r="A8" s="16" t="inlineStr">
        <is>
          <t>jama.2025.19563</t>
        </is>
      </c>
      <c r="B8" s="16" t="inlineStr">
        <is>
          <t>C_jama.2025.19563</t>
        </is>
      </c>
      <c r="C8" s="16" t="n">
        <v>13</v>
      </c>
    </row>
    <row r="9" ht="36" customHeight="1" s="25">
      <c r="A9" s="17" t="inlineStr">
        <is>
          <t>jama.2025.19843</t>
        </is>
      </c>
      <c r="B9" s="17" t="inlineStr">
        <is>
          <t>C_jama.2025.19843</t>
        </is>
      </c>
      <c r="C9" s="17" t="n">
        <v>7</v>
      </c>
    </row>
    <row r="10" ht="36" customHeight="1" s="25">
      <c r="A10" s="16" t="inlineStr">
        <is>
          <t>jama.2025.20765</t>
        </is>
      </c>
      <c r="B10" s="16" t="inlineStr">
        <is>
          <t>C_jama.2025.20765</t>
        </is>
      </c>
      <c r="C10" s="16" t="n">
        <v>19</v>
      </c>
    </row>
    <row r="11" ht="36" customHeight="1" s="25">
      <c r="A11" s="17" t="inlineStr">
        <is>
          <t>jama.2025.24175</t>
        </is>
      </c>
      <c r="B11" s="17" t="inlineStr">
        <is>
          <t>C_jama.2025.24175</t>
        </is>
      </c>
      <c r="C11" s="17" t="n">
        <v>14</v>
      </c>
    </row>
    <row r="12" ht="36" customHeight="1" s="25">
      <c r="A12" s="16" t="inlineStr">
        <is>
          <t>jama.2025.4390</t>
        </is>
      </c>
      <c r="B12" s="16" t="inlineStr">
        <is>
          <t>C_jama.2025.4390</t>
        </is>
      </c>
      <c r="C12" s="16" t="n">
        <v>13</v>
      </c>
    </row>
    <row r="13" ht="36" customHeight="1" s="25">
      <c r="A13" s="17" t="inlineStr">
        <is>
          <t>jama.2025.7583</t>
        </is>
      </c>
      <c r="B13" s="17" t="inlineStr">
        <is>
          <t>C_jama.2025.7583</t>
        </is>
      </c>
      <c r="C13" s="17" t="n">
        <v>4</v>
      </c>
    </row>
    <row r="14" ht="36" customHeight="1" s="25">
      <c r="A14" s="16" t="inlineStr">
        <is>
          <t>jama.2025.7710</t>
        </is>
      </c>
      <c r="B14" s="16" t="inlineStr">
        <is>
          <t>C_jama.2025.7710</t>
        </is>
      </c>
      <c r="C14" s="16" t="n">
        <v>3</v>
      </c>
    </row>
    <row r="15" ht="36" customHeight="1" s="25">
      <c r="A15" s="17" t="inlineStr">
        <is>
          <t>jama.2025.9110</t>
        </is>
      </c>
      <c r="B15" s="17" t="inlineStr">
        <is>
          <t>C_jama.2025.9110</t>
        </is>
      </c>
      <c r="C15" s="17" t="n">
        <v>3</v>
      </c>
    </row>
    <row r="16" ht="36" customHeight="1" s="25">
      <c r="A16" s="16" t="inlineStr">
        <is>
          <t>jama.2025.9663</t>
        </is>
      </c>
      <c r="B16" s="16" t="inlineStr">
        <is>
          <t>C_jama.2025.9663</t>
        </is>
      </c>
      <c r="C16" s="16" t="n">
        <v>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6"/>
  <sheetViews>
    <sheetView tabSelected="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Format="1"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Statistical_or_numerical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ht="92" customHeight="1" s="25">
      <c r="A2" s="20" t="inlineStr">
        <is>
          <t>2025::jama.2024.24764::C001</t>
        </is>
      </c>
      <c r="B2" s="20" t="inlineStr">
        <is>
          <t>Quality-of-life conclusion versus the day-7 index test</t>
        </is>
      </c>
      <c r="C2" s="20" t="inlineStr">
        <is>
          <t>REPORT jama_atherton_2025_oi_240145_1741627844.85412.pdf — main article abstract, PDF p. 1; REPORT jama_atherton_2025_oi_240145_1741627844.85412.pdf — main Secondary Outcomes, PDF p. 6; REPORT joi240145supp3_prod_1741627844.89412.pdf — results supplement eTable 3, day-7 index, later-time rows and interaction, PDF p. 4. Corroborating PLAN joi240145supp1_prod_1741627844.87412.pdf — SAP §§5.1–5.2, PDF p. 12.</t>
        </is>
      </c>
      <c r="D2" s="21" t="inlineStr">
        <is>
          <t>retain</t>
        </is>
      </c>
      <c r="E2" s="21" t="inlineStr">
        <is>
          <t>statistical_results</t>
        </is>
      </c>
      <c r="F2" s="21" t="inlineStr">
        <is>
          <t>primary_done</t>
        </is>
      </c>
      <c r="G2" s="20">
        <f>IFERROR(IF(LEN(TRIM(CLEAN(SUBSTITUTE(Setup!$B$2,CHAR(160)," "))))=0,"CHECK REVIEWER ID",IF(OR(A2="",COUNTIF($A$2:$A$6,A2)&lt;&gt;1,LEFT(A2,LEN("2025::jama.2024.24764::"))&lt;&gt;"2025::jama.2024.24764::"),"CHECK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
      </c>
      <c r="H2" s="21" t="inlineStr">
        <is>
          <t>confirmed_issue</t>
        </is>
      </c>
      <c r="I2" s="21" t="inlineStr">
        <is>
          <t>substantive</t>
        </is>
      </c>
      <c r="J2" s="22" t="inlineStr">
        <is>
          <t>possible</t>
        </is>
      </c>
      <c r="K2" s="21">
        <f>IF(AND(OR(D2="retain",D2=""),OR(E2="report_internal_inconsistency",E2="plan_material")),"","not_applicable")</f>
        <v/>
      </c>
      <c r="L2" s="22">
        <f>IF(AND(OR(D2="retain",D2=""),E2="protocol_report"),"","not_applicable")</f>
        <v/>
      </c>
      <c r="M2" s="20" t="n"/>
      <c r="N2" s="23" t="n"/>
      <c r="O2" s="23" t="n"/>
      <c r="P2" s="23" t="n"/>
      <c r="Q2" s="23" t="n"/>
      <c r="R2" s="22"/>
    </row>
    <row r="3" ht="92" customHeight="1" s="25">
      <c r="A3" s="24" t="inlineStr">
        <is>
          <t>2025::jama.2024.24764::C002</t>
        </is>
      </c>
      <c r="B3" s="24" t="inlineStr">
        <is>
          <t>Planned hospital-stay differences versus reported geometric ratios</t>
        </is>
      </c>
      <c r="C3" s="24" t="inlineStr">
        <is>
          <t>PLAN joi240145supp1_prod_1741627844.87412.pdf — SAP §9.2, PDF p. 15, joi240145supp1_prod_1741627844.87412.pdf — SAP §9.6, PDF p. 25, joi240145supp1_prod_1741627844.87412.pdf — SAP Appendix D7 shell, PDF p. 42; PLAN joi240145supp4_prod_1741627844.90412.pdf — protocol UK definition, PDF p. 24, joi240145supp4_prod_1741627844.90412.pdf — protocol §14.2.2, PDF p. 39; REPORT jama_atherton_2025_oi_240145_1741627844.85412.pdf — main abstract, PDF p. 1, jama_atherton_2025_oi_240145_1741627844.85412.pdf — Statistical Analysis, PDF p. 4, jama_atherton_2025_oi_240145_1741627844.85412.pdf — Secondary Outcomes, PDF p. 6, jama_atherton_2025_oi_240145_1741627844.85412.pdf — Table 3 UK/pooled rows and footnote c, PDF p. 8.</t>
        </is>
      </c>
      <c r="D3" s="21" t="inlineStr">
        <is>
          <t>retain</t>
        </is>
      </c>
      <c r="E3" s="21" t="inlineStr">
        <is>
          <t>protocol_report</t>
        </is>
      </c>
      <c r="F3" s="21" t="inlineStr">
        <is>
          <t>primary_done</t>
        </is>
      </c>
      <c r="G3" s="24">
        <f>IFERROR(IF(LEN(TRIM(CLEAN(SUBSTITUTE(Setup!$B$2,CHAR(160)," "))))=0,"CHECK REVIEWER ID",IF(OR(A3="",COUNTIF($A$2:$A$6,A3)&lt;&gt;1,LEFT(A3,LEN("2025::jama.2024.24764::"))&lt;&gt;"2025::jama.2024.24764::"),"CHECK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
      </c>
      <c r="H3" s="21">
        <f>IF(AND(OR(D3="retain",D3=""),E3="statistical_results"),"","not_applicable")</f>
        <v/>
      </c>
      <c r="I3" s="21">
        <f>IF(AND(OR(D3="retain",D3=""),E3="statistical_results"),"","not_applicable")</f>
        <v/>
      </c>
      <c r="J3" s="22">
        <f>IF(AND(OR(D3="retain",D3=""),E3="statistical_results"),"","not_applicable")</f>
        <v/>
      </c>
      <c r="K3" s="21">
        <f>IF(AND(OR(D3="retain",D3=""),OR(E3="report_internal_inconsistency",E3="plan_material")),"","not_applicable")</f>
        <v/>
      </c>
      <c r="L3" s="22" t="inlineStr">
        <is>
          <t>substantive_difference</t>
        </is>
      </c>
      <c r="M3" s="24" t="n"/>
      <c r="N3" s="23" t="n"/>
      <c r="O3" s="23" t="n"/>
      <c r="P3" s="23" t="n"/>
      <c r="Q3" s="23" t="n"/>
      <c r="R3" s="22"/>
    </row>
    <row r="4" ht="92" customHeight="1" s="25">
      <c r="A4" s="20" t="inlineStr">
        <is>
          <t>2025::jama.2024.24764::C003</t>
        </is>
      </c>
      <c r="B4" s="20" t="inlineStr">
        <is>
          <t>Reported predicted-survival exclusion versus supplied eligibility criteria</t>
        </is>
      </c>
      <c r="C4" s="20" t="inlineStr">
        <is>
          <t>REPORT jama_atherton_2025_oi_240145_1741627844.85412.pdf — main Eligibility Criteria, PDF p. 2 and jama_atherton_2025_oi_240145_1741627844.85412.pdf — mortality interpretation, PDF p. 10; PLAN joi240145supp4_prod_1741627844.90412.pdf — protocol §§5.1–5.2, PDF p. 17, joi240145supp4_prod_1741627844.90412.pdf — Key Eligibility Criteria summary, PDF p. 8, and joi240145supp4_prod_1741627844.90412.pdf — amendment context, PDF p. 2.</t>
        </is>
      </c>
      <c r="D4" s="21" t="inlineStr">
        <is>
          <t>retain</t>
        </is>
      </c>
      <c r="E4" s="21" t="inlineStr">
        <is>
          <t>protocol_report</t>
        </is>
      </c>
      <c r="F4" s="21" t="inlineStr">
        <is>
          <t>primary_done</t>
        </is>
      </c>
      <c r="G4" s="20">
        <f>IFERROR(IF(LEN(TRIM(CLEAN(SUBSTITUTE(Setup!$B$2,CHAR(160)," "))))=0,"CHECK REVIEWER ID",IF(OR(A4="",COUNTIF($A$2:$A$6,A4)&lt;&gt;1,LEFT(A4,LEN("2025::jama.2024.24764::"))&lt;&gt;"2025::jama.2024.24764::"),"CHECK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
      </c>
      <c r="H4" s="21">
        <f>IF(AND(OR(D4="retain",D4=""),E4="statistical_results"),"","not_applicable")</f>
        <v/>
      </c>
      <c r="I4" s="21">
        <f>IF(AND(OR(D4="retain",D4=""),E4="statistical_results"),"","not_applicable")</f>
        <v/>
      </c>
      <c r="J4" s="22">
        <f>IF(AND(OR(D4="retain",D4=""),E4="statistical_results"),"","not_applicable")</f>
        <v/>
      </c>
      <c r="K4" s="21">
        <f>IF(AND(OR(D4="retain",D4=""),OR(E4="report_internal_inconsistency",E4="plan_material")),"","not_applicable")</f>
        <v/>
      </c>
      <c r="L4" s="22" t="inlineStr">
        <is>
          <t>substantive_difference</t>
        </is>
      </c>
      <c r="M4" s="20" t="n"/>
      <c r="N4" s="23" t="n"/>
      <c r="O4" s="23" t="n"/>
      <c r="P4" s="23" t="n"/>
      <c r="Q4" s="23" t="n"/>
      <c r="R4" s="22"/>
    </row>
    <row r="5" ht="92" customHeight="1" s="25">
      <c r="A5" s="24" t="inlineStr">
        <is>
          <t>2025::jama.2024.24764::C004</t>
        </is>
      </c>
      <c r="B5" s="24" t="inlineStr">
        <is>
          <t>Unstructured versus independent quality-of-life covariance</t>
        </is>
      </c>
      <c r="C5" s="24" t="inlineStr">
        <is>
          <t>PLAN joi240145supp1_prod_1741627844.87412.pdf — SAP §9.6 SF-12 and EQ-5D paragraphs, PDF p. 26; REPORT jama_atherton_2025_oi_240145_1741627844.85412.pdf — main Statistical Analysis, PDF p. 4; affected REPORT jama_atherton_2025_oi_240145_1741627844.85412.pdf — main Table 3 day-30 SF-12 rows, PDF p. 8, joi240145supp3_prod_1741627844.89412.pdf — results eTable 2, all PCS/MCS rows and interactions, PDF p. 3, joi240145supp3_prod_1741627844.89412.pdf — results eTable 3 index rows/interaction, PDF p. 4, and joi240145supp3_prod_1741627844.89412.pdf — results eTable 4 health rows/interaction, PDF p. 4.</t>
        </is>
      </c>
      <c r="D5" s="21" t="inlineStr">
        <is>
          <t>retain</t>
        </is>
      </c>
      <c r="E5" s="21" t="inlineStr">
        <is>
          <t>protocol_report</t>
        </is>
      </c>
      <c r="F5" s="21" t="inlineStr">
        <is>
          <t>primary_done</t>
        </is>
      </c>
      <c r="G5" s="24">
        <f>IFERROR(IF(LEN(TRIM(CLEAN(SUBSTITUTE(Setup!$B$2,CHAR(160)," "))))=0,"CHECK REVIEWER ID",IF(OR(A5="",COUNTIF($A$2:$A$6,A5)&lt;&gt;1,LEFT(A5,LEN("2025::jama.2024.24764::"))&lt;&gt;"2025::jama.2024.24764::"),"CHECK KEY",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NOT(OR(EXACT(D5,"retain"),EXACT(D5,"exclude"),EXACT(D5,"discuss"))),NOT(OR(EXACT(E5,"statistical_results"),EXACT(E5,"report_internal_inconsistency"),EXACT(E5,"plan_material"),EXACT(E5,"protocol_report"))),AND(AND(D5="retain",E5="statistical_results"),NOT(OR(EXACT(H5,"confirmed_issue"),EXACT(H5,"probable_issue"),EXACT(H5,"not_issue"),EXACT(H5,"indeterminate")))),AND(AND(D5="retain",E5="statistical_results"),NOT(OR(EXACT(I5,"substantive"),EXACT(I5,"minor_presentation"),EXACT(I5,"indeterminate")))),AND(AND(D5="retain",E5="statistical_results"),J5&lt;&gt;"",NOT(OR(EXACT(J5,"direct"),EXACT(J5,"possible"),EXACT(J5,"unlikely"),EXACT(J5,"unknown")))),AND(AND(D5="retain",OR(E5="report_internal_inconsistency",E5="plan_material")),NOT(OR(EXACT(K5,"substantive_inconsistency"),EXACT(K5,"minor_presentation"),EXACT(K5,"non_inconsistency"),EXACT(K5,"indeterminate")))),AND(AND(D5="retain",E5="protocol_report"),L5&lt;&gt;"",NOT(OR(EXACT(L5,"substantive_difference"),EXACT(L5,"minor_presentation"),EXACT(L5,"version_timing"),EXACT(L5,"non_inconsistency"),EXACT(L5,"indeterminate"))))),"CHECK FIELDS",IF(AND(F5&lt;&gt;"",NOT(OR(EXACT(F5,"no"),EXACT(F5,"primary_done")))),"CHECK COMPLETE",IF(EXACT(F5,"primary_done"),"PRIMARY READY","PRIMARY DRAFT")))))),"CHECK INPUT / KEY")</f>
        <v/>
      </c>
      <c r="H5" s="21">
        <f>IF(AND(OR(D5="retain",D5=""),E5="statistical_results"),"","not_applicable")</f>
        <v/>
      </c>
      <c r="I5" s="21">
        <f>IF(AND(OR(D5="retain",D5=""),E5="statistical_results"),"","not_applicable")</f>
        <v/>
      </c>
      <c r="J5" s="22">
        <f>IF(AND(OR(D5="retain",D5=""),E5="statistical_results"),"","not_applicable")</f>
        <v/>
      </c>
      <c r="K5" s="21">
        <f>IF(AND(OR(D5="retain",D5=""),OR(E5="report_internal_inconsistency",E5="plan_material")),"","not_applicable")</f>
        <v/>
      </c>
      <c r="L5" s="22" t="inlineStr">
        <is>
          <t>substantive_difference</t>
        </is>
      </c>
      <c r="M5" s="24" t="n"/>
      <c r="N5" s="23" t="n"/>
      <c r="O5" s="23" t="n"/>
      <c r="P5" s="23" t="n"/>
      <c r="Q5" s="23" t="n"/>
      <c r="R5" s="22"/>
    </row>
    <row r="6" ht="92" customHeight="1" s="25">
      <c r="A6" s="20" t="inlineStr">
        <is>
          <t>2025::jama.2024.24764::C005</t>
        </is>
      </c>
      <c r="B6" s="20" t="inlineStr">
        <is>
          <t>SAP fixed-participant parameterization and adjusted contrasts</t>
        </is>
      </c>
      <c r="C6" s="20" t="inlineStr">
        <is>
          <t>PLAN joi240145supp1_prod_1741627844.87412.pdf — SAP §9.6 SF-12 fixed-parameter declaration, PDF p. 26; PLAN joi240145supp1_prod_1741627844.87412.pdf — same paragraph's assessment-time, baseline adjustment and time-specific contrast declarations, PDF p. 26; inherited PLAN joi240145supp1_prod_1741627844.87412.pdf — EQ-5D index/health methods paragraph, PDF p. 26. No REPORT location is a conflicting party.</t>
        </is>
      </c>
      <c r="D6" s="21" t="inlineStr">
        <is>
          <t>retain</t>
        </is>
      </c>
      <c r="E6" s="21" t="inlineStr">
        <is>
          <t>plan_material</t>
        </is>
      </c>
      <c r="F6" s="21" t="inlineStr">
        <is>
          <t>primary_done</t>
        </is>
      </c>
      <c r="G6" s="20">
        <f>IFERROR(IF(LEN(TRIM(CLEAN(SUBSTITUTE(Setup!$B$2,CHAR(160)," "))))=0,"CHECK REVIEWER ID",IF(OR(A6="",COUNTIF($A$2:$A$6,A6)&lt;&gt;1,LEFT(A6,LEN("2025::jama.2024.24764::"))&lt;&gt;"2025::jama.2024.24764::"),"CHECK KEY",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NOT(OR(EXACT(D6,"retain"),EXACT(D6,"exclude"),EXACT(D6,"discuss"))),NOT(OR(EXACT(E6,"statistical_results"),EXACT(E6,"report_internal_inconsistency"),EXACT(E6,"plan_material"),EXACT(E6,"protocol_report"))),AND(AND(D6="retain",E6="statistical_results"),NOT(OR(EXACT(H6,"confirmed_issue"),EXACT(H6,"probable_issue"),EXACT(H6,"not_issue"),EXACT(H6,"indeterminate")))),AND(AND(D6="retain",E6="statistical_results"),NOT(OR(EXACT(I6,"substantive"),EXACT(I6,"minor_presentation"),EXACT(I6,"indeterminate")))),AND(AND(D6="retain",E6="statistical_results"),J6&lt;&gt;"",NOT(OR(EXACT(J6,"direct"),EXACT(J6,"possible"),EXACT(J6,"unlikely"),EXACT(J6,"unknown")))),AND(AND(D6="retain",OR(E6="report_internal_inconsistency",E6="plan_material")),NOT(OR(EXACT(K6,"substantive_inconsistency"),EXACT(K6,"minor_presentation"),EXACT(K6,"non_inconsistency"),EXACT(K6,"indeterminate")))),AND(AND(D6="retain",E6="protocol_report"),L6&lt;&gt;"",NOT(OR(EXACT(L6,"substantive_difference"),EXACT(L6,"minor_presentation"),EXACT(L6,"version_timing"),EXACT(L6,"non_inconsistency"),EXACT(L6,"indeterminate"))))),"CHECK FIELDS",IF(AND(F6&lt;&gt;"",NOT(OR(EXACT(F6,"no"),EXACT(F6,"primary_done")))),"CHECK COMPLETE",IF(EXACT(F6,"primary_done"),"PRIMARY READY","PRIMARY DRAFT")))))),"CHECK INPUT / KEY")</f>
        <v/>
      </c>
      <c r="H6" s="21">
        <f>IF(AND(OR(D6="retain",D6=""),E6="statistical_results"),"","not_applicable")</f>
        <v/>
      </c>
      <c r="I6" s="21">
        <f>IF(AND(OR(D6="retain",D6=""),E6="statistical_results"),"","not_applicable")</f>
        <v/>
      </c>
      <c r="J6" s="22">
        <f>IF(AND(OR(D6="retain",D6=""),E6="statistical_results"),"","not_applicable")</f>
        <v/>
      </c>
      <c r="K6" s="21" t="inlineStr">
        <is>
          <t>minor_presentation</t>
        </is>
      </c>
      <c r="L6" s="22">
        <f>IF(AND(OR(D6="retain",D6=""),E6="protocol_report"),"","not_applicable")</f>
        <v/>
      </c>
      <c r="M6" s="20" t="n"/>
      <c r="N6" s="23" t="n"/>
      <c r="O6" s="23" t="n"/>
      <c r="P6" s="23" t="n"/>
      <c r="Q6" s="23" t="n"/>
      <c r="R6" s="22"/>
    </row>
  </sheetData>
  <autoFilter ref="A1:R6"/>
  <conditionalFormatting sqref="H2:H6">
    <cfRule type="expression" priority="8" dxfId="70">
      <formula>NOT(AND(OR($D2="retain",$D2=""),$E2="statistical_results"))</formula>
    </cfRule>
  </conditionalFormatting>
  <conditionalFormatting sqref="I2:I6">
    <cfRule type="expression" priority="9" dxfId="70">
      <formula>NOT(AND(OR($D2="retain",$D2=""),$E2="statistical_results"))</formula>
    </cfRule>
  </conditionalFormatting>
  <conditionalFormatting sqref="J2:J6">
    <cfRule type="expression" priority="10" dxfId="70">
      <formula>NOT(AND(OR($D2="retain",$D2=""),$E2="statistical_results"))</formula>
    </cfRule>
  </conditionalFormatting>
  <conditionalFormatting sqref="K2:K6">
    <cfRule type="expression" priority="11" dxfId="70">
      <formula>NOT(AND(OR($D2="retain",$D2=""),OR($E2="report_internal_inconsistency",$E2="plan_material")))</formula>
    </cfRule>
  </conditionalFormatting>
  <conditionalFormatting sqref="L2:L6">
    <cfRule type="expression" priority="12" dxfId="70">
      <formula>NOT(AND(OR($D2="retain",$D2=""),$E2="protocol_report"))</formula>
    </cfRule>
  </conditionalFormatting>
  <conditionalFormatting sqref="G2:G6">
    <cfRule type="expression" priority="13" dxfId="71">
      <formula>G2&lt;&gt;"PRIMARY READY"</formula>
    </cfRule>
  </conditionalFormatting>
  <dataValidations count="8">
    <dataValidation sqref="D2:D6" showDropDown="0" showInputMessage="0" showErrorMessage="1" allowBlank="1" errorTitle="Use a listed option" error="Choose an option; G also checks pasted entries." type="list" errorStyle="stop">
      <formula1>"retain,exclude,discuss"</formula1>
    </dataValidation>
    <dataValidation sqref="E2:E6" showDropDown="0" showInputMessage="0" showErrorMessage="1" allowBlank="1" errorTitle="Use a listed option" error="Choose an option; G also checks pasted entries." type="list" errorStyle="stop">
      <formula1>"statistical_results,report_internal_inconsistency,plan_material,protocol_report"</formula1>
    </dataValidation>
    <dataValidation sqref="F2:F6" showDropDown="0" showInputMessage="0" showErrorMessage="1" allowBlank="1" errorTitle="Use a listed option" error="Choose an option; G also checks pasted entries." type="list" errorStyle="stop">
      <formula1>"no,primary_done"</formula1>
    </dataValidation>
    <dataValidation sqref="H2:H6" showDropDown="0" showInputMessage="0" showErrorMessage="1" allowBlank="1" errorTitle="Use a listed option" error="Choose an option; G also checks pasted entries." type="list" errorStyle="stop">
      <formula1>"confirmed_issue,probable_issue,not_issue,indeterminate,not_applicable"</formula1>
    </dataValidation>
    <dataValidation sqref="I2:I6" showDropDown="0" showInputMessage="0" showErrorMessage="1" allowBlank="1" errorTitle="Use a listed option" error="Choose an option; G also checks pasted entries." type="list" errorStyle="stop">
      <formula1>"substantive,minor_presentation,indeterminate,not_applicable"</formula1>
    </dataValidation>
    <dataValidation sqref="J2:J6" showDropDown="0" showInputMessage="0" showErrorMessage="1" allowBlank="1" errorTitle="Use a listed option" error="Choose an option; G also checks pasted entries." type="list" errorStyle="stop">
      <formula1>"direct,possible,unlikely,unknown,not_applicable"</formula1>
    </dataValidation>
    <dataValidation sqref="K2:K6" showDropDown="0" showInputMessage="0" showErrorMessage="1" allowBlank="1" errorTitle="Use a listed option" error="Choose an option; G also checks pasted entries." type="list" errorStyle="stop">
      <formula1>"substantive_inconsistency,minor_presentation,non_inconsistency,indeterminate,not_applicable"</formula1>
    </dataValidation>
    <dataValidation sqref="L2:L6" showDropDown="0" showInputMessage="0" showErrorMessage="1" allowBlank="1" errorTitle="Use a listed option" error="Choose an option; G also checks pasted entries." type="list" errorStyle="stop">
      <formula1>"substantive_difference,minor_presentation,version_timing,non_inconsistency,indeterminate,not_applicable"</formula1>
    </dataValidation>
  </dataValidation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R17"/>
  <sheetViews>
    <sheetView tabSelected="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Format="1"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Statistical_or_numerical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ht="92" customHeight="1" s="25">
      <c r="A2" s="20" t="inlineStr">
        <is>
          <t>2025::jama.2024.27643::C001</t>
        </is>
      </c>
      <c r="B2" s="20" t="inlineStr">
        <is>
          <t>Muscle-strength outcome status</t>
        </is>
      </c>
      <c r="C2" s="20" t="inlineStr">
        <is>
          <t>Physical PDF pages; PLAN/REPORT roles are stated above and within the evidence. joi240158supp1_prod_1742927563.7611.pdf — PDF p. 112; joi240158supp1_prod_1742927563.7611.pdf — PDF p. 184; joi240158supp2_prod_1742927563.7711.pdf — PDF p. 76; joi240158supp2_prod_1742927563.7711.pdf — PDF p. 77; joi240158supp2_prod_1742927563.7711.pdf — PDF p. 78; joi240158supp2_prod_1742927563.7711.pdf — PDF p. 109; joi240158supp2_prod_1742927563.7711.pdf — PDF p. 110; joi240158supp2_prod_1742927563.7711.pdf — PDF p. 111; joi240158supp2_prod_1742927563.7711.pdf — PDF p. 112; jama_berry_2025_oi_240158_1742927563.7361.pdf — PDF p. 3; joi240158supp3_prod_1742927563.7911.pdf — PDF p. 5; joi240158supp3_prod_1742927563.7911.pdf — PDF p. 6; joi240158supp2_prod_1742927563.7711.pdf — PDF p. 104</t>
        </is>
      </c>
      <c r="D2" s="21" t="inlineStr">
        <is>
          <t>retain</t>
        </is>
      </c>
      <c r="E2" s="21" t="inlineStr">
        <is>
          <t>protocol_report</t>
        </is>
      </c>
      <c r="F2" s="21" t="inlineStr">
        <is>
          <t>primary_done</t>
        </is>
      </c>
      <c r="G2" s="20">
        <f>IFERROR(IF(LEN(TRIM(CLEAN(SUBSTITUTE(Setup!$B$2,CHAR(160)," "))))=0,"CHECK REVIEWER ID",IF(OR(A2="",COUNTIF($A$2:$A$17,A2)&lt;&gt;1,LEFT(A2,LEN("2025::jama.2024.27643::"))&lt;&gt;"2025::jama.2024.27643::"),"CHECK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
      </c>
      <c r="H2" s="21">
        <f>IF(AND(OR(D2="retain",D2=""),E2="statistical_results"),"","not_applicable")</f>
        <v/>
      </c>
      <c r="I2" s="21">
        <f>IF(AND(OR(D2="retain",D2=""),E2="statistical_results"),"","not_applicable")</f>
        <v/>
      </c>
      <c r="J2" s="22">
        <f>IF(AND(OR(D2="retain",D2=""),E2="statistical_results"),"","not_applicable")</f>
        <v/>
      </c>
      <c r="K2" s="21">
        <f>IF(AND(OR(D2="retain",D2=""),OR(E2="report_internal_inconsistency",E2="plan_material")),"","not_applicable")</f>
        <v/>
      </c>
      <c r="L2" s="22" t="inlineStr">
        <is>
          <t>substantive_difference</t>
        </is>
      </c>
      <c r="M2" s="20" t="n"/>
      <c r="N2" s="23" t="n"/>
      <c r="O2" s="23" t="n"/>
      <c r="P2" s="23" t="n"/>
      <c r="Q2" s="23" t="n"/>
      <c r="R2" s="22"/>
    </row>
    <row r="3" ht="92" customHeight="1" s="25">
      <c r="A3" s="24" t="inlineStr">
        <is>
          <t>2025::jama.2024.27643::C002</t>
        </is>
      </c>
      <c r="B3" s="24" t="inlineStr">
        <is>
          <t>Plasma NfL prespecification</t>
        </is>
      </c>
      <c r="C3" s="24" t="inlineStr">
        <is>
          <t>Physical PDF pages; PLAN/REPORT roles are stated above and within the evidence. jama_berry_2025_oi_240158_1742927563.7361.pdf — PDF p. 3; joi240158supp3_prod_1742927563.7911.pdf — PDF p. 6; joi240158supp3_prod_1742927563.7911.pdf — PDF p. 11; joi240158supp2_prod_1742927563.7711.pdf — PDF p. 110; joi240158supp2_prod_1742927563.7711.pdf — PDF p. 112; joi240158supp2_prod_1742927563.7711.pdf — PDF p. 127; joi240158supp2_prod_1742927563.7711.pdf — PDF p. 114; jama_berry_2025_oi_240158_1742927563.7361.pdf — PDF p. 8; joi240158supp3_prod_1742927563.7911.pdf — PDF p. 17</t>
        </is>
      </c>
      <c r="D3" s="21" t="inlineStr">
        <is>
          <t>retain</t>
        </is>
      </c>
      <c r="E3" s="21" t="inlineStr">
        <is>
          <t>protocol_report</t>
        </is>
      </c>
      <c r="F3" s="21" t="inlineStr">
        <is>
          <t>primary_done</t>
        </is>
      </c>
      <c r="G3" s="24">
        <f>IFERROR(IF(LEN(TRIM(CLEAN(SUBSTITUTE(Setup!$B$2,CHAR(160)," "))))=0,"CHECK REVIEWER ID",IF(OR(A3="",COUNTIF($A$2:$A$17,A3)&lt;&gt;1,LEFT(A3,LEN("2025::jama.2024.27643::"))&lt;&gt;"2025::jama.2024.27643::"),"CHECK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
      </c>
      <c r="H3" s="21">
        <f>IF(AND(OR(D3="retain",D3=""),E3="statistical_results"),"","not_applicable")</f>
        <v/>
      </c>
      <c r="I3" s="21">
        <f>IF(AND(OR(D3="retain",D3=""),E3="statistical_results"),"","not_applicable")</f>
        <v/>
      </c>
      <c r="J3" s="22">
        <f>IF(AND(OR(D3="retain",D3=""),E3="statistical_results"),"","not_applicable")</f>
        <v/>
      </c>
      <c r="K3" s="21">
        <f>IF(AND(OR(D3="retain",D3=""),OR(E3="report_internal_inconsistency",E3="plan_material")),"","not_applicable")</f>
        <v/>
      </c>
      <c r="L3" s="22" t="inlineStr">
        <is>
          <t>substantive_difference</t>
        </is>
      </c>
      <c r="M3" s="24" t="n"/>
      <c r="N3" s="23" t="n"/>
      <c r="O3" s="23" t="n"/>
      <c r="P3" s="23" t="n"/>
      <c r="Q3" s="23" t="n"/>
      <c r="R3" s="22"/>
    </row>
    <row r="4" ht="92" customHeight="1" s="25">
      <c r="A4" s="20" t="inlineStr">
        <is>
          <t>2025::jama.2024.27643::C003</t>
        </is>
      </c>
      <c r="B4" s="20" t="inlineStr">
        <is>
          <t>Unreported named planned primary/key-secondary analyses</t>
        </is>
      </c>
      <c r="C4" s="20" t="inlineStr">
        <is>
          <t>Physical PDF pages; PLAN/REPORT roles are stated above and within the evidence. joi240158supp2_prod_1742927563.7711.pdf — PDF p. 116; joi240158supp2_prod_1742927563.7711.pdf — PDF p. 117; jama_berry_2025_oi_240158_1742927563.7361.pdf — PDF p. 4; joi240158supp3_prod_1742927563.7911.pdf — PDF p. 15; joi240158supp3_prod_1742927563.7911.pdf — PDF p. 9; joi240158supp2_prod_1742927563.7711.pdf — PDF p. 119; jama_berry_2025_oi_240158_1742927563.7361.pdf — PDF p. 3; joi240158supp3_prod_1742927563.7911.pdf — PDF p. 10; joi240158supp3_prod_1742927563.7911.pdf — PDF p. 16; joi240158supp3_prod_1742927563.7911.pdf — PDF p. 17; joi240158supp2_prod_1742927563.7711.pdf — PDF p. 125; jama_berry_2025_oi_240158_1742927563.7361.pdf — PDF p. 8; joi240158supp2_prod_1742927563.7711.pdf — PDF p. 113; joi240158supp2_prod_1742927563.7711.pdf — PDF p. 121; jama_berry_2025_oi_240158_1742927563.7361.pdf — PDF p. 7; joi240158supp3_prod_1742927563.7911.pdf — PDF p. 12; joi240158supp2_prod_1742927563.7711.pdf — PDF p. 126; joi240158supp3_prod_1742927563.7911.pdf — PDF p. 13; joi240158supp3_prod_1742927563.7911.pdf — PDF p. 18; joi240158supp3_prod_1742927563.7911.pdf — PDF p. 19; joi240158supp3_prod_1742927563.7911.pdf — PDF p. 20; joi240158supp3_prod_1742927563.7911.pdf — PDF p. 25; joi240158supp3_prod_1742927563.7911.pdf — PDF p. 1</t>
        </is>
      </c>
      <c r="D4" s="21" t="inlineStr">
        <is>
          <t>retain</t>
        </is>
      </c>
      <c r="E4" s="21" t="inlineStr">
        <is>
          <t>protocol_report</t>
        </is>
      </c>
      <c r="F4" s="21" t="inlineStr">
        <is>
          <t>primary_done</t>
        </is>
      </c>
      <c r="G4" s="20">
        <f>IFERROR(IF(LEN(TRIM(CLEAN(SUBSTITUTE(Setup!$B$2,CHAR(160)," "))))=0,"CHECK REVIEWER ID",IF(OR(A4="",COUNTIF($A$2:$A$17,A4)&lt;&gt;1,LEFT(A4,LEN("2025::jama.2024.27643::"))&lt;&gt;"2025::jama.2024.27643::"),"CHECK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
      </c>
      <c r="H4" s="21">
        <f>IF(AND(OR(D4="retain",D4=""),E4="statistical_results"),"","not_applicable")</f>
        <v/>
      </c>
      <c r="I4" s="21">
        <f>IF(AND(OR(D4="retain",D4=""),E4="statistical_results"),"","not_applicable")</f>
        <v/>
      </c>
      <c r="J4" s="22">
        <f>IF(AND(OR(D4="retain",D4=""),E4="statistical_results"),"","not_applicable")</f>
        <v/>
      </c>
      <c r="K4" s="21">
        <f>IF(AND(OR(D4="retain",D4=""),OR(E4="report_internal_inconsistency",E4="plan_material")),"","not_applicable")</f>
        <v/>
      </c>
      <c r="L4" s="22" t="inlineStr">
        <is>
          <t>substantive_difference</t>
        </is>
      </c>
      <c r="M4" s="20" t="n"/>
      <c r="N4" s="23" t="n"/>
      <c r="O4" s="23" t="n"/>
      <c r="P4" s="23" t="n"/>
      <c r="Q4" s="23" t="n"/>
      <c r="R4" s="22"/>
    </row>
    <row r="5" ht="92" customHeight="1" s="25">
      <c r="A5" s="24" t="inlineStr">
        <is>
          <t>2025::jama.2024.27643::C004</t>
        </is>
      </c>
      <c r="B5" s="24" t="inlineStr">
        <is>
          <t>Adjusted planned CAFS versus reported Wilcoxon</t>
        </is>
      </c>
      <c r="C5" s="24" t="inlineStr">
        <is>
          <t>Physical PDF pages; PLAN/REPORT roles are stated above and within the evidence. joi240158supp2_prod_1742927563.7711.pdf — PDF p. 118; joi240158supp2_prod_1742927563.7711.pdf — PDF p. 119; jama_berry_2025_oi_240158_1742927563.7361.pdf — PDF p. 3; jama_berry_2025_oi_240158_1742927563.7361.pdf — PDF p. 4; joi240158supp3_prod_1742927563.7911.pdf — PDF p. 9; joi240158supp2_prod_1742927563.7711.pdf — PDF p. 84; joi240158supp2_prod_1742927563.7711.pdf — PDF p. 97</t>
        </is>
      </c>
      <c r="D5" s="21" t="inlineStr">
        <is>
          <t>retain</t>
        </is>
      </c>
      <c r="E5" s="21" t="inlineStr">
        <is>
          <t>protocol_report</t>
        </is>
      </c>
      <c r="F5" s="21" t="inlineStr">
        <is>
          <t>primary_done</t>
        </is>
      </c>
      <c r="G5" s="24">
        <f>IFERROR(IF(LEN(TRIM(CLEAN(SUBSTITUTE(Setup!$B$2,CHAR(160)," "))))=0,"CHECK REVIEWER ID",IF(OR(A5="",COUNTIF($A$2:$A$17,A5)&lt;&gt;1,LEFT(A5,LEN("2025::jama.2024.27643::"))&lt;&gt;"2025::jama.2024.27643::"),"CHECK KEY",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NOT(OR(EXACT(D5,"retain"),EXACT(D5,"exclude"),EXACT(D5,"discuss"))),NOT(OR(EXACT(E5,"statistical_results"),EXACT(E5,"report_internal_inconsistency"),EXACT(E5,"plan_material"),EXACT(E5,"protocol_report"))),AND(AND(D5="retain",E5="statistical_results"),NOT(OR(EXACT(H5,"confirmed_issue"),EXACT(H5,"probable_issue"),EXACT(H5,"not_issue"),EXACT(H5,"indeterminate")))),AND(AND(D5="retain",E5="statistical_results"),NOT(OR(EXACT(I5,"substantive"),EXACT(I5,"minor_presentation"),EXACT(I5,"indeterminate")))),AND(AND(D5="retain",E5="statistical_results"),J5&lt;&gt;"",NOT(OR(EXACT(J5,"direct"),EXACT(J5,"possible"),EXACT(J5,"unlikely"),EXACT(J5,"unknown")))),AND(AND(D5="retain",OR(E5="report_internal_inconsistency",E5="plan_material")),NOT(OR(EXACT(K5,"substantive_inconsistency"),EXACT(K5,"minor_presentation"),EXACT(K5,"non_inconsistency"),EXACT(K5,"indeterminate")))),AND(AND(D5="retain",E5="protocol_report"),L5&lt;&gt;"",NOT(OR(EXACT(L5,"substantive_difference"),EXACT(L5,"minor_presentation"),EXACT(L5,"version_timing"),EXACT(L5,"non_inconsistency"),EXACT(L5,"indeterminate"))))),"CHECK FIELDS",IF(AND(F5&lt;&gt;"",NOT(OR(EXACT(F5,"no"),EXACT(F5,"primary_done")))),"CHECK COMPLETE",IF(EXACT(F5,"primary_done"),"PRIMARY READY","PRIMARY DRAFT")))))),"CHECK INPUT / KEY")</f>
        <v/>
      </c>
      <c r="H5" s="21">
        <f>IF(AND(OR(D5="retain",D5=""),E5="statistical_results"),"","not_applicable")</f>
        <v/>
      </c>
      <c r="I5" s="21">
        <f>IF(AND(OR(D5="retain",D5=""),E5="statistical_results"),"","not_applicable")</f>
        <v/>
      </c>
      <c r="J5" s="22">
        <f>IF(AND(OR(D5="retain",D5=""),E5="statistical_results"),"","not_applicable")</f>
        <v/>
      </c>
      <c r="K5" s="21">
        <f>IF(AND(OR(D5="retain",D5=""),OR(E5="report_internal_inconsistency",E5="plan_material")),"","not_applicable")</f>
        <v/>
      </c>
      <c r="L5" s="22" t="inlineStr">
        <is>
          <t>version_timing</t>
        </is>
      </c>
      <c r="M5" s="24" t="n"/>
      <c r="N5" s="23" t="n"/>
      <c r="O5" s="23" t="n"/>
      <c r="P5" s="23" t="n"/>
      <c r="Q5" s="23" t="n"/>
      <c r="R5" s="22"/>
    </row>
    <row r="6" ht="92" customHeight="1" s="25">
      <c r="A6" s="20" t="inlineStr">
        <is>
          <t>2025::jama.2024.27643::C005</t>
        </is>
      </c>
      <c r="B6" s="20" t="inlineStr">
        <is>
          <t>Planned survival logrank result</t>
        </is>
      </c>
      <c r="C6" s="20" t="inlineStr">
        <is>
          <t>Physical PDF pages; PLAN/REPORT roles are stated above and within the evidence. joi240158supp2_prod_1742927563.7711.pdf — PDF p. 117; joi240158supp2_prod_1742927563.7711.pdf — PDF p. 121; joi240158supp2_prod_1742927563.7711.pdf — PDF p. 85; joi240158supp2_prod_1742927563.7711.pdf — PDF p. 86; jama_berry_2025_oi_240158_1742927563.7361.pdf — PDF p. 3; jama_berry_2025_oi_240158_1742927563.7361.pdf — PDF p. 4; jama_berry_2025_oi_240158_1742927563.7361.pdf — PDF p. 7; joi240158supp3_prod_1742927563.7911.pdf — PDF p. 10; joi240158supp2_prod_1742927563.7711.pdf — PDF p. 118</t>
        </is>
      </c>
      <c r="D6" s="21" t="inlineStr">
        <is>
          <t>retain</t>
        </is>
      </c>
      <c r="E6" s="21" t="inlineStr">
        <is>
          <t>protocol_report</t>
        </is>
      </c>
      <c r="F6" s="21" t="inlineStr">
        <is>
          <t>primary_done</t>
        </is>
      </c>
      <c r="G6" s="20">
        <f>IFERROR(IF(LEN(TRIM(CLEAN(SUBSTITUTE(Setup!$B$2,CHAR(160)," "))))=0,"CHECK REVIEWER ID",IF(OR(A6="",COUNTIF($A$2:$A$17,A6)&lt;&gt;1,LEFT(A6,LEN("2025::jama.2024.27643::"))&lt;&gt;"2025::jama.2024.27643::"),"CHECK KEY",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NOT(OR(EXACT(D6,"retain"),EXACT(D6,"exclude"),EXACT(D6,"discuss"))),NOT(OR(EXACT(E6,"statistical_results"),EXACT(E6,"report_internal_inconsistency"),EXACT(E6,"plan_material"),EXACT(E6,"protocol_report"))),AND(AND(D6="retain",E6="statistical_results"),NOT(OR(EXACT(H6,"confirmed_issue"),EXACT(H6,"probable_issue"),EXACT(H6,"not_issue"),EXACT(H6,"indeterminate")))),AND(AND(D6="retain",E6="statistical_results"),NOT(OR(EXACT(I6,"substantive"),EXACT(I6,"minor_presentation"),EXACT(I6,"indeterminate")))),AND(AND(D6="retain",E6="statistical_results"),J6&lt;&gt;"",NOT(OR(EXACT(J6,"direct"),EXACT(J6,"possible"),EXACT(J6,"unlikely"),EXACT(J6,"unknown")))),AND(AND(D6="retain",OR(E6="report_internal_inconsistency",E6="plan_material")),NOT(OR(EXACT(K6,"substantive_inconsistency"),EXACT(K6,"minor_presentation"),EXACT(K6,"non_inconsistency"),EXACT(K6,"indeterminate")))),AND(AND(D6="retain",E6="protocol_report"),L6&lt;&gt;"",NOT(OR(EXACT(L6,"substantive_difference"),EXACT(L6,"minor_presentation"),EXACT(L6,"version_timing"),EXACT(L6,"non_inconsistency"),EXACT(L6,"indeterminate"))))),"CHECK FIELDS",IF(AND(F6&lt;&gt;"",NOT(OR(EXACT(F6,"no"),EXACT(F6,"primary_done")))),"CHECK COMPLETE",IF(EXACT(F6,"primary_done"),"PRIMARY READY","PRIMARY DRAFT")))))),"CHECK INPUT / KEY")</f>
        <v/>
      </c>
      <c r="H6" s="21">
        <f>IF(AND(OR(D6="retain",D6=""),E6="statistical_results"),"","not_applicable")</f>
        <v/>
      </c>
      <c r="I6" s="21">
        <f>IF(AND(OR(D6="retain",D6=""),E6="statistical_results"),"","not_applicable")</f>
        <v/>
      </c>
      <c r="J6" s="22">
        <f>IF(AND(OR(D6="retain",D6=""),E6="statistical_results"),"","not_applicable")</f>
        <v/>
      </c>
      <c r="K6" s="21">
        <f>IF(AND(OR(D6="retain",D6=""),OR(E6="report_internal_inconsistency",E6="plan_material")),"","not_applicable")</f>
        <v/>
      </c>
      <c r="L6" s="22" t="inlineStr">
        <is>
          <t>substantive_difference</t>
        </is>
      </c>
      <c r="M6" s="20" t="n"/>
      <c r="N6" s="23" t="n"/>
      <c r="O6" s="23" t="n"/>
      <c r="P6" s="23" t="n"/>
      <c r="Q6" s="23" t="n"/>
      <c r="R6" s="22"/>
    </row>
    <row r="7" ht="92" customHeight="1" s="25">
      <c r="A7" s="24" t="inlineStr">
        <is>
          <t>2025::jama.2024.27643::C006</t>
        </is>
      </c>
      <c r="B7" s="24" t="inlineStr">
        <is>
          <t>Survival covariate-set descriptions</t>
        </is>
      </c>
      <c r="C7" s="24" t="inlineStr">
        <is>
          <t>Physical PDF pages; PLAN/REPORT roles are stated above and within the evidence. jama_berry_2025_oi_240158_1742927563.7361.pdf — PDF p. 3; joi240158supp3_prod_1742927563.7911.pdf — PDF p. 10; jama_berry_2025_oi_240158_1742927563.7361.pdf — PDF p. 7; joi240158supp3_prod_1742927563.7911.pdf — PDF p. 12; joi240158supp2_prod_1742927563.7711.pdf — PDF p. 121</t>
        </is>
      </c>
      <c r="D7" s="21" t="inlineStr">
        <is>
          <t>retain</t>
        </is>
      </c>
      <c r="E7" s="21" t="inlineStr">
        <is>
          <t>statistical_results</t>
        </is>
      </c>
      <c r="F7" s="21" t="inlineStr">
        <is>
          <t>primary_done</t>
        </is>
      </c>
      <c r="G7" s="24">
        <f>IFERROR(IF(LEN(TRIM(CLEAN(SUBSTITUTE(Setup!$B$2,CHAR(160)," "))))=0,"CHECK REVIEWER ID",IF(OR(A7="",COUNTIF($A$2:$A$17,A7)&lt;&gt;1,LEFT(A7,LEN("2025::jama.2024.27643::"))&lt;&gt;"2025::jama.2024.27643::"),"CHECK KEY",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NOT(OR(EXACT(D7,"retain"),EXACT(D7,"exclude"),EXACT(D7,"discuss"))),NOT(OR(EXACT(E7,"statistical_results"),EXACT(E7,"report_internal_inconsistency"),EXACT(E7,"plan_material"),EXACT(E7,"protocol_report"))),AND(AND(D7="retain",E7="statistical_results"),NOT(OR(EXACT(H7,"confirmed_issue"),EXACT(H7,"probable_issue"),EXACT(H7,"not_issue"),EXACT(H7,"indeterminate")))),AND(AND(D7="retain",E7="statistical_results"),NOT(OR(EXACT(I7,"substantive"),EXACT(I7,"minor_presentation"),EXACT(I7,"indeterminate")))),AND(AND(D7="retain",E7="statistical_results"),J7&lt;&gt;"",NOT(OR(EXACT(J7,"direct"),EXACT(J7,"possible"),EXACT(J7,"unlikely"),EXACT(J7,"unknown")))),AND(AND(D7="retain",OR(E7="report_internal_inconsistency",E7="plan_material")),NOT(OR(EXACT(K7,"substantive_inconsistency"),EXACT(K7,"minor_presentation"),EXACT(K7,"non_inconsistency"),EXACT(K7,"indeterminate")))),AND(AND(D7="retain",E7="protocol_report"),L7&lt;&gt;"",NOT(OR(EXACT(L7,"substantive_difference"),EXACT(L7,"minor_presentation"),EXACT(L7,"version_timing"),EXACT(L7,"non_inconsistency"),EXACT(L7,"indeterminate"))))),"CHECK FIELDS",IF(AND(F7&lt;&gt;"",NOT(OR(EXACT(F7,"no"),EXACT(F7,"primary_done")))),"CHECK COMPLETE",IF(EXACT(F7,"primary_done"),"PRIMARY READY","PRIMARY DRAFT")))))),"CHECK INPUT / KEY")</f>
        <v/>
      </c>
      <c r="H7" s="21" t="inlineStr">
        <is>
          <t>confirmed_issue</t>
        </is>
      </c>
      <c r="I7" s="21" t="inlineStr">
        <is>
          <t>minor_presentation</t>
        </is>
      </c>
      <c r="J7" s="22" t="inlineStr">
        <is>
          <t>unlikely</t>
        </is>
      </c>
      <c r="K7" s="21">
        <f>IF(AND(OR(D7="retain",D7=""),OR(E7="report_internal_inconsistency",E7="plan_material")),"","not_applicable")</f>
        <v/>
      </c>
      <c r="L7" s="22">
        <f>IF(AND(OR(D7="retain",D7=""),E7="protocol_report"),"","not_applicable")</f>
        <v/>
      </c>
      <c r="M7" s="24" t="n"/>
      <c r="N7" s="23" t="n"/>
      <c r="O7" s="23" t="n"/>
      <c r="P7" s="23" t="n"/>
      <c r="Q7" s="23" t="n"/>
      <c r="R7" s="22"/>
    </row>
    <row r="8" ht="92" customHeight="1" s="25">
      <c r="A8" s="20" t="inlineStr">
        <is>
          <t>2025::jama.2024.27643::C007</t>
        </is>
      </c>
      <c r="B8" s="20" t="inlineStr">
        <is>
          <t>Mortality component estimates</t>
        </is>
      </c>
      <c r="C8" s="20" t="inlineStr">
        <is>
          <t>Physical PDF pages; PLAN/REPORT roles are stated above and within the evidence. jama_berry_2025_oi_240158_1742927563.7361.pdf — PDF p. 4; joi240158supp3_prod_1742927563.7911.pdf — PDF p. 15</t>
        </is>
      </c>
      <c r="D8" s="21" t="inlineStr">
        <is>
          <t>retain</t>
        </is>
      </c>
      <c r="E8" s="21" t="inlineStr">
        <is>
          <t>statistical_results</t>
        </is>
      </c>
      <c r="F8" s="21" t="inlineStr">
        <is>
          <t>primary_done</t>
        </is>
      </c>
      <c r="G8" s="20">
        <f>IFERROR(IF(LEN(TRIM(CLEAN(SUBSTITUTE(Setup!$B$2,CHAR(160)," "))))=0,"CHECK REVIEWER ID",IF(OR(A8="",COUNTIF($A$2:$A$17,A8)&lt;&gt;1,LEFT(A8,LEN("2025::jama.2024.27643::"))&lt;&gt;"2025::jama.2024.27643::"),"CHECK KEY",IF(OR(AND(NOT(AND(D8="retain",E8="statistical_results")),H8&lt;&gt;"",NOT(EXACT(H8,"not_applicable"))),AND(NOT(AND(D8="retain",E8="statistical_results")),I8&lt;&gt;"",NOT(EXACT(I8,"not_applicable"))),AND(NOT(AND(D8="retain",E8="statistical_results")),J8&lt;&gt;"",NOT(EXACT(J8,"not_applicable"))),AND(NOT(AND(D8="retain",OR(E8="report_internal_inconsistency",E8="plan_material"))),K8&lt;&gt;"",NOT(EXACT(K8,"not_applicable"))),AND(NOT(AND(D8="retain",E8="protocol_report")),L8&lt;&gt;"",NOT(EXACT(L8,"not_applicable")))),"CLEAR INACTIVE VALUES",IF(OR(NOT(OR(EXACT(D8,"retain"),EXACT(D8,"exclude"),EXACT(D8,"discuss"))),NOT(OR(EXACT(E8,"statistical_results"),EXACT(E8,"report_internal_inconsistency"),EXACT(E8,"plan_material"),EXACT(E8,"protocol_report"))),AND(AND(D8="retain",E8="statistical_results"),NOT(OR(EXACT(H8,"confirmed_issue"),EXACT(H8,"probable_issue"),EXACT(H8,"not_issue"),EXACT(H8,"indeterminate")))),AND(AND(D8="retain",E8="statistical_results"),NOT(OR(EXACT(I8,"substantive"),EXACT(I8,"minor_presentation"),EXACT(I8,"indeterminate")))),AND(AND(D8="retain",E8="statistical_results"),J8&lt;&gt;"",NOT(OR(EXACT(J8,"direct"),EXACT(J8,"possible"),EXACT(J8,"unlikely"),EXACT(J8,"unknown")))),AND(AND(D8="retain",OR(E8="report_internal_inconsistency",E8="plan_material")),NOT(OR(EXACT(K8,"substantive_inconsistency"),EXACT(K8,"minor_presentation"),EXACT(K8,"non_inconsistency"),EXACT(K8,"indeterminate")))),AND(AND(D8="retain",E8="protocol_report"),L8&lt;&gt;"",NOT(OR(EXACT(L8,"substantive_difference"),EXACT(L8,"minor_presentation"),EXACT(L8,"version_timing"),EXACT(L8,"non_inconsistency"),EXACT(L8,"indeterminate"))))),"CHECK FIELDS",IF(AND(F8&lt;&gt;"",NOT(OR(EXACT(F8,"no"),EXACT(F8,"primary_done")))),"CHECK COMPLETE",IF(EXACT(F8,"primary_done"),"PRIMARY READY","PRIMARY DRAFT")))))),"CHECK INPUT / KEY")</f>
        <v/>
      </c>
      <c r="H8" s="21" t="inlineStr">
        <is>
          <t>confirmed_issue</t>
        </is>
      </c>
      <c r="I8" s="21" t="inlineStr">
        <is>
          <t>substantive</t>
        </is>
      </c>
      <c r="J8" s="22" t="inlineStr">
        <is>
          <t>direct</t>
        </is>
      </c>
      <c r="K8" s="21">
        <f>IF(AND(OR(D8="retain",D8=""),OR(E8="report_internal_inconsistency",E8="plan_material")),"","not_applicable")</f>
        <v/>
      </c>
      <c r="L8" s="22">
        <f>IF(AND(OR(D8="retain",D8=""),E8="protocol_report"),"","not_applicable")</f>
        <v/>
      </c>
      <c r="M8" s="20" t="n"/>
      <c r="N8" s="23" t="n"/>
      <c r="O8" s="23" t="n"/>
      <c r="P8" s="23" t="n"/>
      <c r="Q8" s="23" t="n"/>
      <c r="R8" s="22"/>
    </row>
    <row r="9" ht="92" customHeight="1" s="25">
      <c r="A9" s="24" t="inlineStr">
        <is>
          <t>2025::jama.2024.27643::C008</t>
        </is>
      </c>
      <c r="B9" s="24" t="inlineStr">
        <is>
          <t>SVC change versus monthly rate</t>
        </is>
      </c>
      <c r="C9" s="24" t="inlineStr">
        <is>
          <t>Physical PDF pages; PLAN/REPORT roles are stated above and within the evidence. jama_berry_2025_oi_240158_1742927563.7361.pdf — PDF p. 4; joi240158supp3_prod_1742927563.7911.pdf — PDF p. 16; jama_berry_2025_oi_240158_1742927563.7361.pdf — PDF p. 3; joi240158supp3_prod_1742927563.7911.pdf — PDF p. 10; joi240158supp2_prod_1742927563.7711.pdf — PDF p. 119; joi240158supp2_prod_1742927563.7711.pdf — PDF p. 120; joi240158supp2_prod_1742927563.7711.pdf — PDF p. 121; joi240158supp2_prod_1742927563.7711.pdf — PDF p. 122; joi240158supp2_prod_1742927563.7711.pdf — PDF p. 123</t>
        </is>
      </c>
      <c r="D9" s="21" t="inlineStr">
        <is>
          <t>retain</t>
        </is>
      </c>
      <c r="E9" s="21" t="inlineStr">
        <is>
          <t>report_internal_inconsistency</t>
        </is>
      </c>
      <c r="F9" s="21" t="inlineStr">
        <is>
          <t>primary_done</t>
        </is>
      </c>
      <c r="G9" s="24">
        <f>IFERROR(IF(LEN(TRIM(CLEAN(SUBSTITUTE(Setup!$B$2,CHAR(160)," "))))=0,"CHECK REVIEWER ID",IF(OR(A9="",COUNTIF($A$2:$A$17,A9)&lt;&gt;1,LEFT(A9,LEN("2025::jama.2024.27643::"))&lt;&gt;"2025::jama.2024.27643::"),"CHECK KEY",IF(OR(AND(NOT(AND(D9="retain",E9="statistical_results")),H9&lt;&gt;"",NOT(EXACT(H9,"not_applicable"))),AND(NOT(AND(D9="retain",E9="statistical_results")),I9&lt;&gt;"",NOT(EXACT(I9,"not_applicable"))),AND(NOT(AND(D9="retain",E9="statistical_results")),J9&lt;&gt;"",NOT(EXACT(J9,"not_applicable"))),AND(NOT(AND(D9="retain",OR(E9="report_internal_inconsistency",E9="plan_material"))),K9&lt;&gt;"",NOT(EXACT(K9,"not_applicable"))),AND(NOT(AND(D9="retain",E9="protocol_report")),L9&lt;&gt;"",NOT(EXACT(L9,"not_applicable")))),"CLEAR INACTIVE VALUES",IF(OR(NOT(OR(EXACT(D9,"retain"),EXACT(D9,"exclude"),EXACT(D9,"discuss"))),NOT(OR(EXACT(E9,"statistical_results"),EXACT(E9,"report_internal_inconsistency"),EXACT(E9,"plan_material"),EXACT(E9,"protocol_report"))),AND(AND(D9="retain",E9="statistical_results"),NOT(OR(EXACT(H9,"confirmed_issue"),EXACT(H9,"probable_issue"),EXACT(H9,"not_issue"),EXACT(H9,"indeterminate")))),AND(AND(D9="retain",E9="statistical_results"),NOT(OR(EXACT(I9,"substantive"),EXACT(I9,"minor_presentation"),EXACT(I9,"indeterminate")))),AND(AND(D9="retain",E9="statistical_results"),J9&lt;&gt;"",NOT(OR(EXACT(J9,"direct"),EXACT(J9,"possible"),EXACT(J9,"unlikely"),EXACT(J9,"unknown")))),AND(AND(D9="retain",OR(E9="report_internal_inconsistency",E9="plan_material")),NOT(OR(EXACT(K9,"substantive_inconsistency"),EXACT(K9,"minor_presentation"),EXACT(K9,"non_inconsistency"),EXACT(K9,"indeterminate")))),AND(AND(D9="retain",E9="protocol_report"),L9&lt;&gt;"",NOT(OR(EXACT(L9,"substantive_difference"),EXACT(L9,"minor_presentation"),EXACT(L9,"version_timing"),EXACT(L9,"non_inconsistency"),EXACT(L9,"indeterminate"))))),"CHECK FIELDS",IF(AND(F9&lt;&gt;"",NOT(OR(EXACT(F9,"no"),EXACT(F9,"primary_done")))),"CHECK COMPLETE",IF(EXACT(F9,"primary_done"),"PRIMARY READY","PRIMARY DRAFT")))))),"CHECK INPUT / KEY")</f>
        <v/>
      </c>
      <c r="H9" s="21">
        <f>IF(AND(OR(D9="retain",D9=""),E9="statistical_results"),"","not_applicable")</f>
        <v/>
      </c>
      <c r="I9" s="21">
        <f>IF(AND(OR(D9="retain",D9=""),E9="statistical_results"),"","not_applicable")</f>
        <v/>
      </c>
      <c r="J9" s="22">
        <f>IF(AND(OR(D9="retain",D9=""),E9="statistical_results"),"","not_applicable")</f>
        <v/>
      </c>
      <c r="K9" s="21" t="inlineStr">
        <is>
          <t>substantive_inconsistency</t>
        </is>
      </c>
      <c r="L9" s="22">
        <f>IF(AND(OR(D9="retain",D9=""),E9="protocol_report"),"","not_applicable")</f>
        <v/>
      </c>
      <c r="M9" s="24" t="n"/>
      <c r="N9" s="23" t="n"/>
      <c r="O9" s="23" t="n"/>
      <c r="P9" s="23" t="n"/>
      <c r="Q9" s="23" t="n"/>
      <c r="R9" s="22"/>
    </row>
    <row r="10" ht="92" customHeight="1" s="25">
      <c r="A10" s="20" t="inlineStr">
        <is>
          <t>2025::jama.2024.27643::C009</t>
        </is>
      </c>
      <c r="B10" s="20" t="inlineStr">
        <is>
          <t>Survival regimen-placebo exclusions and denominator</t>
        </is>
      </c>
      <c r="C10" s="20" t="inlineStr">
        <is>
          <t>Physical PDF pages; PLAN/REPORT roles are stated above and within the evidence. jama_berry_2025_oi_240158_1742927563.7361.pdf — PDF p. 4; jama_berry_2025_oi_240158_1742927563.7361.pdf — PDF p. 7</t>
        </is>
      </c>
      <c r="D10" s="21" t="inlineStr">
        <is>
          <t>retain</t>
        </is>
      </c>
      <c r="E10" s="21" t="inlineStr">
        <is>
          <t>statistical_results</t>
        </is>
      </c>
      <c r="F10" s="21" t="inlineStr">
        <is>
          <t>primary_done</t>
        </is>
      </c>
      <c r="G10" s="20">
        <f>IFERROR(IF(LEN(TRIM(CLEAN(SUBSTITUTE(Setup!$B$2,CHAR(160)," "))))=0,"CHECK REVIEWER ID",IF(OR(A10="",COUNTIF($A$2:$A$17,A10)&lt;&gt;1,LEFT(A10,LEN("2025::jama.2024.27643::"))&lt;&gt;"2025::jama.2024.27643::"),"CHECK KEY",IF(OR(AND(NOT(AND(D10="retain",E10="statistical_results")),H10&lt;&gt;"",NOT(EXACT(H10,"not_applicable"))),AND(NOT(AND(D10="retain",E10="statistical_results")),I10&lt;&gt;"",NOT(EXACT(I10,"not_applicable"))),AND(NOT(AND(D10="retain",E10="statistical_results")),J10&lt;&gt;"",NOT(EXACT(J10,"not_applicable"))),AND(NOT(AND(D10="retain",OR(E10="report_internal_inconsistency",E10="plan_material"))),K10&lt;&gt;"",NOT(EXACT(K10,"not_applicable"))),AND(NOT(AND(D10="retain",E10="protocol_report")),L10&lt;&gt;"",NOT(EXACT(L10,"not_applicable")))),"CLEAR INACTIVE VALUES",IF(OR(NOT(OR(EXACT(D10,"retain"),EXACT(D10,"exclude"),EXACT(D10,"discuss"))),NOT(OR(EXACT(E10,"statistical_results"),EXACT(E10,"report_internal_inconsistency"),EXACT(E10,"plan_material"),EXACT(E10,"protocol_report"))),AND(AND(D10="retain",E10="statistical_results"),NOT(OR(EXACT(H10,"confirmed_issue"),EXACT(H10,"probable_issue"),EXACT(H10,"not_issue"),EXACT(H10,"indeterminate")))),AND(AND(D10="retain",E10="statistical_results"),NOT(OR(EXACT(I10,"substantive"),EXACT(I10,"minor_presentation"),EXACT(I10,"indeterminate")))),AND(AND(D10="retain",E10="statistical_results"),J10&lt;&gt;"",NOT(OR(EXACT(J10,"direct"),EXACT(J10,"possible"),EXACT(J10,"unlikely"),EXACT(J10,"unknown")))),AND(AND(D10="retain",OR(E10="report_internal_inconsistency",E10="plan_material")),NOT(OR(EXACT(K10,"substantive_inconsistency"),EXACT(K10,"minor_presentation"),EXACT(K10,"non_inconsistency"),EXACT(K10,"indeterminate")))),AND(AND(D10="retain",E10="protocol_report"),L10&lt;&gt;"",NOT(OR(EXACT(L10,"substantive_difference"),EXACT(L10,"minor_presentation"),EXACT(L10,"version_timing"),EXACT(L10,"non_inconsistency"),EXACT(L10,"indeterminate"))))),"CHECK FIELDS",IF(AND(F10&lt;&gt;"",NOT(OR(EXACT(F10,"no"),EXACT(F10,"primary_done")))),"CHECK COMPLETE",IF(EXACT(F10,"primary_done"),"PRIMARY READY","PRIMARY DRAFT")))))),"CHECK INPUT / KEY")</f>
        <v/>
      </c>
      <c r="H10" s="21" t="inlineStr">
        <is>
          <t>confirmed_issue</t>
        </is>
      </c>
      <c r="I10" s="21" t="inlineStr">
        <is>
          <t>minor_presentation</t>
        </is>
      </c>
      <c r="J10" s="22" t="inlineStr">
        <is>
          <t>unlikely</t>
        </is>
      </c>
      <c r="K10" s="21">
        <f>IF(AND(OR(D10="retain",D10=""),OR(E10="report_internal_inconsistency",E10="plan_material")),"","not_applicable")</f>
        <v/>
      </c>
      <c r="L10" s="22">
        <f>IF(AND(OR(D10="retain",D10=""),E10="protocol_report"),"","not_applicable")</f>
        <v/>
      </c>
      <c r="M10" s="20" t="n"/>
      <c r="N10" s="23" t="n"/>
      <c r="O10" s="23" t="n"/>
      <c r="P10" s="23" t="n"/>
      <c r="Q10" s="23" t="n"/>
      <c r="R10" s="22"/>
    </row>
    <row r="11" ht="92" customHeight="1" s="25">
      <c r="A11" s="24" t="inlineStr">
        <is>
          <t>2025::jama.2024.27643::C010</t>
        </is>
      </c>
      <c r="B11" s="24" t="inlineStr">
        <is>
          <t>Prespecified subgroup partitions</t>
        </is>
      </c>
      <c r="C11" s="24" t="inlineStr">
        <is>
          <t>Physical PDF pages; PLAN/REPORT roles are stated above and within the evidence. joi240158supp2_prod_1742927563.7711.pdf — PDF p. 89; joi240158supp2_prod_1742927563.7711.pdf — PDF p. 126; joi240158supp3_prod_1742927563.7911.pdf — PDF p. 13; joi240158supp3_prod_1742927563.7911.pdf — PDF p. 20; joi240158supp2_prod_1742927563.7711.pdf — PDF p. 88; joi240158supp3_prod_1742927563.7911.pdf — PDF p. 19; jama_berry_2025_oi_240158_1742927563.7361.pdf — PDF p. 8</t>
        </is>
      </c>
      <c r="D11" s="21" t="inlineStr">
        <is>
          <t>retain</t>
        </is>
      </c>
      <c r="E11" s="21" t="inlineStr">
        <is>
          <t>protocol_report</t>
        </is>
      </c>
      <c r="F11" s="21" t="inlineStr">
        <is>
          <t>primary_done</t>
        </is>
      </c>
      <c r="G11" s="24">
        <f>IFERROR(IF(LEN(TRIM(CLEAN(SUBSTITUTE(Setup!$B$2,CHAR(160)," "))))=0,"CHECK REVIEWER ID",IF(OR(A11="",COUNTIF($A$2:$A$17,A11)&lt;&gt;1,LEFT(A11,LEN("2025::jama.2024.27643::"))&lt;&gt;"2025::jama.2024.27643::"),"CHECK KEY",IF(OR(AND(NOT(AND(D11="retain",E11="statistical_results")),H11&lt;&gt;"",NOT(EXACT(H11,"not_applicable"))),AND(NOT(AND(D11="retain",E11="statistical_results")),I11&lt;&gt;"",NOT(EXACT(I11,"not_applicable"))),AND(NOT(AND(D11="retain",E11="statistical_results")),J11&lt;&gt;"",NOT(EXACT(J11,"not_applicable"))),AND(NOT(AND(D11="retain",OR(E11="report_internal_inconsistency",E11="plan_material"))),K11&lt;&gt;"",NOT(EXACT(K11,"not_applicable"))),AND(NOT(AND(D11="retain",E11="protocol_report")),L11&lt;&gt;"",NOT(EXACT(L11,"not_applicable")))),"CLEAR INACTIVE VALUES",IF(OR(NOT(OR(EXACT(D11,"retain"),EXACT(D11,"exclude"),EXACT(D11,"discuss"))),NOT(OR(EXACT(E11,"statistical_results"),EXACT(E11,"report_internal_inconsistency"),EXACT(E11,"plan_material"),EXACT(E11,"protocol_report"))),AND(AND(D11="retain",E11="statistical_results"),NOT(OR(EXACT(H11,"confirmed_issue"),EXACT(H11,"probable_issue"),EXACT(H11,"not_issue"),EXACT(H11,"indeterminate")))),AND(AND(D11="retain",E11="statistical_results"),NOT(OR(EXACT(I11,"substantive"),EXACT(I11,"minor_presentation"),EXACT(I11,"indeterminate")))),AND(AND(D11="retain",E11="statistical_results"),J11&lt;&gt;"",NOT(OR(EXACT(J11,"direct"),EXACT(J11,"possible"),EXACT(J11,"unlikely"),EXACT(J11,"unknown")))),AND(AND(D11="retain",OR(E11="report_internal_inconsistency",E11="plan_material")),NOT(OR(EXACT(K11,"substantive_inconsistency"),EXACT(K11,"minor_presentation"),EXACT(K11,"non_inconsistency"),EXACT(K11,"indeterminate")))),AND(AND(D11="retain",E11="protocol_report"),L11&lt;&gt;"",NOT(OR(EXACT(L11,"substantive_difference"),EXACT(L11,"minor_presentation"),EXACT(L11,"version_timing"),EXACT(L11,"non_inconsistency"),EXACT(L11,"indeterminate"))))),"CHECK FIELDS",IF(AND(F11&lt;&gt;"",NOT(OR(EXACT(F11,"no"),EXACT(F11,"primary_done")))),"CHECK COMPLETE",IF(EXACT(F11,"primary_done"),"PRIMARY READY","PRIMARY DRAFT")))))),"CHECK INPUT / KEY")</f>
        <v/>
      </c>
      <c r="H11" s="21">
        <f>IF(AND(OR(D11="retain",D11=""),E11="statistical_results"),"","not_applicable")</f>
        <v/>
      </c>
      <c r="I11" s="21">
        <f>IF(AND(OR(D11="retain",D11=""),E11="statistical_results"),"","not_applicable")</f>
        <v/>
      </c>
      <c r="J11" s="22">
        <f>IF(AND(OR(D11="retain",D11=""),E11="statistical_results"),"","not_applicable")</f>
        <v/>
      </c>
      <c r="K11" s="21">
        <f>IF(AND(OR(D11="retain",D11=""),OR(E11="report_internal_inconsistency",E11="plan_material")),"","not_applicable")</f>
        <v/>
      </c>
      <c r="L11" s="22" t="inlineStr">
        <is>
          <t>substantive_difference</t>
        </is>
      </c>
      <c r="M11" s="24" t="n"/>
      <c r="N11" s="23" t="n"/>
      <c r="O11" s="23" t="n"/>
      <c r="P11" s="23" t="n"/>
      <c r="Q11" s="23" t="n"/>
      <c r="R11" s="22"/>
    </row>
    <row r="12" ht="92" customHeight="1" s="25">
      <c r="A12" s="20" t="inlineStr">
        <is>
          <t>2025::jama.2024.27643::C011</t>
        </is>
      </c>
      <c r="B12" s="20" t="inlineStr">
        <is>
          <t>Six-point functional-decline composite inside PLAN</t>
        </is>
      </c>
      <c r="C12" s="20" t="inlineStr">
        <is>
          <t>Physical PDF pages; PLAN/REPORT roles are stated above and within the evidence. joi240158supp1_prod_1742927563.7611.pdf — PDF p. 112; joi240158supp1_prod_1742927563.7611.pdf — PDF p. 184; joi240158supp2_prod_1742927563.7711.pdf — PDF p. 78; joi240158supp2_prod_1742927563.7711.pdf — PDF p. 111; joi240158supp2_prod_1742927563.7711.pdf — PDF p. 113; jama_berry_2025_oi_240158_1742927563.7361.pdf — PDF p. 3; joi240158supp2_prod_1742927563.7711.pdf — PDF p. 104</t>
        </is>
      </c>
      <c r="D12" s="21" t="inlineStr">
        <is>
          <t>retain</t>
        </is>
      </c>
      <c r="E12" s="21" t="inlineStr">
        <is>
          <t>plan_material</t>
        </is>
      </c>
      <c r="F12" s="21" t="inlineStr">
        <is>
          <t>primary_done</t>
        </is>
      </c>
      <c r="G12" s="20">
        <f>IFERROR(IF(LEN(TRIM(CLEAN(SUBSTITUTE(Setup!$B$2,CHAR(160)," "))))=0,"CHECK REVIEWER ID",IF(OR(A12="",COUNTIF($A$2:$A$17,A12)&lt;&gt;1,LEFT(A12,LEN("2025::jama.2024.27643::"))&lt;&gt;"2025::jama.2024.27643::"),"CHECK KEY",IF(OR(AND(NOT(AND(D12="retain",E12="statistical_results")),H12&lt;&gt;"",NOT(EXACT(H12,"not_applicable"))),AND(NOT(AND(D12="retain",E12="statistical_results")),I12&lt;&gt;"",NOT(EXACT(I12,"not_applicable"))),AND(NOT(AND(D12="retain",E12="statistical_results")),J12&lt;&gt;"",NOT(EXACT(J12,"not_applicable"))),AND(NOT(AND(D12="retain",OR(E12="report_internal_inconsistency",E12="plan_material"))),K12&lt;&gt;"",NOT(EXACT(K12,"not_applicable"))),AND(NOT(AND(D12="retain",E12="protocol_report")),L12&lt;&gt;"",NOT(EXACT(L12,"not_applicable")))),"CLEAR INACTIVE VALUES",IF(OR(NOT(OR(EXACT(D12,"retain"),EXACT(D12,"exclude"),EXACT(D12,"discuss"))),NOT(OR(EXACT(E12,"statistical_results"),EXACT(E12,"report_internal_inconsistency"),EXACT(E12,"plan_material"),EXACT(E12,"protocol_report"))),AND(AND(D12="retain",E12="statistical_results"),NOT(OR(EXACT(H12,"confirmed_issue"),EXACT(H12,"probable_issue"),EXACT(H12,"not_issue"),EXACT(H12,"indeterminate")))),AND(AND(D12="retain",E12="statistical_results"),NOT(OR(EXACT(I12,"substantive"),EXACT(I12,"minor_presentation"),EXACT(I12,"indeterminate")))),AND(AND(D12="retain",E12="statistical_results"),J12&lt;&gt;"",NOT(OR(EXACT(J12,"direct"),EXACT(J12,"possible"),EXACT(J12,"unlikely"),EXACT(J12,"unknown")))),AND(AND(D12="retain",OR(E12="report_internal_inconsistency",E12="plan_material")),NOT(OR(EXACT(K12,"substantive_inconsistency"),EXACT(K12,"minor_presentation"),EXACT(K12,"non_inconsistency"),EXACT(K12,"indeterminate")))),AND(AND(D12="retain",E12="protocol_report"),L12&lt;&gt;"",NOT(OR(EXACT(L12,"substantive_difference"),EXACT(L12,"minor_presentation"),EXACT(L12,"version_timing"),EXACT(L12,"non_inconsistency"),EXACT(L12,"indeterminate"))))),"CHECK FIELDS",IF(AND(F12&lt;&gt;"",NOT(OR(EXACT(F12,"no"),EXACT(F12,"primary_done")))),"CHECK COMPLETE",IF(EXACT(F12,"primary_done"),"PRIMARY READY","PRIMARY DRAFT")))))),"CHECK INPUT / KEY")</f>
        <v/>
      </c>
      <c r="H12" s="21">
        <f>IF(AND(OR(D12="retain",D12=""),E12="statistical_results"),"","not_applicable")</f>
        <v/>
      </c>
      <c r="I12" s="21">
        <f>IF(AND(OR(D12="retain",D12=""),E12="statistical_results"),"","not_applicable")</f>
        <v/>
      </c>
      <c r="J12" s="22">
        <f>IF(AND(OR(D12="retain",D12=""),E12="statistical_results"),"","not_applicable")</f>
        <v/>
      </c>
      <c r="K12" s="21" t="inlineStr">
        <is>
          <t>substantive_inconsistency</t>
        </is>
      </c>
      <c r="L12" s="22">
        <f>IF(AND(OR(D12="retain",D12=""),E12="protocol_report"),"","not_applicable")</f>
        <v/>
      </c>
      <c r="M12" s="20" t="n"/>
      <c r="N12" s="23" t="n"/>
      <c r="O12" s="23" t="n"/>
      <c r="P12" s="23" t="n"/>
      <c r="Q12" s="23" t="n"/>
      <c r="R12" s="22"/>
    </row>
    <row r="13" ht="92" customHeight="1" s="25">
      <c r="A13" s="24" t="inlineStr">
        <is>
          <t>2025::jama.2024.27643::C012</t>
        </is>
      </c>
      <c r="B13" s="24" t="inlineStr">
        <is>
          <t>NfL interval versus P display pattern</t>
        </is>
      </c>
      <c r="C13" s="24" t="inlineStr">
        <is>
          <t>Physical PDF pages; PLAN/REPORT roles are stated above and within the evidence. joi240158supp3_prod_1742927563.7911.pdf — PDF p. 17; jama_berry_2025_oi_240158_1742927563.7361.pdf — PDF p. 4; jama_berry_2025_oi_240158_1742927563.7361.pdf — PDF p. 8</t>
        </is>
      </c>
      <c r="D13" s="21" t="inlineStr">
        <is>
          <t>exclude</t>
        </is>
      </c>
      <c r="E13" s="21" t="inlineStr">
        <is>
          <t>statistical_results</t>
        </is>
      </c>
      <c r="F13" s="21" t="inlineStr">
        <is>
          <t>primary_done</t>
        </is>
      </c>
      <c r="G13" s="24">
        <f>IFERROR(IF(LEN(TRIM(CLEAN(SUBSTITUTE(Setup!$B$2,CHAR(160)," "))))=0,"CHECK REVIEWER ID",IF(OR(A13="",COUNTIF($A$2:$A$17,A13)&lt;&gt;1,LEFT(A13,LEN("2025::jama.2024.27643::"))&lt;&gt;"2025::jama.2024.27643::"),"CHECK KEY",IF(OR(AND(NOT(AND(D13="retain",E13="statistical_results")),H13&lt;&gt;"",NOT(EXACT(H13,"not_applicable"))),AND(NOT(AND(D13="retain",E13="statistical_results")),I13&lt;&gt;"",NOT(EXACT(I13,"not_applicable"))),AND(NOT(AND(D13="retain",E13="statistical_results")),J13&lt;&gt;"",NOT(EXACT(J13,"not_applicable"))),AND(NOT(AND(D13="retain",OR(E13="report_internal_inconsistency",E13="plan_material"))),K13&lt;&gt;"",NOT(EXACT(K13,"not_applicable"))),AND(NOT(AND(D13="retain",E13="protocol_report")),L13&lt;&gt;"",NOT(EXACT(L13,"not_applicable")))),"CLEAR INACTIVE VALUES",IF(OR(NOT(OR(EXACT(D13,"retain"),EXACT(D13,"exclude"),EXACT(D13,"discuss"))),NOT(OR(EXACT(E13,"statistical_results"),EXACT(E13,"report_internal_inconsistency"),EXACT(E13,"plan_material"),EXACT(E13,"protocol_report"))),AND(AND(D13="retain",E13="statistical_results"),NOT(OR(EXACT(H13,"confirmed_issue"),EXACT(H13,"probable_issue"),EXACT(H13,"not_issue"),EXACT(H13,"indeterminate")))),AND(AND(D13="retain",E13="statistical_results"),NOT(OR(EXACT(I13,"substantive"),EXACT(I13,"minor_presentation"),EXACT(I13,"indeterminate")))),AND(AND(D13="retain",E13="statistical_results"),J13&lt;&gt;"",NOT(OR(EXACT(J13,"direct"),EXACT(J13,"possible"),EXACT(J13,"unlikely"),EXACT(J13,"unknown")))),AND(AND(D13="retain",OR(E13="report_internal_inconsistency",E13="plan_material")),NOT(OR(EXACT(K13,"substantive_inconsistency"),EXACT(K13,"minor_presentation"),EXACT(K13,"non_inconsistency"),EXACT(K13,"indeterminate")))),AND(AND(D13="retain",E13="protocol_report"),L13&lt;&gt;"",NOT(OR(EXACT(L13,"substantive_difference"),EXACT(L13,"minor_presentation"),EXACT(L13,"version_timing"),EXACT(L13,"non_inconsistency"),EXACT(L13,"indeterminate"))))),"CHECK FIELDS",IF(AND(F13&lt;&gt;"",NOT(OR(EXACT(F13,"no"),EXACT(F13,"primary_done")))),"CHECK COMPLETE",IF(EXACT(F13,"primary_done"),"PRIMARY READY","PRIMARY DRAFT")))))),"CHECK INPUT / KEY")</f>
        <v/>
      </c>
      <c r="H13" s="21">
        <f>IF(AND(OR(D13="retain",D13=""),E13="statistical_results"),"","not_applicable")</f>
        <v/>
      </c>
      <c r="I13" s="21">
        <f>IF(AND(OR(D13="retain",D13=""),E13="statistical_results"),"","not_applicable")</f>
        <v/>
      </c>
      <c r="J13" s="22">
        <f>IF(AND(OR(D13="retain",D13=""),E13="statistical_results"),"","not_applicable")</f>
        <v/>
      </c>
      <c r="K13" s="21">
        <f>IF(AND(OR(D13="retain",D13=""),OR(E13="report_internal_inconsistency",E13="plan_material")),"","not_applicable")</f>
        <v/>
      </c>
      <c r="L13" s="22">
        <f>IF(AND(OR(D13="retain",D13=""),E13="protocol_report"),"","not_applicable")</f>
        <v/>
      </c>
      <c r="M13" s="24" t="n"/>
      <c r="N13" s="23" t="n"/>
      <c r="O13" s="23" t="n"/>
      <c r="P13" s="23" t="n"/>
      <c r="Q13" s="23" t="n"/>
      <c r="R13" s="22" t="inlineStr">
        <is>
          <t>eTable 3B (Supp3 p.17) plasma rows (-18.0, 0) P=.04 and (-20, 0) P=.04 and 60-mg serum (-45.1, -0.7) P=.05: CI-P disagreement explained by display rounding (main p.8 gives plasma upper bound -0.4%; CI-implied P computed .041-.049).</t>
        </is>
      </c>
    </row>
    <row r="14" ht="92" customHeight="1" s="25">
      <c r="A14" s="20" t="inlineStr">
        <is>
          <t>2025::jama.2024.27643::C013</t>
        </is>
      </c>
      <c r="B14" s="20" t="inlineStr">
        <is>
          <t>Serum NfL contrast scale</t>
        </is>
      </c>
      <c r="C14" s="20" t="inlineStr">
        <is>
          <t>Physical PDF pages; PLAN/REPORT roles are stated above and within the evidence. joi240158supp3_prod_1742927563.7911.pdf — PDF p. 17; jama_berry_2025_oi_240158_1742927563.7361.pdf — PDF p. 8</t>
        </is>
      </c>
      <c r="D14" s="21" t="inlineStr">
        <is>
          <t>retain</t>
        </is>
      </c>
      <c r="E14" s="21" t="inlineStr">
        <is>
          <t>statistical_results</t>
        </is>
      </c>
      <c r="F14" s="21" t="inlineStr">
        <is>
          <t>primary_done</t>
        </is>
      </c>
      <c r="G14" s="20">
        <f>IFERROR(IF(LEN(TRIM(CLEAN(SUBSTITUTE(Setup!$B$2,CHAR(160)," "))))=0,"CHECK REVIEWER ID",IF(OR(A14="",COUNTIF($A$2:$A$17,A14)&lt;&gt;1,LEFT(A14,LEN("2025::jama.2024.27643::"))&lt;&gt;"2025::jama.2024.27643::"),"CHECK KEY",IF(OR(AND(NOT(AND(D14="retain",E14="statistical_results")),H14&lt;&gt;"",NOT(EXACT(H14,"not_applicable"))),AND(NOT(AND(D14="retain",E14="statistical_results")),I14&lt;&gt;"",NOT(EXACT(I14,"not_applicable"))),AND(NOT(AND(D14="retain",E14="statistical_results")),J14&lt;&gt;"",NOT(EXACT(J14,"not_applicable"))),AND(NOT(AND(D14="retain",OR(E14="report_internal_inconsistency",E14="plan_material"))),K14&lt;&gt;"",NOT(EXACT(K14,"not_applicable"))),AND(NOT(AND(D14="retain",E14="protocol_report")),L14&lt;&gt;"",NOT(EXACT(L14,"not_applicable")))),"CLEAR INACTIVE VALUES",IF(OR(NOT(OR(EXACT(D14,"retain"),EXACT(D14,"exclude"),EXACT(D14,"discuss"))),NOT(OR(EXACT(E14,"statistical_results"),EXACT(E14,"report_internal_inconsistency"),EXACT(E14,"plan_material"),EXACT(E14,"protocol_report"))),AND(AND(D14="retain",E14="statistical_results"),NOT(OR(EXACT(H14,"confirmed_issue"),EXACT(H14,"probable_issue"),EXACT(H14,"not_issue"),EXACT(H14,"indeterminate")))),AND(AND(D14="retain",E14="statistical_results"),NOT(OR(EXACT(I14,"substantive"),EXACT(I14,"minor_presentation"),EXACT(I14,"indeterminate")))),AND(AND(D14="retain",E14="statistical_results"),J14&lt;&gt;"",NOT(OR(EXACT(J14,"direct"),EXACT(J14,"possible"),EXACT(J14,"unlikely"),EXACT(J14,"unknown")))),AND(AND(D14="retain",OR(E14="report_internal_inconsistency",E14="plan_material")),NOT(OR(EXACT(K14,"substantive_inconsistency"),EXACT(K14,"minor_presentation"),EXACT(K14,"non_inconsistency"),EXACT(K14,"indeterminate")))),AND(AND(D14="retain",E14="protocol_report"),L14&lt;&gt;"",NOT(OR(EXACT(L14,"substantive_difference"),EXACT(L14,"minor_presentation"),EXACT(L14,"version_timing"),EXACT(L14,"non_inconsistency"),EXACT(L14,"indeterminate"))))),"CHECK FIELDS",IF(AND(F14&lt;&gt;"",NOT(OR(EXACT(F14,"no"),EXACT(F14,"primary_done")))),"CHECK COMPLETE",IF(EXACT(F14,"primary_done"),"PRIMARY READY","PRIMARY DRAFT")))))),"CHECK INPUT / KEY")</f>
        <v/>
      </c>
      <c r="H14" s="21" t="inlineStr">
        <is>
          <t>confirmed_issue</t>
        </is>
      </c>
      <c r="I14" s="21" t="inlineStr">
        <is>
          <t>substantive</t>
        </is>
      </c>
      <c r="J14" s="22" t="inlineStr">
        <is>
          <t>direct</t>
        </is>
      </c>
      <c r="K14" s="21">
        <f>IF(AND(OR(D14="retain",D14=""),OR(E14="report_internal_inconsistency",E14="plan_material")),"","not_applicable")</f>
        <v/>
      </c>
      <c r="L14" s="22">
        <f>IF(AND(OR(D14="retain",D14=""),E14="protocol_report"),"","not_applicable")</f>
        <v/>
      </c>
      <c r="M14" s="20" t="n"/>
      <c r="N14" s="23" t="n"/>
      <c r="O14" s="23" t="n"/>
      <c r="P14" s="23" t="n"/>
      <c r="Q14" s="23" t="n"/>
      <c r="R14" s="22"/>
    </row>
    <row r="15" ht="92" customHeight="1" s="25">
      <c r="A15" s="24" t="inlineStr">
        <is>
          <t>2025::jama.2024.27643::C014</t>
        </is>
      </c>
      <c r="B15" s="24" t="inlineStr">
        <is>
          <t>Estimated DRR direction in planned operating characteristics</t>
        </is>
      </c>
      <c r="C15" s="24" t="inlineStr">
        <is>
          <t>Physical PDF pages; PLAN/REPORT roles are stated above and within the evidence. joi240158supp2_prod_1742927563.7711.pdf — PDF p. 50; joi240158supp1_prod_1742927563.7611.pdf — PDF p. 65; joi240158supp1_prod_1742927563.7611.pdf — PDF p. 137; joi240158supp1_prod_1742927563.7611.pdf — PDF p. 212; joi240158supp2_prod_1742927563.7711.pdf — PDF p. 8; joi240158supp2_prod_1742927563.7711.pdf — PDF p. 63</t>
        </is>
      </c>
      <c r="D15" s="21" t="inlineStr">
        <is>
          <t>exclude</t>
        </is>
      </c>
      <c r="E15" s="21" t="inlineStr">
        <is>
          <t>plan_material</t>
        </is>
      </c>
      <c r="F15" s="21" t="inlineStr">
        <is>
          <t>primary_done</t>
        </is>
      </c>
      <c r="G15" s="24">
        <f>IFERROR(IF(LEN(TRIM(CLEAN(SUBSTITUTE(Setup!$B$2,CHAR(160)," "))))=0,"CHECK REVIEWER ID",IF(OR(A15="",COUNTIF($A$2:$A$17,A15)&lt;&gt;1,LEFT(A15,LEN("2025::jama.2024.27643::"))&lt;&gt;"2025::jama.2024.27643::"),"CHECK KEY",IF(OR(AND(NOT(AND(D15="retain",E15="statistical_results")),H15&lt;&gt;"",NOT(EXACT(H15,"not_applicable"))),AND(NOT(AND(D15="retain",E15="statistical_results")),I15&lt;&gt;"",NOT(EXACT(I15,"not_applicable"))),AND(NOT(AND(D15="retain",E15="statistical_results")),J15&lt;&gt;"",NOT(EXACT(J15,"not_applicable"))),AND(NOT(AND(D15="retain",OR(E15="report_internal_inconsistency",E15="plan_material"))),K15&lt;&gt;"",NOT(EXACT(K15,"not_applicable"))),AND(NOT(AND(D15="retain",E15="protocol_report")),L15&lt;&gt;"",NOT(EXACT(L15,"not_applicable")))),"CLEAR INACTIVE VALUES",IF(OR(NOT(OR(EXACT(D15,"retain"),EXACT(D15,"exclude"),EXACT(D15,"discuss"))),NOT(OR(EXACT(E15,"statistical_results"),EXACT(E15,"report_internal_inconsistency"),EXACT(E15,"plan_material"),EXACT(E15,"protocol_report"))),AND(AND(D15="retain",E15="statistical_results"),NOT(OR(EXACT(H15,"confirmed_issue"),EXACT(H15,"probable_issue"),EXACT(H15,"not_issue"),EXACT(H15,"indeterminate")))),AND(AND(D15="retain",E15="statistical_results"),NOT(OR(EXACT(I15,"substantive"),EXACT(I15,"minor_presentation"),EXACT(I15,"indeterminate")))),AND(AND(D15="retain",E15="statistical_results"),J15&lt;&gt;"",NOT(OR(EXACT(J15,"direct"),EXACT(J15,"possible"),EXACT(J15,"unlikely"),EXACT(J15,"unknown")))),AND(AND(D15="retain",OR(E15="report_internal_inconsistency",E15="plan_material")),NOT(OR(EXACT(K15,"substantive_inconsistency"),EXACT(K15,"minor_presentation"),EXACT(K15,"non_inconsistency"),EXACT(K15,"indeterminate")))),AND(AND(D15="retain",E15="protocol_report"),L15&lt;&gt;"",NOT(OR(EXACT(L15,"substantive_difference"),EXACT(L15,"minor_presentation"),EXACT(L15,"version_timing"),EXACT(L15,"non_inconsistency"),EXACT(L15,"indeterminate"))))),"CHECK FIELDS",IF(AND(F15&lt;&gt;"",NOT(OR(EXACT(F15,"no"),EXACT(F15,"primary_done")))),"CHECK COMPLETE",IF(EXACT(F15,"primary_done"),"PRIMARY READY","PRIMARY DRAFT")))))),"CHECK INPUT / KEY")</f>
        <v/>
      </c>
      <c r="H15" s="21">
        <f>IF(AND(OR(D15="retain",D15=""),E15="statistical_results"),"","not_applicable")</f>
        <v/>
      </c>
      <c r="I15" s="21">
        <f>IF(AND(OR(D15="retain",D15=""),E15="statistical_results"),"","not_applicable")</f>
        <v/>
      </c>
      <c r="J15" s="22">
        <f>IF(AND(OR(D15="retain",D15=""),E15="statistical_results"),"","not_applicable")</f>
        <v/>
      </c>
      <c r="K15" s="21">
        <f>IF(AND(OR(D15="retain",D15=""),OR(E15="report_internal_inconsistency",E15="plan_material")),"","not_applicable")</f>
        <v/>
      </c>
      <c r="L15" s="22">
        <f>IF(AND(OR(D15="retain",D15=""),E15="protocol_report"),"","not_applicable")</f>
        <v/>
      </c>
      <c r="M15" s="24" t="n"/>
      <c r="N15" s="23" t="n"/>
      <c r="O15" s="23" t="n"/>
      <c r="P15" s="23" t="n"/>
      <c r="Q15" s="23" t="n"/>
      <c r="R15" s="22" t="inlineStr">
        <is>
          <t>M-SAP v3.0 (06 Feb 2023) p.50 prose says 'power and estimated DRR decrease' with rising mortality while Table 6.2.1 shows mean estimated DRR rising (0.72/0.75/0.81); the next sentence makes clear the estimated treatment effect decreases. Wording slip in illustrative operating characteristics of an M-SAP version that, by its own p.8 governance clause, applies to regimens initiated after Feb 2023, not regimen C.</t>
        </is>
      </c>
    </row>
    <row r="16" ht="92" customHeight="1" s="25">
      <c r="A16" s="20" t="inlineStr">
        <is>
          <t>2025::jama.2024.27643::C015</t>
        </is>
      </c>
      <c r="B16" s="20" t="inlineStr">
        <is>
          <t>Signed CAFS P value in illustrative PLAN prose</t>
        </is>
      </c>
      <c r="C16" s="20" t="inlineStr">
        <is>
          <t>Physical PDF pages; PLAN/REPORT roles are stated above and within the evidence. joi240158supp2_prod_1742927563.7711.pdf — PDF p. 59; joi240158supp2_prod_1742927563.7711.pdf — PDF p. 58; joi240158supp2_prod_1742927563.7711.pdf — PDF p. 8; joi240158supp2_prod_1742927563.7711.pdf — PDF p. 63</t>
        </is>
      </c>
      <c r="D16" s="21" t="inlineStr">
        <is>
          <t>exclude</t>
        </is>
      </c>
      <c r="E16" s="21" t="inlineStr">
        <is>
          <t>plan_material</t>
        </is>
      </c>
      <c r="F16" s="21" t="inlineStr">
        <is>
          <t>primary_done</t>
        </is>
      </c>
      <c r="G16" s="20">
        <f>IFERROR(IF(LEN(TRIM(CLEAN(SUBSTITUTE(Setup!$B$2,CHAR(160)," "))))=0,"CHECK REVIEWER ID",IF(OR(A16="",COUNTIF($A$2:$A$17,A16)&lt;&gt;1,LEFT(A16,LEN("2025::jama.2024.27643::"))&lt;&gt;"2025::jama.2024.27643::"),"CHECK KEY",IF(OR(AND(NOT(AND(D16="retain",E16="statistical_results")),H16&lt;&gt;"",NOT(EXACT(H16,"not_applicable"))),AND(NOT(AND(D16="retain",E16="statistical_results")),I16&lt;&gt;"",NOT(EXACT(I16,"not_applicable"))),AND(NOT(AND(D16="retain",E16="statistical_results")),J16&lt;&gt;"",NOT(EXACT(J16,"not_applicable"))),AND(NOT(AND(D16="retain",OR(E16="report_internal_inconsistency",E16="plan_material"))),K16&lt;&gt;"",NOT(EXACT(K16,"not_applicable"))),AND(NOT(AND(D16="retain",E16="protocol_report")),L16&lt;&gt;"",NOT(EXACT(L16,"not_applicable")))),"CLEAR INACTIVE VALUES",IF(OR(NOT(OR(EXACT(D16,"retain"),EXACT(D16,"exclude"),EXACT(D16,"discuss"))),NOT(OR(EXACT(E16,"statistical_results"),EXACT(E16,"report_internal_inconsistency"),EXACT(E16,"plan_material"),EXACT(E16,"protocol_report"))),AND(AND(D16="retain",E16="statistical_results"),NOT(OR(EXACT(H16,"confirmed_issue"),EXACT(H16,"probable_issue"),EXACT(H16,"not_issue"),EXACT(H16,"indeterminate")))),AND(AND(D16="retain",E16="statistical_results"),NOT(OR(EXACT(I16,"substantive"),EXACT(I16,"minor_presentation"),EXACT(I16,"indeterminate")))),AND(AND(D16="retain",E16="statistical_results"),J16&lt;&gt;"",NOT(OR(EXACT(J16,"direct"),EXACT(J16,"possible"),EXACT(J16,"unlikely"),EXACT(J16,"unknown")))),AND(AND(D16="retain",OR(E16="report_internal_inconsistency",E16="plan_material")),NOT(OR(EXACT(K16,"substantive_inconsistency"),EXACT(K16,"minor_presentation"),EXACT(K16,"non_inconsistency"),EXACT(K16,"indeterminate")))),AND(AND(D16="retain",E16="protocol_report"),L16&lt;&gt;"",NOT(OR(EXACT(L16,"substantive_difference"),EXACT(L16,"minor_presentation"),EXACT(L16,"version_timing"),EXACT(L16,"non_inconsistency"),EXACT(L16,"indeterminate"))))),"CHECK FIELDS",IF(AND(F16&lt;&gt;"",NOT(OR(EXACT(F16,"no"),EXACT(F16,"primary_done")))),"CHECK COMPLETE",IF(EXACT(F16,"primary_done"),"PRIMARY READY","PRIMARY DRAFT")))))),"CHECK INPUT / KEY")</f>
        <v/>
      </c>
      <c r="H16" s="21">
        <f>IF(AND(OR(D16="retain",D16=""),E16="statistical_results"),"","not_applicable")</f>
        <v/>
      </c>
      <c r="I16" s="21">
        <f>IF(AND(OR(D16="retain",D16=""),E16="statistical_results"),"","not_applicable")</f>
        <v/>
      </c>
      <c r="J16" s="22">
        <f>IF(AND(OR(D16="retain",D16=""),E16="statistical_results"),"","not_applicable")</f>
        <v/>
      </c>
      <c r="K16" s="21">
        <f>IF(AND(OR(D16="retain",D16=""),OR(E16="report_internal_inconsistency",E16="plan_material")),"","not_applicable")</f>
        <v/>
      </c>
      <c r="L16" s="22">
        <f>IF(AND(OR(D16="retain",D16=""),E16="protocol_report"),"","not_applicable")</f>
        <v/>
      </c>
      <c r="M16" s="20" t="n"/>
      <c r="N16" s="23" t="n"/>
      <c r="O16" s="23" t="n"/>
      <c r="P16" s="23" t="n"/>
      <c r="Q16" s="23" t="n"/>
      <c r="R16" s="22" t="inlineStr">
        <is>
          <t>M-SAP v3.0 p.59 prose 'CAFS p-value of - .3675' (rendered page) is a stray dash at a line break in an illustrative example trial; the adjacent figure prints 'CAFS P-value: 0.3675'. Not a design element; document not operative for regimen C.</t>
        </is>
      </c>
    </row>
    <row r="17" ht="92" customHeight="1" s="25">
      <c r="A17" s="24" t="inlineStr">
        <is>
          <t>2025::jama.2024.27643::C016</t>
        </is>
      </c>
      <c r="B17" s="24" t="inlineStr">
        <is>
          <t>Serum NfL below-quantitation substitution rule</t>
        </is>
      </c>
      <c r="C17" s="24" t="inlineStr">
        <is>
          <t>Physical PDF pages; PLAN/REPORT roles are stated above and within the evidence. joi240158supp2_prod_1742927563.7711.pdf — PDF p. 112; joi240158supp3_prod_1742927563.7911.pdf — PDF p. 11; joi240158supp3_prod_1742927563.7911.pdf — PDF p. 10; joi240158supp3_prod_1742927563.7911.pdf — PDF p. 12; jama_berry_2025_oi_240158_1742927563.7361.pdf — PDF p. 8; joi240158supp3_prod_1742927563.7911.pdf — PDF p. 17</t>
        </is>
      </c>
      <c r="D17" s="21" t="inlineStr">
        <is>
          <t>retain</t>
        </is>
      </c>
      <c r="E17" s="21" t="inlineStr">
        <is>
          <t>protocol_report</t>
        </is>
      </c>
      <c r="F17" s="21" t="inlineStr">
        <is>
          <t>primary_done</t>
        </is>
      </c>
      <c r="G17" s="24">
        <f>IFERROR(IF(LEN(TRIM(CLEAN(SUBSTITUTE(Setup!$B$2,CHAR(160)," "))))=0,"CHECK REVIEWER ID",IF(OR(A17="",COUNTIF($A$2:$A$17,A17)&lt;&gt;1,LEFT(A17,LEN("2025::jama.2024.27643::"))&lt;&gt;"2025::jama.2024.27643::"),"CHECK KEY",IF(OR(AND(NOT(AND(D17="retain",E17="statistical_results")),H17&lt;&gt;"",NOT(EXACT(H17,"not_applicable"))),AND(NOT(AND(D17="retain",E17="statistical_results")),I17&lt;&gt;"",NOT(EXACT(I17,"not_applicable"))),AND(NOT(AND(D17="retain",E17="statistical_results")),J17&lt;&gt;"",NOT(EXACT(J17,"not_applicable"))),AND(NOT(AND(D17="retain",OR(E17="report_internal_inconsistency",E17="plan_material"))),K17&lt;&gt;"",NOT(EXACT(K17,"not_applicable"))),AND(NOT(AND(D17="retain",E17="protocol_report")),L17&lt;&gt;"",NOT(EXACT(L17,"not_applicable")))),"CLEAR INACTIVE VALUES",IF(OR(NOT(OR(EXACT(D17,"retain"),EXACT(D17,"exclude"),EXACT(D17,"discuss"))),NOT(OR(EXACT(E17,"statistical_results"),EXACT(E17,"report_internal_inconsistency"),EXACT(E17,"plan_material"),EXACT(E17,"protocol_report"))),AND(AND(D17="retain",E17="statistical_results"),NOT(OR(EXACT(H17,"confirmed_issue"),EXACT(H17,"probable_issue"),EXACT(H17,"not_issue"),EXACT(H17,"indeterminate")))),AND(AND(D17="retain",E17="statistical_results"),NOT(OR(EXACT(I17,"substantive"),EXACT(I17,"minor_presentation"),EXACT(I17,"indeterminate")))),AND(AND(D17="retain",E17="statistical_results"),J17&lt;&gt;"",NOT(OR(EXACT(J17,"direct"),EXACT(J17,"possible"),EXACT(J17,"unlikely"),EXACT(J17,"unknown")))),AND(AND(D17="retain",OR(E17="report_internal_inconsistency",E17="plan_material")),NOT(OR(EXACT(K17,"substantive_inconsistency"),EXACT(K17,"minor_presentation"),EXACT(K17,"non_inconsistency"),EXACT(K17,"indeterminate")))),AND(AND(D17="retain",E17="protocol_report"),L17&lt;&gt;"",NOT(OR(EXACT(L17,"substantive_difference"),EXACT(L17,"minor_presentation"),EXACT(L17,"version_timing"),EXACT(L17,"non_inconsistency"),EXACT(L17,"indeterminate"))))),"CHECK FIELDS",IF(AND(F17&lt;&gt;"",NOT(OR(EXACT(F17,"no"),EXACT(F17,"primary_done")))),"CHECK COMPLETE",IF(EXACT(F17,"primary_done"),"PRIMARY READY","PRIMARY DRAFT")))))),"CHECK INPUT / KEY")</f>
        <v/>
      </c>
      <c r="H17" s="21">
        <f>IF(AND(OR(D17="retain",D17=""),E17="statistical_results"),"","not_applicable")</f>
        <v/>
      </c>
      <c r="I17" s="21">
        <f>IF(AND(OR(D17="retain",D17=""),E17="statistical_results"),"","not_applicable")</f>
        <v/>
      </c>
      <c r="J17" s="22">
        <f>IF(AND(OR(D17="retain",D17=""),E17="statistical_results"),"","not_applicable")</f>
        <v/>
      </c>
      <c r="K17" s="21">
        <f>IF(AND(OR(D17="retain",D17=""),OR(E17="report_internal_inconsistency",E17="plan_material")),"","not_applicable")</f>
        <v/>
      </c>
      <c r="L17" s="22" t="inlineStr">
        <is>
          <t>substantive_difference</t>
        </is>
      </c>
      <c r="M17" s="24" t="n"/>
      <c r="N17" s="23" t="n"/>
      <c r="O17" s="23" t="n"/>
      <c r="P17" s="23" t="n"/>
      <c r="Q17" s="23" t="n"/>
      <c r="R17" s="22"/>
    </row>
  </sheetData>
  <autoFilter ref="A1:R17"/>
  <conditionalFormatting sqref="H2:H17">
    <cfRule type="expression" priority="8" dxfId="70">
      <formula>NOT(AND(OR($D2="retain",$D2=""),$E2="statistical_results"))</formula>
    </cfRule>
  </conditionalFormatting>
  <conditionalFormatting sqref="I2:I17">
    <cfRule type="expression" priority="9" dxfId="70">
      <formula>NOT(AND(OR($D2="retain",$D2=""),$E2="statistical_results"))</formula>
    </cfRule>
  </conditionalFormatting>
  <conditionalFormatting sqref="J2:J17">
    <cfRule type="expression" priority="10" dxfId="70">
      <formula>NOT(AND(OR($D2="retain",$D2=""),$E2="statistical_results"))</formula>
    </cfRule>
  </conditionalFormatting>
  <conditionalFormatting sqref="K2:K17">
    <cfRule type="expression" priority="11" dxfId="70">
      <formula>NOT(AND(OR($D2="retain",$D2=""),OR($E2="report_internal_inconsistency",$E2="plan_material")))</formula>
    </cfRule>
  </conditionalFormatting>
  <conditionalFormatting sqref="L2:L17">
    <cfRule type="expression" priority="12" dxfId="70">
      <formula>NOT(AND(OR($D2="retain",$D2=""),$E2="protocol_report"))</formula>
    </cfRule>
  </conditionalFormatting>
  <conditionalFormatting sqref="G2:G17">
    <cfRule type="expression" priority="13" dxfId="71">
      <formula>G2&lt;&gt;"PRIMARY READY"</formula>
    </cfRule>
  </conditionalFormatting>
  <dataValidations count="8">
    <dataValidation sqref="D2:D17" showDropDown="0" showInputMessage="0" showErrorMessage="1" allowBlank="1" errorTitle="Use a listed option" error="Choose an option; G also checks pasted entries." type="list" errorStyle="stop">
      <formula1>"retain,exclude,discuss"</formula1>
    </dataValidation>
    <dataValidation sqref="E2:E17" showDropDown="0" showInputMessage="0" showErrorMessage="1" allowBlank="1" errorTitle="Use a listed option" error="Choose an option; G also checks pasted entries." type="list" errorStyle="stop">
      <formula1>"statistical_results,report_internal_inconsistency,plan_material,protocol_report"</formula1>
    </dataValidation>
    <dataValidation sqref="F2:F17" showDropDown="0" showInputMessage="0" showErrorMessage="1" allowBlank="1" errorTitle="Use a listed option" error="Choose an option; G also checks pasted entries." type="list" errorStyle="stop">
      <formula1>"no,primary_done"</formula1>
    </dataValidation>
    <dataValidation sqref="H2:H17" showDropDown="0" showInputMessage="0" showErrorMessage="1" allowBlank="1" errorTitle="Use a listed option" error="Choose an option; G also checks pasted entries." type="list" errorStyle="stop">
      <formula1>"confirmed_issue,probable_issue,not_issue,indeterminate,not_applicable"</formula1>
    </dataValidation>
    <dataValidation sqref="I2:I17" showDropDown="0" showInputMessage="0" showErrorMessage="1" allowBlank="1" errorTitle="Use a listed option" error="Choose an option; G also checks pasted entries." type="list" errorStyle="stop">
      <formula1>"substantive,minor_presentation,indeterminate,not_applicable"</formula1>
    </dataValidation>
    <dataValidation sqref="J2:J17" showDropDown="0" showInputMessage="0" showErrorMessage="1" allowBlank="1" errorTitle="Use a listed option" error="Choose an option; G also checks pasted entries." type="list" errorStyle="stop">
      <formula1>"direct,possible,unlikely,unknown,not_applicable"</formula1>
    </dataValidation>
    <dataValidation sqref="K2:K17" showDropDown="0" showInputMessage="0" showErrorMessage="1" allowBlank="1" errorTitle="Use a listed option" error="Choose an option; G also checks pasted entries." type="list" errorStyle="stop">
      <formula1>"substantive_inconsistency,minor_presentation,non_inconsistency,indeterminate,not_applicable"</formula1>
    </dataValidation>
    <dataValidation sqref="L2:L17" showDropDown="0" showInputMessage="0" showErrorMessage="1" allowBlank="1" errorTitle="Use a listed option" error="Choose an option; G also checks pasted entries." type="list" errorStyle="stop">
      <formula1>"substantive_difference,minor_presentation,version_timing,non_inconsistency,indeterminate,not_applicable"</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R19"/>
  <sheetViews>
    <sheetView tabSelected="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Format="1"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Statistical_or_numerical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ht="92" customHeight="1" s="25">
      <c r="A2" s="20" t="inlineStr">
        <is>
          <t>2025::jama.2025.11178::C001</t>
        </is>
      </c>
      <c r="B2" s="20" t="inlineStr">
        <is>
          <t>Planned versus reported online session duration</t>
        </is>
      </c>
      <c r="C2" s="20" t="inlineStr">
        <is>
          <t>Yes, all five locations: REPORT main p.3, Health Coach Program and Online Program — jama_debar_2025_oi_250046_1755300121.13587.pdf; PLAN protocol p.43 §10.1.1 — joi250046supp1_prod_1755300121.14087.pdf and p.44 coach overview — joi250046supp1_prod_1755300121.14087.pdf; REPORT TIDieR p.3 Procedures — joi250046supp3_prod_1755300121.15087.pdf and p.4 When and How Much — joi250046supp3_prod_1755300121.15087.pdf.</t>
        </is>
      </c>
      <c r="D2" s="21" t="inlineStr">
        <is>
          <t>retain</t>
        </is>
      </c>
      <c r="E2" s="21" t="inlineStr">
        <is>
          <t>protocol_report</t>
        </is>
      </c>
      <c r="F2" s="21" t="inlineStr">
        <is>
          <t>primary_done</t>
        </is>
      </c>
      <c r="G2" s="20">
        <f>IFERROR(IF(LEN(TRIM(CLEAN(SUBSTITUTE(Setup!$B$2,CHAR(160)," "))))=0,"CHECK REVIEWER ID",IF(OR(A2="",COUNTIF($A$2:$A$19,A2)&lt;&gt;1,LEFT(A2,LEN("2025::jama.2025.11178::"))&lt;&gt;"2025::jama.2025.11178::"),"CHECK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
      </c>
      <c r="H2" s="21">
        <f>IF(AND(OR(D2="retain",D2=""),E2="statistical_results"),"","not_applicable")</f>
        <v/>
      </c>
      <c r="I2" s="21">
        <f>IF(AND(OR(D2="retain",D2=""),E2="statistical_results"),"","not_applicable")</f>
        <v/>
      </c>
      <c r="J2" s="22">
        <f>IF(AND(OR(D2="retain",D2=""),E2="statistical_results"),"","not_applicable")</f>
        <v/>
      </c>
      <c r="K2" s="21">
        <f>IF(AND(OR(D2="retain",D2=""),OR(E2="report_internal_inconsistency",E2="plan_material")),"","not_applicable")</f>
        <v/>
      </c>
      <c r="L2" s="22" t="inlineStr">
        <is>
          <t>indeterminate</t>
        </is>
      </c>
      <c r="M2" s="20" t="n"/>
      <c r="N2" s="23" t="n"/>
      <c r="O2" s="23" t="n"/>
      <c r="P2" s="23" t="n"/>
      <c r="Q2" s="23" t="n"/>
      <c r="R2" s="22"/>
    </row>
    <row r="3" ht="92" customHeight="1" s="25">
      <c r="A3" s="24" t="inlineStr">
        <is>
          <t>2025::jama.2025.11178::C002</t>
        </is>
      </c>
      <c r="B3" s="24" t="inlineStr">
        <is>
          <t>Therapeutic-dose adherence percentage</t>
        </is>
      </c>
      <c r="C3" s="24" t="inlineStr">
        <is>
          <t>Yes: REPORT main p.4 Results adherence paragraph — jama_debar_2025_oi_250046_1755300121.13587.pdf and p.5 Figure 1 PT allocation/session counts — jama_debar_2025_oi_250046_1755300121.13587.pdf.</t>
        </is>
      </c>
      <c r="D3" s="21" t="inlineStr">
        <is>
          <t>retain</t>
        </is>
      </c>
      <c r="E3" s="21" t="inlineStr">
        <is>
          <t>statistical_results</t>
        </is>
      </c>
      <c r="F3" s="21" t="inlineStr">
        <is>
          <t>primary_done</t>
        </is>
      </c>
      <c r="G3" s="24">
        <f>IFERROR(IF(LEN(TRIM(CLEAN(SUBSTITUTE(Setup!$B$2,CHAR(160)," "))))=0,"CHECK REVIEWER ID",IF(OR(A3="",COUNTIF($A$2:$A$19,A3)&lt;&gt;1,LEFT(A3,LEN("2025::jama.2025.11178::"))&lt;&gt;"2025::jama.2025.11178::"),"CHECK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
      </c>
      <c r="H3" s="21" t="inlineStr">
        <is>
          <t>confirmed_issue</t>
        </is>
      </c>
      <c r="I3" s="21" t="inlineStr">
        <is>
          <t>minor_presentation</t>
        </is>
      </c>
      <c r="J3" s="22" t="inlineStr">
        <is>
          <t>possible</t>
        </is>
      </c>
      <c r="K3" s="21">
        <f>IF(AND(OR(D3="retain",D3=""),OR(E3="report_internal_inconsistency",E3="plan_material")),"","not_applicable")</f>
        <v/>
      </c>
      <c r="L3" s="22">
        <f>IF(AND(OR(D3="retain",D3=""),E3="protocol_report"),"","not_applicable")</f>
        <v/>
      </c>
      <c r="M3" s="24" t="n"/>
      <c r="N3" s="23" t="n"/>
      <c r="O3" s="23" t="n"/>
      <c r="P3" s="23" t="n"/>
      <c r="Q3" s="23" t="n"/>
      <c r="R3" s="22"/>
    </row>
    <row r="4" ht="92" customHeight="1" s="25">
      <c r="A4" s="20" t="inlineStr">
        <is>
          <t>2025::jama.2025.11178::C003</t>
        </is>
      </c>
      <c r="B4" s="20" t="inlineStr">
        <is>
          <t>SMD construction across Table 3</t>
        </is>
      </c>
      <c r="C4" s="20" t="inlineStr">
        <is>
          <t>Yes: REPORT main p.4 SMD definition — jama_debar_2025_oi_250046_1755300121.13587.pdf, p.10 Table 3 — jama_debar_2025_oi_250046_1755300121.13587.pdf, and p.11 continuation and footnote d — jama_debar_2025_oi_250046_1755300121.13587.pdf. All twenty registered outcome/time rows and all three point-contrast columns per row were read directly.</t>
        </is>
      </c>
      <c r="D4" s="21" t="inlineStr">
        <is>
          <t>retain</t>
        </is>
      </c>
      <c r="E4" s="21" t="inlineStr">
        <is>
          <t>statistical_results</t>
        </is>
      </c>
      <c r="F4" s="21" t="inlineStr">
        <is>
          <t>primary_done</t>
        </is>
      </c>
      <c r="G4" s="20">
        <f>IFERROR(IF(LEN(TRIM(CLEAN(SUBSTITUTE(Setup!$B$2,CHAR(160)," "))))=0,"CHECK REVIEWER ID",IF(OR(A4="",COUNTIF($A$2:$A$19,A4)&lt;&gt;1,LEFT(A4,LEN("2025::jama.2025.11178::"))&lt;&gt;"2025::jama.2025.11178::"),"CHECK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
      </c>
      <c r="H4" s="21" t="inlineStr">
        <is>
          <t>confirmed_issue</t>
        </is>
      </c>
      <c r="I4" s="21" t="inlineStr">
        <is>
          <t>substantive</t>
        </is>
      </c>
      <c r="J4" s="22" t="inlineStr">
        <is>
          <t>direct</t>
        </is>
      </c>
      <c r="K4" s="21">
        <f>IF(AND(OR(D4="retain",D4=""),OR(E4="report_internal_inconsistency",E4="plan_material")),"","not_applicable")</f>
        <v/>
      </c>
      <c r="L4" s="22">
        <f>IF(AND(OR(D4="retain",D4=""),E4="protocol_report"),"","not_applicable")</f>
        <v/>
      </c>
      <c r="M4" s="20" t="n"/>
      <c r="N4" s="23" t="n"/>
      <c r="O4" s="23" t="n"/>
      <c r="P4" s="23" t="n"/>
      <c r="Q4" s="23" t="n"/>
      <c r="R4" s="22"/>
    </row>
    <row r="5" ht="92" customHeight="1" s="25">
      <c r="A5" s="24" t="inlineStr">
        <is>
          <t>2025::jama.2025.11178::C004</t>
        </is>
      </c>
      <c r="B5" s="24" t="inlineStr">
        <is>
          <t>Reciprocal NNT point-reproduction pattern</t>
        </is>
      </c>
      <c r="C5" s="24" t="inlineStr">
        <is>
          <t>Yes: REPORT main p.4 NNT definition — jama_debar_2025_oi_250046_1755300121.13587.pdf; REPORT main p.9 Table 2 severity 6-month HC/UC, interference 6-month HC/UC and footnote d — jama_debar_2025_oi_250046_1755300121.13587.pdf; REPORT results p.14 eTable 8 reminder-letter 6-month PT/UC and footnote d — joi250046supp4_prod_1755300121.15587.pdf. All three affected rows were read.</t>
        </is>
      </c>
      <c r="D5" s="21" t="inlineStr">
        <is>
          <t>exclude</t>
        </is>
      </c>
      <c r="E5" s="21" t="inlineStr">
        <is>
          <t>statistical_results</t>
        </is>
      </c>
      <c r="F5" s="21" t="inlineStr">
        <is>
          <t>primary_done</t>
        </is>
      </c>
      <c r="G5" s="24">
        <f>IFERROR(IF(LEN(TRIM(CLEAN(SUBSTITUTE(Setup!$B$2,CHAR(160)," "))))=0,"CHECK REVIEWER ID",IF(OR(A5="",COUNTIF($A$2:$A$19,A5)&lt;&gt;1,LEFT(A5,LEN("2025::jama.2025.11178::"))&lt;&gt;"2025::jama.2025.11178::"),"CHECK KEY",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NOT(OR(EXACT(D5,"retain"),EXACT(D5,"exclude"),EXACT(D5,"discuss"))),NOT(OR(EXACT(E5,"statistical_results"),EXACT(E5,"report_internal_inconsistency"),EXACT(E5,"plan_material"),EXACT(E5,"protocol_report"))),AND(AND(D5="retain",E5="statistical_results"),NOT(OR(EXACT(H5,"confirmed_issue"),EXACT(H5,"probable_issue"),EXACT(H5,"not_issue"),EXACT(H5,"indeterminate")))),AND(AND(D5="retain",E5="statistical_results"),NOT(OR(EXACT(I5,"substantive"),EXACT(I5,"minor_presentation"),EXACT(I5,"indeterminate")))),AND(AND(D5="retain",E5="statistical_results"),J5&lt;&gt;"",NOT(OR(EXACT(J5,"direct"),EXACT(J5,"possible"),EXACT(J5,"unlikely"),EXACT(J5,"unknown")))),AND(AND(D5="retain",OR(E5="report_internal_inconsistency",E5="plan_material")),NOT(OR(EXACT(K5,"substantive_inconsistency"),EXACT(K5,"minor_presentation"),EXACT(K5,"non_inconsistency"),EXACT(K5,"indeterminate")))),AND(AND(D5="retain",E5="protocol_report"),L5&lt;&gt;"",NOT(OR(EXACT(L5,"substantive_difference"),EXACT(L5,"minor_presentation"),EXACT(L5,"version_timing"),EXACT(L5,"non_inconsistency"),EXACT(L5,"indeterminate"))))),"CHECK FIELDS",IF(AND(F5&lt;&gt;"",NOT(OR(EXACT(F5,"no"),EXACT(F5,"primary_done")))),"CHECK COMPLETE",IF(EXACT(F5,"primary_done"),"PRIMARY READY","PRIMARY DRAFT")))))),"CHECK INPUT / KEY")</f>
        <v/>
      </c>
      <c r="H5" s="21">
        <f>IF(AND(OR(D5="retain",D5=""),E5="statistical_results"),"","not_applicable")</f>
        <v/>
      </c>
      <c r="I5" s="21">
        <f>IF(AND(OR(D5="retain",D5=""),E5="statistical_results"),"","not_applicable")</f>
        <v/>
      </c>
      <c r="J5" s="22">
        <f>IF(AND(OR(D5="retain",D5=""),E5="statistical_results"),"","not_applicable")</f>
        <v/>
      </c>
      <c r="K5" s="21">
        <f>IF(AND(OR(D5="retain",D5=""),OR(E5="report_internal_inconsistency",E5="plan_material")),"","not_applicable")</f>
        <v/>
      </c>
      <c r="L5" s="22">
        <f>IF(AND(OR(D5="retain",D5=""),E5="protocol_report"),"","not_applicable")</f>
        <v/>
      </c>
      <c r="M5" s="24" t="n"/>
      <c r="N5" s="23" t="n"/>
      <c r="O5" s="23" t="n"/>
      <c r="P5" s="23" t="n"/>
      <c r="Q5" s="23" t="n"/>
      <c r="R5" s="22" t="inlineStr">
        <is>
          <t>NNT points are consistently rounded up (ceiling), the usual NNT convention: ceiling of 100/(difference in printed adjusted %) reproduces all 57 positive NNT points in Table 2 (main p.9) and eTables 7-8 (Supp4 pp.11, 14) within display rounding, whereas round-to-nearest fails 22 of 57. The three flagged cells (8, 7, 8) fit ceiling (7.04-&gt;8, 6.02-&gt;7, 7.04-&gt;8). Convention unstated but explains the pattern.</t>
        </is>
      </c>
    </row>
    <row r="6" ht="92" customHeight="1" s="25">
      <c r="A6" s="20" t="inlineStr">
        <is>
          <t>2025::jama.2025.11178::C005</t>
        </is>
      </c>
      <c r="B6" s="20" t="inlineStr">
        <is>
          <t>Age as a prespecified base adjustment covariate</t>
        </is>
      </c>
      <c r="C6" s="20" t="inlineStr">
        <is>
          <t>Yes: PLAN protocol p.56 §15.5 — joi250046supp1_prod_1755300121.14087.pdf; PLAN SAP p.20 §§13–14 — joi250046supp2_prod_1755300121.15087.pdf; REPORT main p.4 adjustment sentence — jama_debar_2025_oi_250046_1755300121.13587.pdf; REPORT results p.4 Adjustment — joi250046supp4_prod_1755300121.15587.pdf, p.7 eTable 2 all-model variables — joi250046supp4_prod_1755300121.15587.pdf, p.8 eTable 3 age — joi250046supp4_prod_1755300121.15587.pdf, p.9 eTable 4 age — joi250046supp4_prod_1755300121.15587.pdf, p.10 eTable 5 age — joi250046supp4_prod_1755300121.15587.pdf; REPORT workbook — joi250046supp5_prod_1755300121.16087.xlsx, worksheet eTable 3, cells G2, A10, G10, directly decoded.</t>
        </is>
      </c>
      <c r="D6" s="21" t="inlineStr">
        <is>
          <t>retain</t>
        </is>
      </c>
      <c r="E6" s="21" t="inlineStr">
        <is>
          <t>protocol_report</t>
        </is>
      </c>
      <c r="F6" s="21" t="inlineStr">
        <is>
          <t>primary_done</t>
        </is>
      </c>
      <c r="G6" s="20">
        <f>IFERROR(IF(LEN(TRIM(CLEAN(SUBSTITUTE(Setup!$B$2,CHAR(160)," "))))=0,"CHECK REVIEWER ID",IF(OR(A6="",COUNTIF($A$2:$A$19,A6)&lt;&gt;1,LEFT(A6,LEN("2025::jama.2025.11178::"))&lt;&gt;"2025::jama.2025.11178::"),"CHECK KEY",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NOT(OR(EXACT(D6,"retain"),EXACT(D6,"exclude"),EXACT(D6,"discuss"))),NOT(OR(EXACT(E6,"statistical_results"),EXACT(E6,"report_internal_inconsistency"),EXACT(E6,"plan_material"),EXACT(E6,"protocol_report"))),AND(AND(D6="retain",E6="statistical_results"),NOT(OR(EXACT(H6,"confirmed_issue"),EXACT(H6,"probable_issue"),EXACT(H6,"not_issue"),EXACT(H6,"indeterminate")))),AND(AND(D6="retain",E6="statistical_results"),NOT(OR(EXACT(I6,"substantive"),EXACT(I6,"minor_presentation"),EXACT(I6,"indeterminate")))),AND(AND(D6="retain",E6="statistical_results"),J6&lt;&gt;"",NOT(OR(EXACT(J6,"direct"),EXACT(J6,"possible"),EXACT(J6,"unlikely"),EXACT(J6,"unknown")))),AND(AND(D6="retain",OR(E6="report_internal_inconsistency",E6="plan_material")),NOT(OR(EXACT(K6,"substantive_inconsistency"),EXACT(K6,"minor_presentation"),EXACT(K6,"non_inconsistency"),EXACT(K6,"indeterminate")))),AND(AND(D6="retain",E6="protocol_report"),L6&lt;&gt;"",NOT(OR(EXACT(L6,"substantive_difference"),EXACT(L6,"minor_presentation"),EXACT(L6,"version_timing"),EXACT(L6,"non_inconsistency"),EXACT(L6,"indeterminate"))))),"CHECK FIELDS",IF(AND(F6&lt;&gt;"",NOT(OR(EXACT(F6,"no"),EXACT(F6,"primary_done")))),"CHECK COMPLETE",IF(EXACT(F6,"primary_done"),"PRIMARY READY","PRIMARY DRAFT")))))),"CHECK INPUT / KEY")</f>
        <v/>
      </c>
      <c r="H6" s="21">
        <f>IF(AND(OR(D6="retain",D6=""),E6="statistical_results"),"","not_applicable")</f>
        <v/>
      </c>
      <c r="I6" s="21">
        <f>IF(AND(OR(D6="retain",D6=""),E6="statistical_results"),"","not_applicable")</f>
        <v/>
      </c>
      <c r="J6" s="22">
        <f>IF(AND(OR(D6="retain",D6=""),E6="statistical_results"),"","not_applicable")</f>
        <v/>
      </c>
      <c r="K6" s="21">
        <f>IF(AND(OR(D6="retain",D6=""),OR(E6="report_internal_inconsistency",E6="plan_material")),"","not_applicable")</f>
        <v/>
      </c>
      <c r="L6" s="22" t="inlineStr">
        <is>
          <t>substantive_difference</t>
        </is>
      </c>
      <c r="M6" s="20" t="n"/>
      <c r="N6" s="23" t="n"/>
      <c r="O6" s="23" t="n"/>
      <c r="P6" s="23" t="n"/>
      <c r="Q6" s="23" t="n"/>
      <c r="R6" s="22"/>
    </row>
    <row r="7" ht="92" customHeight="1" s="25">
      <c r="A7" s="24" t="inlineStr">
        <is>
          <t>2025::jama.2025.11178::C006</t>
        </is>
      </c>
      <c r="B7" s="24" t="inlineStr">
        <is>
          <t>Secondary-analysis adjustment specification</t>
        </is>
      </c>
      <c r="C7" s="24" t="inlineStr">
        <is>
          <t>Yes: PLAN protocol p.57 §15.6 — joi250046supp1_prod_1755300121.14087.pdf; PLAN SAP p.21 §15 — joi250046supp2_prod_1755300121.15087.pdf; REPORT main p.4 secondary methods — jama_debar_2025_oi_250046_1755300121.13587.pdf, p.10 Table 3 — jama_debar_2025_oi_250046_1755300121.13587.pdf and p.11 continuation — jama_debar_2025_oi_250046_1755300121.13587.pdf.</t>
        </is>
      </c>
      <c r="D7" s="21" t="inlineStr">
        <is>
          <t>retain</t>
        </is>
      </c>
      <c r="E7" s="21" t="inlineStr">
        <is>
          <t>protocol_report</t>
        </is>
      </c>
      <c r="F7" s="21" t="inlineStr">
        <is>
          <t>primary_done</t>
        </is>
      </c>
      <c r="G7" s="24">
        <f>IFERROR(IF(LEN(TRIM(CLEAN(SUBSTITUTE(Setup!$B$2,CHAR(160)," "))))=0,"CHECK REVIEWER ID",IF(OR(A7="",COUNTIF($A$2:$A$19,A7)&lt;&gt;1,LEFT(A7,LEN("2025::jama.2025.11178::"))&lt;&gt;"2025::jama.2025.11178::"),"CHECK KEY",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NOT(OR(EXACT(D7,"retain"),EXACT(D7,"exclude"),EXACT(D7,"discuss"))),NOT(OR(EXACT(E7,"statistical_results"),EXACT(E7,"report_internal_inconsistency"),EXACT(E7,"plan_material"),EXACT(E7,"protocol_report"))),AND(AND(D7="retain",E7="statistical_results"),NOT(OR(EXACT(H7,"confirmed_issue"),EXACT(H7,"probable_issue"),EXACT(H7,"not_issue"),EXACT(H7,"indeterminate")))),AND(AND(D7="retain",E7="statistical_results"),NOT(OR(EXACT(I7,"substantive"),EXACT(I7,"minor_presentation"),EXACT(I7,"indeterminate")))),AND(AND(D7="retain",E7="statistical_results"),J7&lt;&gt;"",NOT(OR(EXACT(J7,"direct"),EXACT(J7,"possible"),EXACT(J7,"unlikely"),EXACT(J7,"unknown")))),AND(AND(D7="retain",OR(E7="report_internal_inconsistency",E7="plan_material")),NOT(OR(EXACT(K7,"substantive_inconsistency"),EXACT(K7,"minor_presentation"),EXACT(K7,"non_inconsistency"),EXACT(K7,"indeterminate")))),AND(AND(D7="retain",E7="protocol_report"),L7&lt;&gt;"",NOT(OR(EXACT(L7,"substantive_difference"),EXACT(L7,"minor_presentation"),EXACT(L7,"version_timing"),EXACT(L7,"non_inconsistency"),EXACT(L7,"indeterminate"))))),"CHECK FIELDS",IF(AND(F7&lt;&gt;"",NOT(OR(EXACT(F7,"no"),EXACT(F7,"primary_done")))),"CHECK COMPLETE",IF(EXACT(F7,"primary_done"),"PRIMARY READY","PRIMARY DRAFT")))))),"CHECK INPUT / KEY")</f>
        <v/>
      </c>
      <c r="H7" s="21">
        <f>IF(AND(OR(D7="retain",D7=""),E7="statistical_results"),"","not_applicable")</f>
        <v/>
      </c>
      <c r="I7" s="21">
        <f>IF(AND(OR(D7="retain",D7=""),E7="statistical_results"),"","not_applicable")</f>
        <v/>
      </c>
      <c r="J7" s="22">
        <f>IF(AND(OR(D7="retain",D7=""),E7="statistical_results"),"","not_applicable")</f>
        <v/>
      </c>
      <c r="K7" s="21">
        <f>IF(AND(OR(D7="retain",D7=""),OR(E7="report_internal_inconsistency",E7="plan_material")),"","not_applicable")</f>
        <v/>
      </c>
      <c r="L7" s="22" t="inlineStr">
        <is>
          <t>substantive_difference</t>
        </is>
      </c>
      <c r="M7" s="24" t="n"/>
      <c r="N7" s="23" t="n"/>
      <c r="O7" s="23" t="n"/>
      <c r="P7" s="23" t="n"/>
      <c r="Q7" s="23" t="n"/>
      <c r="R7" s="22"/>
    </row>
    <row r="8" ht="92" customHeight="1" s="25">
      <c r="A8" s="20" t="inlineStr">
        <is>
          <t>2025::jama.2025.11178::C007</t>
        </is>
      </c>
      <c r="B8" s="20" t="inlineStr">
        <is>
          <t>Primary versus sensitivity missing-data analysis roles</t>
        </is>
      </c>
      <c r="C8" s="20" t="inlineStr">
        <is>
          <t>Yes: PLAN SAP p.19 §11 — joi250046supp2_prod_1755300121.15087.pdf, PLAN p.4 July 17, 2024 amendment — joi250046supp2_prod_1755300121.15087.pdf; REPORT main p.4 missing-data paragraph — jama_debar_2025_oi_250046_1755300121.13587.pdf; REPORT results p.4 Missing Data — joi250046supp4_prod_1755300121.15587.pdf, p.5 Non-Response Weighting — joi250046supp4_prod_1755300121.15587.pdf, p.9 eTable 4 — joi250046supp4_prod_1755300121.15587.pdf, p.11 sensitivity narrative and complete-case block — joi250046supp4_prod_1755300121.15587.pdf. P.5 was read as disclosed-amendment context in addition to the registered comparisons.</t>
        </is>
      </c>
      <c r="D8" s="21" t="inlineStr">
        <is>
          <t>retain</t>
        </is>
      </c>
      <c r="E8" s="21" t="inlineStr">
        <is>
          <t>protocol_report</t>
        </is>
      </c>
      <c r="F8" s="21" t="inlineStr">
        <is>
          <t>primary_done</t>
        </is>
      </c>
      <c r="G8" s="20">
        <f>IFERROR(IF(LEN(TRIM(CLEAN(SUBSTITUTE(Setup!$B$2,CHAR(160)," "))))=0,"CHECK REVIEWER ID",IF(OR(A8="",COUNTIF($A$2:$A$19,A8)&lt;&gt;1,LEFT(A8,LEN("2025::jama.2025.11178::"))&lt;&gt;"2025::jama.2025.11178::"),"CHECK KEY",IF(OR(AND(NOT(AND(D8="retain",E8="statistical_results")),H8&lt;&gt;"",NOT(EXACT(H8,"not_applicable"))),AND(NOT(AND(D8="retain",E8="statistical_results")),I8&lt;&gt;"",NOT(EXACT(I8,"not_applicable"))),AND(NOT(AND(D8="retain",E8="statistical_results")),J8&lt;&gt;"",NOT(EXACT(J8,"not_applicable"))),AND(NOT(AND(D8="retain",OR(E8="report_internal_inconsistency",E8="plan_material"))),K8&lt;&gt;"",NOT(EXACT(K8,"not_applicable"))),AND(NOT(AND(D8="retain",E8="protocol_report")),L8&lt;&gt;"",NOT(EXACT(L8,"not_applicable")))),"CLEAR INACTIVE VALUES",IF(OR(NOT(OR(EXACT(D8,"retain"),EXACT(D8,"exclude"),EXACT(D8,"discuss"))),NOT(OR(EXACT(E8,"statistical_results"),EXACT(E8,"report_internal_inconsistency"),EXACT(E8,"plan_material"),EXACT(E8,"protocol_report"))),AND(AND(D8="retain",E8="statistical_results"),NOT(OR(EXACT(H8,"confirmed_issue"),EXACT(H8,"probable_issue"),EXACT(H8,"not_issue"),EXACT(H8,"indeterminate")))),AND(AND(D8="retain",E8="statistical_results"),NOT(OR(EXACT(I8,"substantive"),EXACT(I8,"minor_presentation"),EXACT(I8,"indeterminate")))),AND(AND(D8="retain",E8="statistical_results"),J8&lt;&gt;"",NOT(OR(EXACT(J8,"direct"),EXACT(J8,"possible"),EXACT(J8,"unlikely"),EXACT(J8,"unknown")))),AND(AND(D8="retain",OR(E8="report_internal_inconsistency",E8="plan_material")),NOT(OR(EXACT(K8,"substantive_inconsistency"),EXACT(K8,"minor_presentation"),EXACT(K8,"non_inconsistency"),EXACT(K8,"indeterminate")))),AND(AND(D8="retain",E8="protocol_report"),L8&lt;&gt;"",NOT(OR(EXACT(L8,"substantive_difference"),EXACT(L8,"minor_presentation"),EXACT(L8,"version_timing"),EXACT(L8,"non_inconsistency"),EXACT(L8,"indeterminate"))))),"CHECK FIELDS",IF(AND(F8&lt;&gt;"",NOT(OR(EXACT(F8,"no"),EXACT(F8,"primary_done")))),"CHECK COMPLETE",IF(EXACT(F8,"primary_done"),"PRIMARY READY","PRIMARY DRAFT")))))),"CHECK INPUT / KEY")</f>
        <v/>
      </c>
      <c r="H8" s="21">
        <f>IF(AND(OR(D8="retain",D8=""),E8="statistical_results"),"","not_applicable")</f>
        <v/>
      </c>
      <c r="I8" s="21">
        <f>IF(AND(OR(D8="retain",D8=""),E8="statistical_results"),"","not_applicable")</f>
        <v/>
      </c>
      <c r="J8" s="22">
        <f>IF(AND(OR(D8="retain",D8=""),E8="statistical_results"),"","not_applicable")</f>
        <v/>
      </c>
      <c r="K8" s="21">
        <f>IF(AND(OR(D8="retain",D8=""),OR(E8="report_internal_inconsistency",E8="plan_material")),"","not_applicable")</f>
        <v/>
      </c>
      <c r="L8" s="22" t="inlineStr">
        <is>
          <t>substantive_difference</t>
        </is>
      </c>
      <c r="M8" s="20" t="n"/>
      <c r="N8" s="23" t="n"/>
      <c r="O8" s="23" t="n"/>
      <c r="P8" s="23" t="n"/>
      <c r="Q8" s="23" t="n"/>
      <c r="R8" s="22"/>
    </row>
    <row r="9" ht="92" customHeight="1" s="25">
      <c r="A9" s="24" t="inlineStr">
        <is>
          <t>2025::jama.2025.11178::C008</t>
        </is>
      </c>
      <c r="B9" s="24" t="inlineStr">
        <is>
          <t>RR versus finite NNT null coverage</t>
        </is>
      </c>
      <c r="C9" s="24" t="inlineStr">
        <is>
          <t>Yes: REPORT main p.9 Table 2 HC/PT columns and footnotes b,d,e — jama_debar_2025_oi_250046_1755300121.13587.pdf, all six registered contrast/time rows; REPORT p.4 binary model and NNT method — jama_debar_2025_oi_250046_1755300121.13587.pdf.</t>
        </is>
      </c>
      <c r="D9" s="21" t="inlineStr">
        <is>
          <t>retain</t>
        </is>
      </c>
      <c r="E9" s="21" t="inlineStr">
        <is>
          <t>statistical_results</t>
        </is>
      </c>
      <c r="F9" s="21" t="inlineStr">
        <is>
          <t>primary_done</t>
        </is>
      </c>
      <c r="G9" s="24">
        <f>IFERROR(IF(LEN(TRIM(CLEAN(SUBSTITUTE(Setup!$B$2,CHAR(160)," "))))=0,"CHECK REVIEWER ID",IF(OR(A9="",COUNTIF($A$2:$A$19,A9)&lt;&gt;1,LEFT(A9,LEN("2025::jama.2025.11178::"))&lt;&gt;"2025::jama.2025.11178::"),"CHECK KEY",IF(OR(AND(NOT(AND(D9="retain",E9="statistical_results")),H9&lt;&gt;"",NOT(EXACT(H9,"not_applicable"))),AND(NOT(AND(D9="retain",E9="statistical_results")),I9&lt;&gt;"",NOT(EXACT(I9,"not_applicable"))),AND(NOT(AND(D9="retain",E9="statistical_results")),J9&lt;&gt;"",NOT(EXACT(J9,"not_applicable"))),AND(NOT(AND(D9="retain",OR(E9="report_internal_inconsistency",E9="plan_material"))),K9&lt;&gt;"",NOT(EXACT(K9,"not_applicable"))),AND(NOT(AND(D9="retain",E9="protocol_report")),L9&lt;&gt;"",NOT(EXACT(L9,"not_applicable")))),"CLEAR INACTIVE VALUES",IF(OR(NOT(OR(EXACT(D9,"retain"),EXACT(D9,"exclude"),EXACT(D9,"discuss"))),NOT(OR(EXACT(E9,"statistical_results"),EXACT(E9,"report_internal_inconsistency"),EXACT(E9,"plan_material"),EXACT(E9,"protocol_report"))),AND(AND(D9="retain",E9="statistical_results"),NOT(OR(EXACT(H9,"confirmed_issue"),EXACT(H9,"probable_issue"),EXACT(H9,"not_issue"),EXACT(H9,"indeterminate")))),AND(AND(D9="retain",E9="statistical_results"),NOT(OR(EXACT(I9,"substantive"),EXACT(I9,"minor_presentation"),EXACT(I9,"indeterminate")))),AND(AND(D9="retain",E9="statistical_results"),J9&lt;&gt;"",NOT(OR(EXACT(J9,"direct"),EXACT(J9,"possible"),EXACT(J9,"unlikely"),EXACT(J9,"unknown")))),AND(AND(D9="retain",OR(E9="report_internal_inconsistency",E9="plan_material")),NOT(OR(EXACT(K9,"substantive_inconsistency"),EXACT(K9,"minor_presentation"),EXACT(K9,"non_inconsistency"),EXACT(K9,"indeterminate")))),AND(AND(D9="retain",E9="protocol_report"),L9&lt;&gt;"",NOT(OR(EXACT(L9,"substantive_difference"),EXACT(L9,"minor_presentation"),EXACT(L9,"version_timing"),EXACT(L9,"non_inconsistency"),EXACT(L9,"indeterminate"))))),"CHECK FIELDS",IF(AND(F9&lt;&gt;"",NOT(OR(EXACT(F9,"no"),EXACT(F9,"primary_done")))),"CHECK COMPLETE",IF(EXACT(F9,"primary_done"),"PRIMARY READY","PRIMARY DRAFT")))))),"CHECK INPUT / KEY")</f>
        <v/>
      </c>
      <c r="H9" s="21" t="inlineStr">
        <is>
          <t>confirmed_issue</t>
        </is>
      </c>
      <c r="I9" s="21" t="inlineStr">
        <is>
          <t>minor_presentation</t>
        </is>
      </c>
      <c r="J9" s="22" t="inlineStr">
        <is>
          <t>possible</t>
        </is>
      </c>
      <c r="K9" s="21">
        <f>IF(AND(OR(D9="retain",D9=""),OR(E9="report_internal_inconsistency",E9="plan_material")),"","not_applicable")</f>
        <v/>
      </c>
      <c r="L9" s="22">
        <f>IF(AND(OR(D9="retain",D9=""),E9="protocol_report"),"","not_applicable")</f>
        <v/>
      </c>
      <c r="M9" s="24" t="n"/>
      <c r="N9" s="23" t="n"/>
      <c r="O9" s="23" t="n"/>
      <c r="P9" s="23" t="n"/>
      <c r="Q9" s="23" t="n"/>
      <c r="R9" s="22"/>
    </row>
    <row r="10" ht="92" customHeight="1" s="25">
      <c r="A10" s="20" t="inlineStr">
        <is>
          <t>2025::jama.2025.11178::C009</t>
        </is>
      </c>
      <c r="B10" s="20" t="inlineStr">
        <is>
          <t>NNT point outside its confidence interval</t>
        </is>
      </c>
      <c r="C10" s="20" t="inlineStr">
        <is>
          <t>Yes: REPORT main p.9 Table 2 pain intensity 12 months, HC/PT NNT column — jama_debar_2025_oi_250046_1755300121.13587.pdf.</t>
        </is>
      </c>
      <c r="D10" s="21" t="inlineStr">
        <is>
          <t>retain</t>
        </is>
      </c>
      <c r="E10" s="21" t="inlineStr">
        <is>
          <t>statistical_results</t>
        </is>
      </c>
      <c r="F10" s="21" t="inlineStr">
        <is>
          <t>primary_done</t>
        </is>
      </c>
      <c r="G10" s="20">
        <f>IFERROR(IF(LEN(TRIM(CLEAN(SUBSTITUTE(Setup!$B$2,CHAR(160)," "))))=0,"CHECK REVIEWER ID",IF(OR(A10="",COUNTIF($A$2:$A$19,A10)&lt;&gt;1,LEFT(A10,LEN("2025::jama.2025.11178::"))&lt;&gt;"2025::jama.2025.11178::"),"CHECK KEY",IF(OR(AND(NOT(AND(D10="retain",E10="statistical_results")),H10&lt;&gt;"",NOT(EXACT(H10,"not_applicable"))),AND(NOT(AND(D10="retain",E10="statistical_results")),I10&lt;&gt;"",NOT(EXACT(I10,"not_applicable"))),AND(NOT(AND(D10="retain",E10="statistical_results")),J10&lt;&gt;"",NOT(EXACT(J10,"not_applicable"))),AND(NOT(AND(D10="retain",OR(E10="report_internal_inconsistency",E10="plan_material"))),K10&lt;&gt;"",NOT(EXACT(K10,"not_applicable"))),AND(NOT(AND(D10="retain",E10="protocol_report")),L10&lt;&gt;"",NOT(EXACT(L10,"not_applicable")))),"CLEAR INACTIVE VALUES",IF(OR(NOT(OR(EXACT(D10,"retain"),EXACT(D10,"exclude"),EXACT(D10,"discuss"))),NOT(OR(EXACT(E10,"statistical_results"),EXACT(E10,"report_internal_inconsistency"),EXACT(E10,"plan_material"),EXACT(E10,"protocol_report"))),AND(AND(D10="retain",E10="statistical_results"),NOT(OR(EXACT(H10,"confirmed_issue"),EXACT(H10,"probable_issue"),EXACT(H10,"not_issue"),EXACT(H10,"indeterminate")))),AND(AND(D10="retain",E10="statistical_results"),NOT(OR(EXACT(I10,"substantive"),EXACT(I10,"minor_presentation"),EXACT(I10,"indeterminate")))),AND(AND(D10="retain",E10="statistical_results"),J10&lt;&gt;"",NOT(OR(EXACT(J10,"direct"),EXACT(J10,"possible"),EXACT(J10,"unlikely"),EXACT(J10,"unknown")))),AND(AND(D10="retain",OR(E10="report_internal_inconsistency",E10="plan_material")),NOT(OR(EXACT(K10,"substantive_inconsistency"),EXACT(K10,"minor_presentation"),EXACT(K10,"non_inconsistency"),EXACT(K10,"indeterminate")))),AND(AND(D10="retain",E10="protocol_report"),L10&lt;&gt;"",NOT(OR(EXACT(L10,"substantive_difference"),EXACT(L10,"minor_presentation"),EXACT(L10,"version_timing"),EXACT(L10,"non_inconsistency"),EXACT(L10,"indeterminate"))))),"CHECK FIELDS",IF(AND(F10&lt;&gt;"",NOT(OR(EXACT(F10,"no"),EXACT(F10,"primary_done")))),"CHECK COMPLETE",IF(EXACT(F10,"primary_done"),"PRIMARY READY","PRIMARY DRAFT")))))),"CHECK INPUT / KEY")</f>
        <v/>
      </c>
      <c r="H10" s="21" t="inlineStr">
        <is>
          <t>confirmed_issue</t>
        </is>
      </c>
      <c r="I10" s="21" t="inlineStr">
        <is>
          <t>minor_presentation</t>
        </is>
      </c>
      <c r="J10" s="22" t="inlineStr">
        <is>
          <t>unlikely</t>
        </is>
      </c>
      <c r="K10" s="21">
        <f>IF(AND(OR(D10="retain",D10=""),OR(E10="report_internal_inconsistency",E10="plan_material")),"","not_applicable")</f>
        <v/>
      </c>
      <c r="L10" s="22">
        <f>IF(AND(OR(D10="retain",D10=""),E10="protocol_report"),"","not_applicable")</f>
        <v/>
      </c>
      <c r="M10" s="20" t="n"/>
      <c r="N10" s="23" t="n"/>
      <c r="O10" s="23" t="n"/>
      <c r="P10" s="23" t="n"/>
      <c r="Q10" s="23" t="n"/>
      <c r="R10" s="22"/>
    </row>
    <row r="11" ht="92" customHeight="1" s="25">
      <c r="A11" s="24" t="inlineStr">
        <is>
          <t>2025::jama.2025.11178::C010</t>
        </is>
      </c>
      <c r="B11" s="24" t="inlineStr">
        <is>
          <t>SMD points outside printed confidence intervals</t>
        </is>
      </c>
      <c r="C11" s="24" t="inlineStr">
        <is>
          <t>Yes: REPORT main p.10 Table 3 — jama_debar_2025_oi_250046_1755300121.13587.pdf and p.11 PGIC-pain continuation — jama_debar_2025_oi_250046_1755300121.13587.pdf. Every one of the fourteen registered tuples was read directly; all matched the ledger.</t>
        </is>
      </c>
      <c r="D11" s="21" t="inlineStr">
        <is>
          <t>retain</t>
        </is>
      </c>
      <c r="E11" s="21" t="inlineStr">
        <is>
          <t>statistical_results</t>
        </is>
      </c>
      <c r="F11" s="21" t="inlineStr">
        <is>
          <t>primary_done</t>
        </is>
      </c>
      <c r="G11" s="24">
        <f>IFERROR(IF(LEN(TRIM(CLEAN(SUBSTITUTE(Setup!$B$2,CHAR(160)," "))))=0,"CHECK REVIEWER ID",IF(OR(A11="",COUNTIF($A$2:$A$19,A11)&lt;&gt;1,LEFT(A11,LEN("2025::jama.2025.11178::"))&lt;&gt;"2025::jama.2025.11178::"),"CHECK KEY",IF(OR(AND(NOT(AND(D11="retain",E11="statistical_results")),H11&lt;&gt;"",NOT(EXACT(H11,"not_applicable"))),AND(NOT(AND(D11="retain",E11="statistical_results")),I11&lt;&gt;"",NOT(EXACT(I11,"not_applicable"))),AND(NOT(AND(D11="retain",E11="statistical_results")),J11&lt;&gt;"",NOT(EXACT(J11,"not_applicable"))),AND(NOT(AND(D11="retain",OR(E11="report_internal_inconsistency",E11="plan_material"))),K11&lt;&gt;"",NOT(EXACT(K11,"not_applicable"))),AND(NOT(AND(D11="retain",E11="protocol_report")),L11&lt;&gt;"",NOT(EXACT(L11,"not_applicable")))),"CLEAR INACTIVE VALUES",IF(OR(NOT(OR(EXACT(D11,"retain"),EXACT(D11,"exclude"),EXACT(D11,"discuss"))),NOT(OR(EXACT(E11,"statistical_results"),EXACT(E11,"report_internal_inconsistency"),EXACT(E11,"plan_material"),EXACT(E11,"protocol_report"))),AND(AND(D11="retain",E11="statistical_results"),NOT(OR(EXACT(H11,"confirmed_issue"),EXACT(H11,"probable_issue"),EXACT(H11,"not_issue"),EXACT(H11,"indeterminate")))),AND(AND(D11="retain",E11="statistical_results"),NOT(OR(EXACT(I11,"substantive"),EXACT(I11,"minor_presentation"),EXACT(I11,"indeterminate")))),AND(AND(D11="retain",E11="statistical_results"),J11&lt;&gt;"",NOT(OR(EXACT(J11,"direct"),EXACT(J11,"possible"),EXACT(J11,"unlikely"),EXACT(J11,"unknown")))),AND(AND(D11="retain",OR(E11="report_internal_inconsistency",E11="plan_material")),NOT(OR(EXACT(K11,"substantive_inconsistency"),EXACT(K11,"minor_presentation"),EXACT(K11,"non_inconsistency"),EXACT(K11,"indeterminate")))),AND(AND(D11="retain",E11="protocol_report"),L11&lt;&gt;"",NOT(OR(EXACT(L11,"substantive_difference"),EXACT(L11,"minor_presentation"),EXACT(L11,"version_timing"),EXACT(L11,"non_inconsistency"),EXACT(L11,"indeterminate"))))),"CHECK FIELDS",IF(AND(F11&lt;&gt;"",NOT(OR(EXACT(F11,"no"),EXACT(F11,"primary_done")))),"CHECK COMPLETE",IF(EXACT(F11,"primary_done"),"PRIMARY READY","PRIMARY DRAFT")))))),"CHECK INPUT / KEY")</f>
        <v/>
      </c>
      <c r="H11" s="21" t="inlineStr">
        <is>
          <t>confirmed_issue</t>
        </is>
      </c>
      <c r="I11" s="21" t="inlineStr">
        <is>
          <t>substantive</t>
        </is>
      </c>
      <c r="J11" s="22" t="inlineStr">
        <is>
          <t>direct</t>
        </is>
      </c>
      <c r="K11" s="21">
        <f>IF(AND(OR(D11="retain",D11=""),OR(E11="report_internal_inconsistency",E11="plan_material")),"","not_applicable")</f>
        <v/>
      </c>
      <c r="L11" s="22">
        <f>IF(AND(OR(D11="retain",D11=""),E11="protocol_report"),"","not_applicable")</f>
        <v/>
      </c>
      <c r="M11" s="24" t="n"/>
      <c r="N11" s="23" t="n"/>
      <c r="O11" s="23" t="n"/>
      <c r="P11" s="23" t="n"/>
      <c r="Q11" s="23" t="n"/>
      <c r="R11" s="22"/>
    </row>
    <row r="12" ht="92" customHeight="1" s="25">
      <c r="A12" s="20" t="inlineStr">
        <is>
          <t>2025::jama.2025.11178::C011</t>
        </is>
      </c>
      <c r="B12" s="20" t="inlineStr">
        <is>
          <t>Covariate set of restricted primary analyses</t>
        </is>
      </c>
      <c r="C12" s="20" t="inlineStr">
        <is>
          <t>Yes: REPORT results p.4 Adjustment — joi250046supp4_prod_1755300121.15587.pdf, p.7 eTable 2 final imputation/estimation set — joi250046supp4_prod_1755300121.15587.pdf, p.13 Protocol Change Subset Analyses — joi250046supp4_prod_1755300121.15587.pdf, p.14 eTable 8 all three blocks and footnote b — joi250046supp4_prod_1755300121.15587.pdf. Fitted education/employment terms at p.8 — joi250046supp4_prod_1755300121.15587.pdf and p.9 — joi250046supp4_prod_1755300121.15587.pdf were also read as corroboration.</t>
        </is>
      </c>
      <c r="D12" s="21" t="inlineStr">
        <is>
          <t>retain</t>
        </is>
      </c>
      <c r="E12" s="21" t="inlineStr">
        <is>
          <t>statistical_results</t>
        </is>
      </c>
      <c r="F12" s="21" t="inlineStr">
        <is>
          <t>primary_done</t>
        </is>
      </c>
      <c r="G12" s="20">
        <f>IFERROR(IF(LEN(TRIM(CLEAN(SUBSTITUTE(Setup!$B$2,CHAR(160)," "))))=0,"CHECK REVIEWER ID",IF(OR(A12="",COUNTIF($A$2:$A$19,A12)&lt;&gt;1,LEFT(A12,LEN("2025::jama.2025.11178::"))&lt;&gt;"2025::jama.2025.11178::"),"CHECK KEY",IF(OR(AND(NOT(AND(D12="retain",E12="statistical_results")),H12&lt;&gt;"",NOT(EXACT(H12,"not_applicable"))),AND(NOT(AND(D12="retain",E12="statistical_results")),I12&lt;&gt;"",NOT(EXACT(I12,"not_applicable"))),AND(NOT(AND(D12="retain",E12="statistical_results")),J12&lt;&gt;"",NOT(EXACT(J12,"not_applicable"))),AND(NOT(AND(D12="retain",OR(E12="report_internal_inconsistency",E12="plan_material"))),K12&lt;&gt;"",NOT(EXACT(K12,"not_applicable"))),AND(NOT(AND(D12="retain",E12="protocol_report")),L12&lt;&gt;"",NOT(EXACT(L12,"not_applicable")))),"CLEAR INACTIVE VALUES",IF(OR(NOT(OR(EXACT(D12,"retain"),EXACT(D12,"exclude"),EXACT(D12,"discuss"))),NOT(OR(EXACT(E12,"statistical_results"),EXACT(E12,"report_internal_inconsistency"),EXACT(E12,"plan_material"),EXACT(E12,"protocol_report"))),AND(AND(D12="retain",E12="statistical_results"),NOT(OR(EXACT(H12,"confirmed_issue"),EXACT(H12,"probable_issue"),EXACT(H12,"not_issue"),EXACT(H12,"indeterminate")))),AND(AND(D12="retain",E12="statistical_results"),NOT(OR(EXACT(I12,"substantive"),EXACT(I12,"minor_presentation"),EXACT(I12,"indeterminate")))),AND(AND(D12="retain",E12="statistical_results"),J12&lt;&gt;"",NOT(OR(EXACT(J12,"direct"),EXACT(J12,"possible"),EXACT(J12,"unlikely"),EXACT(J12,"unknown")))),AND(AND(D12="retain",OR(E12="report_internal_inconsistency",E12="plan_material")),NOT(OR(EXACT(K12,"substantive_inconsistency"),EXACT(K12,"minor_presentation"),EXACT(K12,"non_inconsistency"),EXACT(K12,"indeterminate")))),AND(AND(D12="retain",E12="protocol_report"),L12&lt;&gt;"",NOT(OR(EXACT(L12,"substantive_difference"),EXACT(L12,"minor_presentation"),EXACT(L12,"version_timing"),EXACT(L12,"non_inconsistency"),EXACT(L12,"indeterminate"))))),"CHECK FIELDS",IF(AND(F12&lt;&gt;"",NOT(OR(EXACT(F12,"no"),EXACT(F12,"primary_done")))),"CHECK COMPLETE",IF(EXACT(F12,"primary_done"),"PRIMARY READY","PRIMARY DRAFT")))))),"CHECK INPUT / KEY")</f>
        <v/>
      </c>
      <c r="H12" s="21" t="inlineStr">
        <is>
          <t>confirmed_issue</t>
        </is>
      </c>
      <c r="I12" s="21" t="inlineStr">
        <is>
          <t>minor_presentation</t>
        </is>
      </c>
      <c r="J12" s="22" t="inlineStr">
        <is>
          <t>unlikely</t>
        </is>
      </c>
      <c r="K12" s="21">
        <f>IF(AND(OR(D12="retain",D12=""),OR(E12="report_internal_inconsistency",E12="plan_material")),"","not_applicable")</f>
        <v/>
      </c>
      <c r="L12" s="22">
        <f>IF(AND(OR(D12="retain",D12=""),E12="protocol_report"),"","not_applicable")</f>
        <v/>
      </c>
      <c r="M12" s="20" t="n"/>
      <c r="N12" s="23" t="n"/>
      <c r="O12" s="23" t="n"/>
      <c r="P12" s="23" t="n"/>
      <c r="Q12" s="23" t="n"/>
      <c r="R12" s="22"/>
    </row>
    <row r="13" ht="92" customHeight="1" s="25">
      <c r="A13" s="24" t="inlineStr">
        <is>
          <t>2025::jama.2025.11178::C012</t>
        </is>
      </c>
      <c r="B13" s="24" t="inlineStr">
        <is>
          <t>Final response-weight model predictor membership</t>
        </is>
      </c>
      <c r="C13" s="24" t="inlineStr">
        <is>
          <t>Yes: REPORT results p.4 Adjustment/selection — joi250046supp4_prod_1755300121.15587.pdf, p.5 Non-Response Weighting — joi250046supp4_prod_1755300121.15587.pdf, p.7 eTable 2 final nonresponse predictors — joi250046supp4_prod_1755300121.15587.pdf, p.10 eTable 5 full coefficient display — joi250046supp4_prod_1755300121.15587.pdf; corroborating REPORT workbook — joi250046supp5_prod_1755300121.16087.xlsx, worksheet eTable 3, cells A18, H18, I18, J18.</t>
        </is>
      </c>
      <c r="D13" s="21" t="inlineStr">
        <is>
          <t>retain</t>
        </is>
      </c>
      <c r="E13" s="21" t="inlineStr">
        <is>
          <t>statistical_results</t>
        </is>
      </c>
      <c r="F13" s="21" t="inlineStr">
        <is>
          <t>primary_done</t>
        </is>
      </c>
      <c r="G13" s="24">
        <f>IFERROR(IF(LEN(TRIM(CLEAN(SUBSTITUTE(Setup!$B$2,CHAR(160)," "))))=0,"CHECK REVIEWER ID",IF(OR(A13="",COUNTIF($A$2:$A$19,A13)&lt;&gt;1,LEFT(A13,LEN("2025::jama.2025.11178::"))&lt;&gt;"2025::jama.2025.11178::"),"CHECK KEY",IF(OR(AND(NOT(AND(D13="retain",E13="statistical_results")),H13&lt;&gt;"",NOT(EXACT(H13,"not_applicable"))),AND(NOT(AND(D13="retain",E13="statistical_results")),I13&lt;&gt;"",NOT(EXACT(I13,"not_applicable"))),AND(NOT(AND(D13="retain",E13="statistical_results")),J13&lt;&gt;"",NOT(EXACT(J13,"not_applicable"))),AND(NOT(AND(D13="retain",OR(E13="report_internal_inconsistency",E13="plan_material"))),K13&lt;&gt;"",NOT(EXACT(K13,"not_applicable"))),AND(NOT(AND(D13="retain",E13="protocol_report")),L13&lt;&gt;"",NOT(EXACT(L13,"not_applicable")))),"CLEAR INACTIVE VALUES",IF(OR(NOT(OR(EXACT(D13,"retain"),EXACT(D13,"exclude"),EXACT(D13,"discuss"))),NOT(OR(EXACT(E13,"statistical_results"),EXACT(E13,"report_internal_inconsistency"),EXACT(E13,"plan_material"),EXACT(E13,"protocol_report"))),AND(AND(D13="retain",E13="statistical_results"),NOT(OR(EXACT(H13,"confirmed_issue"),EXACT(H13,"probable_issue"),EXACT(H13,"not_issue"),EXACT(H13,"indeterminate")))),AND(AND(D13="retain",E13="statistical_results"),NOT(OR(EXACT(I13,"substantive"),EXACT(I13,"minor_presentation"),EXACT(I13,"indeterminate")))),AND(AND(D13="retain",E13="statistical_results"),J13&lt;&gt;"",NOT(OR(EXACT(J13,"direct"),EXACT(J13,"possible"),EXACT(J13,"unlikely"),EXACT(J13,"unknown")))),AND(AND(D13="retain",OR(E13="report_internal_inconsistency",E13="plan_material")),NOT(OR(EXACT(K13,"substantive_inconsistency"),EXACT(K13,"minor_presentation"),EXACT(K13,"non_inconsistency"),EXACT(K13,"indeterminate")))),AND(AND(D13="retain",E13="protocol_report"),L13&lt;&gt;"",NOT(OR(EXACT(L13,"substantive_difference"),EXACT(L13,"minor_presentation"),EXACT(L13,"version_timing"),EXACT(L13,"non_inconsistency"),EXACT(L13,"indeterminate"))))),"CHECK FIELDS",IF(AND(F13&lt;&gt;"",NOT(OR(EXACT(F13,"no"),EXACT(F13,"primary_done")))),"CHECK COMPLETE",IF(EXACT(F13,"primary_done"),"PRIMARY READY","PRIMARY DRAFT")))))),"CHECK INPUT / KEY")</f>
        <v/>
      </c>
      <c r="H13" s="21" t="inlineStr">
        <is>
          <t>confirmed_issue</t>
        </is>
      </c>
      <c r="I13" s="21" t="inlineStr">
        <is>
          <t>minor_presentation</t>
        </is>
      </c>
      <c r="J13" s="22" t="inlineStr">
        <is>
          <t>unlikely</t>
        </is>
      </c>
      <c r="K13" s="21">
        <f>IF(AND(OR(D13="retain",D13=""),OR(E13="report_internal_inconsistency",E13="plan_material")),"","not_applicable")</f>
        <v/>
      </c>
      <c r="L13" s="22">
        <f>IF(AND(OR(D13="retain",D13=""),E13="protocol_report"),"","not_applicable")</f>
        <v/>
      </c>
      <c r="M13" s="24" t="n"/>
      <c r="N13" s="23" t="n"/>
      <c r="O13" s="23" t="n"/>
      <c r="P13" s="23" t="n"/>
      <c r="Q13" s="23" t="n"/>
      <c r="R13" s="22"/>
    </row>
    <row r="14" ht="92" customHeight="1" s="25">
      <c r="A14" s="20" t="inlineStr">
        <is>
          <t>2025::jama.2025.11178::C013</t>
        </is>
      </c>
      <c r="B14" s="20" t="inlineStr">
        <is>
          <t>Education coding and coefficient attribution</t>
        </is>
      </c>
      <c r="C14" s="20" t="inlineStr">
        <is>
          <t>Yes: REPORT results p.7 eTable 2 final primary predictor list — joi250046supp4_prod_1755300121.15587.pdf, p.8 eTable 3 all three education rows — joi250046supp4_prod_1755300121.15587.pdf, p.9 eTable 4 all three education rows — joi250046supp4_prod_1755300121.15587.pdf; corroborating REPORT workbook — joi250046supp5_prod_1755300121.16087.xlsx, worksheet eTable 3, cells A12:A16.</t>
        </is>
      </c>
      <c r="D14" s="21" t="inlineStr">
        <is>
          <t>retain</t>
        </is>
      </c>
      <c r="E14" s="21" t="inlineStr">
        <is>
          <t>statistical_results</t>
        </is>
      </c>
      <c r="F14" s="21" t="inlineStr">
        <is>
          <t>primary_done</t>
        </is>
      </c>
      <c r="G14" s="20">
        <f>IFERROR(IF(LEN(TRIM(CLEAN(SUBSTITUTE(Setup!$B$2,CHAR(160)," "))))=0,"CHECK REVIEWER ID",IF(OR(A14="",COUNTIF($A$2:$A$19,A14)&lt;&gt;1,LEFT(A14,LEN("2025::jama.2025.11178::"))&lt;&gt;"2025::jama.2025.11178::"),"CHECK KEY",IF(OR(AND(NOT(AND(D14="retain",E14="statistical_results")),H14&lt;&gt;"",NOT(EXACT(H14,"not_applicable"))),AND(NOT(AND(D14="retain",E14="statistical_results")),I14&lt;&gt;"",NOT(EXACT(I14,"not_applicable"))),AND(NOT(AND(D14="retain",E14="statistical_results")),J14&lt;&gt;"",NOT(EXACT(J14,"not_applicable"))),AND(NOT(AND(D14="retain",OR(E14="report_internal_inconsistency",E14="plan_material"))),K14&lt;&gt;"",NOT(EXACT(K14,"not_applicable"))),AND(NOT(AND(D14="retain",E14="protocol_report")),L14&lt;&gt;"",NOT(EXACT(L14,"not_applicable")))),"CLEAR INACTIVE VALUES",IF(OR(NOT(OR(EXACT(D14,"retain"),EXACT(D14,"exclude"),EXACT(D14,"discuss"))),NOT(OR(EXACT(E14,"statistical_results"),EXACT(E14,"report_internal_inconsistency"),EXACT(E14,"plan_material"),EXACT(E14,"protocol_report"))),AND(AND(D14="retain",E14="statistical_results"),NOT(OR(EXACT(H14,"confirmed_issue"),EXACT(H14,"probable_issue"),EXACT(H14,"not_issue"),EXACT(H14,"indeterminate")))),AND(AND(D14="retain",E14="statistical_results"),NOT(OR(EXACT(I14,"substantive"),EXACT(I14,"minor_presentation"),EXACT(I14,"indeterminate")))),AND(AND(D14="retain",E14="statistical_results"),J14&lt;&gt;"",NOT(OR(EXACT(J14,"direct"),EXACT(J14,"possible"),EXACT(J14,"unlikely"),EXACT(J14,"unknown")))),AND(AND(D14="retain",OR(E14="report_internal_inconsistency",E14="plan_material")),NOT(OR(EXACT(K14,"substantive_inconsistency"),EXACT(K14,"minor_presentation"),EXACT(K14,"non_inconsistency"),EXACT(K14,"indeterminate")))),AND(AND(D14="retain",E14="protocol_report"),L14&lt;&gt;"",NOT(OR(EXACT(L14,"substantive_difference"),EXACT(L14,"minor_presentation"),EXACT(L14,"version_timing"),EXACT(L14,"non_inconsistency"),EXACT(L14,"indeterminate"))))),"CHECK FIELDS",IF(AND(F14&lt;&gt;"",NOT(OR(EXACT(F14,"no"),EXACT(F14,"primary_done")))),"CHECK COMPLETE",IF(EXACT(F14,"primary_done"),"PRIMARY READY","PRIMARY DRAFT")))))),"CHECK INPUT / KEY")</f>
        <v/>
      </c>
      <c r="H14" s="21" t="inlineStr">
        <is>
          <t>confirmed_issue</t>
        </is>
      </c>
      <c r="I14" s="21" t="inlineStr">
        <is>
          <t>minor_presentation</t>
        </is>
      </c>
      <c r="J14" s="22" t="inlineStr">
        <is>
          <t>unlikely</t>
        </is>
      </c>
      <c r="K14" s="21">
        <f>IF(AND(OR(D14="retain",D14=""),OR(E14="report_internal_inconsistency",E14="plan_material")),"","not_applicable")</f>
        <v/>
      </c>
      <c r="L14" s="22">
        <f>IF(AND(OR(D14="retain",D14=""),E14="protocol_report"),"","not_applicable")</f>
        <v/>
      </c>
      <c r="M14" s="20" t="n"/>
      <c r="N14" s="23" t="n"/>
      <c r="O14" s="23" t="n"/>
      <c r="P14" s="23" t="n"/>
      <c r="Q14" s="23" t="n"/>
      <c r="R14" s="22"/>
    </row>
    <row r="15" ht="92" customHeight="1" s="25">
      <c r="A15" s="24" t="inlineStr">
        <is>
          <t>2025::jama.2025.11178::C014</t>
        </is>
      </c>
      <c r="B15" s="24" t="inlineStr">
        <is>
          <t>Coefficient CI versus P-value null-significance pattern</t>
        </is>
      </c>
      <c r="C15" s="24" t="inlineStr">
        <is>
          <t>Yes: REPORT results p.8 eTable 3 seven registered rows — joi250046supp4_prod_1755300121.15587.pdf, p.9 eTable 4 age and second AA rows — joi250046supp4_prod_1755300121.15587.pdf, p.10 eTable 5 PEG row — joi250046supp4_prod_1755300121.15587.pdf. Method context was read at results p.4 — joi250046supp4_prod_1755300121.15587.pdf, p.5 — joi250046supp4_prod_1755300121.15587.pdf, and REPORT main p.4 two-sided alpha=.05 — jama_debar_2025_oi_250046_1755300121.13587.pdf.</t>
        </is>
      </c>
      <c r="D15" s="21" t="inlineStr">
        <is>
          <t>retain</t>
        </is>
      </c>
      <c r="E15" s="21" t="inlineStr">
        <is>
          <t>statistical_results</t>
        </is>
      </c>
      <c r="F15" s="21" t="inlineStr">
        <is>
          <t>primary_done</t>
        </is>
      </c>
      <c r="G15" s="24">
        <f>IFERROR(IF(LEN(TRIM(CLEAN(SUBSTITUTE(Setup!$B$2,CHAR(160)," "))))=0,"CHECK REVIEWER ID",IF(OR(A15="",COUNTIF($A$2:$A$19,A15)&lt;&gt;1,LEFT(A15,LEN("2025::jama.2025.11178::"))&lt;&gt;"2025::jama.2025.11178::"),"CHECK KEY",IF(OR(AND(NOT(AND(D15="retain",E15="statistical_results")),H15&lt;&gt;"",NOT(EXACT(H15,"not_applicable"))),AND(NOT(AND(D15="retain",E15="statistical_results")),I15&lt;&gt;"",NOT(EXACT(I15,"not_applicable"))),AND(NOT(AND(D15="retain",E15="statistical_results")),J15&lt;&gt;"",NOT(EXACT(J15,"not_applicable"))),AND(NOT(AND(D15="retain",OR(E15="report_internal_inconsistency",E15="plan_material"))),K15&lt;&gt;"",NOT(EXACT(K15,"not_applicable"))),AND(NOT(AND(D15="retain",E15="protocol_report")),L15&lt;&gt;"",NOT(EXACT(L15,"not_applicable")))),"CLEAR INACTIVE VALUES",IF(OR(NOT(OR(EXACT(D15,"retain"),EXACT(D15,"exclude"),EXACT(D15,"discuss"))),NOT(OR(EXACT(E15,"statistical_results"),EXACT(E15,"report_internal_inconsistency"),EXACT(E15,"plan_material"),EXACT(E15,"protocol_report"))),AND(AND(D15="retain",E15="statistical_results"),NOT(OR(EXACT(H15,"confirmed_issue"),EXACT(H15,"probable_issue"),EXACT(H15,"not_issue"),EXACT(H15,"indeterminate")))),AND(AND(D15="retain",E15="statistical_results"),NOT(OR(EXACT(I15,"substantive"),EXACT(I15,"minor_presentation"),EXACT(I15,"indeterminate")))),AND(AND(D15="retain",E15="statistical_results"),J15&lt;&gt;"",NOT(OR(EXACT(J15,"direct"),EXACT(J15,"possible"),EXACT(J15,"unlikely"),EXACT(J15,"unknown")))),AND(AND(D15="retain",OR(E15="report_internal_inconsistency",E15="plan_material")),NOT(OR(EXACT(K15,"substantive_inconsistency"),EXACT(K15,"minor_presentation"),EXACT(K15,"non_inconsistency"),EXACT(K15,"indeterminate")))),AND(AND(D15="retain",E15="protocol_report"),L15&lt;&gt;"",NOT(OR(EXACT(L15,"substantive_difference"),EXACT(L15,"minor_presentation"),EXACT(L15,"version_timing"),EXACT(L15,"non_inconsistency"),EXACT(L15,"indeterminate"))))),"CHECK FIELDS",IF(AND(F15&lt;&gt;"",NOT(OR(EXACT(F15,"no"),EXACT(F15,"primary_done")))),"CHECK COMPLETE",IF(EXACT(F15,"primary_done"),"PRIMARY READY","PRIMARY DRAFT")))))),"CHECK INPUT / KEY")</f>
        <v/>
      </c>
      <c r="H15" s="21" t="inlineStr">
        <is>
          <t>confirmed_issue</t>
        </is>
      </c>
      <c r="I15" s="21" t="inlineStr">
        <is>
          <t>minor_presentation</t>
        </is>
      </c>
      <c r="J15" s="22" t="inlineStr">
        <is>
          <t>unlikely</t>
        </is>
      </c>
      <c r="K15" s="21">
        <f>IF(AND(OR(D15="retain",D15=""),OR(E15="report_internal_inconsistency",E15="plan_material")),"","not_applicable")</f>
        <v/>
      </c>
      <c r="L15" s="22">
        <f>IF(AND(OR(D15="retain",D15=""),E15="protocol_report"),"","not_applicable")</f>
        <v/>
      </c>
      <c r="M15" s="24" t="n"/>
      <c r="N15" s="23" t="n"/>
      <c r="O15" s="23" t="n"/>
      <c r="P15" s="23" t="n"/>
      <c r="Q15" s="23" t="n"/>
      <c r="R15" s="22"/>
    </row>
    <row r="16" ht="92" customHeight="1" s="25">
      <c r="A16" s="20" t="inlineStr">
        <is>
          <t>2025::jama.2025.11178::C015</t>
        </is>
      </c>
      <c r="B16" s="20" t="inlineStr">
        <is>
          <t>Within-header three-month subset counts</t>
        </is>
      </c>
      <c r="C16" s="20" t="inlineStr">
        <is>
          <t>Yes: REPORT results p.14 eTable 8 first subgroup header — joi250046supp4_prod_1755300121.15587.pdf; corroborating REPORT p.7 eTable 1 — joi250046supp4_prod_1755300121.15587.pdf, p.13 subset definition — joi250046supp4_prod_1755300121.15587.pdf, and the second/third headers on p.14.</t>
        </is>
      </c>
      <c r="D16" s="21" t="inlineStr">
        <is>
          <t>retain</t>
        </is>
      </c>
      <c r="E16" s="21" t="inlineStr">
        <is>
          <t>statistical_results</t>
        </is>
      </c>
      <c r="F16" s="21" t="inlineStr">
        <is>
          <t>primary_done</t>
        </is>
      </c>
      <c r="G16" s="20">
        <f>IFERROR(IF(LEN(TRIM(CLEAN(SUBSTITUTE(Setup!$B$2,CHAR(160)," "))))=0,"CHECK REVIEWER ID",IF(OR(A16="",COUNTIF($A$2:$A$19,A16)&lt;&gt;1,LEFT(A16,LEN("2025::jama.2025.11178::"))&lt;&gt;"2025::jama.2025.11178::"),"CHECK KEY",IF(OR(AND(NOT(AND(D16="retain",E16="statistical_results")),H16&lt;&gt;"",NOT(EXACT(H16,"not_applicable"))),AND(NOT(AND(D16="retain",E16="statistical_results")),I16&lt;&gt;"",NOT(EXACT(I16,"not_applicable"))),AND(NOT(AND(D16="retain",E16="statistical_results")),J16&lt;&gt;"",NOT(EXACT(J16,"not_applicable"))),AND(NOT(AND(D16="retain",OR(E16="report_internal_inconsistency",E16="plan_material"))),K16&lt;&gt;"",NOT(EXACT(K16,"not_applicable"))),AND(NOT(AND(D16="retain",E16="protocol_report")),L16&lt;&gt;"",NOT(EXACT(L16,"not_applicable")))),"CLEAR INACTIVE VALUES",IF(OR(NOT(OR(EXACT(D16,"retain"),EXACT(D16,"exclude"),EXACT(D16,"discuss"))),NOT(OR(EXACT(E16,"statistical_results"),EXACT(E16,"report_internal_inconsistency"),EXACT(E16,"plan_material"),EXACT(E16,"protocol_report"))),AND(AND(D16="retain",E16="statistical_results"),NOT(OR(EXACT(H16,"confirmed_issue"),EXACT(H16,"probable_issue"),EXACT(H16,"not_issue"),EXACT(H16,"indeterminate")))),AND(AND(D16="retain",E16="statistical_results"),NOT(OR(EXACT(I16,"substantive"),EXACT(I16,"minor_presentation"),EXACT(I16,"indeterminate")))),AND(AND(D16="retain",E16="statistical_results"),J16&lt;&gt;"",NOT(OR(EXACT(J16,"direct"),EXACT(J16,"possible"),EXACT(J16,"unlikely"),EXACT(J16,"unknown")))),AND(AND(D16="retain",OR(E16="report_internal_inconsistency",E16="plan_material")),NOT(OR(EXACT(K16,"substantive_inconsistency"),EXACT(K16,"minor_presentation"),EXACT(K16,"non_inconsistency"),EXACT(K16,"indeterminate")))),AND(AND(D16="retain",E16="protocol_report"),L16&lt;&gt;"",NOT(OR(EXACT(L16,"substantive_difference"),EXACT(L16,"minor_presentation"),EXACT(L16,"version_timing"),EXACT(L16,"non_inconsistency"),EXACT(L16,"indeterminate"))))),"CHECK FIELDS",IF(AND(F16&lt;&gt;"",NOT(OR(EXACT(F16,"no"),EXACT(F16,"primary_done")))),"CHECK COMPLETE",IF(EXACT(F16,"primary_done"),"PRIMARY READY","PRIMARY DRAFT")))))),"CHECK INPUT / KEY")</f>
        <v/>
      </c>
      <c r="H16" s="21" t="inlineStr">
        <is>
          <t>confirmed_issue</t>
        </is>
      </c>
      <c r="I16" s="21" t="inlineStr">
        <is>
          <t>minor_presentation</t>
        </is>
      </c>
      <c r="J16" s="22" t="inlineStr">
        <is>
          <t>unlikely</t>
        </is>
      </c>
      <c r="K16" s="21">
        <f>IF(AND(OR(D16="retain",D16=""),OR(E16="report_internal_inconsistency",E16="plan_material")),"","not_applicable")</f>
        <v/>
      </c>
      <c r="L16" s="22">
        <f>IF(AND(OR(D16="retain",D16=""),E16="protocol_report"),"","not_applicable")</f>
        <v/>
      </c>
      <c r="M16" s="20" t="n"/>
      <c r="N16" s="23" t="n"/>
      <c r="O16" s="23" t="n"/>
      <c r="P16" s="23" t="n"/>
      <c r="Q16" s="23" t="n"/>
      <c r="R16" s="22"/>
    </row>
    <row r="17" ht="92" customHeight="1" s="25">
      <c r="A17" s="24" t="inlineStr">
        <is>
          <t>2025::jama.2025.11178::C016</t>
        </is>
      </c>
      <c r="B17" s="24" t="inlineStr">
        <is>
          <t>Raw-score summary statistic and bounds in eTable 11</t>
        </is>
      </c>
      <c r="C17" s="24" t="inlineStr">
        <is>
          <t>Yes: REPORT results p.15 Additional Unadjusted Data and Analyses — joi250046supp4_prod_1755300121.15587.pdf, p.17 eTable 11 title/header and all 21 rows — joi250046supp4_prod_1755300121.15587.pdf, p.18 note b — joi250046supp4_prod_1755300121.15587.pdf; corroborating REPORT main p.11 PGIC footnotes h/i — jama_debar_2025_oi_250046_1755300121.13587.pdf.</t>
        </is>
      </c>
      <c r="D17" s="21" t="inlineStr">
        <is>
          <t>retain</t>
        </is>
      </c>
      <c r="E17" s="21" t="inlineStr">
        <is>
          <t>statistical_results</t>
        </is>
      </c>
      <c r="F17" s="21" t="inlineStr">
        <is>
          <t>primary_done</t>
        </is>
      </c>
      <c r="G17" s="24">
        <f>IFERROR(IF(LEN(TRIM(CLEAN(SUBSTITUTE(Setup!$B$2,CHAR(160)," "))))=0,"CHECK REVIEWER ID",IF(OR(A17="",COUNTIF($A$2:$A$19,A17)&lt;&gt;1,LEFT(A17,LEN("2025::jama.2025.11178::"))&lt;&gt;"2025::jama.2025.11178::"),"CHECK KEY",IF(OR(AND(NOT(AND(D17="retain",E17="statistical_results")),H17&lt;&gt;"",NOT(EXACT(H17,"not_applicable"))),AND(NOT(AND(D17="retain",E17="statistical_results")),I17&lt;&gt;"",NOT(EXACT(I17,"not_applicable"))),AND(NOT(AND(D17="retain",E17="statistical_results")),J17&lt;&gt;"",NOT(EXACT(J17,"not_applicable"))),AND(NOT(AND(D17="retain",OR(E17="report_internal_inconsistency",E17="plan_material"))),K17&lt;&gt;"",NOT(EXACT(K17,"not_applicable"))),AND(NOT(AND(D17="retain",E17="protocol_report")),L17&lt;&gt;"",NOT(EXACT(L17,"not_applicable")))),"CLEAR INACTIVE VALUES",IF(OR(NOT(OR(EXACT(D17,"retain"),EXACT(D17,"exclude"),EXACT(D17,"discuss"))),NOT(OR(EXACT(E17,"statistical_results"),EXACT(E17,"report_internal_inconsistency"),EXACT(E17,"plan_material"),EXACT(E17,"protocol_report"))),AND(AND(D17="retain",E17="statistical_results"),NOT(OR(EXACT(H17,"confirmed_issue"),EXACT(H17,"probable_issue"),EXACT(H17,"not_issue"),EXACT(H17,"indeterminate")))),AND(AND(D17="retain",E17="statistical_results"),NOT(OR(EXACT(I17,"substantive"),EXACT(I17,"minor_presentation"),EXACT(I17,"indeterminate")))),AND(AND(D17="retain",E17="statistical_results"),J17&lt;&gt;"",NOT(OR(EXACT(J17,"direct"),EXACT(J17,"possible"),EXACT(J17,"unlikely"),EXACT(J17,"unknown")))),AND(AND(D17="retain",OR(E17="report_internal_inconsistency",E17="plan_material")),NOT(OR(EXACT(K17,"substantive_inconsistency"),EXACT(K17,"minor_presentation"),EXACT(K17,"non_inconsistency"),EXACT(K17,"indeterminate")))),AND(AND(D17="retain",E17="protocol_report"),L17&lt;&gt;"",NOT(OR(EXACT(L17,"substantive_difference"),EXACT(L17,"minor_presentation"),EXACT(L17,"version_timing"),EXACT(L17,"non_inconsistency"),EXACT(L17,"indeterminate"))))),"CHECK FIELDS",IF(AND(F17&lt;&gt;"",NOT(OR(EXACT(F17,"no"),EXACT(F17,"primary_done")))),"CHECK COMPLETE",IF(EXACT(F17,"primary_done"),"PRIMARY READY","PRIMARY DRAFT")))))),"CHECK INPUT / KEY")</f>
        <v/>
      </c>
      <c r="H17" s="21" t="inlineStr">
        <is>
          <t>confirmed_issue</t>
        </is>
      </c>
      <c r="I17" s="21" t="inlineStr">
        <is>
          <t>substantive</t>
        </is>
      </c>
      <c r="J17" s="22" t="inlineStr">
        <is>
          <t>direct</t>
        </is>
      </c>
      <c r="K17" s="21">
        <f>IF(AND(OR(D17="retain",D17=""),OR(E17="report_internal_inconsistency",E17="plan_material")),"","not_applicable")</f>
        <v/>
      </c>
      <c r="L17" s="22">
        <f>IF(AND(OR(D17="retain",D17=""),E17="protocol_report"),"","not_applicable")</f>
        <v/>
      </c>
      <c r="M17" s="24" t="n"/>
      <c r="N17" s="23" t="n"/>
      <c r="O17" s="23" t="n"/>
      <c r="P17" s="23" t="n"/>
      <c r="Q17" s="23" t="n"/>
      <c r="R17" s="22"/>
    </row>
    <row r="18" ht="92" customHeight="1" s="25">
      <c r="A18" s="20" t="inlineStr">
        <is>
          <t>2025::jama.2025.11178::C017</t>
        </is>
      </c>
      <c r="B18" s="20" t="inlineStr">
        <is>
          <t>Workbook All Observed depression percentage</t>
        </is>
      </c>
      <c r="C18" s="20" t="inlineStr">
        <is>
          <t>Yes: supplied REPORT workbook — joi250046supp5_prod_1755300121.16087.xlsx, worksheet exactly eTable 3, E3, A82, E82, A83, E83, A110. Direct workbook.xml confirms worksheet name and worksheet relationship; direct sheet1.xml/sharedStrings.xml confirms all cells. B82/C82/D82 were also read as count-partition corroboration.</t>
        </is>
      </c>
      <c r="D18" s="21" t="inlineStr">
        <is>
          <t>retain</t>
        </is>
      </c>
      <c r="E18" s="21" t="inlineStr">
        <is>
          <t>statistical_results</t>
        </is>
      </c>
      <c r="F18" s="21" t="inlineStr">
        <is>
          <t>primary_done</t>
        </is>
      </c>
      <c r="G18" s="20">
        <f>IFERROR(IF(LEN(TRIM(CLEAN(SUBSTITUTE(Setup!$B$2,CHAR(160)," "))))=0,"CHECK REVIEWER ID",IF(OR(A18="",COUNTIF($A$2:$A$19,A18)&lt;&gt;1,LEFT(A18,LEN("2025::jama.2025.11178::"))&lt;&gt;"2025::jama.2025.11178::"),"CHECK KEY",IF(OR(AND(NOT(AND(D18="retain",E18="statistical_results")),H18&lt;&gt;"",NOT(EXACT(H18,"not_applicable"))),AND(NOT(AND(D18="retain",E18="statistical_results")),I18&lt;&gt;"",NOT(EXACT(I18,"not_applicable"))),AND(NOT(AND(D18="retain",E18="statistical_results")),J18&lt;&gt;"",NOT(EXACT(J18,"not_applicable"))),AND(NOT(AND(D18="retain",OR(E18="report_internal_inconsistency",E18="plan_material"))),K18&lt;&gt;"",NOT(EXACT(K18,"not_applicable"))),AND(NOT(AND(D18="retain",E18="protocol_report")),L18&lt;&gt;"",NOT(EXACT(L18,"not_applicable")))),"CLEAR INACTIVE VALUES",IF(OR(NOT(OR(EXACT(D18,"retain"),EXACT(D18,"exclude"),EXACT(D18,"discuss"))),NOT(OR(EXACT(E18,"statistical_results"),EXACT(E18,"report_internal_inconsistency"),EXACT(E18,"plan_material"),EXACT(E18,"protocol_report"))),AND(AND(D18="retain",E18="statistical_results"),NOT(OR(EXACT(H18,"confirmed_issue"),EXACT(H18,"probable_issue"),EXACT(H18,"not_issue"),EXACT(H18,"indeterminate")))),AND(AND(D18="retain",E18="statistical_results"),NOT(OR(EXACT(I18,"substantive"),EXACT(I18,"minor_presentation"),EXACT(I18,"indeterminate")))),AND(AND(D18="retain",E18="statistical_results"),J18&lt;&gt;"",NOT(OR(EXACT(J18,"direct"),EXACT(J18,"possible"),EXACT(J18,"unlikely"),EXACT(J18,"unknown")))),AND(AND(D18="retain",OR(E18="report_internal_inconsistency",E18="plan_material")),NOT(OR(EXACT(K18,"substantive_inconsistency"),EXACT(K18,"minor_presentation"),EXACT(K18,"non_inconsistency"),EXACT(K18,"indeterminate")))),AND(AND(D18="retain",E18="protocol_report"),L18&lt;&gt;"",NOT(OR(EXACT(L18,"substantive_difference"),EXACT(L18,"minor_presentation"),EXACT(L18,"version_timing"),EXACT(L18,"non_inconsistency"),EXACT(L18,"indeterminate"))))),"CHECK FIELDS",IF(AND(F18&lt;&gt;"",NOT(OR(EXACT(F18,"no"),EXACT(F18,"primary_done")))),"CHECK COMPLETE",IF(EXACT(F18,"primary_done"),"PRIMARY READY","PRIMARY DRAFT")))))),"CHECK INPUT / KEY")</f>
        <v/>
      </c>
      <c r="H18" s="21" t="inlineStr">
        <is>
          <t>confirmed_issue</t>
        </is>
      </c>
      <c r="I18" s="21" t="inlineStr">
        <is>
          <t>minor_presentation</t>
        </is>
      </c>
      <c r="J18" s="22" t="inlineStr">
        <is>
          <t>unlikely</t>
        </is>
      </c>
      <c r="K18" s="21">
        <f>IF(AND(OR(D18="retain",D18=""),OR(E18="report_internal_inconsistency",E18="plan_material")),"","not_applicable")</f>
        <v/>
      </c>
      <c r="L18" s="22">
        <f>IF(AND(OR(D18="retain",D18=""),E18="protocol_report"),"","not_applicable")</f>
        <v/>
      </c>
      <c r="M18" s="20" t="n"/>
      <c r="N18" s="23" t="n"/>
      <c r="O18" s="23" t="n"/>
      <c r="P18" s="23" t="n"/>
      <c r="Q18" s="23" t="n"/>
      <c r="R18" s="22"/>
    </row>
    <row r="19" ht="92" customHeight="1" s="25">
      <c r="A19" s="24" t="inlineStr">
        <is>
          <t>2025::jama.2025.11178::C018</t>
        </is>
      </c>
      <c r="B19" s="24" t="inlineStr">
        <is>
          <t>Physical-function omnibus P values and contrast intervals</t>
        </is>
      </c>
      <c r="C19" s="24" t="inlineStr">
        <is>
          <t>Results supplement PDF p17, eTable 11 Physical Functioning 6 months — joi250046supp4_prod_1755300121.15587.pdf (REPORT); Results supplement PDF p17, eTable 11 Physical Functioning 12 months — joi250046supp4_prod_1755300121.15587.pdf (REPORT); Results supplement PDF p17, all other 19 eTable 11 outcome/time rows — joi250046supp4_prod_1755300121.15587.pdf (REPORT, same-display corroboration); Results supplement PDF p18, eTable 11 note b — joi250046supp4_prod_1755300121.15587.pdf (REPORT); Results supplement PDF page 15, Additional Unadjusted Data and Analyses — joi250046supp4_prod_1755300121.15587.pdf (REPORT); Main article PDF p11, Table 3 note c — jama_debar_2025_oi_250046_1755300121.13587.pdf (REPORT, corroboration only); Main article PDF p4, Statistical Analysis — jama_debar_2025_oi_250046_1755300121.13587.pdf (REPORT, corroboration only); The rendered p17 heading is unadjusted between-group mean differences (95%CI), with PT vs UC, HC vs UC and HC vs PT columns and a separately named omnibus P column. No pairwise P value is printed. The comparison does not equate raw medians with fitted means, and does not equate a single pairwise null with the omnibus null</t>
        </is>
      </c>
      <c r="D19" s="21" t="inlineStr">
        <is>
          <t>retain</t>
        </is>
      </c>
      <c r="E19" s="21" t="inlineStr">
        <is>
          <t>statistical_results</t>
        </is>
      </c>
      <c r="F19" s="21" t="inlineStr">
        <is>
          <t>primary_done</t>
        </is>
      </c>
      <c r="G19" s="24">
        <f>IFERROR(IF(LEN(TRIM(CLEAN(SUBSTITUTE(Setup!$B$2,CHAR(160)," "))))=0,"CHECK REVIEWER ID",IF(OR(A19="",COUNTIF($A$2:$A$19,A19)&lt;&gt;1,LEFT(A19,LEN("2025::jama.2025.11178::"))&lt;&gt;"2025::jama.2025.11178::"),"CHECK KEY",IF(OR(AND(NOT(AND(D19="retain",E19="statistical_results")),H19&lt;&gt;"",NOT(EXACT(H19,"not_applicable"))),AND(NOT(AND(D19="retain",E19="statistical_results")),I19&lt;&gt;"",NOT(EXACT(I19,"not_applicable"))),AND(NOT(AND(D19="retain",E19="statistical_results")),J19&lt;&gt;"",NOT(EXACT(J19,"not_applicable"))),AND(NOT(AND(D19="retain",OR(E19="report_internal_inconsistency",E19="plan_material"))),K19&lt;&gt;"",NOT(EXACT(K19,"not_applicable"))),AND(NOT(AND(D19="retain",E19="protocol_report")),L19&lt;&gt;"",NOT(EXACT(L19,"not_applicable")))),"CLEAR INACTIVE VALUES",IF(OR(NOT(OR(EXACT(D19,"retain"),EXACT(D19,"exclude"),EXACT(D19,"discuss"))),NOT(OR(EXACT(E19,"statistical_results"),EXACT(E19,"report_internal_inconsistency"),EXACT(E19,"plan_material"),EXACT(E19,"protocol_report"))),AND(AND(D19="retain",E19="statistical_results"),NOT(OR(EXACT(H19,"confirmed_issue"),EXACT(H19,"probable_issue"),EXACT(H19,"not_issue"),EXACT(H19,"indeterminate")))),AND(AND(D19="retain",E19="statistical_results"),NOT(OR(EXACT(I19,"substantive"),EXACT(I19,"minor_presentation"),EXACT(I19,"indeterminate")))),AND(AND(D19="retain",E19="statistical_results"),J19&lt;&gt;"",NOT(OR(EXACT(J19,"direct"),EXACT(J19,"possible"),EXACT(J19,"unlikely"),EXACT(J19,"unknown")))),AND(AND(D19="retain",OR(E19="report_internal_inconsistency",E19="plan_material")),NOT(OR(EXACT(K19,"substantive_inconsistency"),EXACT(K19,"minor_presentation"),EXACT(K19,"non_inconsistency"),EXACT(K19,"indeterminate")))),AND(AND(D19="retain",E19="protocol_report"),L19&lt;&gt;"",NOT(OR(EXACT(L19,"substantive_difference"),EXACT(L19,"minor_presentation"),EXACT(L19,"version_timing"),EXACT(L19,"non_inconsistency"),EXACT(L19,"indeterminate"))))),"CHECK FIELDS",IF(AND(F19&lt;&gt;"",NOT(OR(EXACT(F19,"no"),EXACT(F19,"primary_done")))),"CHECK COMPLETE",IF(EXACT(F19,"primary_done"),"PRIMARY READY","PRIMARY DRAFT")))))),"CHECK INPUT / KEY")</f>
        <v/>
      </c>
      <c r="H19" s="21" t="inlineStr">
        <is>
          <t>probable_issue</t>
        </is>
      </c>
      <c r="I19" s="21" t="inlineStr">
        <is>
          <t>minor_presentation</t>
        </is>
      </c>
      <c r="J19" s="22" t="inlineStr">
        <is>
          <t>unlikely</t>
        </is>
      </c>
      <c r="K19" s="21">
        <f>IF(AND(OR(D19="retain",D19=""),OR(E19="report_internal_inconsistency",E19="plan_material")),"","not_applicable")</f>
        <v/>
      </c>
      <c r="L19" s="22">
        <f>IF(AND(OR(D19="retain",D19=""),E19="protocol_report"),"","not_applicable")</f>
        <v/>
      </c>
      <c r="M19" s="24" t="n"/>
      <c r="N19" s="23" t="n"/>
      <c r="O19" s="23" t="n"/>
      <c r="P19" s="23" t="n"/>
      <c r="Q19" s="23" t="n"/>
      <c r="R19" s="22"/>
    </row>
  </sheetData>
  <autoFilter ref="A1:R19"/>
  <conditionalFormatting sqref="H2:H19">
    <cfRule type="expression" priority="8" dxfId="70">
      <formula>NOT(AND(OR($D2="retain",$D2=""),$E2="statistical_results"))</formula>
    </cfRule>
  </conditionalFormatting>
  <conditionalFormatting sqref="I2:I19">
    <cfRule type="expression" priority="9" dxfId="70">
      <formula>NOT(AND(OR($D2="retain",$D2=""),$E2="statistical_results"))</formula>
    </cfRule>
  </conditionalFormatting>
  <conditionalFormatting sqref="J2:J19">
    <cfRule type="expression" priority="10" dxfId="70">
      <formula>NOT(AND(OR($D2="retain",$D2=""),$E2="statistical_results"))</formula>
    </cfRule>
  </conditionalFormatting>
  <conditionalFormatting sqref="K2:K19">
    <cfRule type="expression" priority="11" dxfId="70">
      <formula>NOT(AND(OR($D2="retain",$D2=""),OR($E2="report_internal_inconsistency",$E2="plan_material")))</formula>
    </cfRule>
  </conditionalFormatting>
  <conditionalFormatting sqref="L2:L19">
    <cfRule type="expression" priority="12" dxfId="70">
      <formula>NOT(AND(OR($D2="retain",$D2=""),$E2="protocol_report"))</formula>
    </cfRule>
  </conditionalFormatting>
  <conditionalFormatting sqref="G2:G19">
    <cfRule type="expression" priority="13" dxfId="71">
      <formula>G2&lt;&gt;"PRIMARY READY"</formula>
    </cfRule>
  </conditionalFormatting>
  <dataValidations count="8">
    <dataValidation sqref="D2:D19" showDropDown="0" showInputMessage="0" showErrorMessage="1" allowBlank="1" errorTitle="Use a listed option" error="Choose an option; G also checks pasted entries." type="list" errorStyle="stop">
      <formula1>"retain,exclude,discuss"</formula1>
    </dataValidation>
    <dataValidation sqref="E2:E19" showDropDown="0" showInputMessage="0" showErrorMessage="1" allowBlank="1" errorTitle="Use a listed option" error="Choose an option; G also checks pasted entries." type="list" errorStyle="stop">
      <formula1>"statistical_results,report_internal_inconsistency,plan_material,protocol_report"</formula1>
    </dataValidation>
    <dataValidation sqref="F2:F19" showDropDown="0" showInputMessage="0" showErrorMessage="1" allowBlank="1" errorTitle="Use a listed option" error="Choose an option; G also checks pasted entries." type="list" errorStyle="stop">
      <formula1>"no,primary_done"</formula1>
    </dataValidation>
    <dataValidation sqref="H2:H19" showDropDown="0" showInputMessage="0" showErrorMessage="1" allowBlank="1" errorTitle="Use a listed option" error="Choose an option; G also checks pasted entries." type="list" errorStyle="stop">
      <formula1>"confirmed_issue,probable_issue,not_issue,indeterminate,not_applicable"</formula1>
    </dataValidation>
    <dataValidation sqref="I2:I19" showDropDown="0" showInputMessage="0" showErrorMessage="1" allowBlank="1" errorTitle="Use a listed option" error="Choose an option; G also checks pasted entries." type="list" errorStyle="stop">
      <formula1>"substantive,minor_presentation,indeterminate,not_applicable"</formula1>
    </dataValidation>
    <dataValidation sqref="J2:J19" showDropDown="0" showInputMessage="0" showErrorMessage="1" allowBlank="1" errorTitle="Use a listed option" error="Choose an option; G also checks pasted entries." type="list" errorStyle="stop">
      <formula1>"direct,possible,unlikely,unknown,not_applicable"</formula1>
    </dataValidation>
    <dataValidation sqref="K2:K19" showDropDown="0" showInputMessage="0" showErrorMessage="1" allowBlank="1" errorTitle="Use a listed option" error="Choose an option; G also checks pasted entries." type="list" errorStyle="stop">
      <formula1>"substantive_inconsistency,minor_presentation,non_inconsistency,indeterminate,not_applicable"</formula1>
    </dataValidation>
    <dataValidation sqref="L2:L19" showDropDown="0" showInputMessage="0" showErrorMessage="1" allowBlank="1" errorTitle="Use a listed option" error="Choose an option; G also checks pasted entries." type="list" errorStyle="stop">
      <formula1>"substantive_difference,minor_presentation,version_timing,non_inconsistency,indeterminate,not_applicable"</formula1>
    </dataValidation>
  </dataValidation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R7"/>
  <sheetViews>
    <sheetView tabSelected="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Format="1"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Statistical_or_numerical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ht="92" customHeight="1" s="25">
      <c r="A2" s="20" t="inlineStr">
        <is>
          <t>2025::jama.2025.15185::C001</t>
        </is>
      </c>
      <c r="B2" s="20" t="inlineStr">
        <is>
          <t>PROMIS-29 scalar scoring and direction are not specified</t>
        </is>
      </c>
      <c r="C2" s="20" t="inlineStr">
        <is>
          <t>jama_engelter_2025_oi_250066_1761597796.45511.pdf — p. 3, Secondary Outcomes: domain definition and direction; jama_engelter_2025_oi_250066_1761597796.45511.pdf — p. 6, Secondary Outcomes: single scalar result; joi250066supp3_prod_1761597796.4701.pdf — p. 15, eTable 4, PROMIS 29 row: corroborating scalar and adjusted result; joi250066supp1_prod_1761597796.4601.pdf — p. 70, PROMIS assessment: contextual scale description</t>
        </is>
      </c>
      <c r="D2" s="21" t="inlineStr">
        <is>
          <t>retain</t>
        </is>
      </c>
      <c r="E2" s="21" t="inlineStr">
        <is>
          <t>statistical_results</t>
        </is>
      </c>
      <c r="F2" s="21" t="inlineStr">
        <is>
          <t>primary_done</t>
        </is>
      </c>
      <c r="G2" s="20">
        <f>IFERROR(IF(LEN(TRIM(CLEAN(SUBSTITUTE(Setup!$B$2,CHAR(160)," "))))=0,"CHECK REVIEWER ID",IF(OR(A2="",COUNTIF($A$2:$A$7,A2)&lt;&gt;1,LEFT(A2,LEN("2025::jama.2025.15185::"))&lt;&gt;"2025::jama.2025.15185::"),"CHECK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
      </c>
      <c r="H2" s="21" t="inlineStr">
        <is>
          <t>confirmed_issue</t>
        </is>
      </c>
      <c r="I2" s="21" t="inlineStr">
        <is>
          <t>substantive</t>
        </is>
      </c>
      <c r="J2" s="22" t="inlineStr">
        <is>
          <t>possible</t>
        </is>
      </c>
      <c r="K2" s="21">
        <f>IF(AND(OR(D2="retain",D2=""),OR(E2="report_internal_inconsistency",E2="plan_material")),"","not_applicable")</f>
        <v/>
      </c>
      <c r="L2" s="22">
        <f>IF(AND(OR(D2="retain",D2=""),E2="protocol_report"),"","not_applicable")</f>
        <v/>
      </c>
      <c r="M2" s="20" t="n"/>
      <c r="N2" s="23" t="n"/>
      <c r="O2" s="23" t="n"/>
      <c r="P2" s="23" t="n"/>
      <c r="Q2" s="23" t="n"/>
      <c r="R2" s="22"/>
    </row>
    <row r="3" ht="92" customHeight="1" s="25">
      <c r="A3" s="24" t="inlineStr">
        <is>
          <t>2025::jama.2025.15185::C002</t>
        </is>
      </c>
      <c r="B3" s="24" t="inlineStr">
        <is>
          <t>Primary analysis population changes from all randomized participants to survivors</t>
        </is>
      </c>
      <c r="C3" s="24" t="inlineStr">
        <is>
          <t>joi250066supp1_prod_1761597796.4601.pdf — p. 86, §§11.4.1–11.4.2: FAS and primary assignment; joi250066supp1_prod_1761597796.4601.pdf — p. 87, §11.5: missing-data rule; joi250066supp2_prod_1761597796.4701.pdf — p. 4, §3.2 and footnote: deceased participants' contribution; joi250066supp2_prod_1761597796.4701.pdf — p. 6, §4.3: primary/supportive status; joi250066supp2_prod_1761597796.4701.pdf — p. 7, §§4.3.1–4.3.3: primary versus death-inclusive strategy; jama_engelter_2025_oi_250066_1761597796.45511.pdf — p. 4, Statistical Analyses: survivor-primary rule; jama_engelter_2025_oi_250066_1761597796.45511.pdf — p. 5, flow and SAP explanation: participant totals and timing; joi250066supp3_prod_1761597796.4701.pdf — p. 12, population definitions: primary death exclusion; joi250066supp3_prod_1761597796.4701.pdf — p. 13, eTable 2, estimands 1, 3 and 4: primary and death-inclusive results</t>
        </is>
      </c>
      <c r="D3" s="21" t="inlineStr">
        <is>
          <t>retain</t>
        </is>
      </c>
      <c r="E3" s="21" t="inlineStr">
        <is>
          <t>protocol_report</t>
        </is>
      </c>
      <c r="F3" s="21" t="inlineStr">
        <is>
          <t>primary_done</t>
        </is>
      </c>
      <c r="G3" s="24">
        <f>IFERROR(IF(LEN(TRIM(CLEAN(SUBSTITUTE(Setup!$B$2,CHAR(160)," "))))=0,"CHECK REVIEWER ID",IF(OR(A3="",COUNTIF($A$2:$A$7,A3)&lt;&gt;1,LEFT(A3,LEN("2025::jama.2025.15185::"))&lt;&gt;"2025::jama.2025.15185::"),"CHECK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
      </c>
      <c r="H3" s="21">
        <f>IF(AND(OR(D3="retain",D3=""),E3="statistical_results"),"","not_applicable")</f>
        <v/>
      </c>
      <c r="I3" s="21">
        <f>IF(AND(OR(D3="retain",D3=""),E3="statistical_results"),"","not_applicable")</f>
        <v/>
      </c>
      <c r="J3" s="22">
        <f>IF(AND(OR(D3="retain",D3=""),E3="statistical_results"),"","not_applicable")</f>
        <v/>
      </c>
      <c r="K3" s="21">
        <f>IF(AND(OR(D3="retain",D3=""),OR(E3="report_internal_inconsistency",E3="plan_material")),"","not_applicable")</f>
        <v/>
      </c>
      <c r="L3" s="22" t="inlineStr">
        <is>
          <t>substantive_difference</t>
        </is>
      </c>
      <c r="M3" s="24" t="n"/>
      <c r="N3" s="23" t="n"/>
      <c r="O3" s="23" t="n"/>
      <c r="P3" s="23" t="n"/>
      <c r="Q3" s="23" t="n"/>
      <c r="R3" s="22"/>
    </row>
    <row r="4" ht="92" customHeight="1" s="25">
      <c r="A4" s="20" t="inlineStr">
        <is>
          <t>2025::jama.2025.15185::C003</t>
        </is>
      </c>
      <c r="B4" s="20" t="inlineStr">
        <is>
          <t>Primary mixed-model terms are absent from the implemented linear model</t>
        </is>
      </c>
      <c r="C4" s="20" t="inlineStr">
        <is>
          <t>joi250066supp1_prod_1761597796.4601.pdf — p. 56, statistical synopsis: final mixed-model summary; joi250066supp1_prod_1761597796.4601.pdf — p. 86, §11.4.2: final primary formula/variance structure; joi250066supp2_prod_1761597796.4701.pdf — p. 10, §5.2: baseline/treatment linear model; jama_engelter_2025_oi_250066_1761597796.45511.pdf — p. 4, Statistical Analyses: reported model; jama_engelter_2025_oi_250066_1761597796.45511.pdf — p. 5, alignment explanation: SAP timing and alignment context; jama_engelter_2025_oi_250066_1761597796.45511.pdf — p. 6, Primary Outcome: affected primary result; joi250066supp5_prod_1761597796.4751.pdf — p. 1, code lines 19–26 and 31–32: explicit implementation and pooling; joi250066supp1_prod_1761597796.4601.pdf — p. 10, earlier synopsis: historical center-term context; joi250066supp1_prod_1761597796.4601.pdf — p. 39, earlier §11.4.2: historical center-term context</t>
        </is>
      </c>
      <c r="D4" s="21" t="inlineStr">
        <is>
          <t>retain</t>
        </is>
      </c>
      <c r="E4" s="21" t="inlineStr">
        <is>
          <t>protocol_report</t>
        </is>
      </c>
      <c r="F4" s="21" t="inlineStr">
        <is>
          <t>primary_done</t>
        </is>
      </c>
      <c r="G4" s="20">
        <f>IFERROR(IF(LEN(TRIM(CLEAN(SUBSTITUTE(Setup!$B$2,CHAR(160)," "))))=0,"CHECK REVIEWER ID",IF(OR(A4="",COUNTIF($A$2:$A$7,A4)&lt;&gt;1,LEFT(A4,LEN("2025::jama.2025.15185::"))&lt;&gt;"2025::jama.2025.15185::"),"CHECK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
      </c>
      <c r="H4" s="21">
        <f>IF(AND(OR(D4="retain",D4=""),E4="statistical_results"),"","not_applicable")</f>
        <v/>
      </c>
      <c r="I4" s="21">
        <f>IF(AND(OR(D4="retain",D4=""),E4="statistical_results"),"","not_applicable")</f>
        <v/>
      </c>
      <c r="J4" s="22">
        <f>IF(AND(OR(D4="retain",D4=""),E4="statistical_results"),"","not_applicable")</f>
        <v/>
      </c>
      <c r="K4" s="21">
        <f>IF(AND(OR(D4="retain",D4=""),OR(E4="report_internal_inconsistency",E4="plan_material")),"","not_applicable")</f>
        <v/>
      </c>
      <c r="L4" s="22" t="inlineStr">
        <is>
          <t>substantive_difference</t>
        </is>
      </c>
      <c r="M4" s="20" t="n"/>
      <c r="N4" s="23" t="n"/>
      <c r="O4" s="23" t="n"/>
      <c r="P4" s="23" t="n"/>
      <c r="Q4" s="23" t="n"/>
      <c r="R4" s="22"/>
    </row>
    <row r="5" ht="92" customHeight="1" s="25">
      <c r="A5" s="24" t="inlineStr">
        <is>
          <t>2025::jama.2025.15185::C004</t>
        </is>
      </c>
      <c r="B5" s="24" t="inlineStr">
        <is>
          <t>Secondary missing-data procedures differ from the SAP rule</t>
        </is>
      </c>
      <c r="C5" s="24" t="inlineStr">
        <is>
          <t>joi250066supp2_prod_1761597796.4701.pdf — p. 5, §4.2: secondary-outcome status; joi250066supp2_prod_1761597796.4701.pdf — p. 11, §6: general imputation rule; jama_engelter_2025_oi_250066_1761597796.45511.pdf — p. 5, secondary methods: reported nonimputation; jama_engelter_2025_oi_250066_1761597796.45511.pdf — p. 6, mRS/PRAI results: affected outcomes; joi250066supp3_prod_1761597796.4701.pdf — p. 7, deviations: mRS death assignment and PRAI exception; joi250066supp3_prod_1761597796.4701.pdf — p. 15, eTable 4: mRS/PRAI results and populations</t>
        </is>
      </c>
      <c r="D5" s="21" t="inlineStr">
        <is>
          <t>retain</t>
        </is>
      </c>
      <c r="E5" s="21" t="inlineStr">
        <is>
          <t>protocol_report</t>
        </is>
      </c>
      <c r="F5" s="21" t="inlineStr">
        <is>
          <t>primary_done</t>
        </is>
      </c>
      <c r="G5" s="24">
        <f>IFERROR(IF(LEN(TRIM(CLEAN(SUBSTITUTE(Setup!$B$2,CHAR(160)," "))))=0,"CHECK REVIEWER ID",IF(OR(A5="",COUNTIF($A$2:$A$7,A5)&lt;&gt;1,LEFT(A5,LEN("2025::jama.2025.15185::"))&lt;&gt;"2025::jama.2025.15185::"),"CHECK KEY",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NOT(OR(EXACT(D5,"retain"),EXACT(D5,"exclude"),EXACT(D5,"discuss"))),NOT(OR(EXACT(E5,"statistical_results"),EXACT(E5,"report_internal_inconsistency"),EXACT(E5,"plan_material"),EXACT(E5,"protocol_report"))),AND(AND(D5="retain",E5="statistical_results"),NOT(OR(EXACT(H5,"confirmed_issue"),EXACT(H5,"probable_issue"),EXACT(H5,"not_issue"),EXACT(H5,"indeterminate")))),AND(AND(D5="retain",E5="statistical_results"),NOT(OR(EXACT(I5,"substantive"),EXACT(I5,"minor_presentation"),EXACT(I5,"indeterminate")))),AND(AND(D5="retain",E5="statistical_results"),J5&lt;&gt;"",NOT(OR(EXACT(J5,"direct"),EXACT(J5,"possible"),EXACT(J5,"unlikely"),EXACT(J5,"unknown")))),AND(AND(D5="retain",OR(E5="report_internal_inconsistency",E5="plan_material")),NOT(OR(EXACT(K5,"substantive_inconsistency"),EXACT(K5,"minor_presentation"),EXACT(K5,"non_inconsistency"),EXACT(K5,"indeterminate")))),AND(AND(D5="retain",E5="protocol_report"),L5&lt;&gt;"",NOT(OR(EXACT(L5,"substantive_difference"),EXACT(L5,"minor_presentation"),EXACT(L5,"version_timing"),EXACT(L5,"non_inconsistency"),EXACT(L5,"indeterminate"))))),"CHECK FIELDS",IF(AND(F5&lt;&gt;"",NOT(OR(EXACT(F5,"no"),EXACT(F5,"primary_done")))),"CHECK COMPLETE",IF(EXACT(F5,"primary_done"),"PRIMARY READY","PRIMARY DRAFT")))))),"CHECK INPUT / KEY")</f>
        <v/>
      </c>
      <c r="H5" s="21">
        <f>IF(AND(OR(D5="retain",D5=""),E5="statistical_results"),"","not_applicable")</f>
        <v/>
      </c>
      <c r="I5" s="21">
        <f>IF(AND(OR(D5="retain",D5=""),E5="statistical_results"),"","not_applicable")</f>
        <v/>
      </c>
      <c r="J5" s="22">
        <f>IF(AND(OR(D5="retain",D5=""),E5="statistical_results"),"","not_applicable")</f>
        <v/>
      </c>
      <c r="K5" s="21">
        <f>IF(AND(OR(D5="retain",D5=""),OR(E5="report_internal_inconsistency",E5="plan_material")),"","not_applicable")</f>
        <v/>
      </c>
      <c r="L5" s="22" t="inlineStr">
        <is>
          <t>substantive_difference</t>
        </is>
      </c>
      <c r="M5" s="24" t="n"/>
      <c r="N5" s="23" t="n"/>
      <c r="O5" s="23" t="n"/>
      <c r="P5" s="23" t="n"/>
      <c r="Q5" s="23" t="n"/>
      <c r="R5" s="22"/>
    </row>
    <row r="6" ht="92" customHeight="1" s="25">
      <c r="A6" s="20" t="inlineStr">
        <is>
          <t>2025::jama.2025.15185::C005</t>
        </is>
      </c>
      <c r="B6" s="20" t="inlineStr">
        <is>
          <t>Planned primary-endpoint supplementary analyses are not identified in the report</t>
        </is>
      </c>
      <c r="C6" s="20" t="inlineStr">
        <is>
          <t>joi250066supp1_prod_1761597796.4601.pdf — p. 86, §§11.4.1 and 11.4.3: primary sensitivities and bounded PP context; joi250066supp2_prod_1761597796.4701.pdf — p. 11, §7: center interaction model; joi250066supp2_prod_1761597796.4701.pdf — p. 12, §7.2: seven-variable subgroup package; joi250066supp2_prod_1761597796.4701.pdf — p. 15, addendum: subgroup directions and median splits; jama_engelter_2025_oi_250066_1761597796.45511.pdf — p. 4, supplementary/post hoc estimands: reported analysis and adherence context; jama_engelter_2025_oi_250066_1761597796.45511.pdf — p. 5, subgroup/center/spline methods: related reported analyses and prespecification statement; jama_engelter_2025_oi_250066_1761597796.45511.pdf — p. 6, primary/sensitivity results: affected primary analysis package; jama_engelter_2025_oi_250066_1761597796.45511.pdf — p. 7, Additional Post Hoc Analyses: baseline analyses; joi250066supp3_prod_1761597796.4701.pdf — p. 1, complete display index: nine eTables and seven eFigures; joi250066supp3_prod_1761597796.4701.pdf — p. 13, eTable 2: eight prespecified estimands; joi250066supp3_prod_1761597796.4701.pdf — p. 14, eTable 3: post hoc estimands; joi250066supp3_prod_1761597796.4701.pdf — p. 18, eTables 7–8: baseline interaction/spline models; joi250066supp3_prod_1761597796.4701.pdf — p. 25, eFigure 5: center graph; joi250066supp3_prod_1761597796.4701.pdf — p. 27, eFigure 7: post hoc forest</t>
        </is>
      </c>
      <c r="D6" s="21" t="inlineStr">
        <is>
          <t>retain</t>
        </is>
      </c>
      <c r="E6" s="21" t="inlineStr">
        <is>
          <t>protocol_report</t>
        </is>
      </c>
      <c r="F6" s="21" t="inlineStr">
        <is>
          <t>primary_done</t>
        </is>
      </c>
      <c r="G6" s="20">
        <f>IFERROR(IF(LEN(TRIM(CLEAN(SUBSTITUTE(Setup!$B$2,CHAR(160)," "))))=0,"CHECK REVIEWER ID",IF(OR(A6="",COUNTIF($A$2:$A$7,A6)&lt;&gt;1,LEFT(A6,LEN("2025::jama.2025.15185::"))&lt;&gt;"2025::jama.2025.15185::"),"CHECK KEY",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NOT(OR(EXACT(D6,"retain"),EXACT(D6,"exclude"),EXACT(D6,"discuss"))),NOT(OR(EXACT(E6,"statistical_results"),EXACT(E6,"report_internal_inconsistency"),EXACT(E6,"plan_material"),EXACT(E6,"protocol_report"))),AND(AND(D6="retain",E6="statistical_results"),NOT(OR(EXACT(H6,"confirmed_issue"),EXACT(H6,"probable_issue"),EXACT(H6,"not_issue"),EXACT(H6,"indeterminate")))),AND(AND(D6="retain",E6="statistical_results"),NOT(OR(EXACT(I6,"substantive"),EXACT(I6,"minor_presentation"),EXACT(I6,"indeterminate")))),AND(AND(D6="retain",E6="statistical_results"),J6&lt;&gt;"",NOT(OR(EXACT(J6,"direct"),EXACT(J6,"possible"),EXACT(J6,"unlikely"),EXACT(J6,"unknown")))),AND(AND(D6="retain",OR(E6="report_internal_inconsistency",E6="plan_material")),NOT(OR(EXACT(K6,"substantive_inconsistency"),EXACT(K6,"minor_presentation"),EXACT(K6,"non_inconsistency"),EXACT(K6,"indeterminate")))),AND(AND(D6="retain",E6="protocol_report"),L6&lt;&gt;"",NOT(OR(EXACT(L6,"substantive_difference"),EXACT(L6,"minor_presentation"),EXACT(L6,"version_timing"),EXACT(L6,"non_inconsistency"),EXACT(L6,"indeterminate"))))),"CHECK FIELDS",IF(AND(F6&lt;&gt;"",NOT(OR(EXACT(F6,"no"),EXACT(F6,"primary_done")))),"CHECK COMPLETE",IF(EXACT(F6,"primary_done"),"PRIMARY READY","PRIMARY DRAFT")))))),"CHECK INPUT / KEY")</f>
        <v/>
      </c>
      <c r="H6" s="21">
        <f>IF(AND(OR(D6="retain",D6=""),E6="statistical_results"),"","not_applicable")</f>
        <v/>
      </c>
      <c r="I6" s="21">
        <f>IF(AND(OR(D6="retain",D6=""),E6="statistical_results"),"","not_applicable")</f>
        <v/>
      </c>
      <c r="J6" s="22">
        <f>IF(AND(OR(D6="retain",D6=""),E6="statistical_results"),"","not_applicable")</f>
        <v/>
      </c>
      <c r="K6" s="21">
        <f>IF(AND(OR(D6="retain",D6=""),OR(E6="report_internal_inconsistency",E6="plan_material")),"","not_applicable")</f>
        <v/>
      </c>
      <c r="L6" s="22" t="inlineStr">
        <is>
          <t>substantive_difference</t>
        </is>
      </c>
      <c r="M6" s="20" t="n"/>
      <c r="N6" s="23" t="n"/>
      <c r="O6" s="23" t="n"/>
      <c r="P6" s="23" t="n"/>
      <c r="Q6" s="23" t="n"/>
      <c r="R6" s="22"/>
    </row>
    <row r="7" ht="92" customHeight="1" s="25">
      <c r="A7" s="24" t="inlineStr">
        <is>
          <t>2025::jama.2025.15185::C006</t>
        </is>
      </c>
      <c r="B7" s="24" t="inlineStr">
        <is>
          <t>Serious-event hierarchy counts do not reconcile with their parent totals</t>
        </is>
      </c>
      <c r="C7" s="24" t="inlineStr">
        <is>
          <t>jama_engelter_2025_oi_250066_1761597796.45511.pdf — p. 6, Table 2, levodopa serious-event parent and all 13 top-level category rows; jama_engelter_2025_oi_250066_1761597796.45511.pdf — p. 6, Table 2, placebo infection parent and all six infection subtype rows; jama_engelter_2025_oi_250066_1761597796.45511.pdf — p. 6, Adverse Events narrative and table notes: corroborating event totals and unit context</t>
        </is>
      </c>
      <c r="D7" s="21" t="inlineStr">
        <is>
          <t>retain</t>
        </is>
      </c>
      <c r="E7" s="21" t="inlineStr">
        <is>
          <t>statistical_results</t>
        </is>
      </c>
      <c r="F7" s="21" t="inlineStr">
        <is>
          <t>primary_done</t>
        </is>
      </c>
      <c r="G7" s="24">
        <f>IFERROR(IF(LEN(TRIM(CLEAN(SUBSTITUTE(Setup!$B$2,CHAR(160)," "))))=0,"CHECK REVIEWER ID",IF(OR(A7="",COUNTIF($A$2:$A$7,A7)&lt;&gt;1,LEFT(A7,LEN("2025::jama.2025.15185::"))&lt;&gt;"2025::jama.2025.15185::"),"CHECK KEY",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NOT(OR(EXACT(D7,"retain"),EXACT(D7,"exclude"),EXACT(D7,"discuss"))),NOT(OR(EXACT(E7,"statistical_results"),EXACT(E7,"report_internal_inconsistency"),EXACT(E7,"plan_material"),EXACT(E7,"protocol_report"))),AND(AND(D7="retain",E7="statistical_results"),NOT(OR(EXACT(H7,"confirmed_issue"),EXACT(H7,"probable_issue"),EXACT(H7,"not_issue"),EXACT(H7,"indeterminate")))),AND(AND(D7="retain",E7="statistical_results"),NOT(OR(EXACT(I7,"substantive"),EXACT(I7,"minor_presentation"),EXACT(I7,"indeterminate")))),AND(AND(D7="retain",E7="statistical_results"),J7&lt;&gt;"",NOT(OR(EXACT(J7,"direct"),EXACT(J7,"possible"),EXACT(J7,"unlikely"),EXACT(J7,"unknown")))),AND(AND(D7="retain",OR(E7="report_internal_inconsistency",E7="plan_material")),NOT(OR(EXACT(K7,"substantive_inconsistency"),EXACT(K7,"minor_presentation"),EXACT(K7,"non_inconsistency"),EXACT(K7,"indeterminate")))),AND(AND(D7="retain",E7="protocol_report"),L7&lt;&gt;"",NOT(OR(EXACT(L7,"substantive_difference"),EXACT(L7,"minor_presentation"),EXACT(L7,"version_timing"),EXACT(L7,"non_inconsistency"),EXACT(L7,"indeterminate"))))),"CHECK FIELDS",IF(AND(F7&lt;&gt;"",NOT(OR(EXACT(F7,"no"),EXACT(F7,"primary_done")))),"CHECK COMPLETE",IF(EXACT(F7,"primary_done"),"PRIMARY READY","PRIMARY DRAFT")))))),"CHECK INPUT / KEY")</f>
        <v/>
      </c>
      <c r="H7" s="21" t="inlineStr">
        <is>
          <t>indeterminate</t>
        </is>
      </c>
      <c r="I7" s="21" t="inlineStr">
        <is>
          <t>minor_presentation</t>
        </is>
      </c>
      <c r="J7" s="22" t="inlineStr">
        <is>
          <t>unlikely</t>
        </is>
      </c>
      <c r="K7" s="21">
        <f>IF(AND(OR(D7="retain",D7=""),OR(E7="report_internal_inconsistency",E7="plan_material")),"","not_applicable")</f>
        <v/>
      </c>
      <c r="L7" s="22">
        <f>IF(AND(OR(D7="retain",D7=""),E7="protocol_report"),"","not_applicable")</f>
        <v/>
      </c>
      <c r="M7" s="24" t="n"/>
      <c r="N7" s="23" t="n"/>
      <c r="O7" s="23" t="n"/>
      <c r="P7" s="23" t="n"/>
      <c r="Q7" s="23" t="n"/>
      <c r="R7" s="22"/>
    </row>
  </sheetData>
  <autoFilter ref="A1:R7"/>
  <conditionalFormatting sqref="H2:H7">
    <cfRule type="expression" priority="8" dxfId="70">
      <formula>NOT(AND(OR($D2="retain",$D2=""),$E2="statistical_results"))</formula>
    </cfRule>
  </conditionalFormatting>
  <conditionalFormatting sqref="I2:I7">
    <cfRule type="expression" priority="9" dxfId="70">
      <formula>NOT(AND(OR($D2="retain",$D2=""),$E2="statistical_results"))</formula>
    </cfRule>
  </conditionalFormatting>
  <conditionalFormatting sqref="J2:J7">
    <cfRule type="expression" priority="10" dxfId="70">
      <formula>NOT(AND(OR($D2="retain",$D2=""),$E2="statistical_results"))</formula>
    </cfRule>
  </conditionalFormatting>
  <conditionalFormatting sqref="K2:K7">
    <cfRule type="expression" priority="11" dxfId="70">
      <formula>NOT(AND(OR($D2="retain",$D2=""),OR($E2="report_internal_inconsistency",$E2="plan_material")))</formula>
    </cfRule>
  </conditionalFormatting>
  <conditionalFormatting sqref="L2:L7">
    <cfRule type="expression" priority="12" dxfId="70">
      <formula>NOT(AND(OR($D2="retain",$D2=""),$E2="protocol_report"))</formula>
    </cfRule>
  </conditionalFormatting>
  <conditionalFormatting sqref="G2:G7">
    <cfRule type="expression" priority="13" dxfId="71">
      <formula>G2&lt;&gt;"PRIMARY READY"</formula>
    </cfRule>
  </conditionalFormatting>
  <dataValidations count="8">
    <dataValidation sqref="D2:D7" showDropDown="0" showInputMessage="0" showErrorMessage="1" allowBlank="1" errorTitle="Use a listed option" error="Choose an option; G also checks pasted entries." type="list" errorStyle="stop">
      <formula1>"retain,exclude,discuss"</formula1>
    </dataValidation>
    <dataValidation sqref="E2:E7" showDropDown="0" showInputMessage="0" showErrorMessage="1" allowBlank="1" errorTitle="Use a listed option" error="Choose an option; G also checks pasted entries." type="list" errorStyle="stop">
      <formula1>"statistical_results,report_internal_inconsistency,plan_material,protocol_report"</formula1>
    </dataValidation>
    <dataValidation sqref="F2:F7" showDropDown="0" showInputMessage="0" showErrorMessage="1" allowBlank="1" errorTitle="Use a listed option" error="Choose an option; G also checks pasted entries." type="list" errorStyle="stop">
      <formula1>"no,primary_done"</formula1>
    </dataValidation>
    <dataValidation sqref="H2:H7" showDropDown="0" showInputMessage="0" showErrorMessage="1" allowBlank="1" errorTitle="Use a listed option" error="Choose an option; G also checks pasted entries." type="list" errorStyle="stop">
      <formula1>"confirmed_issue,probable_issue,not_issue,indeterminate,not_applicable"</formula1>
    </dataValidation>
    <dataValidation sqref="I2:I7" showDropDown="0" showInputMessage="0" showErrorMessage="1" allowBlank="1" errorTitle="Use a listed option" error="Choose an option; G also checks pasted entries." type="list" errorStyle="stop">
      <formula1>"substantive,minor_presentation,indeterminate,not_applicable"</formula1>
    </dataValidation>
    <dataValidation sqref="J2:J7" showDropDown="0" showInputMessage="0" showErrorMessage="1" allowBlank="1" errorTitle="Use a listed option" error="Choose an option; G also checks pasted entries." type="list" errorStyle="stop">
      <formula1>"direct,possible,unlikely,unknown,not_applicable"</formula1>
    </dataValidation>
    <dataValidation sqref="K2:K7" showDropDown="0" showInputMessage="0" showErrorMessage="1" allowBlank="1" errorTitle="Use a listed option" error="Choose an option; G also checks pasted entries." type="list" errorStyle="stop">
      <formula1>"substantive_inconsistency,minor_presentation,non_inconsistency,indeterminate,not_applicable"</formula1>
    </dataValidation>
    <dataValidation sqref="L2:L7" showDropDown="0" showInputMessage="0" showErrorMessage="1" allowBlank="1" errorTitle="Use a listed option" error="Choose an option; G also checks pasted entries." type="list" errorStyle="stop">
      <formula1>"substantive_difference,minor_presentation,version_timing,non_inconsistency,indeterminate,not_applicable"</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R2"/>
  <sheetViews>
    <sheetView tabSelected="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Format="1"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Statistical_or_numerical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ht="92" customHeight="1" s="25">
      <c r="A2" s="20" t="inlineStr">
        <is>
          <t>2025::jama.2025.15440::C001</t>
        </is>
      </c>
      <c r="B2" s="20" t="inlineStr">
        <is>
          <t>Age-under-75 subgroup power does not reconcile with a reproducing same-table calculation</t>
        </is>
      </c>
      <c r="C2" s="20" t="inlineStr">
        <is>
          <t>joi250068supp1_prod_1760999665.28862.pdf — Protocol, PDF p. 22, Table 4, age &lt;75 row, rightmost “Power for total of 5000, 2p&lt;0.01” cell; all input and other-power comparison cells in the same Table 4. Contextual design support only: joi250068supp1_prod_1760999665.28862.pdf — protocol, PDF p. 20, Table 2, continuity-corrected sample-size heading, and joi250068supp1_prod_1760999665.28862.pdf — protocol, PDF p. 21, Table 3, whole-trial power design.</t>
        </is>
      </c>
      <c r="D2" s="21" t="inlineStr">
        <is>
          <t>retain</t>
        </is>
      </c>
      <c r="E2" s="21" t="inlineStr">
        <is>
          <t>plan_material</t>
        </is>
      </c>
      <c r="F2" s="21" t="inlineStr">
        <is>
          <t>primary_done</t>
        </is>
      </c>
      <c r="G2" s="20">
        <f>IFERROR(IF(LEN(TRIM(CLEAN(SUBSTITUTE(Setup!$B$2,CHAR(160)," "))))=0,"CHECK REVIEWER ID",IF(OR(A2="",COUNTIF($A$2:$A$2,A2)&lt;&gt;1,LEFT(A2,LEN("2025::jama.2025.15440::"))&lt;&gt;"2025::jama.2025.15440::"),"CHECK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
      </c>
      <c r="H2" s="21">
        <f>IF(AND(OR(D2="retain",D2=""),E2="statistical_results"),"","not_applicable")</f>
        <v/>
      </c>
      <c r="I2" s="21">
        <f>IF(AND(OR(D2="retain",D2=""),E2="statistical_results"),"","not_applicable")</f>
        <v/>
      </c>
      <c r="J2" s="22">
        <f>IF(AND(OR(D2="retain",D2=""),E2="statistical_results"),"","not_applicable")</f>
        <v/>
      </c>
      <c r="K2" s="21" t="inlineStr">
        <is>
          <t>minor_presentation</t>
        </is>
      </c>
      <c r="L2" s="22">
        <f>IF(AND(OR(D2="retain",D2=""),E2="protocol_report"),"","not_applicable")</f>
        <v/>
      </c>
      <c r="M2" s="20" t="n"/>
      <c r="N2" s="23" t="n"/>
      <c r="O2" s="23" t="n"/>
      <c r="P2" s="23" t="n"/>
      <c r="Q2" s="23" t="n"/>
      <c r="R2" s="22"/>
    </row>
  </sheetData>
  <autoFilter ref="A1:R2"/>
  <conditionalFormatting sqref="H2">
    <cfRule type="expression" priority="8" dxfId="70">
      <formula>NOT(AND(OR($D2="retain",$D2=""),$E2="statistical_results"))</formula>
    </cfRule>
  </conditionalFormatting>
  <conditionalFormatting sqref="I2">
    <cfRule type="expression" priority="9" dxfId="70">
      <formula>NOT(AND(OR($D2="retain",$D2=""),$E2="statistical_results"))</formula>
    </cfRule>
  </conditionalFormatting>
  <conditionalFormatting sqref="J2">
    <cfRule type="expression" priority="10" dxfId="70">
      <formula>NOT(AND(OR($D2="retain",$D2=""),$E2="statistical_results"))</formula>
    </cfRule>
  </conditionalFormatting>
  <conditionalFormatting sqref="K2">
    <cfRule type="expression" priority="11" dxfId="70">
      <formula>NOT(AND(OR($D2="retain",$D2=""),OR($E2="report_internal_inconsistency",$E2="plan_material")))</formula>
    </cfRule>
  </conditionalFormatting>
  <conditionalFormatting sqref="L2">
    <cfRule type="expression" priority="12" dxfId="70">
      <formula>NOT(AND(OR($D2="retain",$D2=""),$E2="protocol_report"))</formula>
    </cfRule>
  </conditionalFormatting>
  <conditionalFormatting sqref="G2">
    <cfRule type="expression" priority="13" dxfId="71">
      <formula>G2&lt;&gt;"PRIMARY READY"</formula>
    </cfRule>
  </conditionalFormatting>
  <dataValidations count="8">
    <dataValidation sqref="D2" showDropDown="0" showInputMessage="0" showErrorMessage="1" allowBlank="1" errorTitle="Use a listed option" error="Choose an option; G also checks pasted entries." type="list" errorStyle="stop">
      <formula1>"retain,exclude,discuss"</formula1>
    </dataValidation>
    <dataValidation sqref="E2" showDropDown="0" showInputMessage="0" showErrorMessage="1" allowBlank="1" errorTitle="Use a listed option" error="Choose an option; G also checks pasted entries." type="list" errorStyle="stop">
      <formula1>"statistical_results,report_internal_inconsistency,plan_material,protocol_report"</formula1>
    </dataValidation>
    <dataValidation sqref="F2" showDropDown="0" showInputMessage="0" showErrorMessage="1" allowBlank="1" errorTitle="Use a listed option" error="Choose an option; G also checks pasted entries." type="list" errorStyle="stop">
      <formula1>"no,primary_done"</formula1>
    </dataValidation>
    <dataValidation sqref="H2" showDropDown="0" showInputMessage="0" showErrorMessage="1" allowBlank="1" errorTitle="Use a listed option" error="Choose an option; G also checks pasted entries." type="list" errorStyle="stop">
      <formula1>"confirmed_issue,probable_issue,not_issue,indeterminate,not_applicable"</formula1>
    </dataValidation>
    <dataValidation sqref="I2" showDropDown="0" showInputMessage="0" showErrorMessage="1" allowBlank="1" errorTitle="Use a listed option" error="Choose an option; G also checks pasted entries." type="list" errorStyle="stop">
      <formula1>"substantive,minor_presentation,indeterminate,not_applicable"</formula1>
    </dataValidation>
    <dataValidation sqref="J2" showDropDown="0" showInputMessage="0" showErrorMessage="1" allowBlank="1" errorTitle="Use a listed option" error="Choose an option; G also checks pasted entries." type="list" errorStyle="stop">
      <formula1>"direct,possible,unlikely,unknown,not_applicable"</formula1>
    </dataValidation>
    <dataValidation sqref="K2" showDropDown="0" showInputMessage="0" showErrorMessage="1" allowBlank="1" errorTitle="Use a listed option" error="Choose an option; G also checks pasted entries." type="list" errorStyle="stop">
      <formula1>"substantive_inconsistency,minor_presentation,non_inconsistency,indeterminate,not_applicable"</formula1>
    </dataValidation>
    <dataValidation sqref="L2" showDropDown="0" showInputMessage="0" showErrorMessage="1" allowBlank="1" errorTitle="Use a listed option" error="Choose an option; G also checks pasted entries." type="list" errorStyle="stop">
      <formula1>"substantive_difference,minor_presentation,version_timing,non_inconsistency,indeterminate,not_applicable"</formula1>
    </dataValidation>
  </dataValidation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R7"/>
  <sheetViews>
    <sheetView tabSelected="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Format="1"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Statistical_or_numerical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ht="92" customHeight="1" s="25">
      <c r="A2" s="20" t="inlineStr">
        <is>
          <t>2025::jama.2025.16450::C001</t>
        </is>
      </c>
      <c r="B2" s="20" t="inlineStr">
        <is>
          <t>Moderate-hyperglycemia qualification pathway differs across report and plan descriptions</t>
        </is>
      </c>
      <c r="C2" s="20" t="inlineStr">
        <is>
          <t>jama_ambalavanan_2025_oi_250072_1761000786.6838.pdf — Main PDF p. 1, abstract; jama_ambalavanan_2025_oi_250072_1761000786.6838.pdf — main PDF p. 3, Outcomes; jama_ambalavanan_2025_oi_250072_1761000786.6838.pdf — main PDF p. 6, Safety Outcomes; joi250072supp4_prod_1761000786.6988.pdf — results PDF p. 5, eTable 3 hyperglycemia; joi250072supp2_prod_1761000786.6938.pdf — manual PDF p. 39, moderate, severe and life-threatening hyperglycemia narrative; joi250072supp2_prod_1761000786.6938.pdf — manual PDF p. 59, Appendix A hyperglycemia row; joi250072supp3_prod_1761000786.6988.pdf — SAP PDF p. 11, §3.2.4.1.</t>
        </is>
      </c>
      <c r="D2" s="21" t="inlineStr">
        <is>
          <t>retain</t>
        </is>
      </c>
      <c r="E2" s="21" t="inlineStr">
        <is>
          <t>protocol_report</t>
        </is>
      </c>
      <c r="F2" s="21" t="inlineStr">
        <is>
          <t>primary_done</t>
        </is>
      </c>
      <c r="G2" s="20">
        <f>IFERROR(IF(LEN(TRIM(CLEAN(SUBSTITUTE(Setup!$B$2,CHAR(160)," "))))=0,"CHECK REVIEWER ID",IF(OR(A2="",COUNTIF($A$2:$A$7,A2)&lt;&gt;1,LEFT(A2,LEN("2025::jama.2025.16450::"))&lt;&gt;"2025::jama.2025.16450::"),"CHECK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
      </c>
      <c r="H2" s="21">
        <f>IF(AND(OR(D2="retain",D2=""),E2="statistical_results"),"","not_applicable")</f>
        <v/>
      </c>
      <c r="I2" s="21">
        <f>IF(AND(OR(D2="retain",D2=""),E2="statistical_results"),"","not_applicable")</f>
        <v/>
      </c>
      <c r="J2" s="22">
        <f>IF(AND(OR(D2="retain",D2=""),E2="statistical_results"),"","not_applicable")</f>
        <v/>
      </c>
      <c r="K2" s="21">
        <f>IF(AND(OR(D2="retain",D2=""),OR(E2="report_internal_inconsistency",E2="plan_material")),"","not_applicable")</f>
        <v/>
      </c>
      <c r="L2" s="22" t="inlineStr">
        <is>
          <t>substantive_difference</t>
        </is>
      </c>
      <c r="M2" s="20" t="n"/>
      <c r="N2" s="23" t="n"/>
      <c r="O2" s="23" t="n"/>
      <c r="P2" s="23" t="n"/>
      <c r="Q2" s="23" t="n"/>
      <c r="R2" s="22"/>
    </row>
    <row r="3" ht="92" customHeight="1" s="25">
      <c r="A3" s="24" t="inlineStr">
        <is>
          <t>2025::jama.2025.16450::C002</t>
        </is>
      </c>
      <c r="B3" s="24" t="inlineStr">
        <is>
          <t>Reported BPD-severity contrasts differ from the planned ordinal model</t>
        </is>
      </c>
      <c r="C3" s="24" t="inlineStr">
        <is>
          <t>jama_ambalavanan_2025_oi_250072_1761000786.6838.pdf — Main PDF p. 3, secondary/exploratory BPD outcomes; jama_ambalavanan_2025_oi_250072_1761000786.6838.pdf — main PDF p. 8, Table 3 severity rows and footnote a; joi250072supp1_prod_1761000786.68881.pdf — protocol PDF p. 21, ordered severity outcomes; joi250072supp1_prod_1761000786.68881.pdf — protocol PDF p. 25, §5.1; joi250072supp3_prod_1761000786.6988.pdf — SAP PDF p. 32, pragmatic ordinal outcome; joi250072supp3_prod_1761000786.6988.pdf — SAP PDF p. 33, pragmatic coding; joi250072supp3_prod_1761000786.6988.pdf — SAP PDF p. 34, NIH ordinal outcome; joi250072supp3_prod_1761000786.6988.pdf — SAP PDF p. 35, NIH coding; joi250072supp3_prod_1761000786.6988.pdf — SAP PDF p. 39, §9.5.</t>
        </is>
      </c>
      <c r="D3" s="21" t="inlineStr">
        <is>
          <t>retain</t>
        </is>
      </c>
      <c r="E3" s="21" t="inlineStr">
        <is>
          <t>protocol_report</t>
        </is>
      </c>
      <c r="F3" s="21" t="inlineStr">
        <is>
          <t>primary_done</t>
        </is>
      </c>
      <c r="G3" s="24">
        <f>IFERROR(IF(LEN(TRIM(CLEAN(SUBSTITUTE(Setup!$B$2,CHAR(160)," "))))=0,"CHECK REVIEWER ID",IF(OR(A3="",COUNTIF($A$2:$A$7,A3)&lt;&gt;1,LEFT(A3,LEN("2025::jama.2025.16450::"))&lt;&gt;"2025::jama.2025.16450::"),"CHECK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
      </c>
      <c r="H3" s="21">
        <f>IF(AND(OR(D3="retain",D3=""),E3="statistical_results"),"","not_applicable")</f>
        <v/>
      </c>
      <c r="I3" s="21">
        <f>IF(AND(OR(D3="retain",D3=""),E3="statistical_results"),"","not_applicable")</f>
        <v/>
      </c>
      <c r="J3" s="22">
        <f>IF(AND(OR(D3="retain",D3=""),E3="statistical_results"),"","not_applicable")</f>
        <v/>
      </c>
      <c r="K3" s="21">
        <f>IF(AND(OR(D3="retain",D3=""),OR(E3="report_internal_inconsistency",E3="plan_material")),"","not_applicable")</f>
        <v/>
      </c>
      <c r="L3" s="22" t="inlineStr">
        <is>
          <t>substantive_difference</t>
        </is>
      </c>
      <c r="M3" s="24" t="n"/>
      <c r="N3" s="23" t="n"/>
      <c r="O3" s="23" t="n"/>
      <c r="P3" s="23" t="n"/>
      <c r="Q3" s="23" t="n"/>
      <c r="R3" s="22"/>
    </row>
    <row r="4" ht="92" customHeight="1" s="25">
      <c r="A4" s="20" t="inlineStr">
        <is>
          <t>2025::jama.2025.16450::C003</t>
        </is>
      </c>
      <c r="B4" s="20" t="inlineStr">
        <is>
          <t>Prespecified primary-analysis outputs are absent or displayed with different definitions</t>
        </is>
      </c>
      <c r="C4" s="20" t="inlineStr">
        <is>
          <t>joi250072supp1_prod_1761000786.68881.pdf — Protocol PDF p. 25, §5.1 treatment-received analyses; joi250072supp3_prod_1761000786.6988.pdf — SAP PDF p. 22, §5 population definitions; joi250072supp3_prod_1761000786.6988.pdf — SAP PDF p. 29, §7.7 interactions; joi250072supp3_prod_1761000786.6988.pdf — SAP PDF p. 36, §9.3 response coding; joi250072supp3_prod_1761000786.6988.pdf — SAP PDF p. 37, coding and sample model; joi250072supp3_prod_1761000786.6988.pdf — SAP PDF p. 38, §§9.4.1–9.4.2; jama_ambalavanan_2025_oi_250072_1761000786.6838.pdf — main PDF p. 3, statistical analysis; jama_ambalavanan_2025_oi_250072_1761000786.6838.pdf — main PDF p. 4, Figure 1 and footnotes f/j; jama_ambalavanan_2025_oi_250072_1761000786.6838.pdf — main PDF p. 7, Table 2 and sensitivity/subgroup text; jama_ambalavanan_2025_oi_250072_1761000786.6838.pdf — main PDF p. 9, Figure 2, caption and footnote a; joi250072supp4_prod_1761000786.6988.pdf — results PDF p. 2, eTable 1. The absence comparison covers all main PDF pages 1–11 and all results PDF pages 1–16, including all eight supplementary tables, rather than only these displayed anchors.</t>
        </is>
      </c>
      <c r="D4" s="21" t="inlineStr">
        <is>
          <t>retain</t>
        </is>
      </c>
      <c r="E4" s="21" t="inlineStr">
        <is>
          <t>protocol_report</t>
        </is>
      </c>
      <c r="F4" s="21" t="inlineStr">
        <is>
          <t>primary_done</t>
        </is>
      </c>
      <c r="G4" s="20">
        <f>IFERROR(IF(LEN(TRIM(CLEAN(SUBSTITUTE(Setup!$B$2,CHAR(160)," "))))=0,"CHECK REVIEWER ID",IF(OR(A4="",COUNTIF($A$2:$A$7,A4)&lt;&gt;1,LEFT(A4,LEN("2025::jama.2025.16450::"))&lt;&gt;"2025::jama.2025.16450::"),"CHECK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
      </c>
      <c r="H4" s="21">
        <f>IF(AND(OR(D4="retain",D4=""),E4="statistical_results"),"","not_applicable")</f>
        <v/>
      </c>
      <c r="I4" s="21">
        <f>IF(AND(OR(D4="retain",D4=""),E4="statistical_results"),"","not_applicable")</f>
        <v/>
      </c>
      <c r="J4" s="22">
        <f>IF(AND(OR(D4="retain",D4=""),E4="statistical_results"),"","not_applicable")</f>
        <v/>
      </c>
      <c r="K4" s="21">
        <f>IF(AND(OR(D4="retain",D4=""),OR(E4="report_internal_inconsistency",E4="plan_material")),"","not_applicable")</f>
        <v/>
      </c>
      <c r="L4" s="22" t="inlineStr">
        <is>
          <t>substantive_difference</t>
        </is>
      </c>
      <c r="M4" s="20" t="n"/>
      <c r="N4" s="23" t="n"/>
      <c r="O4" s="23" t="n"/>
      <c r="P4" s="23" t="n"/>
      <c r="Q4" s="23" t="n"/>
      <c r="R4" s="22"/>
    </row>
    <row r="5" ht="92" customHeight="1" s="25">
      <c r="A5" s="24" t="inlineStr">
        <is>
          <t>2025::jama.2025.16450::C004</t>
        </is>
      </c>
      <c r="B5" s="24" t="inlineStr">
        <is>
          <t>Historical Grade 3 BPD count and percentage do not reconcile in one protocol cell</t>
        </is>
      </c>
      <c r="C5" s="24" t="inlineStr">
        <is>
          <t>joi250072supp1_prod_1761000786.68881.pdf — Protocol PDF p. 12, Table 2, NICHD BPD Workshop Grading 2018: Grade 3 surfactant cell, combination comparator, Grade 3-or-death, Death, No BPD, Grade 1 and Grade 2.</t>
        </is>
      </c>
      <c r="D5" s="21" t="inlineStr">
        <is>
          <t>exclude</t>
        </is>
      </c>
      <c r="E5" s="21" t="inlineStr">
        <is>
          <t>plan_material</t>
        </is>
      </c>
      <c r="F5" s="21" t="inlineStr">
        <is>
          <t>primary_done</t>
        </is>
      </c>
      <c r="G5" s="24">
        <f>IFERROR(IF(LEN(TRIM(CLEAN(SUBSTITUTE(Setup!$B$2,CHAR(160)," "))))=0,"CHECK REVIEWER ID",IF(OR(A5="",COUNTIF($A$2:$A$7,A5)&lt;&gt;1,LEFT(A5,LEN("2025::jama.2025.16450::"))&lt;&gt;"2025::jama.2025.16450::"),"CHECK KEY",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NOT(OR(EXACT(D5,"retain"),EXACT(D5,"exclude"),EXACT(D5,"discuss"))),NOT(OR(EXACT(E5,"statistical_results"),EXACT(E5,"report_internal_inconsistency"),EXACT(E5,"plan_material"),EXACT(E5,"protocol_report"))),AND(AND(D5="retain",E5="statistical_results"),NOT(OR(EXACT(H5,"confirmed_issue"),EXACT(H5,"probable_issue"),EXACT(H5,"not_issue"),EXACT(H5,"indeterminate")))),AND(AND(D5="retain",E5="statistical_results"),NOT(OR(EXACT(I5,"substantive"),EXACT(I5,"minor_presentation"),EXACT(I5,"indeterminate")))),AND(AND(D5="retain",E5="statistical_results"),J5&lt;&gt;"",NOT(OR(EXACT(J5,"direct"),EXACT(J5,"possible"),EXACT(J5,"unlikely"),EXACT(J5,"unknown")))),AND(AND(D5="retain",OR(E5="report_internal_inconsistency",E5="plan_material")),NOT(OR(EXACT(K5,"substantive_inconsistency"),EXACT(K5,"minor_presentation"),EXACT(K5,"non_inconsistency"),EXACT(K5,"indeterminate")))),AND(AND(D5="retain",E5="protocol_report"),L5&lt;&gt;"",NOT(OR(EXACT(L5,"substantive_difference"),EXACT(L5,"minor_presentation"),EXACT(L5,"version_timing"),EXACT(L5,"non_inconsistency"),EXACT(L5,"indeterminate"))))),"CHECK FIELDS",IF(AND(F5&lt;&gt;"",NOT(OR(EXACT(F5,"no"),EXACT(F5,"primary_done")))),"CHECK COMPLETE",IF(EXACT(F5,"primary_done"),"PRIMARY READY","PRIMARY DRAFT")))))),"CHECK INPUT / KEY")</f>
        <v/>
      </c>
      <c r="H5" s="21">
        <f>IF(AND(OR(D5="retain",D5=""),E5="statistical_results"),"","not_applicable")</f>
        <v/>
      </c>
      <c r="I5" s="21">
        <f>IF(AND(OR(D5="retain",D5=""),E5="statistical_results"),"","not_applicable")</f>
        <v/>
      </c>
      <c r="J5" s="22">
        <f>IF(AND(OR(D5="retain",D5=""),E5="statistical_results"),"","not_applicable")</f>
        <v/>
      </c>
      <c r="K5" s="21">
        <f>IF(AND(OR(D5="retain",D5=""),OR(E5="report_internal_inconsistency",E5="plan_material")),"","not_applicable")</f>
        <v/>
      </c>
      <c r="L5" s="22">
        <f>IF(AND(OR(D5="retain",D5=""),E5="protocol_report"),"","not_applicable")</f>
        <v/>
      </c>
      <c r="M5" s="24" t="n"/>
      <c r="N5" s="23" t="n"/>
      <c r="O5" s="23" t="n"/>
      <c r="P5" s="23" t="n"/>
      <c r="Q5" s="23" t="n"/>
      <c r="R5" s="22" t="inlineStr">
        <is>
          <t>Protocol Table 2 (Supp1 p.12; OCR and rendered) prints historical-cohort Grade 3 BPD as 20% (31/294); 31/294=10.5%, and 91 (grade 3 or death) - 31 (death) = 60, 60/294=20.4%, categories then sum to 294. A real typo (31 copied from the death row), but it is background data from a prior cohort, not a design element of this trial.</t>
        </is>
      </c>
    </row>
    <row r="6" ht="92" customHeight="1" s="25">
      <c r="A6" s="20" t="inlineStr">
        <is>
          <t>2025::jama.2025.16450::C005</t>
        </is>
      </c>
      <c r="B6" s="20" t="inlineStr">
        <is>
          <t>One nasal-cannula factor cell differs from the reproducible table relationship</t>
        </is>
      </c>
      <c r="C6" s="20" t="inlineStr">
        <is>
          <t>joi250072supp2_prod_1761000786.6938.pdf — Manual PDF p. 152, Appendix J Table 1: 0.125 LPM/1⁄8 LPM by 2.5 kg cell, all other 143 factor cells and nearest-input instructions; joi250072supp2_prod_1761000786.6938.pdf — manual PDF p. 154, Table 2: factor 4 and factor 5 at 100% oxygen.</t>
        </is>
      </c>
      <c r="D6" s="21" t="inlineStr">
        <is>
          <t>retain</t>
        </is>
      </c>
      <c r="E6" s="21" t="inlineStr">
        <is>
          <t>plan_material</t>
        </is>
      </c>
      <c r="F6" s="21" t="inlineStr">
        <is>
          <t>primary_done</t>
        </is>
      </c>
      <c r="G6" s="20">
        <f>IFERROR(IF(LEN(TRIM(CLEAN(SUBSTITUTE(Setup!$B$2,CHAR(160)," "))))=0,"CHECK REVIEWER ID",IF(OR(A6="",COUNTIF($A$2:$A$7,A6)&lt;&gt;1,LEFT(A6,LEN("2025::jama.2025.16450::"))&lt;&gt;"2025::jama.2025.16450::"),"CHECK KEY",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NOT(OR(EXACT(D6,"retain"),EXACT(D6,"exclude"),EXACT(D6,"discuss"))),NOT(OR(EXACT(E6,"statistical_results"),EXACT(E6,"report_internal_inconsistency"),EXACT(E6,"plan_material"),EXACT(E6,"protocol_report"))),AND(AND(D6="retain",E6="statistical_results"),NOT(OR(EXACT(H6,"confirmed_issue"),EXACT(H6,"probable_issue"),EXACT(H6,"not_issue"),EXACT(H6,"indeterminate")))),AND(AND(D6="retain",E6="statistical_results"),NOT(OR(EXACT(I6,"substantive"),EXACT(I6,"minor_presentation"),EXACT(I6,"indeterminate")))),AND(AND(D6="retain",E6="statistical_results"),J6&lt;&gt;"",NOT(OR(EXACT(J6,"direct"),EXACT(J6,"possible"),EXACT(J6,"unlikely"),EXACT(J6,"unknown")))),AND(AND(D6="retain",OR(E6="report_internal_inconsistency",E6="plan_material")),NOT(OR(EXACT(K6,"substantive_inconsistency"),EXACT(K6,"minor_presentation"),EXACT(K6,"non_inconsistency"),EXACT(K6,"indeterminate")))),AND(AND(D6="retain",E6="protocol_report"),L6&lt;&gt;"",NOT(OR(EXACT(L6,"substantive_difference"),EXACT(L6,"minor_presentation"),EXACT(L6,"version_timing"),EXACT(L6,"non_inconsistency"),EXACT(L6,"indeterminate"))))),"CHECK FIELDS",IF(AND(F6&lt;&gt;"",NOT(OR(EXACT(F6,"no"),EXACT(F6,"primary_done")))),"CHECK COMPLETE",IF(EXACT(F6,"primary_done"),"PRIMARY READY","PRIMARY DRAFT")))))),"CHECK INPUT / KEY")</f>
        <v/>
      </c>
      <c r="H6" s="21">
        <f>IF(AND(OR(D6="retain",D6=""),E6="statistical_results"),"","not_applicable")</f>
        <v/>
      </c>
      <c r="I6" s="21">
        <f>IF(AND(OR(D6="retain",D6=""),E6="statistical_results"),"","not_applicable")</f>
        <v/>
      </c>
      <c r="J6" s="22">
        <f>IF(AND(OR(D6="retain",D6=""),E6="statistical_results"),"","not_applicable")</f>
        <v/>
      </c>
      <c r="K6" s="21" t="inlineStr">
        <is>
          <t>minor_presentation</t>
        </is>
      </c>
      <c r="L6" s="22">
        <f>IF(AND(OR(D6="retain",D6=""),E6="protocol_report"),"","not_applicable")</f>
        <v/>
      </c>
      <c r="M6" s="20" t="n"/>
      <c r="N6" s="23" t="n"/>
      <c r="O6" s="23" t="n"/>
      <c r="P6" s="23" t="n"/>
      <c r="Q6" s="23" t="n"/>
      <c r="R6" s="22"/>
    </row>
    <row r="7" ht="92" customHeight="1" s="25">
      <c r="A7" s="24" t="inlineStr">
        <is>
          <t>2025::jama.2025.16450::C006</t>
        </is>
      </c>
      <c r="B7" s="24" t="inlineStr">
        <is>
          <t>Sparse intervals described as exact reproduce a log-Wald pattern</t>
        </is>
      </c>
      <c r="C7" s="24" t="inlineStr">
        <is>
          <t>joi250072supp4_prod_1761000786.6988.pdf — Results PDF p. 5, eTable 3: AE endotracheal tube blockage, AE prolonged hypoxemia/bradycardia, SAE endotracheal tube blockage, SAE prolonged hypoxemia/bradycardia; joi250072supp4_prod_1761000786.6988.pdf — results PDF p. 6, eTable 3: SAE hyperglycemia, early-onset sepsis, late-onset sepsis and footnote b; joi250072supp4_prod_1761000786.6988.pdf — results PDF p. 7, eTable 4: PDA managed with surgery/cardiac catheterization; joi250072supp4_prod_1761000786.6988.pdf — results PDF p. 8, eTable 4 footnote b and nonmissing-denominator definition.</t>
        </is>
      </c>
      <c r="D7" s="21" t="inlineStr">
        <is>
          <t>retain</t>
        </is>
      </c>
      <c r="E7" s="21" t="inlineStr">
        <is>
          <t>statistical_results</t>
        </is>
      </c>
      <c r="F7" s="21" t="inlineStr">
        <is>
          <t>primary_done</t>
        </is>
      </c>
      <c r="G7" s="24">
        <f>IFERROR(IF(LEN(TRIM(CLEAN(SUBSTITUTE(Setup!$B$2,CHAR(160)," "))))=0,"CHECK REVIEWER ID",IF(OR(A7="",COUNTIF($A$2:$A$7,A7)&lt;&gt;1,LEFT(A7,LEN("2025::jama.2025.16450::"))&lt;&gt;"2025::jama.2025.16450::"),"CHECK KEY",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NOT(OR(EXACT(D7,"retain"),EXACT(D7,"exclude"),EXACT(D7,"discuss"))),NOT(OR(EXACT(E7,"statistical_results"),EXACT(E7,"report_internal_inconsistency"),EXACT(E7,"plan_material"),EXACT(E7,"protocol_report"))),AND(AND(D7="retain",E7="statistical_results"),NOT(OR(EXACT(H7,"confirmed_issue"),EXACT(H7,"probable_issue"),EXACT(H7,"not_issue"),EXACT(H7,"indeterminate")))),AND(AND(D7="retain",E7="statistical_results"),NOT(OR(EXACT(I7,"substantive"),EXACT(I7,"minor_presentation"),EXACT(I7,"indeterminate")))),AND(AND(D7="retain",E7="statistical_results"),J7&lt;&gt;"",NOT(OR(EXACT(J7,"direct"),EXACT(J7,"possible"),EXACT(J7,"unlikely"),EXACT(J7,"unknown")))),AND(AND(D7="retain",OR(E7="report_internal_inconsistency",E7="plan_material")),NOT(OR(EXACT(K7,"substantive_inconsistency"),EXACT(K7,"minor_presentation"),EXACT(K7,"non_inconsistency"),EXACT(K7,"indeterminate")))),AND(AND(D7="retain",E7="protocol_report"),L7&lt;&gt;"",NOT(OR(EXACT(L7,"substantive_difference"),EXACT(L7,"minor_presentation"),EXACT(L7,"version_timing"),EXACT(L7,"non_inconsistency"),EXACT(L7,"indeterminate"))))),"CHECK FIELDS",IF(AND(F7&lt;&gt;"",NOT(OR(EXACT(F7,"no"),EXACT(F7,"primary_done")))),"CHECK COMPLETE",IF(EXACT(F7,"primary_done"),"PRIMARY READY","PRIMARY DRAFT")))))),"CHECK INPUT / KEY")</f>
        <v/>
      </c>
      <c r="H7" s="21" t="inlineStr">
        <is>
          <t>confirmed_issue</t>
        </is>
      </c>
      <c r="I7" s="21" t="inlineStr">
        <is>
          <t>minor_presentation</t>
        </is>
      </c>
      <c r="J7" s="22" t="inlineStr">
        <is>
          <t>unlikely</t>
        </is>
      </c>
      <c r="K7" s="21">
        <f>IF(AND(OR(D7="retain",D7=""),OR(E7="report_internal_inconsistency",E7="plan_material")),"","not_applicable")</f>
        <v/>
      </c>
      <c r="L7" s="22">
        <f>IF(AND(OR(D7="retain",D7=""),E7="protocol_report"),"","not_applicable")</f>
        <v/>
      </c>
      <c r="M7" s="24" t="n"/>
      <c r="N7" s="23" t="n"/>
      <c r="O7" s="23" t="n"/>
      <c r="P7" s="23" t="n"/>
      <c r="Q7" s="23" t="n"/>
      <c r="R7" s="22"/>
    </row>
  </sheetData>
  <autoFilter ref="A1:R7"/>
  <conditionalFormatting sqref="H2:H7">
    <cfRule type="expression" priority="8" dxfId="70">
      <formula>NOT(AND(OR($D2="retain",$D2=""),$E2="statistical_results"))</formula>
    </cfRule>
  </conditionalFormatting>
  <conditionalFormatting sqref="I2:I7">
    <cfRule type="expression" priority="9" dxfId="70">
      <formula>NOT(AND(OR($D2="retain",$D2=""),$E2="statistical_results"))</formula>
    </cfRule>
  </conditionalFormatting>
  <conditionalFormatting sqref="J2:J7">
    <cfRule type="expression" priority="10" dxfId="70">
      <formula>NOT(AND(OR($D2="retain",$D2=""),$E2="statistical_results"))</formula>
    </cfRule>
  </conditionalFormatting>
  <conditionalFormatting sqref="K2:K7">
    <cfRule type="expression" priority="11" dxfId="70">
      <formula>NOT(AND(OR($D2="retain",$D2=""),OR($E2="report_internal_inconsistency",$E2="plan_material")))</formula>
    </cfRule>
  </conditionalFormatting>
  <conditionalFormatting sqref="L2:L7">
    <cfRule type="expression" priority="12" dxfId="70">
      <formula>NOT(AND(OR($D2="retain",$D2=""),$E2="protocol_report"))</formula>
    </cfRule>
  </conditionalFormatting>
  <conditionalFormatting sqref="G2:G7">
    <cfRule type="expression" priority="13" dxfId="71">
      <formula>G2&lt;&gt;"PRIMARY READY"</formula>
    </cfRule>
  </conditionalFormatting>
  <dataValidations count="8">
    <dataValidation sqref="D2:D7" showDropDown="0" showInputMessage="0" showErrorMessage="1" allowBlank="1" errorTitle="Use a listed option" error="Choose an option; G also checks pasted entries." type="list" errorStyle="stop">
      <formula1>"retain,exclude,discuss"</formula1>
    </dataValidation>
    <dataValidation sqref="E2:E7" showDropDown="0" showInputMessage="0" showErrorMessage="1" allowBlank="1" errorTitle="Use a listed option" error="Choose an option; G also checks pasted entries." type="list" errorStyle="stop">
      <formula1>"statistical_results,report_internal_inconsistency,plan_material,protocol_report"</formula1>
    </dataValidation>
    <dataValidation sqref="F2:F7" showDropDown="0" showInputMessage="0" showErrorMessage="1" allowBlank="1" errorTitle="Use a listed option" error="Choose an option; G also checks pasted entries." type="list" errorStyle="stop">
      <formula1>"no,primary_done"</formula1>
    </dataValidation>
    <dataValidation sqref="H2:H7" showDropDown="0" showInputMessage="0" showErrorMessage="1" allowBlank="1" errorTitle="Use a listed option" error="Choose an option; G also checks pasted entries." type="list" errorStyle="stop">
      <formula1>"confirmed_issue,probable_issue,not_issue,indeterminate,not_applicable"</formula1>
    </dataValidation>
    <dataValidation sqref="I2:I7" showDropDown="0" showInputMessage="0" showErrorMessage="1" allowBlank="1" errorTitle="Use a listed option" error="Choose an option; G also checks pasted entries." type="list" errorStyle="stop">
      <formula1>"substantive,minor_presentation,indeterminate,not_applicable"</formula1>
    </dataValidation>
    <dataValidation sqref="J2:J7" showDropDown="0" showInputMessage="0" showErrorMessage="1" allowBlank="1" errorTitle="Use a listed option" error="Choose an option; G also checks pasted entries." type="list" errorStyle="stop">
      <formula1>"direct,possible,unlikely,unknown,not_applicable"</formula1>
    </dataValidation>
    <dataValidation sqref="K2:K7" showDropDown="0" showInputMessage="0" showErrorMessage="1" allowBlank="1" errorTitle="Use a listed option" error="Choose an option; G also checks pasted entries." type="list" errorStyle="stop">
      <formula1>"substantive_inconsistency,minor_presentation,non_inconsistency,indeterminate,not_applicable"</formula1>
    </dataValidation>
    <dataValidation sqref="L2:L7" showDropDown="0" showInputMessage="0" showErrorMessage="1" allowBlank="1" errorTitle="Use a listed option" error="Choose an option; G also checks pasted entries." type="list" errorStyle="stop">
      <formula1>"substantive_difference,minor_presentation,version_timing,non_inconsistency,indeterminate,not_applicable"</formula1>
    </dataValidation>
  </dataValidation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R14"/>
  <sheetViews>
    <sheetView tabSelected="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Format="1"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Statistical_or_numerical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ht="92" customHeight="1" s="25">
      <c r="A2" s="20" t="inlineStr">
        <is>
          <t>2025::jama.2025.19563::C001</t>
        </is>
      </c>
      <c r="B2" s="20" t="inlineStr">
        <is>
          <t>Added diabetes-range HbA1c primary-composite disqualifier</t>
        </is>
      </c>
      <c r="C2" s="20" t="inlineStr">
        <is>
          <t>joi250084supp1_prod_1765403089.61351.pdf — DOC-002 p6 synopsis; joi250084supp1_prod_1765403089.61351.pdf — p15 §3.2; joi250084supp1_prod_1765403089.61351.pdf — p86 incident-diabetes SAP-change row; jama_mathioudakis_2025_oi_250084_1765403089.60451.pdf — main p3 Outcomes; jama_mathioudakis_2025_oi_250084_1765403089.60451.pdf — p4 Primary Analysis; joi250084supp2_prod_1765403089.61751.pdf — DOC-003 p29 eTable13 method begins; joi250084supp2_prod_1765403089.61751.pdf — p30 method continuation; joi250084supp2_prod_1765403089.61751.pdf — p56 eTable13</t>
        </is>
      </c>
      <c r="D2" s="21" t="inlineStr">
        <is>
          <t>retain</t>
        </is>
      </c>
      <c r="E2" s="21" t="inlineStr">
        <is>
          <t>protocol_report</t>
        </is>
      </c>
      <c r="F2" s="21" t="inlineStr">
        <is>
          <t>primary_done</t>
        </is>
      </c>
      <c r="G2" s="20">
        <f>IFERROR(IF(LEN(TRIM(CLEAN(SUBSTITUTE(Setup!$B$2,CHAR(160)," "))))=0,"CHECK REVIEWER ID",IF(OR(A2="",COUNTIF($A$2:$A$14,A2)&lt;&gt;1,LEFT(A2,LEN("2025::jama.2025.19563::"))&lt;&gt;"2025::jama.2025.19563::"),"CHECK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
      </c>
      <c r="H2" s="21">
        <f>IF(AND(OR(D2="retain",D2=""),E2="statistical_results"),"","not_applicable")</f>
        <v/>
      </c>
      <c r="I2" s="21">
        <f>IF(AND(OR(D2="retain",D2=""),E2="statistical_results"),"","not_applicable")</f>
        <v/>
      </c>
      <c r="J2" s="22">
        <f>IF(AND(OR(D2="retain",D2=""),E2="statistical_results"),"","not_applicable")</f>
        <v/>
      </c>
      <c r="K2" s="21">
        <f>IF(AND(OR(D2="retain",D2=""),OR(E2="report_internal_inconsistency",E2="plan_material")),"","not_applicable")</f>
        <v/>
      </c>
      <c r="L2" s="22" t="inlineStr">
        <is>
          <t>substantive_difference</t>
        </is>
      </c>
      <c r="M2" s="20" t="n"/>
      <c r="N2" s="23" t="n"/>
      <c r="O2" s="23" t="n"/>
      <c r="P2" s="23" t="n"/>
      <c r="Q2" s="23" t="n"/>
      <c r="R2" s="22"/>
    </row>
    <row r="3" ht="92" customHeight="1" s="25">
      <c r="A3" s="24" t="inlineStr">
        <is>
          <t>2025::jama.2025.19563::C002</t>
        </is>
      </c>
      <c r="B3" s="24" t="inlineStr">
        <is>
          <t>Primary PA window and endpoint-specific mapping</t>
        </is>
      </c>
      <c r="C3" s="24" t="inlineStr">
        <is>
          <t>joi250084supp1_prod_1765403089.61351.pdf — DOC-002 p6 synopsis; joi250084supp1_prod_1765403089.61351.pdf — p15 §3.2; joi250084supp1_prod_1765403089.61351.pdf — p80 version 1.4 amendment begins; joi250084supp1_prod_1765403089.61351.pdf — p81 continuation; jama_mathioudakis_2025_oi_250084_1765403089.60451.pdf — main p3 primary branch; jama_mathioudakis_2025_oi_250084_1765403089.60451.pdf — p7 Figure2; joi250084supp2_prod_1765403089.61751.pdf — DOC-003 p13 Aggregation; joi250084supp2_prod_1765403089.61751.pdf — p49 postbaseline assessments</t>
        </is>
      </c>
      <c r="D3" s="21" t="inlineStr">
        <is>
          <t>retain</t>
        </is>
      </c>
      <c r="E3" s="21" t="inlineStr">
        <is>
          <t>protocol_report</t>
        </is>
      </c>
      <c r="F3" s="21" t="inlineStr">
        <is>
          <t>primary_done</t>
        </is>
      </c>
      <c r="G3" s="24">
        <f>IFERROR(IF(LEN(TRIM(CLEAN(SUBSTITUTE(Setup!$B$2,CHAR(160)," "))))=0,"CHECK REVIEWER ID",IF(OR(A3="",COUNTIF($A$2:$A$14,A3)&lt;&gt;1,LEFT(A3,LEN("2025::jama.2025.19563::"))&lt;&gt;"2025::jama.2025.19563::"),"CHECK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
      </c>
      <c r="H3" s="21">
        <f>IF(AND(OR(D3="retain",D3=""),E3="statistical_results"),"","not_applicable")</f>
        <v/>
      </c>
      <c r="I3" s="21">
        <f>IF(AND(OR(D3="retain",D3=""),E3="statistical_results"),"","not_applicable")</f>
        <v/>
      </c>
      <c r="J3" s="22">
        <f>IF(AND(OR(D3="retain",D3=""),E3="statistical_results"),"","not_applicable")</f>
        <v/>
      </c>
      <c r="K3" s="21">
        <f>IF(AND(OR(D3="retain",D3=""),OR(E3="report_internal_inconsistency",E3="plan_material")),"","not_applicable")</f>
        <v/>
      </c>
      <c r="L3" s="22" t="inlineStr">
        <is>
          <t>version_timing</t>
        </is>
      </c>
      <c r="M3" s="24" t="n"/>
      <c r="N3" s="23" t="n"/>
      <c r="O3" s="23" t="n"/>
      <c r="P3" s="23" t="n"/>
      <c r="Q3" s="23" t="n"/>
      <c r="R3" s="22"/>
    </row>
    <row r="4" ht="92" customHeight="1" s="25">
      <c r="A4" s="20" t="inlineStr">
        <is>
          <t>2025::jama.2025.19563::C003</t>
        </is>
      </c>
      <c r="B4" s="20" t="inlineStr">
        <is>
          <t>Primary HbA1c branch restricted to baseline subset</t>
        </is>
      </c>
      <c r="C4" s="20" t="inlineStr">
        <is>
          <t>joi250084supp1_prod_1765403089.61351.pdf — DOC-002 p15 original §3.2; joi250084supp1_prod_1765403089.61351.pdf — p80 version 1.4 modification begins; joi250084supp1_prod_1765403089.61351.pdf — p81 subset and eligibility continuation; jama_mathioudakis_2025_oi_250084_1765403089.60451.pdf — main p3 Outcomes; jama_mathioudakis_2025_oi_250084_1765403089.60451.pdf — p7 Figure2 row/footnote</t>
        </is>
      </c>
      <c r="D4" s="21" t="inlineStr">
        <is>
          <t>exclude</t>
        </is>
      </c>
      <c r="E4" s="21" t="inlineStr">
        <is>
          <t>protocol_report</t>
        </is>
      </c>
      <c r="F4" s="21" t="inlineStr">
        <is>
          <t>primary_done</t>
        </is>
      </c>
      <c r="G4" s="20">
        <f>IFERROR(IF(LEN(TRIM(CLEAN(SUBSTITUTE(Setup!$B$2,CHAR(160)," "))))=0,"CHECK REVIEWER ID",IF(OR(A4="",COUNTIF($A$2:$A$14,A4)&lt;&gt;1,LEFT(A4,LEN("2025::jama.2025.19563::"))&lt;&gt;"2025::jama.2025.19563::"),"CHECK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
      </c>
      <c r="H4" s="21">
        <f>IF(AND(OR(D4="retain",D4=""),E4="statistical_results"),"","not_applicable")</f>
        <v/>
      </c>
      <c r="I4" s="21">
        <f>IF(AND(OR(D4="retain",D4=""),E4="statistical_results"),"","not_applicable")</f>
        <v/>
      </c>
      <c r="J4" s="22">
        <f>IF(AND(OR(D4="retain",D4=""),E4="statistical_results"),"","not_applicable")</f>
        <v/>
      </c>
      <c r="K4" s="21">
        <f>IF(AND(OR(D4="retain",D4=""),OR(E4="report_internal_inconsistency",E4="plan_material")),"","not_applicable")</f>
        <v/>
      </c>
      <c r="L4" s="22">
        <f>IF(AND(OR(D4="retain",D4=""),E4="protocol_report"),"","not_applicable")</f>
        <v/>
      </c>
      <c r="M4" s="20" t="n"/>
      <c r="N4" s="23" t="n"/>
      <c r="O4" s="23" t="n"/>
      <c r="P4" s="23" t="n"/>
      <c r="Q4" s="23" t="n"/>
      <c r="R4" s="22" t="inlineStr">
        <is>
          <t>Restriction of the HbA1c-reduction branch to baseline HbA1c 5.7-6.4% was made by dated protocol amendment v1.4 (03-28-2022; Supp1 pp.80-81, OCR), and the report (main p.3; Figure 2 footnote c, 130/130) follows the amended protocol. No difference between the report and the operative plan.</t>
        </is>
      </c>
    </row>
    <row r="5" ht="92" customHeight="1" s="25">
      <c r="A5" s="24" t="inlineStr">
        <is>
          <t>2025::jama.2025.19563::C004</t>
        </is>
      </c>
      <c r="B5" s="24" t="inlineStr">
        <is>
          <t>Primary exclusions replaced by all-randomized failure assignment</t>
        </is>
      </c>
      <c r="C5" s="24" t="inlineStr">
        <is>
          <t>joi250084supp1_prod_1765403089.61351.pdf — DOC-002 p37 §9.3; joi250084supp1_prod_1765403089.61351.pdf — p86 first SAP-change row; jama_mathioudakis_2025_oi_250084_1765403089.60451.pdf — main p4 primary methods/results; jama_mathioudakis_2025_oi_250084_1765403089.60451.pdf — p5 Figure1; joi250084supp2_prod_1765403089.61751.pdf — DOC-003 p27 primary cohort; joi250084supp2_prod_1765403089.61751.pdf — p50 eTable8c</t>
        </is>
      </c>
      <c r="D5" s="21" t="inlineStr">
        <is>
          <t>retain</t>
        </is>
      </c>
      <c r="E5" s="21" t="inlineStr">
        <is>
          <t>protocol_report</t>
        </is>
      </c>
      <c r="F5" s="21" t="inlineStr">
        <is>
          <t>primary_done</t>
        </is>
      </c>
      <c r="G5" s="24">
        <f>IFERROR(IF(LEN(TRIM(CLEAN(SUBSTITUTE(Setup!$B$2,CHAR(160)," "))))=0,"CHECK REVIEWER ID",IF(OR(A5="",COUNTIF($A$2:$A$14,A5)&lt;&gt;1,LEFT(A5,LEN("2025::jama.2025.19563::"))&lt;&gt;"2025::jama.2025.19563::"),"CHECK KEY",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NOT(OR(EXACT(D5,"retain"),EXACT(D5,"exclude"),EXACT(D5,"discuss"))),NOT(OR(EXACT(E5,"statistical_results"),EXACT(E5,"report_internal_inconsistency"),EXACT(E5,"plan_material"),EXACT(E5,"protocol_report"))),AND(AND(D5="retain",E5="statistical_results"),NOT(OR(EXACT(H5,"confirmed_issue"),EXACT(H5,"probable_issue"),EXACT(H5,"not_issue"),EXACT(H5,"indeterminate")))),AND(AND(D5="retain",E5="statistical_results"),NOT(OR(EXACT(I5,"substantive"),EXACT(I5,"minor_presentation"),EXACT(I5,"indeterminate")))),AND(AND(D5="retain",E5="statistical_results"),J5&lt;&gt;"",NOT(OR(EXACT(J5,"direct"),EXACT(J5,"possible"),EXACT(J5,"unlikely"),EXACT(J5,"unknown")))),AND(AND(D5="retain",OR(E5="report_internal_inconsistency",E5="plan_material")),NOT(OR(EXACT(K5,"substantive_inconsistency"),EXACT(K5,"minor_presentation"),EXACT(K5,"non_inconsistency"),EXACT(K5,"indeterminate")))),AND(AND(D5="retain",E5="protocol_report"),L5&lt;&gt;"",NOT(OR(EXACT(L5,"substantive_difference"),EXACT(L5,"minor_presentation"),EXACT(L5,"version_timing"),EXACT(L5,"non_inconsistency"),EXACT(L5,"indeterminate"))))),"CHECK FIELDS",IF(AND(F5&lt;&gt;"",NOT(OR(EXACT(F5,"no"),EXACT(F5,"primary_done")))),"CHECK COMPLETE",IF(EXACT(F5,"primary_done"),"PRIMARY READY","PRIMARY DRAFT")))))),"CHECK INPUT / KEY")</f>
        <v/>
      </c>
      <c r="H5" s="21">
        <f>IF(AND(OR(D5="retain",D5=""),E5="statistical_results"),"","not_applicable")</f>
        <v/>
      </c>
      <c r="I5" s="21">
        <f>IF(AND(OR(D5="retain",D5=""),E5="statistical_results"),"","not_applicable")</f>
        <v/>
      </c>
      <c r="J5" s="22">
        <f>IF(AND(OR(D5="retain",D5=""),E5="statistical_results"),"","not_applicable")</f>
        <v/>
      </c>
      <c r="K5" s="21">
        <f>IF(AND(OR(D5="retain",D5=""),OR(E5="report_internal_inconsistency",E5="plan_material")),"","not_applicable")</f>
        <v/>
      </c>
      <c r="L5" s="22" t="inlineStr">
        <is>
          <t>substantive_difference</t>
        </is>
      </c>
      <c r="M5" s="24" t="n"/>
      <c r="N5" s="23" t="n"/>
      <c r="O5" s="23" t="n"/>
      <c r="P5" s="23" t="n"/>
      <c r="Q5" s="23" t="n"/>
      <c r="R5" s="22"/>
    </row>
    <row r="6" ht="92" customHeight="1" s="25">
      <c r="A6" s="20" t="inlineStr">
        <is>
          <t>2025::jama.2025.19563::C005</t>
        </is>
      </c>
      <c r="B6" s="20" t="inlineStr">
        <is>
          <t>Clustered logistic primary model replaced by binomial RD regression</t>
        </is>
      </c>
      <c r="C6" s="20" t="inlineStr">
        <is>
          <t>joi250084supp1_prod_1765403089.61351.pdf — DOC-002 p37 §9.4.1; joi250084supp1_prod_1765403089.61351.pdf — p38 §9.4.7; joi250084supp1_prod_1765403089.61351.pdf — p86 model change; jama_mathioudakis_2025_oi_250084_1765403089.60451.pdf — main p4 primary model and sensitivity 5; joi250084supp2_prod_1765403089.61751.pdf — DOC-003 p31 cluster methods; joi250084supp2_prod_1765403089.61751.pdf — p62 eTables19a–b</t>
        </is>
      </c>
      <c r="D6" s="21" t="inlineStr">
        <is>
          <t>retain</t>
        </is>
      </c>
      <c r="E6" s="21" t="inlineStr">
        <is>
          <t>protocol_report</t>
        </is>
      </c>
      <c r="F6" s="21" t="inlineStr">
        <is>
          <t>primary_done</t>
        </is>
      </c>
      <c r="G6" s="20">
        <f>IFERROR(IF(LEN(TRIM(CLEAN(SUBSTITUTE(Setup!$B$2,CHAR(160)," "))))=0,"CHECK REVIEWER ID",IF(OR(A6="",COUNTIF($A$2:$A$14,A6)&lt;&gt;1,LEFT(A6,LEN("2025::jama.2025.19563::"))&lt;&gt;"2025::jama.2025.19563::"),"CHECK KEY",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NOT(OR(EXACT(D6,"retain"),EXACT(D6,"exclude"),EXACT(D6,"discuss"))),NOT(OR(EXACT(E6,"statistical_results"),EXACT(E6,"report_internal_inconsistency"),EXACT(E6,"plan_material"),EXACT(E6,"protocol_report"))),AND(AND(D6="retain",E6="statistical_results"),NOT(OR(EXACT(H6,"confirmed_issue"),EXACT(H6,"probable_issue"),EXACT(H6,"not_issue"),EXACT(H6,"indeterminate")))),AND(AND(D6="retain",E6="statistical_results"),NOT(OR(EXACT(I6,"substantive"),EXACT(I6,"minor_presentation"),EXACT(I6,"indeterminate")))),AND(AND(D6="retain",E6="statistical_results"),J6&lt;&gt;"",NOT(OR(EXACT(J6,"direct"),EXACT(J6,"possible"),EXACT(J6,"unlikely"),EXACT(J6,"unknown")))),AND(AND(D6="retain",OR(E6="report_internal_inconsistency",E6="plan_material")),NOT(OR(EXACT(K6,"substantive_inconsistency"),EXACT(K6,"minor_presentation"),EXACT(K6,"non_inconsistency"),EXACT(K6,"indeterminate")))),AND(AND(D6="retain",E6="protocol_report"),L6&lt;&gt;"",NOT(OR(EXACT(L6,"substantive_difference"),EXACT(L6,"minor_presentation"),EXACT(L6,"version_timing"),EXACT(L6,"non_inconsistency"),EXACT(L6,"indeterminate"))))),"CHECK FIELDS",IF(AND(F6&lt;&gt;"",NOT(OR(EXACT(F6,"no"),EXACT(F6,"primary_done")))),"CHECK COMPLETE",IF(EXACT(F6,"primary_done"),"PRIMARY READY","PRIMARY DRAFT")))))),"CHECK INPUT / KEY")</f>
        <v/>
      </c>
      <c r="H6" s="21">
        <f>IF(AND(OR(D6="retain",D6=""),E6="statistical_results"),"","not_applicable")</f>
        <v/>
      </c>
      <c r="I6" s="21">
        <f>IF(AND(OR(D6="retain",D6=""),E6="statistical_results"),"","not_applicable")</f>
        <v/>
      </c>
      <c r="J6" s="22">
        <f>IF(AND(OR(D6="retain",D6=""),E6="statistical_results"),"","not_applicable")</f>
        <v/>
      </c>
      <c r="K6" s="21">
        <f>IF(AND(OR(D6="retain",D6=""),OR(E6="report_internal_inconsistency",E6="plan_material")),"","not_applicable")</f>
        <v/>
      </c>
      <c r="L6" s="22" t="inlineStr">
        <is>
          <t>substantive_difference</t>
        </is>
      </c>
      <c r="M6" s="20" t="n"/>
      <c r="N6" s="23" t="n"/>
      <c r="O6" s="23" t="n"/>
      <c r="P6" s="23" t="n"/>
      <c r="Q6" s="23" t="n"/>
      <c r="R6" s="22"/>
    </row>
    <row r="7" ht="92" customHeight="1" s="25">
      <c r="A7" s="24" t="inlineStr">
        <is>
          <t>2025::jama.2025.19563::C006</t>
        </is>
      </c>
      <c r="B7" s="24" t="inlineStr">
        <is>
          <t>Primary PA missing-data procedure and linked sensitivity replaced</t>
        </is>
      </c>
      <c r="C7" s="24" t="inlineStr">
        <is>
          <t>joi250084supp1_prod_1765403089.61351.pdf — DOC-002 p38 §9.4.2; joi250084supp1_prod_1765403089.61351.pdf — p39 §9.4.8 continuation; joi250084supp1_prod_1765403089.61351.pdf — p86 missing-PA change; jama_mathioudakis_2025_oi_250084_1765403089.60451.pdf — main p4 sensitivities; joi250084supp2_prod_1765403089.61751.pdf — DOC-003 p13 PA processing; joi250084supp2_prod_1765403089.61751.pdf — p30 eTables16–18 descriptions; joi250084supp2_prod_1765403089.61751.pdf — p49 eTable8b; joi250084supp2_prod_1765403089.61751.pdf — p59 MI sensitivity; joi250084supp2_prod_1765403089.61751.pdf — p60 MNAR sensitivity; joi250084supp2_prod_1765403089.61751.pdf — p61 two PA sensitivities</t>
        </is>
      </c>
      <c r="D7" s="21" t="inlineStr">
        <is>
          <t>retain</t>
        </is>
      </c>
      <c r="E7" s="21" t="inlineStr">
        <is>
          <t>protocol_report</t>
        </is>
      </c>
      <c r="F7" s="21" t="inlineStr">
        <is>
          <t>primary_done</t>
        </is>
      </c>
      <c r="G7" s="24">
        <f>IFERROR(IF(LEN(TRIM(CLEAN(SUBSTITUTE(Setup!$B$2,CHAR(160)," "))))=0,"CHECK REVIEWER ID",IF(OR(A7="",COUNTIF($A$2:$A$14,A7)&lt;&gt;1,LEFT(A7,LEN("2025::jama.2025.19563::"))&lt;&gt;"2025::jama.2025.19563::"),"CHECK KEY",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NOT(OR(EXACT(D7,"retain"),EXACT(D7,"exclude"),EXACT(D7,"discuss"))),NOT(OR(EXACT(E7,"statistical_results"),EXACT(E7,"report_internal_inconsistency"),EXACT(E7,"plan_material"),EXACT(E7,"protocol_report"))),AND(AND(D7="retain",E7="statistical_results"),NOT(OR(EXACT(H7,"confirmed_issue"),EXACT(H7,"probable_issue"),EXACT(H7,"not_issue"),EXACT(H7,"indeterminate")))),AND(AND(D7="retain",E7="statistical_results"),NOT(OR(EXACT(I7,"substantive"),EXACT(I7,"minor_presentation"),EXACT(I7,"indeterminate")))),AND(AND(D7="retain",E7="statistical_results"),J7&lt;&gt;"",NOT(OR(EXACT(J7,"direct"),EXACT(J7,"possible"),EXACT(J7,"unlikely"),EXACT(J7,"unknown")))),AND(AND(D7="retain",OR(E7="report_internal_inconsistency",E7="plan_material")),NOT(OR(EXACT(K7,"substantive_inconsistency"),EXACT(K7,"minor_presentation"),EXACT(K7,"non_inconsistency"),EXACT(K7,"indeterminate")))),AND(AND(D7="retain",E7="protocol_report"),L7&lt;&gt;"",NOT(OR(EXACT(L7,"substantive_difference"),EXACT(L7,"minor_presentation"),EXACT(L7,"version_timing"),EXACT(L7,"non_inconsistency"),EXACT(L7,"indeterminate"))))),"CHECK FIELDS",IF(AND(F7&lt;&gt;"",NOT(OR(EXACT(F7,"no"),EXACT(F7,"primary_done")))),"CHECK COMPLETE",IF(EXACT(F7,"primary_done"),"PRIMARY READY","PRIMARY DRAFT")))))),"CHECK INPUT / KEY")</f>
        <v/>
      </c>
      <c r="H7" s="21">
        <f>IF(AND(OR(D7="retain",D7=""),E7="statistical_results"),"","not_applicable")</f>
        <v/>
      </c>
      <c r="I7" s="21">
        <f>IF(AND(OR(D7="retain",D7=""),E7="statistical_results"),"","not_applicable")</f>
        <v/>
      </c>
      <c r="J7" s="22">
        <f>IF(AND(OR(D7="retain",D7=""),E7="statistical_results"),"","not_applicable")</f>
        <v/>
      </c>
      <c r="K7" s="21">
        <f>IF(AND(OR(D7="retain",D7=""),OR(E7="report_internal_inconsistency",E7="plan_material")),"","not_applicable")</f>
        <v/>
      </c>
      <c r="L7" s="22" t="inlineStr">
        <is>
          <t>substantive_difference</t>
        </is>
      </c>
      <c r="M7" s="24" t="n"/>
      <c r="N7" s="23" t="n"/>
      <c r="O7" s="23" t="n"/>
      <c r="P7" s="23" t="n"/>
      <c r="Q7" s="23" t="n"/>
      <c r="R7" s="22"/>
    </row>
    <row r="8" ht="92" customHeight="1" s="25">
      <c r="A8" s="20" t="inlineStr">
        <is>
          <t>2025::jama.2025.19563::C007</t>
        </is>
      </c>
      <c r="B8" s="20" t="inlineStr">
        <is>
          <t>Program-completer analysis replaced by complete-data/no-medication cohort</t>
        </is>
      </c>
      <c r="C8" s="20" t="inlineStr">
        <is>
          <t>joi250084supp1_prod_1765403089.61351.pdf — DOC-002 p16 §3.3 completion criteria; joi250084supp1_prod_1765403089.61351.pdf — p37 §9.3; joi250084supp1_prod_1765403089.61351.pdf — p86 PP change starts; joi250084supp1_prod_1765403089.61351.pdf — p87 continuation; jama_mathioudakis_2025_oi_250084_1765403089.60451.pdf — main p4 restricted analysis; jama_mathioudakis_2025_oi_250084_1765403089.60451.pdf — p9 Figure4; joi250084supp2_prod_1765403089.61751.pdf — DOC-003 p27 cohort definition; joi250084supp2_prod_1765403089.61751.pdf — p58 eTable15</t>
        </is>
      </c>
      <c r="D8" s="21" t="inlineStr">
        <is>
          <t>retain</t>
        </is>
      </c>
      <c r="E8" s="21" t="inlineStr">
        <is>
          <t>protocol_report</t>
        </is>
      </c>
      <c r="F8" s="21" t="inlineStr">
        <is>
          <t>primary_done</t>
        </is>
      </c>
      <c r="G8" s="20">
        <f>IFERROR(IF(LEN(TRIM(CLEAN(SUBSTITUTE(Setup!$B$2,CHAR(160)," "))))=0,"CHECK REVIEWER ID",IF(OR(A8="",COUNTIF($A$2:$A$14,A8)&lt;&gt;1,LEFT(A8,LEN("2025::jama.2025.19563::"))&lt;&gt;"2025::jama.2025.19563::"),"CHECK KEY",IF(OR(AND(NOT(AND(D8="retain",E8="statistical_results")),H8&lt;&gt;"",NOT(EXACT(H8,"not_applicable"))),AND(NOT(AND(D8="retain",E8="statistical_results")),I8&lt;&gt;"",NOT(EXACT(I8,"not_applicable"))),AND(NOT(AND(D8="retain",E8="statistical_results")),J8&lt;&gt;"",NOT(EXACT(J8,"not_applicable"))),AND(NOT(AND(D8="retain",OR(E8="report_internal_inconsistency",E8="plan_material"))),K8&lt;&gt;"",NOT(EXACT(K8,"not_applicable"))),AND(NOT(AND(D8="retain",E8="protocol_report")),L8&lt;&gt;"",NOT(EXACT(L8,"not_applicable")))),"CLEAR INACTIVE VALUES",IF(OR(NOT(OR(EXACT(D8,"retain"),EXACT(D8,"exclude"),EXACT(D8,"discuss"))),NOT(OR(EXACT(E8,"statistical_results"),EXACT(E8,"report_internal_inconsistency"),EXACT(E8,"plan_material"),EXACT(E8,"protocol_report"))),AND(AND(D8="retain",E8="statistical_results"),NOT(OR(EXACT(H8,"confirmed_issue"),EXACT(H8,"probable_issue"),EXACT(H8,"not_issue"),EXACT(H8,"indeterminate")))),AND(AND(D8="retain",E8="statistical_results"),NOT(OR(EXACT(I8,"substantive"),EXACT(I8,"minor_presentation"),EXACT(I8,"indeterminate")))),AND(AND(D8="retain",E8="statistical_results"),J8&lt;&gt;"",NOT(OR(EXACT(J8,"direct"),EXACT(J8,"possible"),EXACT(J8,"unlikely"),EXACT(J8,"unknown")))),AND(AND(D8="retain",OR(E8="report_internal_inconsistency",E8="plan_material")),NOT(OR(EXACT(K8,"substantive_inconsistency"),EXACT(K8,"minor_presentation"),EXACT(K8,"non_inconsistency"),EXACT(K8,"indeterminate")))),AND(AND(D8="retain",E8="protocol_report"),L8&lt;&gt;"",NOT(OR(EXACT(L8,"substantive_difference"),EXACT(L8,"minor_presentation"),EXACT(L8,"version_timing"),EXACT(L8,"non_inconsistency"),EXACT(L8,"indeterminate"))))),"CHECK FIELDS",IF(AND(F8&lt;&gt;"",NOT(OR(EXACT(F8,"no"),EXACT(F8,"primary_done")))),"CHECK COMPLETE",IF(EXACT(F8,"primary_done"),"PRIMARY READY","PRIMARY DRAFT")))))),"CHECK INPUT / KEY")</f>
        <v/>
      </c>
      <c r="H8" s="21">
        <f>IF(AND(OR(D8="retain",D8=""),E8="statistical_results"),"","not_applicable")</f>
        <v/>
      </c>
      <c r="I8" s="21">
        <f>IF(AND(OR(D8="retain",D8=""),E8="statistical_results"),"","not_applicable")</f>
        <v/>
      </c>
      <c r="J8" s="22">
        <f>IF(AND(OR(D8="retain",D8=""),E8="statistical_results"),"","not_applicable")</f>
        <v/>
      </c>
      <c r="K8" s="21">
        <f>IF(AND(OR(D8="retain",D8=""),OR(E8="report_internal_inconsistency",E8="plan_material")),"","not_applicable")</f>
        <v/>
      </c>
      <c r="L8" s="22" t="inlineStr">
        <is>
          <t>substantive_difference</t>
        </is>
      </c>
      <c r="M8" s="20" t="n"/>
      <c r="N8" s="23" t="n"/>
      <c r="O8" s="23" t="n"/>
      <c r="P8" s="23" t="n"/>
      <c r="Q8" s="23" t="n"/>
      <c r="R8" s="22"/>
    </row>
    <row r="9" ht="92" customHeight="1" s="25">
      <c r="A9" s="24" t="inlineStr">
        <is>
          <t>2025::jama.2025.19563::C008</t>
        </is>
      </c>
      <c r="B9" s="24" t="inlineStr">
        <is>
          <t>Recruitment-pool portal percentages and counts</t>
        </is>
      </c>
      <c r="C9" s="24" t="inlineStr">
        <is>
          <t>joi250084supp1_prod_1765403089.61351.pdf — DOC-002 p18, Table 1 and §5.5.1 paragraph; joi250084supp1_prod_1765403089.61351.pdf — DOC-002 p18 Table1 Johns Hopkins: 13,910/21,346 (56%); joi250084supp1_prod_1765403089.61351.pdf — DOC-002 p18 Table1 Reading: 4,892/8,751 (60%); joi250084supp1_prod_1765403089.61351.pdf — DOC-002 p18 §5.5.1 paragraph: 13,910/21,410 (56%)</t>
        </is>
      </c>
      <c r="D9" s="21" t="inlineStr">
        <is>
          <t>exclude</t>
        </is>
      </c>
      <c r="E9" s="21" t="inlineStr">
        <is>
          <t>plan_material</t>
        </is>
      </c>
      <c r="F9" s="21" t="inlineStr">
        <is>
          <t>primary_done</t>
        </is>
      </c>
      <c r="G9" s="24">
        <f>IFERROR(IF(LEN(TRIM(CLEAN(SUBSTITUTE(Setup!$B$2,CHAR(160)," "))))=0,"CHECK REVIEWER ID",IF(OR(A9="",COUNTIF($A$2:$A$14,A9)&lt;&gt;1,LEFT(A9,LEN("2025::jama.2025.19563::"))&lt;&gt;"2025::jama.2025.19563::"),"CHECK KEY",IF(OR(AND(NOT(AND(D9="retain",E9="statistical_results")),H9&lt;&gt;"",NOT(EXACT(H9,"not_applicable"))),AND(NOT(AND(D9="retain",E9="statistical_results")),I9&lt;&gt;"",NOT(EXACT(I9,"not_applicable"))),AND(NOT(AND(D9="retain",E9="statistical_results")),J9&lt;&gt;"",NOT(EXACT(J9,"not_applicable"))),AND(NOT(AND(D9="retain",OR(E9="report_internal_inconsistency",E9="plan_material"))),K9&lt;&gt;"",NOT(EXACT(K9,"not_applicable"))),AND(NOT(AND(D9="retain",E9="protocol_report")),L9&lt;&gt;"",NOT(EXACT(L9,"not_applicable")))),"CLEAR INACTIVE VALUES",IF(OR(NOT(OR(EXACT(D9,"retain"),EXACT(D9,"exclude"),EXACT(D9,"discuss"))),NOT(OR(EXACT(E9,"statistical_results"),EXACT(E9,"report_internal_inconsistency"),EXACT(E9,"plan_material"),EXACT(E9,"protocol_report"))),AND(AND(D9="retain",E9="statistical_results"),NOT(OR(EXACT(H9,"confirmed_issue"),EXACT(H9,"probable_issue"),EXACT(H9,"not_issue"),EXACT(H9,"indeterminate")))),AND(AND(D9="retain",E9="statistical_results"),NOT(OR(EXACT(I9,"substantive"),EXACT(I9,"minor_presentation"),EXACT(I9,"indeterminate")))),AND(AND(D9="retain",E9="statistical_results"),J9&lt;&gt;"",NOT(OR(EXACT(J9,"direct"),EXACT(J9,"possible"),EXACT(J9,"unlikely"),EXACT(J9,"unknown")))),AND(AND(D9="retain",OR(E9="report_internal_inconsistency",E9="plan_material")),NOT(OR(EXACT(K9,"substantive_inconsistency"),EXACT(K9,"minor_presentation"),EXACT(K9,"non_inconsistency"),EXACT(K9,"indeterminate")))),AND(AND(D9="retain",E9="protocol_report"),L9&lt;&gt;"",NOT(OR(EXACT(L9,"substantive_difference"),EXACT(L9,"minor_presentation"),EXACT(L9,"version_timing"),EXACT(L9,"non_inconsistency"),EXACT(L9,"indeterminate"))))),"CHECK FIELDS",IF(AND(F9&lt;&gt;"",NOT(OR(EXACT(F9,"no"),EXACT(F9,"primary_done")))),"CHECK COMPLETE",IF(EXACT(F9,"primary_done"),"PRIMARY READY","PRIMARY DRAFT")))))),"CHECK INPUT / KEY")</f>
        <v/>
      </c>
      <c r="H9" s="21">
        <f>IF(AND(OR(D9="retain",D9=""),E9="statistical_results"),"","not_applicable")</f>
        <v/>
      </c>
      <c r="I9" s="21">
        <f>IF(AND(OR(D9="retain",D9=""),E9="statistical_results"),"","not_applicable")</f>
        <v/>
      </c>
      <c r="J9" s="22">
        <f>IF(AND(OR(D9="retain",D9=""),E9="statistical_results"),"","not_applicable")</f>
        <v/>
      </c>
      <c r="K9" s="21">
        <f>IF(AND(OR(D9="retain",D9=""),OR(E9="report_internal_inconsistency",E9="plan_material")),"","not_applicable")</f>
        <v/>
      </c>
      <c r="L9" s="22">
        <f>IF(AND(OR(D9="retain",D9=""),E9="protocol_report"),"","not_applicable")</f>
        <v/>
      </c>
      <c r="M9" s="24" t="n"/>
      <c r="N9" s="23" t="n"/>
      <c r="O9" s="23" t="n"/>
      <c r="P9" s="23" t="n"/>
      <c r="Q9" s="23" t="n"/>
      <c r="R9" s="22" t="inlineStr">
        <is>
          <t>Protocol §5.5.1/Table 1 (Supp1 p.18; OCR) recruitment-pool figures are inconsistent (21,410 vs 21,346 eligible; 13,910/21,346=65.2% printed 56%; 4,892/8,751=55.9% printed 60%), but these are feasibility estimates of portal access, not a design element the analysis relies on.</t>
        </is>
      </c>
    </row>
    <row r="10" ht="92" customHeight="1" s="25">
      <c r="A10" s="20" t="inlineStr">
        <is>
          <t>2025::jama.2025.19563::C009</t>
        </is>
      </c>
      <c r="B10" s="20" t="inlineStr">
        <is>
          <t>Interpolated PA vector and printed summary inputs</t>
        </is>
      </c>
      <c r="C10" s="20" t="inlineStr">
        <is>
          <t>joi250084supp2_prod_1765403089.61751.pdf — DOC-003 p13 preprocessing/calculation; joi250084supp2_prod_1765403089.61751.pdf — p15 activity summary loop; joi250084supp2_prod_1765403089.61751.pdf — p16 bout loop</t>
        </is>
      </c>
      <c r="D10" s="21" t="inlineStr">
        <is>
          <t>retain</t>
        </is>
      </c>
      <c r="E10" s="21" t="inlineStr">
        <is>
          <t>statistical_results</t>
        </is>
      </c>
      <c r="F10" s="21" t="inlineStr">
        <is>
          <t>primary_done</t>
        </is>
      </c>
      <c r="G10" s="20">
        <f>IFERROR(IF(LEN(TRIM(CLEAN(SUBSTITUTE(Setup!$B$2,CHAR(160)," "))))=0,"CHECK REVIEWER ID",IF(OR(A10="",COUNTIF($A$2:$A$14,A10)&lt;&gt;1,LEFT(A10,LEN("2025::jama.2025.19563::"))&lt;&gt;"2025::jama.2025.19563::"),"CHECK KEY",IF(OR(AND(NOT(AND(D10="retain",E10="statistical_results")),H10&lt;&gt;"",NOT(EXACT(H10,"not_applicable"))),AND(NOT(AND(D10="retain",E10="statistical_results")),I10&lt;&gt;"",NOT(EXACT(I10,"not_applicable"))),AND(NOT(AND(D10="retain",E10="statistical_results")),J10&lt;&gt;"",NOT(EXACT(J10,"not_applicable"))),AND(NOT(AND(D10="retain",OR(E10="report_internal_inconsistency",E10="plan_material"))),K10&lt;&gt;"",NOT(EXACT(K10,"not_applicable"))),AND(NOT(AND(D10="retain",E10="protocol_report")),L10&lt;&gt;"",NOT(EXACT(L10,"not_applicable")))),"CLEAR INACTIVE VALUES",IF(OR(NOT(OR(EXACT(D10,"retain"),EXACT(D10,"exclude"),EXACT(D10,"discuss"))),NOT(OR(EXACT(E10,"statistical_results"),EXACT(E10,"report_internal_inconsistency"),EXACT(E10,"plan_material"),EXACT(E10,"protocol_report"))),AND(AND(D10="retain",E10="statistical_results"),NOT(OR(EXACT(H10,"confirmed_issue"),EXACT(H10,"probable_issue"),EXACT(H10,"not_issue"),EXACT(H10,"indeterminate")))),AND(AND(D10="retain",E10="statistical_results"),NOT(OR(EXACT(I10,"substantive"),EXACT(I10,"minor_presentation"),EXACT(I10,"indeterminate")))),AND(AND(D10="retain",E10="statistical_results"),J10&lt;&gt;"",NOT(OR(EXACT(J10,"direct"),EXACT(J10,"possible"),EXACT(J10,"unlikely"),EXACT(J10,"unknown")))),AND(AND(D10="retain",OR(E10="report_internal_inconsistency",E10="plan_material")),NOT(OR(EXACT(K10,"substantive_inconsistency"),EXACT(K10,"minor_presentation"),EXACT(K10,"non_inconsistency"),EXACT(K10,"indeterminate")))),AND(AND(D10="retain",E10="protocol_report"),L10&lt;&gt;"",NOT(OR(EXACT(L10,"substantive_difference"),EXACT(L10,"minor_presentation"),EXACT(L10,"version_timing"),EXACT(L10,"non_inconsistency"),EXACT(L10,"indeterminate"))))),"CHECK FIELDS",IF(AND(F10&lt;&gt;"",NOT(OR(EXACT(F10,"no"),EXACT(F10,"primary_done")))),"CHECK COMPLETE",IF(EXACT(F10,"primary_done"),"PRIMARY READY","PRIMARY DRAFT")))))),"CHECK INPUT / KEY")</f>
        <v/>
      </c>
      <c r="H10" s="21" t="inlineStr">
        <is>
          <t>probable_issue</t>
        </is>
      </c>
      <c r="I10" s="21" t="inlineStr">
        <is>
          <t>indeterminate</t>
        </is>
      </c>
      <c r="J10" s="22" t="inlineStr">
        <is>
          <t>unknown</t>
        </is>
      </c>
      <c r="K10" s="21">
        <f>IF(AND(OR(D10="retain",D10=""),OR(E10="report_internal_inconsistency",E10="plan_material")),"","not_applicable")</f>
        <v/>
      </c>
      <c r="L10" s="22">
        <f>IF(AND(OR(D10="retain",D10=""),E10="protocol_report"),"","not_applicable")</f>
        <v/>
      </c>
      <c r="M10" s="20" t="n"/>
      <c r="N10" s="23" t="n"/>
      <c r="O10" s="23" t="n"/>
      <c r="P10" s="23" t="n"/>
      <c r="Q10" s="23" t="n"/>
      <c r="R10" s="22"/>
    </row>
    <row r="11" ht="92" customHeight="1" s="25">
      <c r="A11" s="24" t="inlineStr">
        <is>
          <t>2025::jama.2025.19563::C010</t>
        </is>
      </c>
      <c r="B11" s="24" t="inlineStr">
        <is>
          <t>PA averaging denominator after zero assignment</t>
        </is>
      </c>
      <c r="C11" s="24" t="inlineStr">
        <is>
          <t>joi250084supp2_prod_1765403089.61751.pdf — DOC-003 p13 Aggregation/compliance; joi250084supp2_prod_1765403089.61751.pdf — p30 eTable18a method; joi250084supp2_prod_1765403089.61751.pdf — p49 eTable8b zero assignment</t>
        </is>
      </c>
      <c r="D11" s="21" t="inlineStr">
        <is>
          <t>exclude</t>
        </is>
      </c>
      <c r="E11" s="21" t="inlineStr">
        <is>
          <t>statistical_results</t>
        </is>
      </c>
      <c r="F11" s="21" t="inlineStr">
        <is>
          <t>primary_done</t>
        </is>
      </c>
      <c r="G11" s="24">
        <f>IFERROR(IF(LEN(TRIM(CLEAN(SUBSTITUTE(Setup!$B$2,CHAR(160)," "))))=0,"CHECK REVIEWER ID",IF(OR(A11="",COUNTIF($A$2:$A$14,A11)&lt;&gt;1,LEFT(A11,LEN("2025::jama.2025.19563::"))&lt;&gt;"2025::jama.2025.19563::"),"CHECK KEY",IF(OR(AND(NOT(AND(D11="retain",E11="statistical_results")),H11&lt;&gt;"",NOT(EXACT(H11,"not_applicable"))),AND(NOT(AND(D11="retain",E11="statistical_results")),I11&lt;&gt;"",NOT(EXACT(I11,"not_applicable"))),AND(NOT(AND(D11="retain",E11="statistical_results")),J11&lt;&gt;"",NOT(EXACT(J11,"not_applicable"))),AND(NOT(AND(D11="retain",OR(E11="report_internal_inconsistency",E11="plan_material"))),K11&lt;&gt;"",NOT(EXACT(K11,"not_applicable"))),AND(NOT(AND(D11="retain",E11="protocol_report")),L11&lt;&gt;"",NOT(EXACT(L11,"not_applicable")))),"CLEAR INACTIVE VALUES",IF(OR(NOT(OR(EXACT(D11,"retain"),EXACT(D11,"exclude"),EXACT(D11,"discuss"))),NOT(OR(EXACT(E11,"statistical_results"),EXACT(E11,"report_internal_inconsistency"),EXACT(E11,"plan_material"),EXACT(E11,"protocol_report"))),AND(AND(D11="retain",E11="statistical_results"),NOT(OR(EXACT(H11,"confirmed_issue"),EXACT(H11,"probable_issue"),EXACT(H11,"not_issue"),EXACT(H11,"indeterminate")))),AND(AND(D11="retain",E11="statistical_results"),NOT(OR(EXACT(I11,"substantive"),EXACT(I11,"minor_presentation"),EXACT(I11,"indeterminate")))),AND(AND(D11="retain",E11="statistical_results"),J11&lt;&gt;"",NOT(OR(EXACT(J11,"direct"),EXACT(J11,"possible"),EXACT(J11,"unlikely"),EXACT(J11,"unknown")))),AND(AND(D11="retain",OR(E11="report_internal_inconsistency",E11="plan_material")),NOT(OR(EXACT(K11,"substantive_inconsistency"),EXACT(K11,"minor_presentation"),EXACT(K11,"non_inconsistency"),EXACT(K11,"indeterminate")))),AND(AND(D11="retain",E11="protocol_report"),L11&lt;&gt;"",NOT(OR(EXACT(L11,"substantive_difference"),EXACT(L11,"minor_presentation"),EXACT(L11,"version_timing"),EXACT(L11,"non_inconsistency"),EXACT(L11,"indeterminate"))))),"CHECK FIELDS",IF(AND(F11&lt;&gt;"",NOT(OR(EXACT(F11,"no"),EXACT(F11,"primary_done")))),"CHECK COMPLETE",IF(EXACT(F11,"primary_done"),"PRIMARY READY","PRIMARY DRAFT")))))),"CHECK INPUT / KEY")</f>
        <v/>
      </c>
      <c r="H11" s="21">
        <f>IF(AND(OR(D11="retain",D11=""),E11="statistical_results"),"","not_applicable")</f>
        <v/>
      </c>
      <c r="I11" s="21">
        <f>IF(AND(OR(D11="retain",D11=""),E11="statistical_results"),"","not_applicable")</f>
        <v/>
      </c>
      <c r="J11" s="22">
        <f>IF(AND(OR(D11="retain",D11=""),E11="statistical_results"),"","not_applicable")</f>
        <v/>
      </c>
      <c r="K11" s="21">
        <f>IF(AND(OR(D11="retain",D11=""),OR(E11="report_internal_inconsistency",E11="plan_material")),"","not_applicable")</f>
        <v/>
      </c>
      <c r="L11" s="22">
        <f>IF(AND(OR(D11="retain",D11=""),E11="protocol_report"),"","not_applicable")</f>
        <v/>
      </c>
      <c r="M11" s="24" t="n"/>
      <c r="N11" s="23" t="n"/>
      <c r="O11" s="23" t="n"/>
      <c r="P11" s="23" t="n"/>
      <c r="Q11" s="23" t="n"/>
      <c r="R11" s="22" t="inlineStr">
        <is>
          <t>Supp2 p.13: weekly MVPA from valid wear periods is summed and divided by the number of available periods (max 11); non-compliant weeks/months get 0 (pp.13, 30, 49). Summing valid periods (zeros add nothing) over all available periods is exactly zero-imputation, so the descriptions are compatible.</t>
        </is>
      </c>
    </row>
    <row r="12" ht="92" customHeight="1" s="25">
      <c r="A12" s="20" t="inlineStr">
        <is>
          <t>2025::jama.2025.19563::C011</t>
        </is>
      </c>
      <c r="B12" s="20" t="inlineStr">
        <is>
          <t>Two AI-version exposure percentages</t>
        </is>
      </c>
      <c r="C12" s="20" t="inlineStr">
        <is>
          <t>joi250084supp2_prod_1765403089.61751.pdf — DOC-003 p37 eTable1b; joi250084supp2_prod_1765403089.61751.pdf — p27 primary cohort; joi250084supp2_prod_1765403089.61751.pdf — p41 randomized AI N=183; joi250084supp2_prod_1765403089.61751.pdf — p34 primary forest denominator; joi250084supp2_prod_1765403089.61751.pdf — DOC-003 p37 eTable1b version 11.100.131, September 2023; joi250084supp2_prod_1765403089.61751.pdf — DOC-003 p37 eTable1b version 122.100.407, December 2024</t>
        </is>
      </c>
      <c r="D12" s="21" t="inlineStr">
        <is>
          <t>retain</t>
        </is>
      </c>
      <c r="E12" s="21" t="inlineStr">
        <is>
          <t>statistical_results</t>
        </is>
      </c>
      <c r="F12" s="21" t="inlineStr">
        <is>
          <t>primary_done</t>
        </is>
      </c>
      <c r="G12" s="20">
        <f>IFERROR(IF(LEN(TRIM(CLEAN(SUBSTITUTE(Setup!$B$2,CHAR(160)," "))))=0,"CHECK REVIEWER ID",IF(OR(A12="",COUNTIF($A$2:$A$14,A12)&lt;&gt;1,LEFT(A12,LEN("2025::jama.2025.19563::"))&lt;&gt;"2025::jama.2025.19563::"),"CHECK KEY",IF(OR(AND(NOT(AND(D12="retain",E12="statistical_results")),H12&lt;&gt;"",NOT(EXACT(H12,"not_applicable"))),AND(NOT(AND(D12="retain",E12="statistical_results")),I12&lt;&gt;"",NOT(EXACT(I12,"not_applicable"))),AND(NOT(AND(D12="retain",E12="statistical_results")),J12&lt;&gt;"",NOT(EXACT(J12,"not_applicable"))),AND(NOT(AND(D12="retain",OR(E12="report_internal_inconsistency",E12="plan_material"))),K12&lt;&gt;"",NOT(EXACT(K12,"not_applicable"))),AND(NOT(AND(D12="retain",E12="protocol_report")),L12&lt;&gt;"",NOT(EXACT(L12,"not_applicable")))),"CLEAR INACTIVE VALUES",IF(OR(NOT(OR(EXACT(D12,"retain"),EXACT(D12,"exclude"),EXACT(D12,"discuss"))),NOT(OR(EXACT(E12,"statistical_results"),EXACT(E12,"report_internal_inconsistency"),EXACT(E12,"plan_material"),EXACT(E12,"protocol_report"))),AND(AND(D12="retain",E12="statistical_results"),NOT(OR(EXACT(H12,"confirmed_issue"),EXACT(H12,"probable_issue"),EXACT(H12,"not_issue"),EXACT(H12,"indeterminate")))),AND(AND(D12="retain",E12="statistical_results"),NOT(OR(EXACT(I12,"substantive"),EXACT(I12,"minor_presentation"),EXACT(I12,"indeterminate")))),AND(AND(D12="retain",E12="statistical_results"),J12&lt;&gt;"",NOT(OR(EXACT(J12,"direct"),EXACT(J12,"possible"),EXACT(J12,"unlikely"),EXACT(J12,"unknown")))),AND(AND(D12="retain",OR(E12="report_internal_inconsistency",E12="plan_material")),NOT(OR(EXACT(K12,"substantive_inconsistency"),EXACT(K12,"minor_presentation"),EXACT(K12,"non_inconsistency"),EXACT(K12,"indeterminate")))),AND(AND(D12="retain",E12="protocol_report"),L12&lt;&gt;"",NOT(OR(EXACT(L12,"substantive_difference"),EXACT(L12,"minor_presentation"),EXACT(L12,"version_timing"),EXACT(L12,"non_inconsistency"),EXACT(L12,"indeterminate"))))),"CHECK FIELDS",IF(AND(F12&lt;&gt;"",NOT(OR(EXACT(F12,"no"),EXACT(F12,"primary_done")))),"CHECK COMPLETE",IF(EXACT(F12,"primary_done"),"PRIMARY READY","PRIMARY DRAFT")))))),"CHECK INPUT / KEY")</f>
        <v/>
      </c>
      <c r="H12" s="21" t="inlineStr">
        <is>
          <t>confirmed_issue</t>
        </is>
      </c>
      <c r="I12" s="21" t="inlineStr">
        <is>
          <t>minor_presentation</t>
        </is>
      </c>
      <c r="J12" s="22" t="inlineStr">
        <is>
          <t>unlikely</t>
        </is>
      </c>
      <c r="K12" s="21">
        <f>IF(AND(OR(D12="retain",D12=""),OR(E12="report_internal_inconsistency",E12="plan_material")),"","not_applicable")</f>
        <v/>
      </c>
      <c r="L12" s="22">
        <f>IF(AND(OR(D12="retain",D12=""),E12="protocol_report"),"","not_applicable")</f>
        <v/>
      </c>
      <c r="M12" s="20" t="n"/>
      <c r="N12" s="23" t="n"/>
      <c r="O12" s="23" t="n"/>
      <c r="P12" s="23" t="n"/>
      <c r="Q12" s="23" t="n"/>
      <c r="R12" s="22"/>
    </row>
    <row r="13" ht="92" customHeight="1" s="25">
      <c r="A13" s="24" t="inlineStr">
        <is>
          <t>2025::jama.2025.19563::C012</t>
        </is>
      </c>
      <c r="B13" s="24" t="inlineStr">
        <is>
          <t>Baseline HbA1c-subgroup categorical P-value mapping</t>
        </is>
      </c>
      <c r="C13" s="24" t="inlineStr">
        <is>
          <t>joi250084supp2_prod_1765403089.61751.pdf — DOC-003 p44 eTable6 counts; joi250084supp2_prod_1765403089.61751.pdf — p45 footnote 1 P values; joi250084supp2_prod_1765403089.61751.pdf — p29 eTable6 method index; joi250084supp2_prod_1765403089.61751.pdf — p28 main baseline-method pointer; joi250084supp1_prod_1765403089.61351.pdf — DOC-002 p37 general categorical baseline tests; joi250084supp2_prod_1765403089.61751.pdf — DOC-003 p44 eTable6 site rows, 79/164 and 29/96; joi250084supp2_prod_1765403089.61751.pdf — DOC-003 p45 footnote 1 site P=.024; joi250084supp2_prod_1765403089.61751.pdf — DOC-003 p44 eTable6 all four ethnicity rows; joi250084supp2_prod_1765403089.61751.pdf — DOC-003 p45 footnote 1 ethnicity P=.018</t>
        </is>
      </c>
      <c r="D13" s="21" t="inlineStr">
        <is>
          <t>retain</t>
        </is>
      </c>
      <c r="E13" s="21" t="inlineStr">
        <is>
          <t>statistical_results</t>
        </is>
      </c>
      <c r="F13" s="21" t="inlineStr">
        <is>
          <t>primary_done</t>
        </is>
      </c>
      <c r="G13" s="24">
        <f>IFERROR(IF(LEN(TRIM(CLEAN(SUBSTITUTE(Setup!$B$2,CHAR(160)," "))))=0,"CHECK REVIEWER ID",IF(OR(A13="",COUNTIF($A$2:$A$14,A13)&lt;&gt;1,LEFT(A13,LEN("2025::jama.2025.19563::"))&lt;&gt;"2025::jama.2025.19563::"),"CHECK KEY",IF(OR(AND(NOT(AND(D13="retain",E13="statistical_results")),H13&lt;&gt;"",NOT(EXACT(H13,"not_applicable"))),AND(NOT(AND(D13="retain",E13="statistical_results")),I13&lt;&gt;"",NOT(EXACT(I13,"not_applicable"))),AND(NOT(AND(D13="retain",E13="statistical_results")),J13&lt;&gt;"",NOT(EXACT(J13,"not_applicable"))),AND(NOT(AND(D13="retain",OR(E13="report_internal_inconsistency",E13="plan_material"))),K13&lt;&gt;"",NOT(EXACT(K13,"not_applicable"))),AND(NOT(AND(D13="retain",E13="protocol_report")),L13&lt;&gt;"",NOT(EXACT(L13,"not_applicable")))),"CLEAR INACTIVE VALUES",IF(OR(NOT(OR(EXACT(D13,"retain"),EXACT(D13,"exclude"),EXACT(D13,"discuss"))),NOT(OR(EXACT(E13,"statistical_results"),EXACT(E13,"report_internal_inconsistency"),EXACT(E13,"plan_material"),EXACT(E13,"protocol_report"))),AND(AND(D13="retain",E13="statistical_results"),NOT(OR(EXACT(H13,"confirmed_issue"),EXACT(H13,"probable_issue"),EXACT(H13,"not_issue"),EXACT(H13,"indeterminate")))),AND(AND(D13="retain",E13="statistical_results"),NOT(OR(EXACT(I13,"substantive"),EXACT(I13,"minor_presentation"),EXACT(I13,"indeterminate")))),AND(AND(D13="retain",E13="statistical_results"),J13&lt;&gt;"",NOT(OR(EXACT(J13,"direct"),EXACT(J13,"possible"),EXACT(J13,"unlikely"),EXACT(J13,"unknown")))),AND(AND(D13="retain",OR(E13="report_internal_inconsistency",E13="plan_material")),NOT(OR(EXACT(K13,"substantive_inconsistency"),EXACT(K13,"minor_presentation"),EXACT(K13,"non_inconsistency"),EXACT(K13,"indeterminate")))),AND(AND(D13="retain",E13="protocol_report"),L13&lt;&gt;"",NOT(OR(EXACT(L13,"substantive_difference"),EXACT(L13,"minor_presentation"),EXACT(L13,"version_timing"),EXACT(L13,"non_inconsistency"),EXACT(L13,"indeterminate"))))),"CHECK FIELDS",IF(AND(F13&lt;&gt;"",NOT(OR(EXACT(F13,"no"),EXACT(F13,"primary_done")))),"CHECK COMPLETE",IF(EXACT(F13,"primary_done"),"PRIMARY READY","PRIMARY DRAFT")))))),"CHECK INPUT / KEY")</f>
        <v/>
      </c>
      <c r="H13" s="21" t="inlineStr">
        <is>
          <t>probable_issue</t>
        </is>
      </c>
      <c r="I13" s="21" t="inlineStr">
        <is>
          <t>minor_presentation</t>
        </is>
      </c>
      <c r="J13" s="22" t="inlineStr">
        <is>
          <t>unlikely</t>
        </is>
      </c>
      <c r="K13" s="21">
        <f>IF(AND(OR(D13="retain",D13=""),OR(E13="report_internal_inconsistency",E13="plan_material")),"","not_applicable")</f>
        <v/>
      </c>
      <c r="L13" s="22">
        <f>IF(AND(OR(D13="retain",D13=""),E13="protocol_report"),"","not_applicable")</f>
        <v/>
      </c>
      <c r="M13" s="24" t="n"/>
      <c r="N13" s="23" t="n"/>
      <c r="O13" s="23" t="n"/>
      <c r="P13" s="23" t="n"/>
      <c r="Q13" s="23" t="n"/>
      <c r="R13" s="22"/>
    </row>
    <row r="14" ht="92" customHeight="1" s="25">
      <c r="A14" s="20" t="inlineStr">
        <is>
          <t>2025::jama.2025.19563::C013</t>
        </is>
      </c>
      <c r="B14" s="20" t="inlineStr">
        <is>
          <t>MI-pooled risks and displayed risk-difference mapping</t>
        </is>
      </c>
      <c r="C14" s="20" t="inlineStr">
        <is>
          <t>joi250084supp2_prod_1765403089.61751.pdf — DOC-003 p59 eTable16; joi250084supp2_prod_1765403089.61751.pdf — p30 MI methods; joi250084supp1_prod_1765403089.61351.pdf — DOC-002 p88 MICE method</t>
        </is>
      </c>
      <c r="D14" s="21" t="inlineStr">
        <is>
          <t>retain</t>
        </is>
      </c>
      <c r="E14" s="21" t="inlineStr">
        <is>
          <t>statistical_results</t>
        </is>
      </c>
      <c r="F14" s="21" t="inlineStr">
        <is>
          <t>primary_done</t>
        </is>
      </c>
      <c r="G14" s="20">
        <f>IFERROR(IF(LEN(TRIM(CLEAN(SUBSTITUTE(Setup!$B$2,CHAR(160)," "))))=0,"CHECK REVIEWER ID",IF(OR(A14="",COUNTIF($A$2:$A$14,A14)&lt;&gt;1,LEFT(A14,LEN("2025::jama.2025.19563::"))&lt;&gt;"2025::jama.2025.19563::"),"CHECK KEY",IF(OR(AND(NOT(AND(D14="retain",E14="statistical_results")),H14&lt;&gt;"",NOT(EXACT(H14,"not_applicable"))),AND(NOT(AND(D14="retain",E14="statistical_results")),I14&lt;&gt;"",NOT(EXACT(I14,"not_applicable"))),AND(NOT(AND(D14="retain",E14="statistical_results")),J14&lt;&gt;"",NOT(EXACT(J14,"not_applicable"))),AND(NOT(AND(D14="retain",OR(E14="report_internal_inconsistency",E14="plan_material"))),K14&lt;&gt;"",NOT(EXACT(K14,"not_applicable"))),AND(NOT(AND(D14="retain",E14="protocol_report")),L14&lt;&gt;"",NOT(EXACT(L14,"not_applicable")))),"CLEAR INACTIVE VALUES",IF(OR(NOT(OR(EXACT(D14,"retain"),EXACT(D14,"exclude"),EXACT(D14,"discuss"))),NOT(OR(EXACT(E14,"statistical_results"),EXACT(E14,"report_internal_inconsistency"),EXACT(E14,"plan_material"),EXACT(E14,"protocol_report"))),AND(AND(D14="retain",E14="statistical_results"),NOT(OR(EXACT(H14,"confirmed_issue"),EXACT(H14,"probable_issue"),EXACT(H14,"not_issue"),EXACT(H14,"indeterminate")))),AND(AND(D14="retain",E14="statistical_results"),NOT(OR(EXACT(I14,"substantive"),EXACT(I14,"minor_presentation"),EXACT(I14,"indeterminate")))),AND(AND(D14="retain",E14="statistical_results"),J14&lt;&gt;"",NOT(OR(EXACT(J14,"direct"),EXACT(J14,"possible"),EXACT(J14,"unlikely"),EXACT(J14,"unknown")))),AND(AND(D14="retain",OR(E14="report_internal_inconsistency",E14="plan_material")),NOT(OR(EXACT(K14,"substantive_inconsistency"),EXACT(K14,"minor_presentation"),EXACT(K14,"non_inconsistency"),EXACT(K14,"indeterminate")))),AND(AND(D14="retain",E14="protocol_report"),L14&lt;&gt;"",NOT(OR(EXACT(L14,"substantive_difference"),EXACT(L14,"minor_presentation"),EXACT(L14,"version_timing"),EXACT(L14,"non_inconsistency"),EXACT(L14,"indeterminate"))))),"CHECK FIELDS",IF(AND(F14&lt;&gt;"",NOT(OR(EXACT(F14,"no"),EXACT(F14,"primary_done")))),"CHECK COMPLETE",IF(EXACT(F14,"primary_done"),"PRIMARY READY","PRIMARY DRAFT")))))),"CHECK INPUT / KEY")</f>
        <v/>
      </c>
      <c r="H14" s="21" t="inlineStr">
        <is>
          <t>probable_issue</t>
        </is>
      </c>
      <c r="I14" s="21" t="inlineStr">
        <is>
          <t>minor_presentation</t>
        </is>
      </c>
      <c r="J14" s="22" t="inlineStr">
        <is>
          <t>possible</t>
        </is>
      </c>
      <c r="K14" s="21">
        <f>IF(AND(OR(D14="retain",D14=""),OR(E14="report_internal_inconsistency",E14="plan_material")),"","not_applicable")</f>
        <v/>
      </c>
      <c r="L14" s="22">
        <f>IF(AND(OR(D14="retain",D14=""),E14="protocol_report"),"","not_applicable")</f>
        <v/>
      </c>
      <c r="M14" s="20" t="n"/>
      <c r="N14" s="23" t="n"/>
      <c r="O14" s="23" t="n"/>
      <c r="P14" s="23" t="n"/>
      <c r="Q14" s="23" t="n"/>
      <c r="R14" s="22"/>
    </row>
  </sheetData>
  <autoFilter ref="A1:R14"/>
  <conditionalFormatting sqref="H2:H14">
    <cfRule type="expression" priority="8" dxfId="70">
      <formula>NOT(AND(OR($D2="retain",$D2=""),$E2="statistical_results"))</formula>
    </cfRule>
  </conditionalFormatting>
  <conditionalFormatting sqref="I2:I14">
    <cfRule type="expression" priority="9" dxfId="70">
      <formula>NOT(AND(OR($D2="retain",$D2=""),$E2="statistical_results"))</formula>
    </cfRule>
  </conditionalFormatting>
  <conditionalFormatting sqref="J2:J14">
    <cfRule type="expression" priority="10" dxfId="70">
      <formula>NOT(AND(OR($D2="retain",$D2=""),$E2="statistical_results"))</formula>
    </cfRule>
  </conditionalFormatting>
  <conditionalFormatting sqref="K2:K14">
    <cfRule type="expression" priority="11" dxfId="70">
      <formula>NOT(AND(OR($D2="retain",$D2=""),OR($E2="report_internal_inconsistency",$E2="plan_material")))</formula>
    </cfRule>
  </conditionalFormatting>
  <conditionalFormatting sqref="L2:L14">
    <cfRule type="expression" priority="12" dxfId="70">
      <formula>NOT(AND(OR($D2="retain",$D2=""),$E2="protocol_report"))</formula>
    </cfRule>
  </conditionalFormatting>
  <conditionalFormatting sqref="G2:G14">
    <cfRule type="expression" priority="13" dxfId="71">
      <formula>G2&lt;&gt;"PRIMARY READY"</formula>
    </cfRule>
  </conditionalFormatting>
  <dataValidations count="8">
    <dataValidation sqref="D2:D14" showDropDown="0" showInputMessage="0" showErrorMessage="1" allowBlank="1" errorTitle="Use a listed option" error="Choose an option; G also checks pasted entries." type="list" errorStyle="stop">
      <formula1>"retain,exclude,discuss"</formula1>
    </dataValidation>
    <dataValidation sqref="E2:E14" showDropDown="0" showInputMessage="0" showErrorMessage="1" allowBlank="1" errorTitle="Use a listed option" error="Choose an option; G also checks pasted entries." type="list" errorStyle="stop">
      <formula1>"statistical_results,report_internal_inconsistency,plan_material,protocol_report"</formula1>
    </dataValidation>
    <dataValidation sqref="F2:F14" showDropDown="0" showInputMessage="0" showErrorMessage="1" allowBlank="1" errorTitle="Use a listed option" error="Choose an option; G also checks pasted entries." type="list" errorStyle="stop">
      <formula1>"no,primary_done"</formula1>
    </dataValidation>
    <dataValidation sqref="H2:H14" showDropDown="0" showInputMessage="0" showErrorMessage="1" allowBlank="1" errorTitle="Use a listed option" error="Choose an option; G also checks pasted entries." type="list" errorStyle="stop">
      <formula1>"confirmed_issue,probable_issue,not_issue,indeterminate,not_applicable"</formula1>
    </dataValidation>
    <dataValidation sqref="I2:I14" showDropDown="0" showInputMessage="0" showErrorMessage="1" allowBlank="1" errorTitle="Use a listed option" error="Choose an option; G also checks pasted entries." type="list" errorStyle="stop">
      <formula1>"substantive,minor_presentation,indeterminate,not_applicable"</formula1>
    </dataValidation>
    <dataValidation sqref="J2:J14" showDropDown="0" showInputMessage="0" showErrorMessage="1" allowBlank="1" errorTitle="Use a listed option" error="Choose an option; G also checks pasted entries." type="list" errorStyle="stop">
      <formula1>"direct,possible,unlikely,unknown,not_applicable"</formula1>
    </dataValidation>
    <dataValidation sqref="K2:K14" showDropDown="0" showInputMessage="0" showErrorMessage="1" allowBlank="1" errorTitle="Use a listed option" error="Choose an option; G also checks pasted entries." type="list" errorStyle="stop">
      <formula1>"substantive_inconsistency,minor_presentation,non_inconsistency,indeterminate,not_applicable"</formula1>
    </dataValidation>
    <dataValidation sqref="L2:L14" showDropDown="0" showInputMessage="0" showErrorMessage="1" allowBlank="1" errorTitle="Use a listed option" error="Choose an option; G also checks pasted entries." type="list" errorStyle="stop">
      <formula1>"substantive_difference,minor_presentation,version_timing,non_inconsistency,indeterminate,not_applicable"</formula1>
    </dataValidation>
  </dataValidation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R8"/>
  <sheetViews>
    <sheetView tabSelected="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Format="1"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Statistical_or_numerical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ht="92" customHeight="1" s="25">
      <c r="A2" s="20" t="inlineStr">
        <is>
          <t>2025::jama.2025.19843::C001</t>
        </is>
      </c>
      <c r="B2" s="20" t="inlineStr">
        <is>
          <t>Primary adjustment covariate descriptions do not reconcile</t>
        </is>
      </c>
      <c r="C2" s="20" t="inlineStr">
        <is>
          <t>jama_combes_2025_oi_250087_1766516490.94011.pdf — main PDF p.2; jama_combes_2025_oi_250087_1766516490.94011.pdf — main PDF p.3; jama_combes_2025_oi_250087_1766516490.94011.pdf — main PDF p.6; joi250087supp2_prod_1766516490.96511.pdf — SAP PDF p.6, corroboration only</t>
        </is>
      </c>
      <c r="D2" s="21" t="inlineStr">
        <is>
          <t>retain</t>
        </is>
      </c>
      <c r="E2" s="21" t="inlineStr">
        <is>
          <t>statistical_results</t>
        </is>
      </c>
      <c r="F2" s="21" t="inlineStr">
        <is>
          <t>primary_done</t>
        </is>
      </c>
      <c r="G2" s="20">
        <f>IFERROR(IF(LEN(TRIM(CLEAN(SUBSTITUTE(Setup!$B$2,CHAR(160)," "))))=0,"CHECK REVIEWER ID",IF(OR(A2="",COUNTIF($A$2:$A$8,A2)&lt;&gt;1,LEFT(A2,LEN("2025::jama.2025.19843::"))&lt;&gt;"2025::jama.2025.19843::"),"CHECK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
      </c>
      <c r="H2" s="21" t="inlineStr">
        <is>
          <t>confirmed_issue</t>
        </is>
      </c>
      <c r="I2" s="21" t="inlineStr">
        <is>
          <t>minor_presentation</t>
        </is>
      </c>
      <c r="J2" s="22" t="inlineStr">
        <is>
          <t>unlikely</t>
        </is>
      </c>
      <c r="K2" s="21">
        <f>IF(AND(OR(D2="retain",D2=""),OR(E2="report_internal_inconsistency",E2="plan_material")),"","not_applicable")</f>
        <v/>
      </c>
      <c r="L2" s="22">
        <f>IF(AND(OR(D2="retain",D2=""),E2="protocol_report"),"","not_applicable")</f>
        <v/>
      </c>
      <c r="M2" s="20" t="n"/>
      <c r="N2" s="23" t="n"/>
      <c r="O2" s="23" t="n"/>
      <c r="P2" s="23" t="n"/>
      <c r="Q2" s="23" t="n"/>
      <c r="R2" s="22"/>
    </row>
    <row r="3" ht="92" customHeight="1" s="25">
      <c r="A3" s="24" t="inlineStr">
        <is>
          <t>2025::jama.2025.19843::C002</t>
        </is>
      </c>
      <c r="B3" s="24" t="inlineStr">
        <is>
          <t>Organ-failure threshold differs between SAP and report</t>
        </is>
      </c>
      <c r="C3" s="24" t="inlineStr">
        <is>
          <t>joi250087supp2_prod_1766516490.96511.pdf — sap PDF p.4; joi250087supp2_prod_1766516490.96511.pdf — sap PDF p.7; jama_combes_2025_oi_250087_1766516490.94011.pdf — main PDF p.3; joi250087supp3_prod_1766516490.97011.pdf — results PDF p.5; joi250087supp3_prod_1766516490.97011.pdf — results PDF p.12</t>
        </is>
      </c>
      <c r="D3" s="21" t="inlineStr">
        <is>
          <t>retain</t>
        </is>
      </c>
      <c r="E3" s="21" t="inlineStr">
        <is>
          <t>protocol_report</t>
        </is>
      </c>
      <c r="F3" s="21" t="inlineStr">
        <is>
          <t>primary_done</t>
        </is>
      </c>
      <c r="G3" s="24">
        <f>IFERROR(IF(LEN(TRIM(CLEAN(SUBSTITUTE(Setup!$B$2,CHAR(160)," "))))=0,"CHECK REVIEWER ID",IF(OR(A3="",COUNTIF($A$2:$A$8,A3)&lt;&gt;1,LEFT(A3,LEN("2025::jama.2025.19843::"))&lt;&gt;"2025::jama.2025.19843::"),"CHECK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
      </c>
      <c r="H3" s="21">
        <f>IF(AND(OR(D3="retain",D3=""),E3="statistical_results"),"","not_applicable")</f>
        <v/>
      </c>
      <c r="I3" s="21">
        <f>IF(AND(OR(D3="retain",D3=""),E3="statistical_results"),"","not_applicable")</f>
        <v/>
      </c>
      <c r="J3" s="22">
        <f>IF(AND(OR(D3="retain",D3=""),E3="statistical_results"),"","not_applicable")</f>
        <v/>
      </c>
      <c r="K3" s="21">
        <f>IF(AND(OR(D3="retain",D3=""),OR(E3="report_internal_inconsistency",E3="plan_material")),"","not_applicable")</f>
        <v/>
      </c>
      <c r="L3" s="22" t="inlineStr">
        <is>
          <t>substantive_difference</t>
        </is>
      </c>
      <c r="M3" s="24" t="n"/>
      <c r="N3" s="23" t="n"/>
      <c r="O3" s="23" t="n"/>
      <c r="P3" s="23" t="n"/>
      <c r="Q3" s="23" t="n"/>
      <c r="R3" s="22"/>
    </row>
    <row r="4" ht="92" customHeight="1" s="25">
      <c r="A4" s="20" t="inlineStr">
        <is>
          <t>2025::jama.2025.19843::C003</t>
        </is>
      </c>
      <c r="B4" s="20" t="inlineStr">
        <is>
          <t>Planned day-60 free-day results are absent from supplied reports</t>
        </is>
      </c>
      <c r="C4" s="20" t="inlineStr">
        <is>
          <t>Every repeated protocol endpoint occurrence: joi250087supp1_prod_1766516490.96011.pdf — protocol PDF p.8; joi250087supp1_prod_1766516490.96011.pdf — protocol PDF p.14; joi250087supp1_prod_1766516490.96011.pdf — protocol PDF p.15; joi250087supp1_prod_1766516490.96011.pdf — protocol PDF p.53; joi250087supp1_prod_1766516490.96011.pdf — protocol PDF p.59; joi250087supp1_prod_1766516490.96011.pdf — protocol PDF p.60; joi250087supp1_prod_1766516490.96011.pdf — protocol PDF p.99; joi250087supp1_prod_1766516490.96011.pdf — protocol PDF p.105; joi250087supp1_prod_1766516490.96011.pdf — protocol PDF p.106. SAP: joi250087supp2_prod_1766516490.96511.pdf — sap PDF p.4; joi250087supp2_prod_1766516490.96511.pdf — sap PDF p.7; joi250087supp2_prod_1766516490.96511.pdf — sap PDF p.8. REPORT: jama_combes_2025_oi_250087_1766516490.94011.pdf — main PDF p.1; jama_combes_2025_oi_250087_1766516490.94011.pdf — main PDF p.3; jama_combes_2025_oi_250087_1766516490.94011.pdf — main PDF p.6; joi250087supp3_prod_1766516490.97011.pdf — results PDF p.5</t>
        </is>
      </c>
      <c r="D4" s="21" t="inlineStr">
        <is>
          <t>retain</t>
        </is>
      </c>
      <c r="E4" s="21" t="inlineStr">
        <is>
          <t>protocol_report</t>
        </is>
      </c>
      <c r="F4" s="21" t="inlineStr">
        <is>
          <t>primary_done</t>
        </is>
      </c>
      <c r="G4" s="20">
        <f>IFERROR(IF(LEN(TRIM(CLEAN(SUBSTITUTE(Setup!$B$2,CHAR(160)," "))))=0,"CHECK REVIEWER ID",IF(OR(A4="",COUNTIF($A$2:$A$8,A4)&lt;&gt;1,LEFT(A4,LEN("2025::jama.2025.19843::"))&lt;&gt;"2025::jama.2025.19843::"),"CHECK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
      </c>
      <c r="H4" s="21">
        <f>IF(AND(OR(D4="retain",D4=""),E4="statistical_results"),"","not_applicable")</f>
        <v/>
      </c>
      <c r="I4" s="21">
        <f>IF(AND(OR(D4="retain",D4=""),E4="statistical_results"),"","not_applicable")</f>
        <v/>
      </c>
      <c r="J4" s="22">
        <f>IF(AND(OR(D4="retain",D4=""),E4="statistical_results"),"","not_applicable")</f>
        <v/>
      </c>
      <c r="K4" s="21">
        <f>IF(AND(OR(D4="retain",D4=""),OR(E4="report_internal_inconsistency",E4="plan_material")),"","not_applicable")</f>
        <v/>
      </c>
      <c r="L4" s="22" t="inlineStr">
        <is>
          <t>substantive_difference</t>
        </is>
      </c>
      <c r="M4" s="20" t="n"/>
      <c r="N4" s="23" t="n"/>
      <c r="O4" s="23" t="n"/>
      <c r="P4" s="23" t="n"/>
      <c r="Q4" s="23" t="n"/>
      <c r="R4" s="22"/>
    </row>
    <row r="5" ht="92" customHeight="1" s="25">
      <c r="A5" s="24" t="inlineStr">
        <is>
          <t>2025::jama.2025.19843::C004</t>
        </is>
      </c>
      <c r="B5" s="24" t="inlineStr">
        <is>
          <t>Planned hierarchical LV-function composite differs from reported LVEF contrast</t>
        </is>
      </c>
      <c r="C5" s="24" t="inlineStr">
        <is>
          <t>Protocol context, every occurrence: joi250087supp1_prod_1766516490.96011.pdf — protocol PDF p.8; joi250087supp1_prod_1766516490.96011.pdf — protocol PDF p.14; joi250087supp1_prod_1766516490.96011.pdf — protocol PDF p.15; joi250087supp1_prod_1766516490.96011.pdf — protocol PDF p.53; joi250087supp1_prod_1766516490.96011.pdf — protocol PDF p.59; joi250087supp1_prod_1766516490.96011.pdf — protocol PDF p.60; joi250087supp1_prod_1766516490.96011.pdf — protocol PDF p.99; joi250087supp1_prod_1766516490.96011.pdf — protocol PDF p.105; joi250087supp1_prod_1766516490.96011.pdf — protocol PDF p.106. joi250087supp2_prod_1766516490.96511.pdf — SAP PDF p.8, Left Ventricular Function; jama_combes_2025_oi_250087_1766516490.94011.pdf — main PDF p.3; joi250087supp3_prod_1766516490.97011.pdf — results PDF p.5; joi250087supp3_prod_1766516490.97011.pdf — results PDF p.6</t>
        </is>
      </c>
      <c r="D5" s="21" t="inlineStr">
        <is>
          <t>retain</t>
        </is>
      </c>
      <c r="E5" s="21" t="inlineStr">
        <is>
          <t>protocol_report</t>
        </is>
      </c>
      <c r="F5" s="21" t="inlineStr">
        <is>
          <t>primary_done</t>
        </is>
      </c>
      <c r="G5" s="24">
        <f>IFERROR(IF(LEN(TRIM(CLEAN(SUBSTITUTE(Setup!$B$2,CHAR(160)," "))))=0,"CHECK REVIEWER ID",IF(OR(A5="",COUNTIF($A$2:$A$8,A5)&lt;&gt;1,LEFT(A5,LEN("2025::jama.2025.19843::"))&lt;&gt;"2025::jama.2025.19843::"),"CHECK KEY",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NOT(OR(EXACT(D5,"retain"),EXACT(D5,"exclude"),EXACT(D5,"discuss"))),NOT(OR(EXACT(E5,"statistical_results"),EXACT(E5,"report_internal_inconsistency"),EXACT(E5,"plan_material"),EXACT(E5,"protocol_report"))),AND(AND(D5="retain",E5="statistical_results"),NOT(OR(EXACT(H5,"confirmed_issue"),EXACT(H5,"probable_issue"),EXACT(H5,"not_issue"),EXACT(H5,"indeterminate")))),AND(AND(D5="retain",E5="statistical_results"),NOT(OR(EXACT(I5,"substantive"),EXACT(I5,"minor_presentation"),EXACT(I5,"indeterminate")))),AND(AND(D5="retain",E5="statistical_results"),J5&lt;&gt;"",NOT(OR(EXACT(J5,"direct"),EXACT(J5,"possible"),EXACT(J5,"unlikely"),EXACT(J5,"unknown")))),AND(AND(D5="retain",OR(E5="report_internal_inconsistency",E5="plan_material")),NOT(OR(EXACT(K5,"substantive_inconsistency"),EXACT(K5,"minor_presentation"),EXACT(K5,"non_inconsistency"),EXACT(K5,"indeterminate")))),AND(AND(D5="retain",E5="protocol_report"),L5&lt;&gt;"",NOT(OR(EXACT(L5,"substantive_difference"),EXACT(L5,"minor_presentation"),EXACT(L5,"version_timing"),EXACT(L5,"non_inconsistency"),EXACT(L5,"indeterminate"))))),"CHECK FIELDS",IF(AND(F5&lt;&gt;"",NOT(OR(EXACT(F5,"no"),EXACT(F5,"primary_done")))),"CHECK COMPLETE",IF(EXACT(F5,"primary_done"),"PRIMARY READY","PRIMARY DRAFT")))))),"CHECK INPUT / KEY")</f>
        <v/>
      </c>
      <c r="H5" s="21">
        <f>IF(AND(OR(D5="retain",D5=""),E5="statistical_results"),"","not_applicable")</f>
        <v/>
      </c>
      <c r="I5" s="21">
        <f>IF(AND(OR(D5="retain",D5=""),E5="statistical_results"),"","not_applicable")</f>
        <v/>
      </c>
      <c r="J5" s="22">
        <f>IF(AND(OR(D5="retain",D5=""),E5="statistical_results"),"","not_applicable")</f>
        <v/>
      </c>
      <c r="K5" s="21">
        <f>IF(AND(OR(D5="retain",D5=""),OR(E5="report_internal_inconsistency",E5="plan_material")),"","not_applicable")</f>
        <v/>
      </c>
      <c r="L5" s="22" t="inlineStr">
        <is>
          <t>substantive_difference</t>
        </is>
      </c>
      <c r="M5" s="24" t="n"/>
      <c r="N5" s="23" t="n"/>
      <c r="O5" s="23" t="n"/>
      <c r="P5" s="23" t="n"/>
      <c r="Q5" s="23" t="n"/>
      <c r="R5" s="22"/>
    </row>
    <row r="6" ht="92" customHeight="1" s="25">
      <c r="A6" s="20" t="inlineStr">
        <is>
          <t>2025::jama.2025.19843::C005</t>
        </is>
      </c>
      <c r="B6" s="20" t="inlineStr">
        <is>
          <t>Dialysis membership differs across MACE definitions</t>
        </is>
      </c>
      <c r="C6" s="20" t="inlineStr">
        <is>
          <t>Every repeated protocol composite occurrence: joi250087supp1_prod_1766516490.96011.pdf — protocol PDF p.8; joi250087supp1_prod_1766516490.96011.pdf — protocol PDF p.14; joi250087supp1_prod_1766516490.96011.pdf — protocol PDF p.15; joi250087supp1_prod_1766516490.96011.pdf — protocol PDF p.53; joi250087supp1_prod_1766516490.96011.pdf — protocol PDF p.59; joi250087supp1_prod_1766516490.96011.pdf — protocol PDF p.60; joi250087supp1_prod_1766516490.96011.pdf — protocol PDF p.99; joi250087supp1_prod_1766516490.96011.pdf — protocol PDF p.105; joi250087supp1_prod_1766516490.96011.pdf — protocol PDF p.106. SAP: joi250087supp2_prod_1766516490.96511.pdf — sap PDF p.4; joi250087supp2_prod_1766516490.96511.pdf — sap PDF p.7. Main: jama_combes_2025_oi_250087_1766516490.94011.pdf — main PDF p.3. Results contents, component rows and figure: joi250087supp3_prod_1766516490.97011.pdf — results PDF p.1; joi250087supp3_prod_1766516490.97011.pdf — results PDF p.5; joi250087supp3_prod_1766516490.97011.pdf — results PDF p.6; joi250087supp3_prod_1766516490.97011.pdf — results PDF p.13</t>
        </is>
      </c>
      <c r="D6" s="21" t="inlineStr">
        <is>
          <t>retain</t>
        </is>
      </c>
      <c r="E6" s="21" t="inlineStr">
        <is>
          <t>protocol_report</t>
        </is>
      </c>
      <c r="F6" s="21" t="inlineStr">
        <is>
          <t>primary_done</t>
        </is>
      </c>
      <c r="G6" s="20">
        <f>IFERROR(IF(LEN(TRIM(CLEAN(SUBSTITUTE(Setup!$B$2,CHAR(160)," "))))=0,"CHECK REVIEWER ID",IF(OR(A6="",COUNTIF($A$2:$A$8,A6)&lt;&gt;1,LEFT(A6,LEN("2025::jama.2025.19843::"))&lt;&gt;"2025::jama.2025.19843::"),"CHECK KEY",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NOT(OR(EXACT(D6,"retain"),EXACT(D6,"exclude"),EXACT(D6,"discuss"))),NOT(OR(EXACT(E6,"statistical_results"),EXACT(E6,"report_internal_inconsistency"),EXACT(E6,"plan_material"),EXACT(E6,"protocol_report"))),AND(AND(D6="retain",E6="statistical_results"),NOT(OR(EXACT(H6,"confirmed_issue"),EXACT(H6,"probable_issue"),EXACT(H6,"not_issue"),EXACT(H6,"indeterminate")))),AND(AND(D6="retain",E6="statistical_results"),NOT(OR(EXACT(I6,"substantive"),EXACT(I6,"minor_presentation"),EXACT(I6,"indeterminate")))),AND(AND(D6="retain",E6="statistical_results"),J6&lt;&gt;"",NOT(OR(EXACT(J6,"direct"),EXACT(J6,"possible"),EXACT(J6,"unlikely"),EXACT(J6,"unknown")))),AND(AND(D6="retain",OR(E6="report_internal_inconsistency",E6="plan_material")),NOT(OR(EXACT(K6,"substantive_inconsistency"),EXACT(K6,"minor_presentation"),EXACT(K6,"non_inconsistency"),EXACT(K6,"indeterminate")))),AND(AND(D6="retain",E6="protocol_report"),L6&lt;&gt;"",NOT(OR(EXACT(L6,"substantive_difference"),EXACT(L6,"minor_presentation"),EXACT(L6,"version_timing"),EXACT(L6,"non_inconsistency"),EXACT(L6,"indeterminate"))))),"CHECK FIELDS",IF(AND(F6&lt;&gt;"",NOT(OR(EXACT(F6,"no"),EXACT(F6,"primary_done")))),"CHECK COMPLETE",IF(EXACT(F6,"primary_done"),"PRIMARY READY","PRIMARY DRAFT")))))),"CHECK INPUT / KEY")</f>
        <v/>
      </c>
      <c r="H6" s="21">
        <f>IF(AND(OR(D6="retain",D6=""),E6="statistical_results"),"","not_applicable")</f>
        <v/>
      </c>
      <c r="I6" s="21">
        <f>IF(AND(OR(D6="retain",D6=""),E6="statistical_results"),"","not_applicable")</f>
        <v/>
      </c>
      <c r="J6" s="22">
        <f>IF(AND(OR(D6="retain",D6=""),E6="statistical_results"),"","not_applicable")</f>
        <v/>
      </c>
      <c r="K6" s="21">
        <f>IF(AND(OR(D6="retain",D6=""),OR(E6="report_internal_inconsistency",E6="plan_material")),"","not_applicable")</f>
        <v/>
      </c>
      <c r="L6" s="22" t="inlineStr">
        <is>
          <t>substantive_difference</t>
        </is>
      </c>
      <c r="M6" s="20" t="n"/>
      <c r="N6" s="23" t="n"/>
      <c r="O6" s="23" t="n"/>
      <c r="P6" s="23" t="n"/>
      <c r="Q6" s="23" t="n"/>
      <c r="R6" s="22"/>
    </row>
    <row r="7" ht="92" customHeight="1" s="25">
      <c r="A7" s="24" t="inlineStr">
        <is>
          <t>2025::jama.2025.19843::C006</t>
        </is>
      </c>
      <c r="B7" s="24" t="inlineStr">
        <is>
          <t>Planned post-arrest subgroup differs from reported predefined other-etiology subgroup</t>
        </is>
      </c>
      <c r="C7" s="24" t="inlineStr">
        <is>
          <t>Every repeated endpoint/subgroup prescription: joi250087supp1_prod_1766516490.96011.pdf — protocol PDF p.8; joi250087supp1_prod_1766516490.96011.pdf — protocol PDF p.14; joi250087supp1_prod_1766516490.96011.pdf — protocol PDF p.15; joi250087supp1_prod_1766516490.96011.pdf — protocol PDF p.53; joi250087supp1_prod_1766516490.96011.pdf — protocol PDF p.59; joi250087supp1_prod_1766516490.96011.pdf — protocol PDF p.60; joi250087supp1_prod_1766516490.96011.pdf — protocol PDF p.99; joi250087supp1_prod_1766516490.96011.pdf — protocol PDF p.105; joi250087supp1_prod_1766516490.96011.pdf — protocol PDF p.106. joi250087supp1_prod_1766516490.96011.pdf — Protocol PDF p.107, allocation/minimization. Complete SAP boundary: joi250087supp2_prod_1766516490.96511.pdf — sap PDF p.1; joi250087supp2_prod_1766516490.96511.pdf — sap PDF p.2; joi250087supp2_prod_1766516490.96511.pdf — sap PDF p.3; joi250087supp2_prod_1766516490.96511.pdf — sap PDF p.4; joi250087supp2_prod_1766516490.96511.pdf — sap PDF p.5; joi250087supp2_prod_1766516490.96511.pdf — sap PDF p.6; joi250087supp2_prod_1766516490.96511.pdf — sap PDF p.7; joi250087supp2_prod_1766516490.96511.pdf — sap PDF p.8; joi250087supp2_prod_1766516490.96511.pdf — sap PDF p.9. REPORT: jama_combes_2025_oi_250087_1766516490.94011.pdf — main PDF p.4; jama_combes_2025_oi_250087_1766516490.94011.pdf — main PDF p.7; joi250087supp3_prod_1766516490.97011.pdf — results PDF p.9; joi250087supp3_prod_1766516490.97011.pdf — results PDF p.18</t>
        </is>
      </c>
      <c r="D7" s="21" t="inlineStr">
        <is>
          <t>retain</t>
        </is>
      </c>
      <c r="E7" s="21" t="inlineStr">
        <is>
          <t>protocol_report</t>
        </is>
      </c>
      <c r="F7" s="21" t="inlineStr">
        <is>
          <t>primary_done</t>
        </is>
      </c>
      <c r="G7" s="24">
        <f>IFERROR(IF(LEN(TRIM(CLEAN(SUBSTITUTE(Setup!$B$2,CHAR(160)," "))))=0,"CHECK REVIEWER ID",IF(OR(A7="",COUNTIF($A$2:$A$8,A7)&lt;&gt;1,LEFT(A7,LEN("2025::jama.2025.19843::"))&lt;&gt;"2025::jama.2025.19843::"),"CHECK KEY",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NOT(OR(EXACT(D7,"retain"),EXACT(D7,"exclude"),EXACT(D7,"discuss"))),NOT(OR(EXACT(E7,"statistical_results"),EXACT(E7,"report_internal_inconsistency"),EXACT(E7,"plan_material"),EXACT(E7,"protocol_report"))),AND(AND(D7="retain",E7="statistical_results"),NOT(OR(EXACT(H7,"confirmed_issue"),EXACT(H7,"probable_issue"),EXACT(H7,"not_issue"),EXACT(H7,"indeterminate")))),AND(AND(D7="retain",E7="statistical_results"),NOT(OR(EXACT(I7,"substantive"),EXACT(I7,"minor_presentation"),EXACT(I7,"indeterminate")))),AND(AND(D7="retain",E7="statistical_results"),J7&lt;&gt;"",NOT(OR(EXACT(J7,"direct"),EXACT(J7,"possible"),EXACT(J7,"unlikely"),EXACT(J7,"unknown")))),AND(AND(D7="retain",OR(E7="report_internal_inconsistency",E7="plan_material")),NOT(OR(EXACT(K7,"substantive_inconsistency"),EXACT(K7,"minor_presentation"),EXACT(K7,"non_inconsistency"),EXACT(K7,"indeterminate")))),AND(AND(D7="retain",E7="protocol_report"),L7&lt;&gt;"",NOT(OR(EXACT(L7,"substantive_difference"),EXACT(L7,"minor_presentation"),EXACT(L7,"version_timing"),EXACT(L7,"non_inconsistency"),EXACT(L7,"indeterminate"))))),"CHECK FIELDS",IF(AND(F7&lt;&gt;"",NOT(OR(EXACT(F7,"no"),EXACT(F7,"primary_done")))),"CHECK COMPLETE",IF(EXACT(F7,"primary_done"),"PRIMARY READY","PRIMARY DRAFT")))))),"CHECK INPUT / KEY")</f>
        <v/>
      </c>
      <c r="H7" s="21">
        <f>IF(AND(OR(D7="retain",D7=""),E7="statistical_results"),"","not_applicable")</f>
        <v/>
      </c>
      <c r="I7" s="21">
        <f>IF(AND(OR(D7="retain",D7=""),E7="statistical_results"),"","not_applicable")</f>
        <v/>
      </c>
      <c r="J7" s="22">
        <f>IF(AND(OR(D7="retain",D7=""),E7="statistical_results"),"","not_applicable")</f>
        <v/>
      </c>
      <c r="K7" s="21">
        <f>IF(AND(OR(D7="retain",D7=""),OR(E7="report_internal_inconsistency",E7="plan_material")),"","not_applicable")</f>
        <v/>
      </c>
      <c r="L7" s="22" t="inlineStr">
        <is>
          <t>substantive_difference</t>
        </is>
      </c>
      <c r="M7" s="24" t="n"/>
      <c r="N7" s="23" t="n"/>
      <c r="O7" s="23" t="n"/>
      <c r="P7" s="23" t="n"/>
      <c r="Q7" s="23" t="n"/>
      <c r="R7" s="22"/>
    </row>
    <row r="8" ht="92" customHeight="1" s="25">
      <c r="A8" s="20" t="inlineStr">
        <is>
          <t>2025::jama.2025.19843::C007</t>
        </is>
      </c>
      <c r="B8" s="20" t="inlineStr">
        <is>
          <t>Planned adjusted key-secondary analyses lack supplied outputs</t>
        </is>
      </c>
      <c r="C8" s="20" t="inlineStr">
        <is>
          <t>Every protocol adjusted-analysis occurrence: joi250087supp1_prod_1766516490.96011.pdf — protocol PDF p.35; joi250087supp1_prod_1766516490.96011.pdf — protocol PDF p.37; joi250087supp1_prod_1766516490.96011.pdf — protocol PDF p.81; joi250087supp1_prod_1766516490.96011.pdf — protocol PDF p.82; joi250087supp1_prod_1766516490.96011.pdf — protocol PDF p.83; joi250087supp1_prod_1766516490.96011.pdf — protocol PDF p.84; joi250087supp1_prod_1766516490.96011.pdf — protocol PDF p.127; joi250087supp1_prod_1766516490.96011.pdf — protocol PDF p.128; joi250087supp1_prod_1766516490.96011.pdf — protocol PDF p.129; joi250087supp1_prod_1766516490.96011.pdf — protocol PDF p.130. SAP model prescriptions: joi250087supp2_prod_1766516490.96511.pdf — sap PDF p.7; joi250087supp2_prod_1766516490.96511.pdf — sap PDF p.8; joi250087supp2_prod_1766516490.96511.pdf — sap PDF p.9. Main abstract/methods/tables: jama_combes_2025_oi_250087_1766516490.94011.pdf — main PDF p.1; jama_combes_2025_oi_250087_1766516490.94011.pdf — main PDF p.4; jama_combes_2025_oi_250087_1766516490.94011.pdf — main PDF p.6; jama_combes_2025_oi_250087_1766516490.94011.pdf — main PDF p.7. Results and retained contextual displays: joi250087supp3_prod_1766516490.97011.pdf — results PDF p.5; joi250087supp3_prod_1766516490.97011.pdf — results PDF p.6; joi250087supp3_prod_1766516490.97011.pdf — results PDF p.11; joi250087supp3_prod_1766516490.97011.pdf — results PDF p.13; joi250087supp3_prod_1766516490.97011.pdf — results PDF p.16; joi250087supp3_prod_1766516490.97011.pdf — results PDF p.17</t>
        </is>
      </c>
      <c r="D8" s="21" t="inlineStr">
        <is>
          <t>retain</t>
        </is>
      </c>
      <c r="E8" s="21" t="inlineStr">
        <is>
          <t>protocol_report</t>
        </is>
      </c>
      <c r="F8" s="21" t="inlineStr">
        <is>
          <t>primary_done</t>
        </is>
      </c>
      <c r="G8" s="20">
        <f>IFERROR(IF(LEN(TRIM(CLEAN(SUBSTITUTE(Setup!$B$2,CHAR(160)," "))))=0,"CHECK REVIEWER ID",IF(OR(A8="",COUNTIF($A$2:$A$8,A8)&lt;&gt;1,LEFT(A8,LEN("2025::jama.2025.19843::"))&lt;&gt;"2025::jama.2025.19843::"),"CHECK KEY",IF(OR(AND(NOT(AND(D8="retain",E8="statistical_results")),H8&lt;&gt;"",NOT(EXACT(H8,"not_applicable"))),AND(NOT(AND(D8="retain",E8="statistical_results")),I8&lt;&gt;"",NOT(EXACT(I8,"not_applicable"))),AND(NOT(AND(D8="retain",E8="statistical_results")),J8&lt;&gt;"",NOT(EXACT(J8,"not_applicable"))),AND(NOT(AND(D8="retain",OR(E8="report_internal_inconsistency",E8="plan_material"))),K8&lt;&gt;"",NOT(EXACT(K8,"not_applicable"))),AND(NOT(AND(D8="retain",E8="protocol_report")),L8&lt;&gt;"",NOT(EXACT(L8,"not_applicable")))),"CLEAR INACTIVE VALUES",IF(OR(NOT(OR(EXACT(D8,"retain"),EXACT(D8,"exclude"),EXACT(D8,"discuss"))),NOT(OR(EXACT(E8,"statistical_results"),EXACT(E8,"report_internal_inconsistency"),EXACT(E8,"plan_material"),EXACT(E8,"protocol_report"))),AND(AND(D8="retain",E8="statistical_results"),NOT(OR(EXACT(H8,"confirmed_issue"),EXACT(H8,"probable_issue"),EXACT(H8,"not_issue"),EXACT(H8,"indeterminate")))),AND(AND(D8="retain",E8="statistical_results"),NOT(OR(EXACT(I8,"substantive"),EXACT(I8,"minor_presentation"),EXACT(I8,"indeterminate")))),AND(AND(D8="retain",E8="statistical_results"),J8&lt;&gt;"",NOT(OR(EXACT(J8,"direct"),EXACT(J8,"possible"),EXACT(J8,"unlikely"),EXACT(J8,"unknown")))),AND(AND(D8="retain",OR(E8="report_internal_inconsistency",E8="plan_material")),NOT(OR(EXACT(K8,"substantive_inconsistency"),EXACT(K8,"minor_presentation"),EXACT(K8,"non_inconsistency"),EXACT(K8,"indeterminate")))),AND(AND(D8="retain",E8="protocol_report"),L8&lt;&gt;"",NOT(OR(EXACT(L8,"substantive_difference"),EXACT(L8,"minor_presentation"),EXACT(L8,"version_timing"),EXACT(L8,"non_inconsistency"),EXACT(L8,"indeterminate"))))),"CHECK FIELDS",IF(AND(F8&lt;&gt;"",NOT(OR(EXACT(F8,"no"),EXACT(F8,"primary_done")))),"CHECK COMPLETE",IF(EXACT(F8,"primary_done"),"PRIMARY READY","PRIMARY DRAFT")))))),"CHECK INPUT / KEY")</f>
        <v/>
      </c>
      <c r="H8" s="21">
        <f>IF(AND(OR(D8="retain",D8=""),E8="statistical_results"),"","not_applicable")</f>
        <v/>
      </c>
      <c r="I8" s="21">
        <f>IF(AND(OR(D8="retain",D8=""),E8="statistical_results"),"","not_applicable")</f>
        <v/>
      </c>
      <c r="J8" s="22">
        <f>IF(AND(OR(D8="retain",D8=""),E8="statistical_results"),"","not_applicable")</f>
        <v/>
      </c>
      <c r="K8" s="21">
        <f>IF(AND(OR(D8="retain",D8=""),OR(E8="report_internal_inconsistency",E8="plan_material")),"","not_applicable")</f>
        <v/>
      </c>
      <c r="L8" s="22" t="inlineStr">
        <is>
          <t>substantive_difference</t>
        </is>
      </c>
      <c r="M8" s="20" t="n"/>
      <c r="N8" s="23" t="n"/>
      <c r="O8" s="23" t="n"/>
      <c r="P8" s="23" t="n"/>
      <c r="Q8" s="23" t="n"/>
      <c r="R8" s="22"/>
    </row>
  </sheetData>
  <autoFilter ref="A1:R8"/>
  <conditionalFormatting sqref="H2:H8">
    <cfRule type="expression" priority="8" dxfId="70">
      <formula>NOT(AND(OR($D2="retain",$D2=""),$E2="statistical_results"))</formula>
    </cfRule>
  </conditionalFormatting>
  <conditionalFormatting sqref="I2:I8">
    <cfRule type="expression" priority="9" dxfId="70">
      <formula>NOT(AND(OR($D2="retain",$D2=""),$E2="statistical_results"))</formula>
    </cfRule>
  </conditionalFormatting>
  <conditionalFormatting sqref="J2:J8">
    <cfRule type="expression" priority="10" dxfId="70">
      <formula>NOT(AND(OR($D2="retain",$D2=""),$E2="statistical_results"))</formula>
    </cfRule>
  </conditionalFormatting>
  <conditionalFormatting sqref="K2:K8">
    <cfRule type="expression" priority="11" dxfId="70">
      <formula>NOT(AND(OR($D2="retain",$D2=""),OR($E2="report_internal_inconsistency",$E2="plan_material")))</formula>
    </cfRule>
  </conditionalFormatting>
  <conditionalFormatting sqref="L2:L8">
    <cfRule type="expression" priority="12" dxfId="70">
      <formula>NOT(AND(OR($D2="retain",$D2=""),$E2="protocol_report"))</formula>
    </cfRule>
  </conditionalFormatting>
  <conditionalFormatting sqref="G2:G8">
    <cfRule type="expression" priority="13" dxfId="71">
      <formula>G2&lt;&gt;"PRIMARY READY"</formula>
    </cfRule>
  </conditionalFormatting>
  <dataValidations count="8">
    <dataValidation sqref="D2:D8" showDropDown="0" showInputMessage="0" showErrorMessage="1" allowBlank="1" errorTitle="Use a listed option" error="Choose an option; G also checks pasted entries." type="list" errorStyle="stop">
      <formula1>"retain,exclude,discuss"</formula1>
    </dataValidation>
    <dataValidation sqref="E2:E8" showDropDown="0" showInputMessage="0" showErrorMessage="1" allowBlank="1" errorTitle="Use a listed option" error="Choose an option; G also checks pasted entries." type="list" errorStyle="stop">
      <formula1>"statistical_results,report_internal_inconsistency,plan_material,protocol_report"</formula1>
    </dataValidation>
    <dataValidation sqref="F2:F8" showDropDown="0" showInputMessage="0" showErrorMessage="1" allowBlank="1" errorTitle="Use a listed option" error="Choose an option; G also checks pasted entries." type="list" errorStyle="stop">
      <formula1>"no,primary_done"</formula1>
    </dataValidation>
    <dataValidation sqref="H2:H8" showDropDown="0" showInputMessage="0" showErrorMessage="1" allowBlank="1" errorTitle="Use a listed option" error="Choose an option; G also checks pasted entries." type="list" errorStyle="stop">
      <formula1>"confirmed_issue,probable_issue,not_issue,indeterminate,not_applicable"</formula1>
    </dataValidation>
    <dataValidation sqref="I2:I8" showDropDown="0" showInputMessage="0" showErrorMessage="1" allowBlank="1" errorTitle="Use a listed option" error="Choose an option; G also checks pasted entries." type="list" errorStyle="stop">
      <formula1>"substantive,minor_presentation,indeterminate,not_applicable"</formula1>
    </dataValidation>
    <dataValidation sqref="J2:J8" showDropDown="0" showInputMessage="0" showErrorMessage="1" allowBlank="1" errorTitle="Use a listed option" error="Choose an option; G also checks pasted entries." type="list" errorStyle="stop">
      <formula1>"direct,possible,unlikely,unknown,not_applicable"</formula1>
    </dataValidation>
    <dataValidation sqref="K2:K8" showDropDown="0" showInputMessage="0" showErrorMessage="1" allowBlank="1" errorTitle="Use a listed option" error="Choose an option; G also checks pasted entries." type="list" errorStyle="stop">
      <formula1>"substantive_inconsistency,minor_presentation,non_inconsistency,indeterminate,not_applicable"</formula1>
    </dataValidation>
    <dataValidation sqref="L2:L8" showDropDown="0" showInputMessage="0" showErrorMessage="1" allowBlank="1" errorTitle="Use a listed option" error="Choose an option; G also checks pasted entries." type="list" errorStyle="stop">
      <formula1>"substantive_difference,minor_presentation,version_timing,non_inconsistency,indeterminate,not_applicable"</formula1>
    </dataValidation>
  </dataValidation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R20"/>
  <sheetViews>
    <sheetView tabSelected="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Format="1"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Statistical_or_numerical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ht="92" customHeight="1" s="25">
      <c r="A2" s="20" t="inlineStr">
        <is>
          <t>2025::jama.2025.20765::C001</t>
        </is>
      </c>
      <c r="B2" s="20" t="inlineStr">
        <is>
          <t>Protocol SMS totals and frequency schedules do not reconcile</t>
        </is>
      </c>
      <c r="C2" s="20" t="inlineStr">
        <is>
          <t>jama_zahid_2025_oi_250093_1768590553.08463.pdf — DOC-001 — PDF p. 1, abstract intervention; REPORT; jama_zahid_2025_oi_250093_1768590553.08463.pdf — DOC-001 — PDF p. 3, Trial Intervention; REPORT; joi250093supp1_prod_1768590553.08963.pdf — DOC-002 — PDF p. 16, lines386–390, earlier-component dose paragraph; PLAN; joi250093supp1_prod_1768590553.08963.pdf — DOC-002 — PDF p. 53, lines1526–1530, later-component dose paragraph; PLAN; joi250093supp1_prod_1768590553.08963.pdf — DOC-002 — PDF p. 77, change note; PLAN; joi250093supp1_prod_1768590553.08963.pdf — DOC-002 — PDF p. 80, lines2532–2536, SAP dose; PLAN</t>
        </is>
      </c>
      <c r="D2" s="21" t="inlineStr">
        <is>
          <t>retain</t>
        </is>
      </c>
      <c r="E2" s="21" t="inlineStr">
        <is>
          <t>protocol_report</t>
        </is>
      </c>
      <c r="F2" s="21" t="inlineStr">
        <is>
          <t>primary_done</t>
        </is>
      </c>
      <c r="G2" s="20">
        <f>IFERROR(IF(LEN(TRIM(CLEAN(SUBSTITUTE(Setup!$B$2,CHAR(160)," "))))=0,"CHECK REVIEWER ID",IF(OR(A2="",COUNTIF($A$2:$A$20,A2)&lt;&gt;1,LEFT(A2,LEN("2025::jama.2025.20765::"))&lt;&gt;"2025::jama.2025.20765::"),"CHECK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
      </c>
      <c r="H2" s="21">
        <f>IF(AND(OR(D2="retain",D2=""),E2="statistical_results"),"","not_applicable")</f>
        <v/>
      </c>
      <c r="I2" s="21">
        <f>IF(AND(OR(D2="retain",D2=""),E2="statistical_results"),"","not_applicable")</f>
        <v/>
      </c>
      <c r="J2" s="22">
        <f>IF(AND(OR(D2="retain",D2=""),E2="statistical_results"),"","not_applicable")</f>
        <v/>
      </c>
      <c r="K2" s="21">
        <f>IF(AND(OR(D2="retain",D2=""),OR(E2="report_internal_inconsistency",E2="plan_material")),"","not_applicable")</f>
        <v/>
      </c>
      <c r="L2" s="22" t="inlineStr">
        <is>
          <t>substantive_difference</t>
        </is>
      </c>
      <c r="M2" s="20" t="n"/>
      <c r="N2" s="23" t="n"/>
      <c r="O2" s="23" t="n"/>
      <c r="P2" s="23" t="n"/>
      <c r="Q2" s="23" t="n"/>
      <c r="R2" s="22"/>
    </row>
    <row r="3" ht="92" customHeight="1" s="25">
      <c r="A3" s="24" t="inlineStr">
        <is>
          <t>2025::jama.2025.20765::C002</t>
        </is>
      </c>
      <c r="B3" s="24" t="inlineStr">
        <is>
          <t>Operational eligibility criteria differ from the plan list</t>
        </is>
      </c>
      <c r="C3" s="24" t="inlineStr">
        <is>
          <t>jama_zahid_2025_oi_250093_1768590553.08463.pdf — DOC-001 — PDF p. 2, eligibility paragraph; REPORT; jama_zahid_2025_oi_250093_1768590553.08463.pdf — DOC-001 — PDF p. 4, Figure1 exclusions; REPORT; joi250093supp1_prod_1768590553.08963.pdf — DOC-002 — PDF p. 11, lines235–255 complete participant lists; PLAN; joi250093supp1_prod_1768590553.08963.pdf — DOC-002 — PDF p. 49, lines1375–1395 complete participant lists; PLAN; joi250093supp2_prod_1768590553.09463.pdf — DOC-003 — PDF p. 3, eTable1 smoking and SMS-reader reasons; REPORT</t>
        </is>
      </c>
      <c r="D3" s="21" t="inlineStr">
        <is>
          <t>retain</t>
        </is>
      </c>
      <c r="E3" s="21" t="inlineStr">
        <is>
          <t>protocol_report</t>
        </is>
      </c>
      <c r="F3" s="21" t="inlineStr">
        <is>
          <t>primary_done</t>
        </is>
      </c>
      <c r="G3" s="24">
        <f>IFERROR(IF(LEN(TRIM(CLEAN(SUBSTITUTE(Setup!$B$2,CHAR(160)," "))))=0,"CHECK REVIEWER ID",IF(OR(A3="",COUNTIF($A$2:$A$20,A3)&lt;&gt;1,LEFT(A3,LEN("2025::jama.2025.20765::"))&lt;&gt;"2025::jama.2025.20765::"),"CHECK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
      </c>
      <c r="H3" s="21">
        <f>IF(AND(OR(D3="retain",D3=""),E3="statistical_results"),"","not_applicable")</f>
        <v/>
      </c>
      <c r="I3" s="21">
        <f>IF(AND(OR(D3="retain",D3=""),E3="statistical_results"),"","not_applicable")</f>
        <v/>
      </c>
      <c r="J3" s="22">
        <f>IF(AND(OR(D3="retain",D3=""),E3="statistical_results"),"","not_applicable")</f>
        <v/>
      </c>
      <c r="K3" s="21">
        <f>IF(AND(OR(D3="retain",D3=""),OR(E3="report_internal_inconsistency",E3="plan_material")),"","not_applicable")</f>
        <v/>
      </c>
      <c r="L3" s="22" t="inlineStr">
        <is>
          <t>substantive_difference</t>
        </is>
      </c>
      <c r="M3" s="24" t="n"/>
      <c r="N3" s="23" t="n"/>
      <c r="O3" s="23" t="n"/>
      <c r="P3" s="23" t="n"/>
      <c r="Q3" s="23" t="n"/>
      <c r="R3" s="22"/>
    </row>
    <row r="4" ht="92" customHeight="1" s="25">
      <c r="A4" s="20" t="inlineStr">
        <is>
          <t>2025::jama.2025.20765::C003</t>
        </is>
      </c>
      <c r="B4" s="20" t="inlineStr">
        <is>
          <t>Prospective quit-date and reminder calendar differ from the report</t>
        </is>
      </c>
      <c r="C4" s="20" t="inlineStr">
        <is>
          <t>jama_zahid_2025_oi_250093_1768590553.08463.pdf — DOC-001 — PDF p. 3, Trial Outcomes and Trial Intervention; REPORT; joi250093supp1_prod_1768590553.08963.pdf — DOC-002 — PDF p. 101, enrollment Q(−8)/Tx(+1), message6 and footnotes; PLAN; joi250093supp1_prod_1768590553.08963.pdf — DOC-002 — PDF p. 103, Q(−1)/Tx(+8) and quit transition; PLAN; joi250093supp1_prod_1768590553.08963.pdf — DOC-002 — PDF p. 104, quit-date ordinal label and messages39–44; PLAN; joi250093supp1_prod_1768590553.08963.pdf — DOC-002 — PDF p. 109, messages129–134 and follow-up phase; PLAN</t>
        </is>
      </c>
      <c r="D4" s="21" t="inlineStr">
        <is>
          <t>retain</t>
        </is>
      </c>
      <c r="E4" s="21" t="inlineStr">
        <is>
          <t>protocol_report</t>
        </is>
      </c>
      <c r="F4" s="21" t="inlineStr">
        <is>
          <t>primary_done</t>
        </is>
      </c>
      <c r="G4" s="20">
        <f>IFERROR(IF(LEN(TRIM(CLEAN(SUBSTITUTE(Setup!$B$2,CHAR(160)," "))))=0,"CHECK REVIEWER ID",IF(OR(A4="",COUNTIF($A$2:$A$20,A4)&lt;&gt;1,LEFT(A4,LEN("2025::jama.2025.20765::"))&lt;&gt;"2025::jama.2025.20765::"),"CHECK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
      </c>
      <c r="H4" s="21">
        <f>IF(AND(OR(D4="retain",D4=""),E4="statistical_results"),"","not_applicable")</f>
        <v/>
      </c>
      <c r="I4" s="21">
        <f>IF(AND(OR(D4="retain",D4=""),E4="statistical_results"),"","not_applicable")</f>
        <v/>
      </c>
      <c r="J4" s="22">
        <f>IF(AND(OR(D4="retain",D4=""),E4="statistical_results"),"","not_applicable")</f>
        <v/>
      </c>
      <c r="K4" s="21">
        <f>IF(AND(OR(D4="retain",D4=""),OR(E4="report_internal_inconsistency",E4="plan_material")),"","not_applicable")</f>
        <v/>
      </c>
      <c r="L4" s="22" t="inlineStr">
        <is>
          <t>substantive_difference</t>
        </is>
      </c>
      <c r="M4" s="20" t="n"/>
      <c r="N4" s="23" t="n"/>
      <c r="O4" s="23" t="n"/>
      <c r="P4" s="23" t="n"/>
      <c r="Q4" s="23" t="n"/>
      <c r="R4" s="22"/>
    </row>
    <row r="5" ht="92" customHeight="1" s="25">
      <c r="A5" s="24" t="inlineStr">
        <is>
          <t>2025::jama.2025.20765::C004</t>
        </is>
      </c>
      <c r="B5" s="24" t="inlineStr">
        <is>
          <t>Primary cotinine verification lacks a planned-to-reported criterion crosswalk</t>
        </is>
      </c>
      <c r="C5" s="24" t="inlineStr">
        <is>
          <t>jama_zahid_2025_oi_250093_1768590553.08463.pdf — DOC-001 — PDF p. 3, Trial Outcomes cotinine verification; REPORT; joi250093supp1_prod_1768590553.08963.pdf — DOC-002 — PDF p. 8, lines158–161 primary endpoint; PLAN; joi250093supp1_prod_1768590553.08963.pdf — DOC-002 — PDF p. 47, lines1298–1301 primary endpoint; PLAN; joi250093supp1_prod_1768590553.08963.pdf — DOC-002 — PDF p. 84, lines2661–2665 SAP primary endpoint; PLAN</t>
        </is>
      </c>
      <c r="D5" s="21" t="inlineStr">
        <is>
          <t>retain</t>
        </is>
      </c>
      <c r="E5" s="21" t="inlineStr">
        <is>
          <t>protocol_report</t>
        </is>
      </c>
      <c r="F5" s="21" t="inlineStr">
        <is>
          <t>primary_done</t>
        </is>
      </c>
      <c r="G5" s="24">
        <f>IFERROR(IF(LEN(TRIM(CLEAN(SUBSTITUTE(Setup!$B$2,CHAR(160)," "))))=0,"CHECK REVIEWER ID",IF(OR(A5="",COUNTIF($A$2:$A$20,A5)&lt;&gt;1,LEFT(A5,LEN("2025::jama.2025.20765::"))&lt;&gt;"2025::jama.2025.20765::"),"CHECK KEY",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NOT(OR(EXACT(D5,"retain"),EXACT(D5,"exclude"),EXACT(D5,"discuss"))),NOT(OR(EXACT(E5,"statistical_results"),EXACT(E5,"report_internal_inconsistency"),EXACT(E5,"plan_material"),EXACT(E5,"protocol_report"))),AND(AND(D5="retain",E5="statistical_results"),NOT(OR(EXACT(H5,"confirmed_issue"),EXACT(H5,"probable_issue"),EXACT(H5,"not_issue"),EXACT(H5,"indeterminate")))),AND(AND(D5="retain",E5="statistical_results"),NOT(OR(EXACT(I5,"substantive"),EXACT(I5,"minor_presentation"),EXACT(I5,"indeterminate")))),AND(AND(D5="retain",E5="statistical_results"),J5&lt;&gt;"",NOT(OR(EXACT(J5,"direct"),EXACT(J5,"possible"),EXACT(J5,"unlikely"),EXACT(J5,"unknown")))),AND(AND(D5="retain",OR(E5="report_internal_inconsistency",E5="plan_material")),NOT(OR(EXACT(K5,"substantive_inconsistency"),EXACT(K5,"minor_presentation"),EXACT(K5,"non_inconsistency"),EXACT(K5,"indeterminate")))),AND(AND(D5="retain",E5="protocol_report"),L5&lt;&gt;"",NOT(OR(EXACT(L5,"substantive_difference"),EXACT(L5,"minor_presentation"),EXACT(L5,"version_timing"),EXACT(L5,"non_inconsistency"),EXACT(L5,"indeterminate"))))),"CHECK FIELDS",IF(AND(F5&lt;&gt;"",NOT(OR(EXACT(F5,"no"),EXACT(F5,"primary_done")))),"CHECK COMPLETE",IF(EXACT(F5,"primary_done"),"PRIMARY READY","PRIMARY DRAFT")))))),"CHECK INPUT / KEY")</f>
        <v/>
      </c>
      <c r="H5" s="21">
        <f>IF(AND(OR(D5="retain",D5=""),E5="statistical_results"),"","not_applicable")</f>
        <v/>
      </c>
      <c r="I5" s="21">
        <f>IF(AND(OR(D5="retain",D5=""),E5="statistical_results"),"","not_applicable")</f>
        <v/>
      </c>
      <c r="J5" s="22">
        <f>IF(AND(OR(D5="retain",D5=""),E5="statistical_results"),"","not_applicable")</f>
        <v/>
      </c>
      <c r="K5" s="21">
        <f>IF(AND(OR(D5="retain",D5=""),OR(E5="report_internal_inconsistency",E5="plan_material")),"","not_applicable")</f>
        <v/>
      </c>
      <c r="L5" s="22" t="inlineStr">
        <is>
          <t>indeterminate</t>
        </is>
      </c>
      <c r="M5" s="24" t="n"/>
      <c r="N5" s="23" t="n"/>
      <c r="O5" s="23" t="n"/>
      <c r="P5" s="23" t="n"/>
      <c r="Q5" s="23" t="n"/>
      <c r="R5" s="22"/>
    </row>
    <row r="6" ht="92" customHeight="1" s="25">
      <c r="A6" s="20" t="inlineStr">
        <is>
          <t>2025::jama.2025.20765::C005</t>
        </is>
      </c>
      <c r="B6" s="20" t="inlineStr">
        <is>
          <t>Primary model changes from protocol Poisson/log link to SAP/report logistic</t>
        </is>
      </c>
      <c r="C6" s="20" t="inlineStr">
        <is>
          <t>jama_zahid_2025_oi_250093_1768590553.08463.pdf — DOC-001 — PDF p. 3, Statistical Analysis; REPORT; joi250093supp1_prod_1768590553.08963.pdf — DOC-002 — PDF p. 28, lines759–764 statistical-analysis paragraph; PLAN; joi250093supp1_prod_1768590553.08963.pdf — DOC-002 — PDF p. 66, lines2011–2016 statistical-analysis paragraph; PLAN; joi250093supp1_prod_1768590553.08963.pdf — DOC-002 — PDF p. 77, change note; PLAN; joi250093supp1_prod_1768590553.08963.pdf — DOC-002 — PDF p. 91, lines2884–2889 primary model; PLAN; joi250093supp1_prod_1768590553.08963.pdf — DOC-002 — PDF p. 92, lines2919–2926 adjusted model; PLAN</t>
        </is>
      </c>
      <c r="D6" s="21" t="inlineStr">
        <is>
          <t>retain</t>
        </is>
      </c>
      <c r="E6" s="21" t="inlineStr">
        <is>
          <t>protocol_report</t>
        </is>
      </c>
      <c r="F6" s="21" t="inlineStr">
        <is>
          <t>primary_done</t>
        </is>
      </c>
      <c r="G6" s="20">
        <f>IFERROR(IF(LEN(TRIM(CLEAN(SUBSTITUTE(Setup!$B$2,CHAR(160)," "))))=0,"CHECK REVIEWER ID",IF(OR(A6="",COUNTIF($A$2:$A$20,A6)&lt;&gt;1,LEFT(A6,LEN("2025::jama.2025.20765::"))&lt;&gt;"2025::jama.2025.20765::"),"CHECK KEY",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NOT(OR(EXACT(D6,"retain"),EXACT(D6,"exclude"),EXACT(D6,"discuss"))),NOT(OR(EXACT(E6,"statistical_results"),EXACT(E6,"report_internal_inconsistency"),EXACT(E6,"plan_material"),EXACT(E6,"protocol_report"))),AND(AND(D6="retain",E6="statistical_results"),NOT(OR(EXACT(H6,"confirmed_issue"),EXACT(H6,"probable_issue"),EXACT(H6,"not_issue"),EXACT(H6,"indeterminate")))),AND(AND(D6="retain",E6="statistical_results"),NOT(OR(EXACT(I6,"substantive"),EXACT(I6,"minor_presentation"),EXACT(I6,"indeterminate")))),AND(AND(D6="retain",E6="statistical_results"),J6&lt;&gt;"",NOT(OR(EXACT(J6,"direct"),EXACT(J6,"possible"),EXACT(J6,"unlikely"),EXACT(J6,"unknown")))),AND(AND(D6="retain",OR(E6="report_internal_inconsistency",E6="plan_material")),NOT(OR(EXACT(K6,"substantive_inconsistency"),EXACT(K6,"minor_presentation"),EXACT(K6,"non_inconsistency"),EXACT(K6,"indeterminate")))),AND(AND(D6="retain",E6="protocol_report"),L6&lt;&gt;"",NOT(OR(EXACT(L6,"substantive_difference"),EXACT(L6,"minor_presentation"),EXACT(L6,"version_timing"),EXACT(L6,"non_inconsistency"),EXACT(L6,"indeterminate"))))),"CHECK FIELDS",IF(AND(F6&lt;&gt;"",NOT(OR(EXACT(F6,"no"),EXACT(F6,"primary_done")))),"CHECK COMPLETE",IF(EXACT(F6,"primary_done"),"PRIMARY READY","PRIMARY DRAFT")))))),"CHECK INPUT / KEY")</f>
        <v/>
      </c>
      <c r="H6" s="21">
        <f>IF(AND(OR(D6="retain",D6=""),E6="statistical_results"),"","not_applicable")</f>
        <v/>
      </c>
      <c r="I6" s="21">
        <f>IF(AND(OR(D6="retain",D6=""),E6="statistical_results"),"","not_applicable")</f>
        <v/>
      </c>
      <c r="J6" s="22">
        <f>IF(AND(OR(D6="retain",D6=""),E6="statistical_results"),"","not_applicable")</f>
        <v/>
      </c>
      <c r="K6" s="21">
        <f>IF(AND(OR(D6="retain",D6=""),OR(E6="report_internal_inconsistency",E6="plan_material")),"","not_applicable")</f>
        <v/>
      </c>
      <c r="L6" s="22" t="inlineStr">
        <is>
          <t>substantive_difference</t>
        </is>
      </c>
      <c r="M6" s="20" t="n"/>
      <c r="N6" s="23" t="n"/>
      <c r="O6" s="23" t="n"/>
      <c r="P6" s="23" t="n"/>
      <c r="Q6" s="23" t="n"/>
      <c r="R6" s="22"/>
    </row>
    <row r="7" ht="92" customHeight="1" s="25">
      <c r="A7" s="24" t="inlineStr">
        <is>
          <t>2025::jama.2025.20765::C006</t>
        </is>
      </c>
      <c r="B7" s="24" t="inlineStr">
        <is>
          <t>Risk-ratio derivation from stated logistic analysis is unclear</t>
        </is>
      </c>
      <c r="C7" s="24" t="inlineStr">
        <is>
          <t>jama_zahid_2025_oi_250093_1768590553.08463.pdf — DOC-001 — PDF p. 3, Statistical Analysis categorical model; REPORT; jama_zahid_2025_oi_250093_1768590553.08463.pdf — DOC-001 — PDF p. 6, Table2 RR columns and notea; REPORT; joi250093supp2_prod_1768590553.09463.pdf — DOC-003 — PDF p. 11, eTable7 relative-risk row; REPORT; joi250093supp2_prod_1768590553.09463.pdf — DOC-003 — PDF p. 13, eTable9 RR columns; REPORT; joi250093supp2_prod_1768590553.09463.pdf — DOC-003 — PDF p. 14, eTable9 notee; REPORT</t>
        </is>
      </c>
      <c r="D7" s="21" t="inlineStr">
        <is>
          <t>retain</t>
        </is>
      </c>
      <c r="E7" s="21" t="inlineStr">
        <is>
          <t>statistical_results</t>
        </is>
      </c>
      <c r="F7" s="21" t="inlineStr">
        <is>
          <t>primary_done</t>
        </is>
      </c>
      <c r="G7" s="24">
        <f>IFERROR(IF(LEN(TRIM(CLEAN(SUBSTITUTE(Setup!$B$2,CHAR(160)," "))))=0,"CHECK REVIEWER ID",IF(OR(A7="",COUNTIF($A$2:$A$20,A7)&lt;&gt;1,LEFT(A7,LEN("2025::jama.2025.20765::"))&lt;&gt;"2025::jama.2025.20765::"),"CHECK KEY",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NOT(OR(EXACT(D7,"retain"),EXACT(D7,"exclude"),EXACT(D7,"discuss"))),NOT(OR(EXACT(E7,"statistical_results"),EXACT(E7,"report_internal_inconsistency"),EXACT(E7,"plan_material"),EXACT(E7,"protocol_report"))),AND(AND(D7="retain",E7="statistical_results"),NOT(OR(EXACT(H7,"confirmed_issue"),EXACT(H7,"probable_issue"),EXACT(H7,"not_issue"),EXACT(H7,"indeterminate")))),AND(AND(D7="retain",E7="statistical_results"),NOT(OR(EXACT(I7,"substantive"),EXACT(I7,"minor_presentation"),EXACT(I7,"indeterminate")))),AND(AND(D7="retain",E7="statistical_results"),J7&lt;&gt;"",NOT(OR(EXACT(J7,"direct"),EXACT(J7,"possible"),EXACT(J7,"unlikely"),EXACT(J7,"unknown")))),AND(AND(D7="retain",OR(E7="report_internal_inconsistency",E7="plan_material")),NOT(OR(EXACT(K7,"substantive_inconsistency"),EXACT(K7,"minor_presentation"),EXACT(K7,"non_inconsistency"),EXACT(K7,"indeterminate")))),AND(AND(D7="retain",E7="protocol_report"),L7&lt;&gt;"",NOT(OR(EXACT(L7,"substantive_difference"),EXACT(L7,"minor_presentation"),EXACT(L7,"version_timing"),EXACT(L7,"non_inconsistency"),EXACT(L7,"indeterminate"))))),"CHECK FIELDS",IF(AND(F7&lt;&gt;"",NOT(OR(EXACT(F7,"no"),EXACT(F7,"primary_done")))),"CHECK COMPLETE",IF(EXACT(F7,"primary_done"),"PRIMARY READY","PRIMARY DRAFT")))))),"CHECK INPUT / KEY")</f>
        <v/>
      </c>
      <c r="H7" s="21" t="inlineStr">
        <is>
          <t>confirmed_issue</t>
        </is>
      </c>
      <c r="I7" s="21" t="inlineStr">
        <is>
          <t>substantive</t>
        </is>
      </c>
      <c r="J7" s="22" t="inlineStr">
        <is>
          <t>direct</t>
        </is>
      </c>
      <c r="K7" s="21">
        <f>IF(AND(OR(D7="retain",D7=""),OR(E7="report_internal_inconsistency",E7="plan_material")),"","not_applicable")</f>
        <v/>
      </c>
      <c r="L7" s="22">
        <f>IF(AND(OR(D7="retain",D7=""),E7="protocol_report"),"","not_applicable")</f>
        <v/>
      </c>
      <c r="M7" s="24" t="n"/>
      <c r="N7" s="23" t="n"/>
      <c r="O7" s="23" t="n"/>
      <c r="P7" s="23" t="n"/>
      <c r="Q7" s="23" t="n"/>
      <c r="R7" s="22"/>
    </row>
    <row r="8" ht="92" customHeight="1" s="25">
      <c r="A8" s="20" t="inlineStr">
        <is>
          <t>2025::jama.2025.20765::C007</t>
        </is>
      </c>
      <c r="B8" s="20" t="inlineStr">
        <is>
          <t>Planned tobacco-use-form adjustment has no reported primary counterpart</t>
        </is>
      </c>
      <c r="C8" s="20" t="inlineStr">
        <is>
          <t>jama_zahid_2025_oi_250093_1768590553.08463.pdf — DOC-001 — PDF p. 3, finite post hoc fixed-effect list; REPORT; jama_zahid_2025_oi_250093_1768590553.08463.pdf — DOC-001 — PDF p. 4, Primary Outcome adjusted analysis; REPORT; jama_zahid_2025_oi_250093_1768590553.08463.pdf — DOC-001 — PDF p. 6, Table2 notea; REPORT; joi250093supp1_prod_1768590553.08963.pdf — DOC-002 — PDF p. 92, lines2919–2926 fully adjusted models; PLAN; joi250093supp2_prod_1768590553.09463.pdf — DOC-003 — PDF p. 14, eTable9 notee; REPORT</t>
        </is>
      </c>
      <c r="D8" s="21" t="inlineStr">
        <is>
          <t>retain</t>
        </is>
      </c>
      <c r="E8" s="21" t="inlineStr">
        <is>
          <t>protocol_report</t>
        </is>
      </c>
      <c r="F8" s="21" t="inlineStr">
        <is>
          <t>primary_done</t>
        </is>
      </c>
      <c r="G8" s="20">
        <f>IFERROR(IF(LEN(TRIM(CLEAN(SUBSTITUTE(Setup!$B$2,CHAR(160)," "))))=0,"CHECK REVIEWER ID",IF(OR(A8="",COUNTIF($A$2:$A$20,A8)&lt;&gt;1,LEFT(A8,LEN("2025::jama.2025.20765::"))&lt;&gt;"2025::jama.2025.20765::"),"CHECK KEY",IF(OR(AND(NOT(AND(D8="retain",E8="statistical_results")),H8&lt;&gt;"",NOT(EXACT(H8,"not_applicable"))),AND(NOT(AND(D8="retain",E8="statistical_results")),I8&lt;&gt;"",NOT(EXACT(I8,"not_applicable"))),AND(NOT(AND(D8="retain",E8="statistical_results")),J8&lt;&gt;"",NOT(EXACT(J8,"not_applicable"))),AND(NOT(AND(D8="retain",OR(E8="report_internal_inconsistency",E8="plan_material"))),K8&lt;&gt;"",NOT(EXACT(K8,"not_applicable"))),AND(NOT(AND(D8="retain",E8="protocol_report")),L8&lt;&gt;"",NOT(EXACT(L8,"not_applicable")))),"CLEAR INACTIVE VALUES",IF(OR(NOT(OR(EXACT(D8,"retain"),EXACT(D8,"exclude"),EXACT(D8,"discuss"))),NOT(OR(EXACT(E8,"statistical_results"),EXACT(E8,"report_internal_inconsistency"),EXACT(E8,"plan_material"),EXACT(E8,"protocol_report"))),AND(AND(D8="retain",E8="statistical_results"),NOT(OR(EXACT(H8,"confirmed_issue"),EXACT(H8,"probable_issue"),EXACT(H8,"not_issue"),EXACT(H8,"indeterminate")))),AND(AND(D8="retain",E8="statistical_results"),NOT(OR(EXACT(I8,"substantive"),EXACT(I8,"minor_presentation"),EXACT(I8,"indeterminate")))),AND(AND(D8="retain",E8="statistical_results"),J8&lt;&gt;"",NOT(OR(EXACT(J8,"direct"),EXACT(J8,"possible"),EXACT(J8,"unlikely"),EXACT(J8,"unknown")))),AND(AND(D8="retain",OR(E8="report_internal_inconsistency",E8="plan_material")),NOT(OR(EXACT(K8,"substantive_inconsistency"),EXACT(K8,"minor_presentation"),EXACT(K8,"non_inconsistency"),EXACT(K8,"indeterminate")))),AND(AND(D8="retain",E8="protocol_report"),L8&lt;&gt;"",NOT(OR(EXACT(L8,"substantive_difference"),EXACT(L8,"minor_presentation"),EXACT(L8,"version_timing"),EXACT(L8,"non_inconsistency"),EXACT(L8,"indeterminate"))))),"CHECK FIELDS",IF(AND(F8&lt;&gt;"",NOT(OR(EXACT(F8,"no"),EXACT(F8,"primary_done")))),"CHECK COMPLETE",IF(EXACT(F8,"primary_done"),"PRIMARY READY","PRIMARY DRAFT")))))),"CHECK INPUT / KEY")</f>
        <v/>
      </c>
      <c r="H8" s="21">
        <f>IF(AND(OR(D8="retain",D8=""),E8="statistical_results"),"","not_applicable")</f>
        <v/>
      </c>
      <c r="I8" s="21">
        <f>IF(AND(OR(D8="retain",D8=""),E8="statistical_results"),"","not_applicable")</f>
        <v/>
      </c>
      <c r="J8" s="22">
        <f>IF(AND(OR(D8="retain",D8=""),E8="statistical_results"),"","not_applicable")</f>
        <v/>
      </c>
      <c r="K8" s="21">
        <f>IF(AND(OR(D8="retain",D8=""),OR(E8="report_internal_inconsistency",E8="plan_material")),"","not_applicable")</f>
        <v/>
      </c>
      <c r="L8" s="22" t="inlineStr">
        <is>
          <t>substantive_difference</t>
        </is>
      </c>
      <c r="M8" s="20" t="n"/>
      <c r="N8" s="23" t="n"/>
      <c r="O8" s="23" t="n"/>
      <c r="P8" s="23" t="n"/>
      <c r="Q8" s="23" t="n"/>
      <c r="R8" s="22"/>
    </row>
    <row r="9" ht="92" customHeight="1" s="25">
      <c r="A9" s="24" t="inlineStr">
        <is>
          <t>2025::jama.2025.20765::C008</t>
        </is>
      </c>
      <c r="B9" s="24" t="inlineStr">
        <is>
          <t>CO&lt;6 sensitivity results appear under a primary-outcome status label</t>
        </is>
      </c>
      <c r="C9" s="24" t="inlineStr">
        <is>
          <t>jama_zahid_2025_oi_250093_1768590553.08463.pdf — DOC-001 — PDF p. 3, primaryCO&lt;10 and posthocCO&lt;6 sensitivity; REPORT; jama_zahid_2025_oi_250093_1768590553.08463.pdf — DOC-001 — PDF p. 6, Table2 Primary outcome block, both CO&lt;6 ITT and PP rows; REPORT; joi250093supp1_prod_1768590553.08963.pdf — DOC-002 — PDF p. 84, lines2653–2669 primary endpoint; PLAN; joi250093supp2_prod_1768590553.09463.pdf — DOC-003 — PDF p. 13, eTable9 Primary outcomes CO&lt;6row; REPORT</t>
        </is>
      </c>
      <c r="D9" s="21" t="inlineStr">
        <is>
          <t>retain</t>
        </is>
      </c>
      <c r="E9" s="21" t="inlineStr">
        <is>
          <t>protocol_report</t>
        </is>
      </c>
      <c r="F9" s="21" t="inlineStr">
        <is>
          <t>primary_done</t>
        </is>
      </c>
      <c r="G9" s="24">
        <f>IFERROR(IF(LEN(TRIM(CLEAN(SUBSTITUTE(Setup!$B$2,CHAR(160)," "))))=0,"CHECK REVIEWER ID",IF(OR(A9="",COUNTIF($A$2:$A$20,A9)&lt;&gt;1,LEFT(A9,LEN("2025::jama.2025.20765::"))&lt;&gt;"2025::jama.2025.20765::"),"CHECK KEY",IF(OR(AND(NOT(AND(D9="retain",E9="statistical_results")),H9&lt;&gt;"",NOT(EXACT(H9,"not_applicable"))),AND(NOT(AND(D9="retain",E9="statistical_results")),I9&lt;&gt;"",NOT(EXACT(I9,"not_applicable"))),AND(NOT(AND(D9="retain",E9="statistical_results")),J9&lt;&gt;"",NOT(EXACT(J9,"not_applicable"))),AND(NOT(AND(D9="retain",OR(E9="report_internal_inconsistency",E9="plan_material"))),K9&lt;&gt;"",NOT(EXACT(K9,"not_applicable"))),AND(NOT(AND(D9="retain",E9="protocol_report")),L9&lt;&gt;"",NOT(EXACT(L9,"not_applicable")))),"CLEAR INACTIVE VALUES",IF(OR(NOT(OR(EXACT(D9,"retain"),EXACT(D9,"exclude"),EXACT(D9,"discuss"))),NOT(OR(EXACT(E9,"statistical_results"),EXACT(E9,"report_internal_inconsistency"),EXACT(E9,"plan_material"),EXACT(E9,"protocol_report"))),AND(AND(D9="retain",E9="statistical_results"),NOT(OR(EXACT(H9,"confirmed_issue"),EXACT(H9,"probable_issue"),EXACT(H9,"not_issue"),EXACT(H9,"indeterminate")))),AND(AND(D9="retain",E9="statistical_results"),NOT(OR(EXACT(I9,"substantive"),EXACT(I9,"minor_presentation"),EXACT(I9,"indeterminate")))),AND(AND(D9="retain",E9="statistical_results"),J9&lt;&gt;"",NOT(OR(EXACT(J9,"direct"),EXACT(J9,"possible"),EXACT(J9,"unlikely"),EXACT(J9,"unknown")))),AND(AND(D9="retain",OR(E9="report_internal_inconsistency",E9="plan_material")),NOT(OR(EXACT(K9,"substantive_inconsistency"),EXACT(K9,"minor_presentation"),EXACT(K9,"non_inconsistency"),EXACT(K9,"indeterminate")))),AND(AND(D9="retain",E9="protocol_report"),L9&lt;&gt;"",NOT(OR(EXACT(L9,"substantive_difference"),EXACT(L9,"minor_presentation"),EXACT(L9,"version_timing"),EXACT(L9,"non_inconsistency"),EXACT(L9,"indeterminate"))))),"CHECK FIELDS",IF(AND(F9&lt;&gt;"",NOT(OR(EXACT(F9,"no"),EXACT(F9,"primary_done")))),"CHECK COMPLETE",IF(EXACT(F9,"primary_done"),"PRIMARY READY","PRIMARY DRAFT")))))),"CHECK INPUT / KEY")</f>
        <v/>
      </c>
      <c r="H9" s="21">
        <f>IF(AND(OR(D9="retain",D9=""),E9="statistical_results"),"","not_applicable")</f>
        <v/>
      </c>
      <c r="I9" s="21">
        <f>IF(AND(OR(D9="retain",D9=""),E9="statistical_results"),"","not_applicable")</f>
        <v/>
      </c>
      <c r="J9" s="22">
        <f>IF(AND(OR(D9="retain",D9=""),E9="statistical_results"),"","not_applicable")</f>
        <v/>
      </c>
      <c r="K9" s="21">
        <f>IF(AND(OR(D9="retain",D9=""),OR(E9="report_internal_inconsistency",E9="plan_material")),"","not_applicable")</f>
        <v/>
      </c>
      <c r="L9" s="22" t="inlineStr">
        <is>
          <t>minor_presentation</t>
        </is>
      </c>
      <c r="M9" s="24" t="n"/>
      <c r="N9" s="23" t="n"/>
      <c r="O9" s="23" t="n"/>
      <c r="P9" s="23" t="n"/>
      <c r="Q9" s="23" t="n"/>
      <c r="R9" s="22"/>
    </row>
    <row r="10" ht="92" customHeight="1" s="25">
      <c r="A10" s="20" t="inlineStr">
        <is>
          <t>2025::jama.2025.20765::C009</t>
        </is>
      </c>
      <c r="B10" s="20" t="inlineStr">
        <is>
          <t>Primary missing-outcome handling differs between protocol and SAP/report</t>
        </is>
      </c>
      <c r="C10" s="20" t="inlineStr">
        <is>
          <t>jama_zahid_2025_oi_250093_1768590553.08463.pdf — DOC-001 — PDF p. 3, missing-primary-outcome paragraph; REPORT; jama_zahid_2025_oi_250093_1768590553.08463.pdf — DOC-001 — PDF p. 4, Figure1 attrition and analysis totals; REPORT; joi250093supp1_prod_1768590553.08963.pdf — DOC-002 — PDF p. 28, lines759–764 separately headed Statistical analysis; PLAN; joi250093supp1_prod_1768590553.08963.pdf — DOC-002 — PDF p. 66, lines2012–2016 separately headed Statistical analysis; PLAN; joi250093supp1_prod_1768590553.08963.pdf — DOC-002 — PDF p. 91, lines2890–2892 ITT and Russell Standard; PLAN</t>
        </is>
      </c>
      <c r="D10" s="21" t="inlineStr">
        <is>
          <t>retain</t>
        </is>
      </c>
      <c r="E10" s="21" t="inlineStr">
        <is>
          <t>protocol_report</t>
        </is>
      </c>
      <c r="F10" s="21" t="inlineStr">
        <is>
          <t>primary_done</t>
        </is>
      </c>
      <c r="G10" s="20">
        <f>IFERROR(IF(LEN(TRIM(CLEAN(SUBSTITUTE(Setup!$B$2,CHAR(160)," "))))=0,"CHECK REVIEWER ID",IF(OR(A10="",COUNTIF($A$2:$A$20,A10)&lt;&gt;1,LEFT(A10,LEN("2025::jama.2025.20765::"))&lt;&gt;"2025::jama.2025.20765::"),"CHECK KEY",IF(OR(AND(NOT(AND(D10="retain",E10="statistical_results")),H10&lt;&gt;"",NOT(EXACT(H10,"not_applicable"))),AND(NOT(AND(D10="retain",E10="statistical_results")),I10&lt;&gt;"",NOT(EXACT(I10,"not_applicable"))),AND(NOT(AND(D10="retain",E10="statistical_results")),J10&lt;&gt;"",NOT(EXACT(J10,"not_applicable"))),AND(NOT(AND(D10="retain",OR(E10="report_internal_inconsistency",E10="plan_material"))),K10&lt;&gt;"",NOT(EXACT(K10,"not_applicable"))),AND(NOT(AND(D10="retain",E10="protocol_report")),L10&lt;&gt;"",NOT(EXACT(L10,"not_applicable")))),"CLEAR INACTIVE VALUES",IF(OR(NOT(OR(EXACT(D10,"retain"),EXACT(D10,"exclude"),EXACT(D10,"discuss"))),NOT(OR(EXACT(E10,"statistical_results"),EXACT(E10,"report_internal_inconsistency"),EXACT(E10,"plan_material"),EXACT(E10,"protocol_report"))),AND(AND(D10="retain",E10="statistical_results"),NOT(OR(EXACT(H10,"confirmed_issue"),EXACT(H10,"probable_issue"),EXACT(H10,"not_issue"),EXACT(H10,"indeterminate")))),AND(AND(D10="retain",E10="statistical_results"),NOT(OR(EXACT(I10,"substantive"),EXACT(I10,"minor_presentation"),EXACT(I10,"indeterminate")))),AND(AND(D10="retain",E10="statistical_results"),J10&lt;&gt;"",NOT(OR(EXACT(J10,"direct"),EXACT(J10,"possible"),EXACT(J10,"unlikely"),EXACT(J10,"unknown")))),AND(AND(D10="retain",OR(E10="report_internal_inconsistency",E10="plan_material")),NOT(OR(EXACT(K10,"substantive_inconsistency"),EXACT(K10,"minor_presentation"),EXACT(K10,"non_inconsistency"),EXACT(K10,"indeterminate")))),AND(AND(D10="retain",E10="protocol_report"),L10&lt;&gt;"",NOT(OR(EXACT(L10,"substantive_difference"),EXACT(L10,"minor_presentation"),EXACT(L10,"version_timing"),EXACT(L10,"non_inconsistency"),EXACT(L10,"indeterminate"))))),"CHECK FIELDS",IF(AND(F10&lt;&gt;"",NOT(OR(EXACT(F10,"no"),EXACT(F10,"primary_done")))),"CHECK COMPLETE",IF(EXACT(F10,"primary_done"),"PRIMARY READY","PRIMARY DRAFT")))))),"CHECK INPUT / KEY")</f>
        <v/>
      </c>
      <c r="H10" s="21">
        <f>IF(AND(OR(D10="retain",D10=""),E10="statistical_results"),"","not_applicable")</f>
        <v/>
      </c>
      <c r="I10" s="21">
        <f>IF(AND(OR(D10="retain",D10=""),E10="statistical_results"),"","not_applicable")</f>
        <v/>
      </c>
      <c r="J10" s="22">
        <f>IF(AND(OR(D10="retain",D10=""),E10="statistical_results"),"","not_applicable")</f>
        <v/>
      </c>
      <c r="K10" s="21">
        <f>IF(AND(OR(D10="retain",D10=""),OR(E10="report_internal_inconsistency",E10="plan_material")),"","not_applicable")</f>
        <v/>
      </c>
      <c r="L10" s="22" t="inlineStr">
        <is>
          <t>substantive_difference</t>
        </is>
      </c>
      <c r="M10" s="20" t="n"/>
      <c r="N10" s="23" t="n"/>
      <c r="O10" s="23" t="n"/>
      <c r="P10" s="23" t="n"/>
      <c r="Q10" s="23" t="n"/>
      <c r="R10" s="22"/>
    </row>
    <row r="11" ht="92" customHeight="1" s="25">
      <c r="A11" s="24" t="inlineStr">
        <is>
          <t>2025::jama.2025.20765::C010</t>
        </is>
      </c>
      <c r="B11" s="24" t="inlineStr">
        <is>
          <t>Prespecified gender-specific primary analyses are not reported</t>
        </is>
      </c>
      <c r="C11" s="24" t="inlineStr">
        <is>
          <t>jama_zahid_2025_oi_250093_1768590553.08463.pdf — DOC-001 — PDF p. 3, prespecified subgroup list; REPORT; jama_zahid_2025_oi_250093_1768590553.08463.pdf — DOC-001 — PDF p. 5, subgroup consistency narrative; REPORT; joi250093supp1_prod_1768590553.08963.pdf — DOC-002 — PDF p. 92, lines2936–2939 subgroup analysis introduction; PLAN; joi250093supp1_prod_1768590553.08963.pdf — DOC-002 — PDF p. 93, lines2940–2952, gender and interval disclosure; PLAN; joi250093supp1_prod_1768590553.08963.pdf — DOC-002 — PDF p. 99, Gender Male/Female table shell; PLAN; joi250093supp2_prod_1768590553.09463.pdf — DOC-003 — PDF p. 12, complete eTable8; REPORT</t>
        </is>
      </c>
      <c r="D11" s="21" t="inlineStr">
        <is>
          <t>retain</t>
        </is>
      </c>
      <c r="E11" s="21" t="inlineStr">
        <is>
          <t>protocol_report</t>
        </is>
      </c>
      <c r="F11" s="21" t="inlineStr">
        <is>
          <t>primary_done</t>
        </is>
      </c>
      <c r="G11" s="24">
        <f>IFERROR(IF(LEN(TRIM(CLEAN(SUBSTITUTE(Setup!$B$2,CHAR(160)," "))))=0,"CHECK REVIEWER ID",IF(OR(A11="",COUNTIF($A$2:$A$20,A11)&lt;&gt;1,LEFT(A11,LEN("2025::jama.2025.20765::"))&lt;&gt;"2025::jama.2025.20765::"),"CHECK KEY",IF(OR(AND(NOT(AND(D11="retain",E11="statistical_results")),H11&lt;&gt;"",NOT(EXACT(H11,"not_applicable"))),AND(NOT(AND(D11="retain",E11="statistical_results")),I11&lt;&gt;"",NOT(EXACT(I11,"not_applicable"))),AND(NOT(AND(D11="retain",E11="statistical_results")),J11&lt;&gt;"",NOT(EXACT(J11,"not_applicable"))),AND(NOT(AND(D11="retain",OR(E11="report_internal_inconsistency",E11="plan_material"))),K11&lt;&gt;"",NOT(EXACT(K11,"not_applicable"))),AND(NOT(AND(D11="retain",E11="protocol_report")),L11&lt;&gt;"",NOT(EXACT(L11,"not_applicable")))),"CLEAR INACTIVE VALUES",IF(OR(NOT(OR(EXACT(D11,"retain"),EXACT(D11,"exclude"),EXACT(D11,"discuss"))),NOT(OR(EXACT(E11,"statistical_results"),EXACT(E11,"report_internal_inconsistency"),EXACT(E11,"plan_material"),EXACT(E11,"protocol_report"))),AND(AND(D11="retain",E11="statistical_results"),NOT(OR(EXACT(H11,"confirmed_issue"),EXACT(H11,"probable_issue"),EXACT(H11,"not_issue"),EXACT(H11,"indeterminate")))),AND(AND(D11="retain",E11="statistical_results"),NOT(OR(EXACT(I11,"substantive"),EXACT(I11,"minor_presentation"),EXACT(I11,"indeterminate")))),AND(AND(D11="retain",E11="statistical_results"),J11&lt;&gt;"",NOT(OR(EXACT(J11,"direct"),EXACT(J11,"possible"),EXACT(J11,"unlikely"),EXACT(J11,"unknown")))),AND(AND(D11="retain",OR(E11="report_internal_inconsistency",E11="plan_material")),NOT(OR(EXACT(K11,"substantive_inconsistency"),EXACT(K11,"minor_presentation"),EXACT(K11,"non_inconsistency"),EXACT(K11,"indeterminate")))),AND(AND(D11="retain",E11="protocol_report"),L11&lt;&gt;"",NOT(OR(EXACT(L11,"substantive_difference"),EXACT(L11,"minor_presentation"),EXACT(L11,"version_timing"),EXACT(L11,"non_inconsistency"),EXACT(L11,"indeterminate"))))),"CHECK FIELDS",IF(AND(F11&lt;&gt;"",NOT(OR(EXACT(F11,"no"),EXACT(F11,"primary_done")))),"CHECK COMPLETE",IF(EXACT(F11,"primary_done"),"PRIMARY READY","PRIMARY DRAFT")))))),"CHECK INPUT / KEY")</f>
        <v/>
      </c>
      <c r="H11" s="21">
        <f>IF(AND(OR(D11="retain",D11=""),E11="statistical_results"),"","not_applicable")</f>
        <v/>
      </c>
      <c r="I11" s="21">
        <f>IF(AND(OR(D11="retain",D11=""),E11="statistical_results"),"","not_applicable")</f>
        <v/>
      </c>
      <c r="J11" s="22">
        <f>IF(AND(OR(D11="retain",D11=""),E11="statistical_results"),"","not_applicable")</f>
        <v/>
      </c>
      <c r="K11" s="21">
        <f>IF(AND(OR(D11="retain",D11=""),OR(E11="report_internal_inconsistency",E11="plan_material")),"","not_applicable")</f>
        <v/>
      </c>
      <c r="L11" s="22" t="inlineStr">
        <is>
          <t>substantive_difference</t>
        </is>
      </c>
      <c r="M11" s="24" t="n"/>
      <c r="N11" s="23" t="n"/>
      <c r="O11" s="23" t="n"/>
      <c r="P11" s="23" t="n"/>
      <c r="Q11" s="23" t="n"/>
      <c r="R11" s="22"/>
    </row>
    <row r="12" ht="92" customHeight="1" s="25">
      <c r="A12" s="20" t="inlineStr">
        <is>
          <t>2025::jama.2025.20765::C011</t>
        </is>
      </c>
      <c r="B12" s="20" t="inlineStr">
        <is>
          <t>Current primary-data attrition assumptions differ</t>
        </is>
      </c>
      <c r="C12" s="20" t="inlineStr">
        <is>
          <t>jama_zahid_2025_oi_250093_1768590553.08463.pdf — DOC-001 — PDF p. 3, sample-size20%attrition; REPORT; joi250093supp1_prod_1768590553.08963.pdf — DOC-002 — PDF p. 48, lines1344–1347 primary-data10%; PLAN; joi250093supp1_prod_1768590553.08963.pdf — DOC-002 — PDF p. 62, lines1861–1863 primary-data10%; PLAN; joi250093supp1_prod_1768590553.08963.pdf — DOC-002 — PDF p. 63, lines1894–1898 Phase3 20%calculation; PLAN; joi250093supp1_prod_1768590553.08963.pdf — DOC-002 — PDF p. 64, lines1936–1938 Phase4 contextual20%calculation; PLAN; joi250093supp1_prod_1768590553.08963.pdf — DOC-002 — PDF p. 77, sample-sizeamendment; PLAN; joi250093supp1_prod_1768590553.08963.pdf — DOC-002 — PDF p. 83, lines2624–2638 SAP20%; PLAN</t>
        </is>
      </c>
      <c r="D12" s="21" t="inlineStr">
        <is>
          <t>retain</t>
        </is>
      </c>
      <c r="E12" s="21" t="inlineStr">
        <is>
          <t>plan_material</t>
        </is>
      </c>
      <c r="F12" s="21" t="inlineStr">
        <is>
          <t>primary_done</t>
        </is>
      </c>
      <c r="G12" s="20">
        <f>IFERROR(IF(LEN(TRIM(CLEAN(SUBSTITUTE(Setup!$B$2,CHAR(160)," "))))=0,"CHECK REVIEWER ID",IF(OR(A12="",COUNTIF($A$2:$A$20,A12)&lt;&gt;1,LEFT(A12,LEN("2025::jama.2025.20765::"))&lt;&gt;"2025::jama.2025.20765::"),"CHECK KEY",IF(OR(AND(NOT(AND(D12="retain",E12="statistical_results")),H12&lt;&gt;"",NOT(EXACT(H12,"not_applicable"))),AND(NOT(AND(D12="retain",E12="statistical_results")),I12&lt;&gt;"",NOT(EXACT(I12,"not_applicable"))),AND(NOT(AND(D12="retain",E12="statistical_results")),J12&lt;&gt;"",NOT(EXACT(J12,"not_applicable"))),AND(NOT(AND(D12="retain",OR(E12="report_internal_inconsistency",E12="plan_material"))),K12&lt;&gt;"",NOT(EXACT(K12,"not_applicable"))),AND(NOT(AND(D12="retain",E12="protocol_report")),L12&lt;&gt;"",NOT(EXACT(L12,"not_applicable")))),"CLEAR INACTIVE VALUES",IF(OR(NOT(OR(EXACT(D12,"retain"),EXACT(D12,"exclude"),EXACT(D12,"discuss"))),NOT(OR(EXACT(E12,"statistical_results"),EXACT(E12,"report_internal_inconsistency"),EXACT(E12,"plan_material"),EXACT(E12,"protocol_report"))),AND(AND(D12="retain",E12="statistical_results"),NOT(OR(EXACT(H12,"confirmed_issue"),EXACT(H12,"probable_issue"),EXACT(H12,"not_issue"),EXACT(H12,"indeterminate")))),AND(AND(D12="retain",E12="statistical_results"),NOT(OR(EXACT(I12,"substantive"),EXACT(I12,"minor_presentation"),EXACT(I12,"indeterminate")))),AND(AND(D12="retain",E12="statistical_results"),J12&lt;&gt;"",NOT(OR(EXACT(J12,"direct"),EXACT(J12,"possible"),EXACT(J12,"unlikely"),EXACT(J12,"unknown")))),AND(AND(D12="retain",OR(E12="report_internal_inconsistency",E12="plan_material")),NOT(OR(EXACT(K12,"substantive_inconsistency"),EXACT(K12,"minor_presentation"),EXACT(K12,"non_inconsistency"),EXACT(K12,"indeterminate")))),AND(AND(D12="retain",E12="protocol_report"),L12&lt;&gt;"",NOT(OR(EXACT(L12,"substantive_difference"),EXACT(L12,"minor_presentation"),EXACT(L12,"version_timing"),EXACT(L12,"non_inconsistency"),EXACT(L12,"indeterminate"))))),"CHECK FIELDS",IF(AND(F12&lt;&gt;"",NOT(OR(EXACT(F12,"no"),EXACT(F12,"primary_done")))),"CHECK COMPLETE",IF(EXACT(F12,"primary_done"),"PRIMARY READY","PRIMARY DRAFT")))))),"CHECK INPUT / KEY")</f>
        <v/>
      </c>
      <c r="H12" s="21">
        <f>IF(AND(OR(D12="retain",D12=""),E12="statistical_results"),"","not_applicable")</f>
        <v/>
      </c>
      <c r="I12" s="21">
        <f>IF(AND(OR(D12="retain",D12=""),E12="statistical_results"),"","not_applicable")</f>
        <v/>
      </c>
      <c r="J12" s="22">
        <f>IF(AND(OR(D12="retain",D12=""),E12="statistical_results"),"","not_applicable")</f>
        <v/>
      </c>
      <c r="K12" s="21" t="inlineStr">
        <is>
          <t>minor_presentation</t>
        </is>
      </c>
      <c r="L12" s="22">
        <f>IF(AND(OR(D12="retain",D12=""),E12="protocol_report"),"","not_applicable")</f>
        <v/>
      </c>
      <c r="M12" s="20" t="n"/>
      <c r="N12" s="23" t="n"/>
      <c r="O12" s="23" t="n"/>
      <c r="P12" s="23" t="n"/>
      <c r="Q12" s="23" t="n"/>
      <c r="R12" s="22"/>
    </row>
    <row r="13" ht="92" customHeight="1" s="25">
      <c r="A13" s="24" t="inlineStr">
        <is>
          <t>2025::jama.2025.20765::C012</t>
        </is>
      </c>
      <c r="B13" s="24" t="inlineStr">
        <is>
          <t>All-cause mortality percentage is attributed to TB-specific mortality</t>
        </is>
      </c>
      <c r="C13" s="24" t="inlineStr">
        <is>
          <t>jama_zahid_2025_oi_250093_1768590553.08463.pdf — DOC-001 — PDF p. 1, 1080randomized,corroboratingdenominator; REPORT; jama_zahid_2025_oi_250093_1768590553.08463.pdf — DOC-001 — PDF p. 4, Figure1 death25/27 and1080enrolled; REPORT; jama_zahid_2025_oi_250093_1768590553.08463.pdf — DOC-001 — PDF p. 5, TBcause32/52; REPORT; jama_zahid_2025_oi_250093_1768590553.08463.pdf — DOC-001 — PDF p. 6, Table2 deaths25/720and27/360; REPORT; jama_zahid_2025_oi_250093_1768590553.08463.pdf — DOC-001 — PDF p. 8, discussion4.8%diedofTB; REPORT; joi250093supp2_prod_1768590553.09463.pdf — DOC-003 — PDF p. 6, eTable4 total52 andTB32; REPORT</t>
        </is>
      </c>
      <c r="D13" s="21" t="inlineStr">
        <is>
          <t>retain</t>
        </is>
      </c>
      <c r="E13" s="21" t="inlineStr">
        <is>
          <t>report_internal_inconsistency</t>
        </is>
      </c>
      <c r="F13" s="21" t="inlineStr">
        <is>
          <t>primary_done</t>
        </is>
      </c>
      <c r="G13" s="24">
        <f>IFERROR(IF(LEN(TRIM(CLEAN(SUBSTITUTE(Setup!$B$2,CHAR(160)," "))))=0,"CHECK REVIEWER ID",IF(OR(A13="",COUNTIF($A$2:$A$20,A13)&lt;&gt;1,LEFT(A13,LEN("2025::jama.2025.20765::"))&lt;&gt;"2025::jama.2025.20765::"),"CHECK KEY",IF(OR(AND(NOT(AND(D13="retain",E13="statistical_results")),H13&lt;&gt;"",NOT(EXACT(H13,"not_applicable"))),AND(NOT(AND(D13="retain",E13="statistical_results")),I13&lt;&gt;"",NOT(EXACT(I13,"not_applicable"))),AND(NOT(AND(D13="retain",E13="statistical_results")),J13&lt;&gt;"",NOT(EXACT(J13,"not_applicable"))),AND(NOT(AND(D13="retain",OR(E13="report_internal_inconsistency",E13="plan_material"))),K13&lt;&gt;"",NOT(EXACT(K13,"not_applicable"))),AND(NOT(AND(D13="retain",E13="protocol_report")),L13&lt;&gt;"",NOT(EXACT(L13,"not_applicable")))),"CLEAR INACTIVE VALUES",IF(OR(NOT(OR(EXACT(D13,"retain"),EXACT(D13,"exclude"),EXACT(D13,"discuss"))),NOT(OR(EXACT(E13,"statistical_results"),EXACT(E13,"report_internal_inconsistency"),EXACT(E13,"plan_material"),EXACT(E13,"protocol_report"))),AND(AND(D13="retain",E13="statistical_results"),NOT(OR(EXACT(H13,"confirmed_issue"),EXACT(H13,"probable_issue"),EXACT(H13,"not_issue"),EXACT(H13,"indeterminate")))),AND(AND(D13="retain",E13="statistical_results"),NOT(OR(EXACT(I13,"substantive"),EXACT(I13,"minor_presentation"),EXACT(I13,"indeterminate")))),AND(AND(D13="retain",E13="statistical_results"),J13&lt;&gt;"",NOT(OR(EXACT(J13,"direct"),EXACT(J13,"possible"),EXACT(J13,"unlikely"),EXACT(J13,"unknown")))),AND(AND(D13="retain",OR(E13="report_internal_inconsistency",E13="plan_material")),NOT(OR(EXACT(K13,"substantive_inconsistency"),EXACT(K13,"minor_presentation"),EXACT(K13,"non_inconsistency"),EXACT(K13,"indeterminate")))),AND(AND(D13="retain",E13="protocol_report"),L13&lt;&gt;"",NOT(OR(EXACT(L13,"substantive_difference"),EXACT(L13,"minor_presentation"),EXACT(L13,"version_timing"),EXACT(L13,"non_inconsistency"),EXACT(L13,"indeterminate"))))),"CHECK FIELDS",IF(AND(F13&lt;&gt;"",NOT(OR(EXACT(F13,"no"),EXACT(F13,"primary_done")))),"CHECK COMPLETE",IF(EXACT(F13,"primary_done"),"PRIMARY READY","PRIMARY DRAFT")))))),"CHECK INPUT / KEY")</f>
        <v/>
      </c>
      <c r="H13" s="21">
        <f>IF(AND(OR(D13="retain",D13=""),E13="statistical_results"),"","not_applicable")</f>
        <v/>
      </c>
      <c r="I13" s="21">
        <f>IF(AND(OR(D13="retain",D13=""),E13="statistical_results"),"","not_applicable")</f>
        <v/>
      </c>
      <c r="J13" s="22">
        <f>IF(AND(OR(D13="retain",D13=""),E13="statistical_results"),"","not_applicable")</f>
        <v/>
      </c>
      <c r="K13" s="21" t="inlineStr">
        <is>
          <t>substantive_inconsistency</t>
        </is>
      </c>
      <c r="L13" s="22">
        <f>IF(AND(OR(D13="retain",D13=""),E13="protocol_report"),"","not_applicable")</f>
        <v/>
      </c>
      <c r="M13" s="24" t="n"/>
      <c r="N13" s="23" t="n"/>
      <c r="O13" s="23" t="n"/>
      <c r="P13" s="23" t="n"/>
      <c r="Q13" s="23" t="n"/>
      <c r="R13" s="22"/>
    </row>
    <row r="14" ht="92" customHeight="1" s="25">
      <c r="A14" s="20" t="inlineStr">
        <is>
          <t>2025::jama.2025.20765::C013</t>
        </is>
      </c>
      <c r="B14" s="20" t="inlineStr">
        <is>
          <t>Adverse-event narrative reverses two any-symptom arm directions</t>
        </is>
      </c>
      <c r="C14" s="20" t="inlineStr">
        <is>
          <t>jama_zahid_2025_oi_250093_1768590553.08463.pdf — DOC-001 — PDF p. 5, Adverse Events ordered percentages and summarysentence; REPORT; joi250093supp2_prod_1768590553.09463.pdf — DOC-003 — PDF p. 15, eTable10 irritability/anxiety severity rows; REPORT</t>
        </is>
      </c>
      <c r="D14" s="21" t="inlineStr">
        <is>
          <t>retain</t>
        </is>
      </c>
      <c r="E14" s="21" t="inlineStr">
        <is>
          <t>statistical_results</t>
        </is>
      </c>
      <c r="F14" s="21" t="inlineStr">
        <is>
          <t>primary_done</t>
        </is>
      </c>
      <c r="G14" s="20">
        <f>IFERROR(IF(LEN(TRIM(CLEAN(SUBSTITUTE(Setup!$B$2,CHAR(160)," "))))=0,"CHECK REVIEWER ID",IF(OR(A14="",COUNTIF($A$2:$A$20,A14)&lt;&gt;1,LEFT(A14,LEN("2025::jama.2025.20765::"))&lt;&gt;"2025::jama.2025.20765::"),"CHECK KEY",IF(OR(AND(NOT(AND(D14="retain",E14="statistical_results")),H14&lt;&gt;"",NOT(EXACT(H14,"not_applicable"))),AND(NOT(AND(D14="retain",E14="statistical_results")),I14&lt;&gt;"",NOT(EXACT(I14,"not_applicable"))),AND(NOT(AND(D14="retain",E14="statistical_results")),J14&lt;&gt;"",NOT(EXACT(J14,"not_applicable"))),AND(NOT(AND(D14="retain",OR(E14="report_internal_inconsistency",E14="plan_material"))),K14&lt;&gt;"",NOT(EXACT(K14,"not_applicable"))),AND(NOT(AND(D14="retain",E14="protocol_report")),L14&lt;&gt;"",NOT(EXACT(L14,"not_applicable")))),"CLEAR INACTIVE VALUES",IF(OR(NOT(OR(EXACT(D14,"retain"),EXACT(D14,"exclude"),EXACT(D14,"discuss"))),NOT(OR(EXACT(E14,"statistical_results"),EXACT(E14,"report_internal_inconsistency"),EXACT(E14,"plan_material"),EXACT(E14,"protocol_report"))),AND(AND(D14="retain",E14="statistical_results"),NOT(OR(EXACT(H14,"confirmed_issue"),EXACT(H14,"probable_issue"),EXACT(H14,"not_issue"),EXACT(H14,"indeterminate")))),AND(AND(D14="retain",E14="statistical_results"),NOT(OR(EXACT(I14,"substantive"),EXACT(I14,"minor_presentation"),EXACT(I14,"indeterminate")))),AND(AND(D14="retain",E14="statistical_results"),J14&lt;&gt;"",NOT(OR(EXACT(J14,"direct"),EXACT(J14,"possible"),EXACT(J14,"unlikely"),EXACT(J14,"unknown")))),AND(AND(D14="retain",OR(E14="report_internal_inconsistency",E14="plan_material")),NOT(OR(EXACT(K14,"substantive_inconsistency"),EXACT(K14,"minor_presentation"),EXACT(K14,"non_inconsistency"),EXACT(K14,"indeterminate")))),AND(AND(D14="retain",E14="protocol_report"),L14&lt;&gt;"",NOT(OR(EXACT(L14,"substantive_difference"),EXACT(L14,"minor_presentation"),EXACT(L14,"version_timing"),EXACT(L14,"non_inconsistency"),EXACT(L14,"indeterminate"))))),"CHECK FIELDS",IF(AND(F14&lt;&gt;"",NOT(OR(EXACT(F14,"no"),EXACT(F14,"primary_done")))),"CHECK COMPLETE",IF(EXACT(F14,"primary_done"),"PRIMARY READY","PRIMARY DRAFT")))))),"CHECK INPUT / KEY")</f>
        <v/>
      </c>
      <c r="H14" s="21" t="inlineStr">
        <is>
          <t>confirmed_issue</t>
        </is>
      </c>
      <c r="I14" s="21" t="inlineStr">
        <is>
          <t>minor_presentation</t>
        </is>
      </c>
      <c r="J14" s="22" t="inlineStr">
        <is>
          <t>unlikely</t>
        </is>
      </c>
      <c r="K14" s="21">
        <f>IF(AND(OR(D14="retain",D14=""),OR(E14="report_internal_inconsistency",E14="plan_material")),"","not_applicable")</f>
        <v/>
      </c>
      <c r="L14" s="22">
        <f>IF(AND(OR(D14="retain",D14=""),E14="protocol_report"),"","not_applicable")</f>
        <v/>
      </c>
      <c r="M14" s="20" t="n"/>
      <c r="N14" s="23" t="n"/>
      <c r="O14" s="23" t="n"/>
      <c r="P14" s="23" t="n"/>
      <c r="Q14" s="23" t="n"/>
      <c r="R14" s="22"/>
    </row>
    <row r="15" ht="92" customHeight="1" s="25">
      <c r="A15" s="24" t="inlineStr">
        <is>
          <t>2025::jama.2025.20765::C014</t>
        </is>
      </c>
      <c r="B15" s="24" t="inlineStr">
        <is>
          <t>Fourteen interval rows do not reproduce a rule fitting other display rows</t>
        </is>
      </c>
      <c r="C15" s="24" t="inlineStr">
        <is>
          <t>jama_zahid_2025_oi_250093_1768590553.08463.pdf — DOC-001 — PDF p. 6, Table2CO10PPadjusted,CO6PPcrude/adjusted,self-reportadjusted; REPORT; joi250093supp2_prod_1768590553.09463.pdf — DOC-003 — PDF p. 12, eTable8All,age≥40,primary,secondary,active,dependent,smoking&lt;24,readingNo; REPORT; joi250093supp2_prod_1768590553.09463.pdf — DOC-003 — PDF p. 13, eTable9CO10crude/adjusted; REPORT; joi250093supp2_prod_1768590553.09463.pdf — DOC-003 — PDF p. 14, population/adjustmentnotes; REPORT</t>
        </is>
      </c>
      <c r="D15" s="21" t="inlineStr">
        <is>
          <t>retain</t>
        </is>
      </c>
      <c r="E15" s="21" t="inlineStr">
        <is>
          <t>statistical_results</t>
        </is>
      </c>
      <c r="F15" s="21" t="inlineStr">
        <is>
          <t>primary_done</t>
        </is>
      </c>
      <c r="G15" s="24">
        <f>IFERROR(IF(LEN(TRIM(CLEAN(SUBSTITUTE(Setup!$B$2,CHAR(160)," "))))=0,"CHECK REVIEWER ID",IF(OR(A15="",COUNTIF($A$2:$A$20,A15)&lt;&gt;1,LEFT(A15,LEN("2025::jama.2025.20765::"))&lt;&gt;"2025::jama.2025.20765::"),"CHECK KEY",IF(OR(AND(NOT(AND(D15="retain",E15="statistical_results")),H15&lt;&gt;"",NOT(EXACT(H15,"not_applicable"))),AND(NOT(AND(D15="retain",E15="statistical_results")),I15&lt;&gt;"",NOT(EXACT(I15,"not_applicable"))),AND(NOT(AND(D15="retain",E15="statistical_results")),J15&lt;&gt;"",NOT(EXACT(J15,"not_applicable"))),AND(NOT(AND(D15="retain",OR(E15="report_internal_inconsistency",E15="plan_material"))),K15&lt;&gt;"",NOT(EXACT(K15,"not_applicable"))),AND(NOT(AND(D15="retain",E15="protocol_report")),L15&lt;&gt;"",NOT(EXACT(L15,"not_applicable")))),"CLEAR INACTIVE VALUES",IF(OR(NOT(OR(EXACT(D15,"retain"),EXACT(D15,"exclude"),EXACT(D15,"discuss"))),NOT(OR(EXACT(E15,"statistical_results"),EXACT(E15,"report_internal_inconsistency"),EXACT(E15,"plan_material"),EXACT(E15,"protocol_report"))),AND(AND(D15="retain",E15="statistical_results"),NOT(OR(EXACT(H15,"confirmed_issue"),EXACT(H15,"probable_issue"),EXACT(H15,"not_issue"),EXACT(H15,"indeterminate")))),AND(AND(D15="retain",E15="statistical_results"),NOT(OR(EXACT(I15,"substantive"),EXACT(I15,"minor_presentation"),EXACT(I15,"indeterminate")))),AND(AND(D15="retain",E15="statistical_results"),J15&lt;&gt;"",NOT(OR(EXACT(J15,"direct"),EXACT(J15,"possible"),EXACT(J15,"unlikely"),EXACT(J15,"unknown")))),AND(AND(D15="retain",OR(E15="report_internal_inconsistency",E15="plan_material")),NOT(OR(EXACT(K15,"substantive_inconsistency"),EXACT(K15,"minor_presentation"),EXACT(K15,"non_inconsistency"),EXACT(K15,"indeterminate")))),AND(AND(D15="retain",E15="protocol_report"),L15&lt;&gt;"",NOT(OR(EXACT(L15,"substantive_difference"),EXACT(L15,"minor_presentation"),EXACT(L15,"version_timing"),EXACT(L15,"non_inconsistency"),EXACT(L15,"indeterminate"))))),"CHECK FIELDS",IF(AND(F15&lt;&gt;"",NOT(OR(EXACT(F15,"no"),EXACT(F15,"primary_done")))),"CHECK COMPLETE",IF(EXACT(F15,"primary_done"),"PRIMARY READY","PRIMARY DRAFT")))))),"CHECK INPUT / KEY")</f>
        <v/>
      </c>
      <c r="H15" s="21" t="inlineStr">
        <is>
          <t>confirmed_issue</t>
        </is>
      </c>
      <c r="I15" s="21" t="inlineStr">
        <is>
          <t>minor_presentation</t>
        </is>
      </c>
      <c r="J15" s="22" t="inlineStr">
        <is>
          <t>unlikely</t>
        </is>
      </c>
      <c r="K15" s="21">
        <f>IF(AND(OR(D15="retain",D15=""),OR(E15="report_internal_inconsistency",E15="plan_material")),"","not_applicable")</f>
        <v/>
      </c>
      <c r="L15" s="22">
        <f>IF(AND(OR(D15="retain",D15=""),E15="protocol_report"),"","not_applicable")</f>
        <v/>
      </c>
      <c r="M15" s="24" t="n"/>
      <c r="N15" s="23" t="n"/>
      <c r="O15" s="23" t="n"/>
      <c r="P15" s="23" t="n"/>
      <c r="Q15" s="23" t="n"/>
      <c r="R15" s="22"/>
    </row>
    <row r="16" ht="92" customHeight="1" s="25">
      <c r="A16" s="20" t="inlineStr">
        <is>
          <t>2025::jama.2025.20765::C015</t>
        </is>
      </c>
      <c r="B16" s="20" t="inlineStr">
        <is>
          <t>Latest protocol and SAP prescribe different failure windows</t>
        </is>
      </c>
      <c r="C16" s="20" t="inlineStr">
        <is>
          <t>joi250093supp1_prod_1768590553.08963.pdf — DOC-002 — PDF p. 9, lines179–180 month-5 definition, explicitly headed V6.0; PLAN; joi250093supp1_prod_1768590553.08963.pdf — DOC-002 — PDF p. 47, lines1319–1320month6definition; PLAN; joi250093supp1_prod_1768590553.08963.pdf — DOC-002 — PDF p. 77, lines2413–2415 explicit5→6amendment; PLAN; joi250093supp1_prod_1768590553.08963.pdf — DOC-002 — PDF p. 85, lines2685–2686SAPmonth5; PLAN; jama_zahid_2025_oi_250093_1768590553.08463.pdf — DOC-001 — PDF p. 1, key-secondaryfailureproportions; REPORT; jama_zahid_2025_oi_250093_1768590553.08463.pdf — DOC-001 — PDF p. 3, outcomedetailpointer; REPORT; jama_zahid_2025_oi_250093_1768590553.08463.pdf — DOC-001 — PDF p. 6, Table2failure1/720versus2/360; REPORT</t>
        </is>
      </c>
      <c r="D16" s="21" t="inlineStr">
        <is>
          <t>retain</t>
        </is>
      </c>
      <c r="E16" s="21" t="inlineStr">
        <is>
          <t>plan_material</t>
        </is>
      </c>
      <c r="F16" s="21" t="inlineStr">
        <is>
          <t>primary_done</t>
        </is>
      </c>
      <c r="G16" s="20">
        <f>IFERROR(IF(LEN(TRIM(CLEAN(SUBSTITUTE(Setup!$B$2,CHAR(160)," "))))=0,"CHECK REVIEWER ID",IF(OR(A16="",COUNTIF($A$2:$A$20,A16)&lt;&gt;1,LEFT(A16,LEN("2025::jama.2025.20765::"))&lt;&gt;"2025::jama.2025.20765::"),"CHECK KEY",IF(OR(AND(NOT(AND(D16="retain",E16="statistical_results")),H16&lt;&gt;"",NOT(EXACT(H16,"not_applicable"))),AND(NOT(AND(D16="retain",E16="statistical_results")),I16&lt;&gt;"",NOT(EXACT(I16,"not_applicable"))),AND(NOT(AND(D16="retain",E16="statistical_results")),J16&lt;&gt;"",NOT(EXACT(J16,"not_applicable"))),AND(NOT(AND(D16="retain",OR(E16="report_internal_inconsistency",E16="plan_material"))),K16&lt;&gt;"",NOT(EXACT(K16,"not_applicable"))),AND(NOT(AND(D16="retain",E16="protocol_report")),L16&lt;&gt;"",NOT(EXACT(L16,"not_applicable")))),"CLEAR INACTIVE VALUES",IF(OR(NOT(OR(EXACT(D16,"retain"),EXACT(D16,"exclude"),EXACT(D16,"discuss"))),NOT(OR(EXACT(E16,"statistical_results"),EXACT(E16,"report_internal_inconsistency"),EXACT(E16,"plan_material"),EXACT(E16,"protocol_report"))),AND(AND(D16="retain",E16="statistical_results"),NOT(OR(EXACT(H16,"confirmed_issue"),EXACT(H16,"probable_issue"),EXACT(H16,"not_issue"),EXACT(H16,"indeterminate")))),AND(AND(D16="retain",E16="statistical_results"),NOT(OR(EXACT(I16,"substantive"),EXACT(I16,"minor_presentation"),EXACT(I16,"indeterminate")))),AND(AND(D16="retain",E16="statistical_results"),J16&lt;&gt;"",NOT(OR(EXACT(J16,"direct"),EXACT(J16,"possible"),EXACT(J16,"unlikely"),EXACT(J16,"unknown")))),AND(AND(D16="retain",OR(E16="report_internal_inconsistency",E16="plan_material")),NOT(OR(EXACT(K16,"substantive_inconsistency"),EXACT(K16,"minor_presentation"),EXACT(K16,"non_inconsistency"),EXACT(K16,"indeterminate")))),AND(AND(D16="retain",E16="protocol_report"),L16&lt;&gt;"",NOT(OR(EXACT(L16,"substantive_difference"),EXACT(L16,"minor_presentation"),EXACT(L16,"version_timing"),EXACT(L16,"non_inconsistency"),EXACT(L16,"indeterminate"))))),"CHECK FIELDS",IF(AND(F16&lt;&gt;"",NOT(OR(EXACT(F16,"no"),EXACT(F16,"primary_done")))),"CHECK COMPLETE",IF(EXACT(F16,"primary_done"),"PRIMARY READY","PRIMARY DRAFT")))))),"CHECK INPUT / KEY")</f>
        <v/>
      </c>
      <c r="H16" s="21">
        <f>IF(AND(OR(D16="retain",D16=""),E16="statistical_results"),"","not_applicable")</f>
        <v/>
      </c>
      <c r="I16" s="21">
        <f>IF(AND(OR(D16="retain",D16=""),E16="statistical_results"),"","not_applicable")</f>
        <v/>
      </c>
      <c r="J16" s="22">
        <f>IF(AND(OR(D16="retain",D16=""),E16="statistical_results"),"","not_applicable")</f>
        <v/>
      </c>
      <c r="K16" s="21" t="inlineStr">
        <is>
          <t>minor_presentation</t>
        </is>
      </c>
      <c r="L16" s="22">
        <f>IF(AND(OR(D16="retain",D16=""),E16="protocol_report"),"","not_applicable")</f>
        <v/>
      </c>
      <c r="M16" s="20" t="n"/>
      <c r="N16" s="23" t="n"/>
      <c r="O16" s="23" t="n"/>
      <c r="P16" s="23" t="n"/>
      <c r="Q16" s="23" t="n"/>
      <c r="R16" s="22"/>
    </row>
    <row r="17" ht="92" customHeight="1" s="25">
      <c r="A17" s="24" t="inlineStr">
        <is>
          <t>2025::jama.2025.20765::C016</t>
        </is>
      </c>
      <c r="B17" s="24" t="inlineStr">
        <is>
          <t>Current Phase 3 power statements retain different cluster allocations</t>
        </is>
      </c>
      <c r="C17" s="24" t="inlineStr">
        <is>
          <t>joi250093supp1_prod_1768590553.08963.pdf — DOC-002 — PDF p. 48, lines1348–1353poweroverview; PLAN; joi250093supp1_prod_1768590553.08963.pdf — DOC-002 — PDF p. 63, lines1886–1907Phase3power/allocation; PLAN; joi250093supp1_prod_1768590553.08963.pdf — DOC-002 — PDF p. 64, Phase4allocationcontext; PLAN; joi250093supp1_prod_1768590553.08963.pdf — DOC-002 — PDF p. 65, lines1958–1963repeatedpowerparagraph; PLAN; joi250093supp1_prod_1768590553.08963.pdf — DOC-002 — PDF p. 77, lines2416–2424allocationamendment; PLAN; joi250093supp1_prod_1768590553.08963.pdf — DOC-002 — PDF p. 83, lines2629–2642SAPallocation; PLAN</t>
        </is>
      </c>
      <c r="D17" s="21" t="inlineStr">
        <is>
          <t>retain</t>
        </is>
      </c>
      <c r="E17" s="21" t="inlineStr">
        <is>
          <t>plan_material</t>
        </is>
      </c>
      <c r="F17" s="21" t="inlineStr">
        <is>
          <t>primary_done</t>
        </is>
      </c>
      <c r="G17" s="24">
        <f>IFERROR(IF(LEN(TRIM(CLEAN(SUBSTITUTE(Setup!$B$2,CHAR(160)," "))))=0,"CHECK REVIEWER ID",IF(OR(A17="",COUNTIF($A$2:$A$20,A17)&lt;&gt;1,LEFT(A17,LEN("2025::jama.2025.20765::"))&lt;&gt;"2025::jama.2025.20765::"),"CHECK KEY",IF(OR(AND(NOT(AND(D17="retain",E17="statistical_results")),H17&lt;&gt;"",NOT(EXACT(H17,"not_applicable"))),AND(NOT(AND(D17="retain",E17="statistical_results")),I17&lt;&gt;"",NOT(EXACT(I17,"not_applicable"))),AND(NOT(AND(D17="retain",E17="statistical_results")),J17&lt;&gt;"",NOT(EXACT(J17,"not_applicable"))),AND(NOT(AND(D17="retain",OR(E17="report_internal_inconsistency",E17="plan_material"))),K17&lt;&gt;"",NOT(EXACT(K17,"not_applicable"))),AND(NOT(AND(D17="retain",E17="protocol_report")),L17&lt;&gt;"",NOT(EXACT(L17,"not_applicable")))),"CLEAR INACTIVE VALUES",IF(OR(NOT(OR(EXACT(D17,"retain"),EXACT(D17,"exclude"),EXACT(D17,"discuss"))),NOT(OR(EXACT(E17,"statistical_results"),EXACT(E17,"report_internal_inconsistency"),EXACT(E17,"plan_material"),EXACT(E17,"protocol_report"))),AND(AND(D17="retain",E17="statistical_results"),NOT(OR(EXACT(H17,"confirmed_issue"),EXACT(H17,"probable_issue"),EXACT(H17,"not_issue"),EXACT(H17,"indeterminate")))),AND(AND(D17="retain",E17="statistical_results"),NOT(OR(EXACT(I17,"substantive"),EXACT(I17,"minor_presentation"),EXACT(I17,"indeterminate")))),AND(AND(D17="retain",E17="statistical_results"),J17&lt;&gt;"",NOT(OR(EXACT(J17,"direct"),EXACT(J17,"possible"),EXACT(J17,"unlikely"),EXACT(J17,"unknown")))),AND(AND(D17="retain",OR(E17="report_internal_inconsistency",E17="plan_material")),NOT(OR(EXACT(K17,"substantive_inconsistency"),EXACT(K17,"minor_presentation"),EXACT(K17,"non_inconsistency"),EXACT(K17,"indeterminate")))),AND(AND(D17="retain",E17="protocol_report"),L17&lt;&gt;"",NOT(OR(EXACT(L17,"substantive_difference"),EXACT(L17,"minor_presentation"),EXACT(L17,"version_timing"),EXACT(L17,"non_inconsistency"),EXACT(L17,"indeterminate"))))),"CHECK FIELDS",IF(AND(F17&lt;&gt;"",NOT(OR(EXACT(F17,"no"),EXACT(F17,"primary_done")))),"CHECK COMPLETE",IF(EXACT(F17,"primary_done"),"PRIMARY READY","PRIMARY DRAFT")))))),"CHECK INPUT / KEY")</f>
        <v/>
      </c>
      <c r="H17" s="21">
        <f>IF(AND(OR(D17="retain",D17=""),E17="statistical_results"),"","not_applicable")</f>
        <v/>
      </c>
      <c r="I17" s="21">
        <f>IF(AND(OR(D17="retain",D17=""),E17="statistical_results"),"","not_applicable")</f>
        <v/>
      </c>
      <c r="J17" s="22">
        <f>IF(AND(OR(D17="retain",D17=""),E17="statistical_results"),"","not_applicable")</f>
        <v/>
      </c>
      <c r="K17" s="21" t="inlineStr">
        <is>
          <t>minor_presentation</t>
        </is>
      </c>
      <c r="L17" s="22">
        <f>IF(AND(OR(D17="retain",D17=""),E17="protocol_report"),"","not_applicable")</f>
        <v/>
      </c>
      <c r="M17" s="24" t="n"/>
      <c r="N17" s="23" t="n"/>
      <c r="O17" s="23" t="n"/>
      <c r="P17" s="23" t="n"/>
      <c r="Q17" s="23" t="n"/>
      <c r="R17" s="22"/>
    </row>
    <row r="18" ht="92" customHeight="1" s="25">
      <c r="A18" s="20" t="inlineStr">
        <is>
          <t>2025::jama.2025.20765::C017</t>
        </is>
      </c>
      <c r="B18" s="20" t="inlineStr">
        <is>
          <t>Two cause-of-death percentages do not reconcile within eTable 4</t>
        </is>
      </c>
      <c r="C18" s="20" t="inlineStr">
        <is>
          <t>joi250093supp2_prod_1768590553.09463.pdf — DOC-003 — PDF p. 6, eTable4usual-careDruguser,Severepneumonia,Totaldeaths; REPORT</t>
        </is>
      </c>
      <c r="D18" s="21" t="inlineStr">
        <is>
          <t>retain</t>
        </is>
      </c>
      <c r="E18" s="21" t="inlineStr">
        <is>
          <t>statistical_results</t>
        </is>
      </c>
      <c r="F18" s="21" t="inlineStr">
        <is>
          <t>primary_done</t>
        </is>
      </c>
      <c r="G18" s="20">
        <f>IFERROR(IF(LEN(TRIM(CLEAN(SUBSTITUTE(Setup!$B$2,CHAR(160)," "))))=0,"CHECK REVIEWER ID",IF(OR(A18="",COUNTIF($A$2:$A$20,A18)&lt;&gt;1,LEFT(A18,LEN("2025::jama.2025.20765::"))&lt;&gt;"2025::jama.2025.20765::"),"CHECK KEY",IF(OR(AND(NOT(AND(D18="retain",E18="statistical_results")),H18&lt;&gt;"",NOT(EXACT(H18,"not_applicable"))),AND(NOT(AND(D18="retain",E18="statistical_results")),I18&lt;&gt;"",NOT(EXACT(I18,"not_applicable"))),AND(NOT(AND(D18="retain",E18="statistical_results")),J18&lt;&gt;"",NOT(EXACT(J18,"not_applicable"))),AND(NOT(AND(D18="retain",OR(E18="report_internal_inconsistency",E18="plan_material"))),K18&lt;&gt;"",NOT(EXACT(K18,"not_applicable"))),AND(NOT(AND(D18="retain",E18="protocol_report")),L18&lt;&gt;"",NOT(EXACT(L18,"not_applicable")))),"CLEAR INACTIVE VALUES",IF(OR(NOT(OR(EXACT(D18,"retain"),EXACT(D18,"exclude"),EXACT(D18,"discuss"))),NOT(OR(EXACT(E18,"statistical_results"),EXACT(E18,"report_internal_inconsistency"),EXACT(E18,"plan_material"),EXACT(E18,"protocol_report"))),AND(AND(D18="retain",E18="statistical_results"),NOT(OR(EXACT(H18,"confirmed_issue"),EXACT(H18,"probable_issue"),EXACT(H18,"not_issue"),EXACT(H18,"indeterminate")))),AND(AND(D18="retain",E18="statistical_results"),NOT(OR(EXACT(I18,"substantive"),EXACT(I18,"minor_presentation"),EXACT(I18,"indeterminate")))),AND(AND(D18="retain",E18="statistical_results"),J18&lt;&gt;"",NOT(OR(EXACT(J18,"direct"),EXACT(J18,"possible"),EXACT(J18,"unlikely"),EXACT(J18,"unknown")))),AND(AND(D18="retain",OR(E18="report_internal_inconsistency",E18="plan_material")),NOT(OR(EXACT(K18,"substantive_inconsistency"),EXACT(K18,"minor_presentation"),EXACT(K18,"non_inconsistency"),EXACT(K18,"indeterminate")))),AND(AND(D18="retain",E18="protocol_report"),L18&lt;&gt;"",NOT(OR(EXACT(L18,"substantive_difference"),EXACT(L18,"minor_presentation"),EXACT(L18,"version_timing"),EXACT(L18,"non_inconsistency"),EXACT(L18,"indeterminate"))))),"CHECK FIELDS",IF(AND(F18&lt;&gt;"",NOT(OR(EXACT(F18,"no"),EXACT(F18,"primary_done")))),"CHECK COMPLETE",IF(EXACT(F18,"primary_done"),"PRIMARY READY","PRIMARY DRAFT")))))),"CHECK INPUT / KEY")</f>
        <v/>
      </c>
      <c r="H18" s="21" t="inlineStr">
        <is>
          <t>confirmed_issue</t>
        </is>
      </c>
      <c r="I18" s="21" t="inlineStr">
        <is>
          <t>minor_presentation</t>
        </is>
      </c>
      <c r="J18" s="22" t="inlineStr">
        <is>
          <t>unlikely</t>
        </is>
      </c>
      <c r="K18" s="21">
        <f>IF(AND(OR(D18="retain",D18=""),OR(E18="report_internal_inconsistency",E18="plan_material")),"","not_applicable")</f>
        <v/>
      </c>
      <c r="L18" s="22">
        <f>IF(AND(OR(D18="retain",D18=""),E18="protocol_report"),"","not_applicable")</f>
        <v/>
      </c>
      <c r="M18" s="20" t="n"/>
      <c r="N18" s="23" t="n"/>
      <c r="O18" s="23" t="n"/>
      <c r="P18" s="23" t="n"/>
      <c r="Q18" s="23" t="n"/>
      <c r="R18" s="22"/>
    </row>
    <row r="19" ht="92" customHeight="1" s="25">
      <c r="A19" s="24" t="inlineStr">
        <is>
          <t>2025::jama.2025.20765::C018</t>
        </is>
      </c>
      <c r="B19" s="24" t="inlineStr">
        <is>
          <t>Site 2008 death count and percentage do not reproduce the table denominator</t>
        </is>
      </c>
      <c r="C19" s="24" t="inlineStr">
        <is>
          <t>joi250093supp2_prod_1768590553.09463.pdf — DOC-003 — PDF p. 9, eTable6Controlsite2008cell5(7.5),otherdeathrows; REPORT; joi250093supp2_prod_1768590553.09463.pdf — DOC-003 — PDF p. 8, eTable5site2008recruitmentandITT40,observed35; REPORT</t>
        </is>
      </c>
      <c r="D19" s="21" t="inlineStr">
        <is>
          <t>retain</t>
        </is>
      </c>
      <c r="E19" s="21" t="inlineStr">
        <is>
          <t>statistical_results</t>
        </is>
      </c>
      <c r="F19" s="21" t="inlineStr">
        <is>
          <t>primary_done</t>
        </is>
      </c>
      <c r="G19" s="24">
        <f>IFERROR(IF(LEN(TRIM(CLEAN(SUBSTITUTE(Setup!$B$2,CHAR(160)," "))))=0,"CHECK REVIEWER ID",IF(OR(A19="",COUNTIF($A$2:$A$20,A19)&lt;&gt;1,LEFT(A19,LEN("2025::jama.2025.20765::"))&lt;&gt;"2025::jama.2025.20765::"),"CHECK KEY",IF(OR(AND(NOT(AND(D19="retain",E19="statistical_results")),H19&lt;&gt;"",NOT(EXACT(H19,"not_applicable"))),AND(NOT(AND(D19="retain",E19="statistical_results")),I19&lt;&gt;"",NOT(EXACT(I19,"not_applicable"))),AND(NOT(AND(D19="retain",E19="statistical_results")),J19&lt;&gt;"",NOT(EXACT(J19,"not_applicable"))),AND(NOT(AND(D19="retain",OR(E19="report_internal_inconsistency",E19="plan_material"))),K19&lt;&gt;"",NOT(EXACT(K19,"not_applicable"))),AND(NOT(AND(D19="retain",E19="protocol_report")),L19&lt;&gt;"",NOT(EXACT(L19,"not_applicable")))),"CLEAR INACTIVE VALUES",IF(OR(NOT(OR(EXACT(D19,"retain"),EXACT(D19,"exclude"),EXACT(D19,"discuss"))),NOT(OR(EXACT(E19,"statistical_results"),EXACT(E19,"report_internal_inconsistency"),EXACT(E19,"plan_material"),EXACT(E19,"protocol_report"))),AND(AND(D19="retain",E19="statistical_results"),NOT(OR(EXACT(H19,"confirmed_issue"),EXACT(H19,"probable_issue"),EXACT(H19,"not_issue"),EXACT(H19,"indeterminate")))),AND(AND(D19="retain",E19="statistical_results"),NOT(OR(EXACT(I19,"substantive"),EXACT(I19,"minor_presentation"),EXACT(I19,"indeterminate")))),AND(AND(D19="retain",E19="statistical_results"),J19&lt;&gt;"",NOT(OR(EXACT(J19,"direct"),EXACT(J19,"possible"),EXACT(J19,"unlikely"),EXACT(J19,"unknown")))),AND(AND(D19="retain",OR(E19="report_internal_inconsistency",E19="plan_material")),NOT(OR(EXACT(K19,"substantive_inconsistency"),EXACT(K19,"minor_presentation"),EXACT(K19,"non_inconsistency"),EXACT(K19,"indeterminate")))),AND(AND(D19="retain",E19="protocol_report"),L19&lt;&gt;"",NOT(OR(EXACT(L19,"substantive_difference"),EXACT(L19,"minor_presentation"),EXACT(L19,"version_timing"),EXACT(L19,"non_inconsistency"),EXACT(L19,"indeterminate"))))),"CHECK FIELDS",IF(AND(F19&lt;&gt;"",NOT(OR(EXACT(F19,"no"),EXACT(F19,"primary_done")))),"CHECK COMPLETE",IF(EXACT(F19,"primary_done"),"PRIMARY READY","PRIMARY DRAFT")))))),"CHECK INPUT / KEY")</f>
        <v/>
      </c>
      <c r="H19" s="21" t="inlineStr">
        <is>
          <t>confirmed_issue</t>
        </is>
      </c>
      <c r="I19" s="21" t="inlineStr">
        <is>
          <t>minor_presentation</t>
        </is>
      </c>
      <c r="J19" s="22" t="inlineStr">
        <is>
          <t>unlikely</t>
        </is>
      </c>
      <c r="K19" s="21">
        <f>IF(AND(OR(D19="retain",D19=""),OR(E19="report_internal_inconsistency",E19="plan_material")),"","not_applicable")</f>
        <v/>
      </c>
      <c r="L19" s="22">
        <f>IF(AND(OR(D19="retain",D19=""),E19="protocol_report"),"","not_applicable")</f>
        <v/>
      </c>
      <c r="M19" s="24" t="n"/>
      <c r="N19" s="23" t="n"/>
      <c r="O19" s="23" t="n"/>
      <c r="P19" s="23" t="n"/>
      <c r="Q19" s="23" t="n"/>
      <c r="R19" s="22"/>
    </row>
    <row r="20" ht="92" customHeight="1" s="25">
      <c r="A20" s="20" t="inlineStr">
        <is>
          <t>2025::jama.2025.20765::C019</t>
        </is>
      </c>
      <c r="B20" s="20" t="inlineStr">
        <is>
          <t>Treatment-failure absolute difference has the opposite signed contrast</t>
        </is>
      </c>
      <c r="C20" s="20" t="inlineStr">
        <is>
          <t>joi250093supp2_prod_1768590553.09463.pdf — DOC-003 — PDF p. 13, eTable9TreatmentFailuresabsolute-difference0.5andarmrisks; REPORT; joi250093supp2_prod_1768590553.09463.pdf — DOC-003 — PDF p. 14, notebAbsolute difference; REPORT</t>
        </is>
      </c>
      <c r="D20" s="21" t="inlineStr">
        <is>
          <t>retain</t>
        </is>
      </c>
      <c r="E20" s="21" t="inlineStr">
        <is>
          <t>statistical_results</t>
        </is>
      </c>
      <c r="F20" s="21" t="inlineStr">
        <is>
          <t>primary_done</t>
        </is>
      </c>
      <c r="G20" s="20">
        <f>IFERROR(IF(LEN(TRIM(CLEAN(SUBSTITUTE(Setup!$B$2,CHAR(160)," "))))=0,"CHECK REVIEWER ID",IF(OR(A20="",COUNTIF($A$2:$A$20,A20)&lt;&gt;1,LEFT(A20,LEN("2025::jama.2025.20765::"))&lt;&gt;"2025::jama.2025.20765::"),"CHECK KEY",IF(OR(AND(NOT(AND(D20="retain",E20="statistical_results")),H20&lt;&gt;"",NOT(EXACT(H20,"not_applicable"))),AND(NOT(AND(D20="retain",E20="statistical_results")),I20&lt;&gt;"",NOT(EXACT(I20,"not_applicable"))),AND(NOT(AND(D20="retain",E20="statistical_results")),J20&lt;&gt;"",NOT(EXACT(J20,"not_applicable"))),AND(NOT(AND(D20="retain",OR(E20="report_internal_inconsistency",E20="plan_material"))),K20&lt;&gt;"",NOT(EXACT(K20,"not_applicable"))),AND(NOT(AND(D20="retain",E20="protocol_report")),L20&lt;&gt;"",NOT(EXACT(L20,"not_applicable")))),"CLEAR INACTIVE VALUES",IF(OR(NOT(OR(EXACT(D20,"retain"),EXACT(D20,"exclude"),EXACT(D20,"discuss"))),NOT(OR(EXACT(E20,"statistical_results"),EXACT(E20,"report_internal_inconsistency"),EXACT(E20,"plan_material"),EXACT(E20,"protocol_report"))),AND(AND(D20="retain",E20="statistical_results"),NOT(OR(EXACT(H20,"confirmed_issue"),EXACT(H20,"probable_issue"),EXACT(H20,"not_issue"),EXACT(H20,"indeterminate")))),AND(AND(D20="retain",E20="statistical_results"),NOT(OR(EXACT(I20,"substantive"),EXACT(I20,"minor_presentation"),EXACT(I20,"indeterminate")))),AND(AND(D20="retain",E20="statistical_results"),J20&lt;&gt;"",NOT(OR(EXACT(J20,"direct"),EXACT(J20,"possible"),EXACT(J20,"unlikely"),EXACT(J20,"unknown")))),AND(AND(D20="retain",OR(E20="report_internal_inconsistency",E20="plan_material")),NOT(OR(EXACT(K20,"substantive_inconsistency"),EXACT(K20,"minor_presentation"),EXACT(K20,"non_inconsistency"),EXACT(K20,"indeterminate")))),AND(AND(D20="retain",E20="protocol_report"),L20&lt;&gt;"",NOT(OR(EXACT(L20,"substantive_difference"),EXACT(L20,"minor_presentation"),EXACT(L20,"version_timing"),EXACT(L20,"non_inconsistency"),EXACT(L20,"indeterminate"))))),"CHECK FIELDS",IF(AND(F20&lt;&gt;"",NOT(OR(EXACT(F20,"no"),EXACT(F20,"primary_done")))),"CHECK COMPLETE",IF(EXACT(F20,"primary_done"),"PRIMARY READY","PRIMARY DRAFT")))))),"CHECK INPUT / KEY")</f>
        <v/>
      </c>
      <c r="H20" s="21" t="inlineStr">
        <is>
          <t>confirmed_issue</t>
        </is>
      </c>
      <c r="I20" s="21" t="inlineStr">
        <is>
          <t>minor_presentation</t>
        </is>
      </c>
      <c r="J20" s="22" t="inlineStr">
        <is>
          <t>unlikely</t>
        </is>
      </c>
      <c r="K20" s="21">
        <f>IF(AND(OR(D20="retain",D20=""),OR(E20="report_internal_inconsistency",E20="plan_material")),"","not_applicable")</f>
        <v/>
      </c>
      <c r="L20" s="22">
        <f>IF(AND(OR(D20="retain",D20=""),E20="protocol_report"),"","not_applicable")</f>
        <v/>
      </c>
      <c r="M20" s="20" t="n"/>
      <c r="N20" s="23" t="n"/>
      <c r="O20" s="23" t="n"/>
      <c r="P20" s="23" t="n"/>
      <c r="Q20" s="23" t="n"/>
      <c r="R20" s="22"/>
    </row>
  </sheetData>
  <autoFilter ref="A1:R20"/>
  <conditionalFormatting sqref="H2:H20">
    <cfRule type="expression" priority="8" dxfId="70">
      <formula>NOT(AND(OR($D2="retain",$D2=""),$E2="statistical_results"))</formula>
    </cfRule>
  </conditionalFormatting>
  <conditionalFormatting sqref="I2:I20">
    <cfRule type="expression" priority="9" dxfId="70">
      <formula>NOT(AND(OR($D2="retain",$D2=""),$E2="statistical_results"))</formula>
    </cfRule>
  </conditionalFormatting>
  <conditionalFormatting sqref="J2:J20">
    <cfRule type="expression" priority="10" dxfId="70">
      <formula>NOT(AND(OR($D2="retain",$D2=""),$E2="statistical_results"))</formula>
    </cfRule>
  </conditionalFormatting>
  <conditionalFormatting sqref="K2:K20">
    <cfRule type="expression" priority="11" dxfId="70">
      <formula>NOT(AND(OR($D2="retain",$D2=""),OR($E2="report_internal_inconsistency",$E2="plan_material")))</formula>
    </cfRule>
  </conditionalFormatting>
  <conditionalFormatting sqref="L2:L20">
    <cfRule type="expression" priority="12" dxfId="70">
      <formula>NOT(AND(OR($D2="retain",$D2=""),$E2="protocol_report"))</formula>
    </cfRule>
  </conditionalFormatting>
  <conditionalFormatting sqref="G2:G20">
    <cfRule type="expression" priority="13" dxfId="71">
      <formula>G2&lt;&gt;"PRIMARY READY"</formula>
    </cfRule>
  </conditionalFormatting>
  <dataValidations count="8">
    <dataValidation sqref="D2:D20" showDropDown="0" showInputMessage="0" showErrorMessage="1" allowBlank="1" errorTitle="Use a listed option" error="Choose an option; G also checks pasted entries." type="list" errorStyle="stop">
      <formula1>"retain,exclude,discuss"</formula1>
    </dataValidation>
    <dataValidation sqref="E2:E20" showDropDown="0" showInputMessage="0" showErrorMessage="1" allowBlank="1" errorTitle="Use a listed option" error="Choose an option; G also checks pasted entries." type="list" errorStyle="stop">
      <formula1>"statistical_results,report_internal_inconsistency,plan_material,protocol_report"</formula1>
    </dataValidation>
    <dataValidation sqref="F2:F20" showDropDown="0" showInputMessage="0" showErrorMessage="1" allowBlank="1" errorTitle="Use a listed option" error="Choose an option; G also checks pasted entries." type="list" errorStyle="stop">
      <formula1>"no,primary_done"</formula1>
    </dataValidation>
    <dataValidation sqref="H2:H20" showDropDown="0" showInputMessage="0" showErrorMessage="1" allowBlank="1" errorTitle="Use a listed option" error="Choose an option; G also checks pasted entries." type="list" errorStyle="stop">
      <formula1>"confirmed_issue,probable_issue,not_issue,indeterminate,not_applicable"</formula1>
    </dataValidation>
    <dataValidation sqref="I2:I20" showDropDown="0" showInputMessage="0" showErrorMessage="1" allowBlank="1" errorTitle="Use a listed option" error="Choose an option; G also checks pasted entries." type="list" errorStyle="stop">
      <formula1>"substantive,minor_presentation,indeterminate,not_applicable"</formula1>
    </dataValidation>
    <dataValidation sqref="J2:J20" showDropDown="0" showInputMessage="0" showErrorMessage="1" allowBlank="1" errorTitle="Use a listed option" error="Choose an option; G also checks pasted entries." type="list" errorStyle="stop">
      <formula1>"direct,possible,unlikely,unknown,not_applicable"</formula1>
    </dataValidation>
    <dataValidation sqref="K2:K20" showDropDown="0" showInputMessage="0" showErrorMessage="1" allowBlank="1" errorTitle="Use a listed option" error="Choose an option; G also checks pasted entries." type="list" errorStyle="stop">
      <formula1>"substantive_inconsistency,minor_presentation,non_inconsistency,indeterminate,not_applicable"</formula1>
    </dataValidation>
    <dataValidation sqref="L2:L20" showDropDown="0" showInputMessage="0" showErrorMessage="1" allowBlank="1" errorTitle="Use a listed option" error="Choose an option; G also checks pasted entries." type="list" errorStyle="stop">
      <formula1>"substantive_difference,minor_presentation,version_timing,non_inconsistency,indeterminate,not_applicable"</formula1>
    </dataValidation>
  </dataValidation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R15"/>
  <sheetViews>
    <sheetView tabSelected="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Format="1"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Statistical_or_numerical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ht="92" customHeight="1" s="25">
      <c r="A2" s="20" t="inlineStr">
        <is>
          <t>2025::jama.2025.24175::C001</t>
        </is>
      </c>
      <c r="B2" s="20" t="inlineStr">
        <is>
          <t>Primary mean/Welch versus responder/Fisher specification</t>
        </is>
      </c>
      <c r="C2" s="20" t="inlineStr">
        <is>
          <t>PLAN joi250116supp1_prod_1771885794.26255.pdf — DOC-002 p.7 synopsis, joi250116supp1_prod_1771885794.26255.pdf — p.24 primary endpoint/death rule, joi250116supp1_prod_1771885794.26255.pdf — p.25 corresponding day-15 mean, joi250116supp1_prod_1771885794.26255.pdf — p.27 Welch analysis, joi250116supp1_prod_1771885794.26255.pdf — p.66 SAP responder/death rule, joi250116supp1_prod_1771885794.26255.pdf — p.67 Fisher analysis, joi250116supp1_prod_1771885794.26255.pdf — p.68 day-15 construction, joi250116supp1_prod_1771885794.26255.pdf — p.69 day-15 responder continuation; REPORT jama_giamarellosbourboulis_2025_oi_250116_1771885794.23757.pdf — DOC-001 p.3 endpoint, jama_giamarellosbourboulis_2025_oi_250116_1771885794.23757.pdf — p.5 imputation/secondary definition, jama_giamarellosbourboulis_2025_oi_250116_1771885794.23757.pdf — p.6 Table 2 and statistical analyses.</t>
        </is>
      </c>
      <c r="D2" s="21" t="inlineStr">
        <is>
          <t>retain</t>
        </is>
      </c>
      <c r="E2" s="21" t="inlineStr">
        <is>
          <t>protocol_report</t>
        </is>
      </c>
      <c r="F2" s="21" t="inlineStr">
        <is>
          <t>primary_done</t>
        </is>
      </c>
      <c r="G2" s="20">
        <f>IFERROR(IF(LEN(TRIM(CLEAN(SUBSTITUTE(Setup!$B$2,CHAR(160)," "))))=0,"CHECK REVIEWER ID",IF(OR(A2="",COUNTIF($A$2:$A$15,A2)&lt;&gt;1,LEFT(A2,LEN("2025::jama.2025.24175::"))&lt;&gt;"2025::jama.2025.24175::"),"CHECK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
      </c>
      <c r="H2" s="21">
        <f>IF(AND(OR(D2="retain",D2=""),E2="statistical_results"),"","not_applicable")</f>
        <v/>
      </c>
      <c r="I2" s="21">
        <f>IF(AND(OR(D2="retain",D2=""),E2="statistical_results"),"","not_applicable")</f>
        <v/>
      </c>
      <c r="J2" s="22">
        <f>IF(AND(OR(D2="retain",D2=""),E2="statistical_results"),"","not_applicable")</f>
        <v/>
      </c>
      <c r="K2" s="21">
        <f>IF(AND(OR(D2="retain",D2=""),OR(E2="report_internal_inconsistency",E2="plan_material")),"","not_applicable")</f>
        <v/>
      </c>
      <c r="L2" s="22" t="inlineStr">
        <is>
          <t>substantive_difference</t>
        </is>
      </c>
      <c r="M2" s="20" t="n"/>
      <c r="N2" s="23" t="n"/>
      <c r="O2" s="23" t="n"/>
      <c r="P2" s="23" t="n"/>
      <c r="Q2" s="23" t="n"/>
      <c r="R2" s="22"/>
    </row>
    <row r="3" ht="92" customHeight="1" s="25">
      <c r="A3" s="24" t="inlineStr">
        <is>
          <t>2025::jama.2025.24175::C002</t>
        </is>
      </c>
      <c r="B3" s="24" t="inlineStr">
        <is>
          <t>Home-discharge versus ICU-discharge carry-forward eligibility</t>
        </is>
      </c>
      <c r="C3" s="24" t="inlineStr">
        <is>
          <t>PLAN joi250116supp1_prod_1771885794.26255.pdf — DOC-002 p.66; REPORT jama_giamarellosbourboulis_2025_oi_250116_1771885794.23757.pdf — DOC-001 p.3 daily ICU observation, jama_giamarellosbourboulis_2025_oi_250116_1771885794.23757.pdf — p.5 home-discharge rule, jama_giamarellosbourboulis_2025_oi_250116_1771885794.23757.pdf — p.6 ICU-discharge result, joi250116supp2_prod_1771885794.27755.pdf — DOC-003 p.20 eTable 8, joi250116supp2_prod_1771885794.27755.pdf — p.46 sensitivity population.</t>
        </is>
      </c>
      <c r="D3" s="21" t="inlineStr">
        <is>
          <t>retain</t>
        </is>
      </c>
      <c r="E3" s="21" t="inlineStr">
        <is>
          <t>protocol_report</t>
        </is>
      </c>
      <c r="F3" s="21" t="inlineStr">
        <is>
          <t>primary_done</t>
        </is>
      </c>
      <c r="G3" s="24">
        <f>IFERROR(IF(LEN(TRIM(CLEAN(SUBSTITUTE(Setup!$B$2,CHAR(160)," "))))=0,"CHECK REVIEWER ID",IF(OR(A3="",COUNTIF($A$2:$A$15,A3)&lt;&gt;1,LEFT(A3,LEN("2025::jama.2025.24175::"))&lt;&gt;"2025::jama.2025.24175::"),"CHECK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
      </c>
      <c r="H3" s="21">
        <f>IF(AND(OR(D3="retain",D3=""),E3="statistical_results"),"","not_applicable")</f>
        <v/>
      </c>
      <c r="I3" s="21">
        <f>IF(AND(OR(D3="retain",D3=""),E3="statistical_results"),"","not_applicable")</f>
        <v/>
      </c>
      <c r="J3" s="22">
        <f>IF(AND(OR(D3="retain",D3=""),E3="statistical_results"),"","not_applicable")</f>
        <v/>
      </c>
      <c r="K3" s="21">
        <f>IF(AND(OR(D3="retain",D3=""),OR(E3="report_internal_inconsistency",E3="plan_material")),"","not_applicable")</f>
        <v/>
      </c>
      <c r="L3" s="22" t="inlineStr">
        <is>
          <t>substantive_difference</t>
        </is>
      </c>
      <c r="M3" s="24" t="n"/>
      <c r="N3" s="23" t="n"/>
      <c r="O3" s="23" t="n"/>
      <c r="P3" s="23" t="n"/>
      <c r="Q3" s="23" t="n"/>
      <c r="R3" s="22"/>
    </row>
    <row r="4" ht="92" customHeight="1" s="25">
      <c r="A4" s="20" t="inlineStr">
        <is>
          <t>2025::jama.2025.24175::C003</t>
        </is>
      </c>
      <c r="B4" s="20" t="inlineStr">
        <is>
          <t>Infection and omics outcome-status pattern</t>
        </is>
      </c>
      <c r="C4" s="20" t="inlineStr">
        <is>
          <t>PLAN joi250116supp1_prod_1771885794.26255.pdf — DOC-002 p.7 synopsis, joi250116supp1_prod_1771885794.26255.pdf — p.25 detailed hierarchy, joi250116supp1_prod_1771885794.26255.pdf — p.27 infection test hierarchy, joi250116supp1_prod_1771885794.26255.pdf — p.57 resolution appendix, joi250116supp1_prod_1771885794.26255.pdf — p.70 SAP infection; REPORT jama_giamarellosbourboulis_2025_oi_250116_1771885794.23757.pdf — DOC-001 p.5 prespecified secondary endpoints, jama_giamarellosbourboulis_2025_oi_250116_1771885794.23757.pdf — p.6 main secondary table, jama_giamarellosbourboulis_2025_oi_250116_1771885794.23757.pdf — p.7 sixth secondary result.</t>
        </is>
      </c>
      <c r="D4" s="21" t="inlineStr">
        <is>
          <t>retain</t>
        </is>
      </c>
      <c r="E4" s="21" t="inlineStr">
        <is>
          <t>protocol_report</t>
        </is>
      </c>
      <c r="F4" s="21" t="inlineStr">
        <is>
          <t>primary_done</t>
        </is>
      </c>
      <c r="G4" s="20">
        <f>IFERROR(IF(LEN(TRIM(CLEAN(SUBSTITUTE(Setup!$B$2,CHAR(160)," "))))=0,"CHECK REVIEWER ID",IF(OR(A4="",COUNTIF($A$2:$A$15,A4)&lt;&gt;1,LEFT(A4,LEN("2025::jama.2025.24175::"))&lt;&gt;"2025::jama.2025.24175::"),"CHECK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
      </c>
      <c r="H4" s="21">
        <f>IF(AND(OR(D4="retain",D4=""),E4="statistical_results"),"","not_applicable")</f>
        <v/>
      </c>
      <c r="I4" s="21">
        <f>IF(AND(OR(D4="retain",D4=""),E4="statistical_results"),"","not_applicable")</f>
        <v/>
      </c>
      <c r="J4" s="22">
        <f>IF(AND(OR(D4="retain",D4=""),E4="statistical_results"),"","not_applicable")</f>
        <v/>
      </c>
      <c r="K4" s="21">
        <f>IF(AND(OR(D4="retain",D4=""),OR(E4="report_internal_inconsistency",E4="plan_material")),"","not_applicable")</f>
        <v/>
      </c>
      <c r="L4" s="22" t="inlineStr">
        <is>
          <t>substantive_difference</t>
        </is>
      </c>
      <c r="M4" s="20" t="n"/>
      <c r="N4" s="23" t="n"/>
      <c r="O4" s="23" t="n"/>
      <c r="P4" s="23" t="n"/>
      <c r="Q4" s="23" t="n"/>
      <c r="R4" s="22"/>
    </row>
    <row r="5" ht="92" customHeight="1" s="25">
      <c r="A5" s="24" t="inlineStr">
        <is>
          <t>2025::jama.2025.24175::C004</t>
        </is>
      </c>
      <c r="B5" s="24" t="inlineStr">
        <is>
          <t>Immune-reversal endpoint window, composite and ascertainment</t>
        </is>
      </c>
      <c r="C5" s="24" t="inlineStr">
        <is>
          <t>PLAN joi250116supp1_prod_1771885794.26255.pdf — DOC-002 p.25, joi250116supp1_prod_1771885794.26255.pdf — p.69, joi250116supp1_prod_1771885794.26255.pdf — p.70 continuation; REPORT jama_giamarellosbourboulis_2025_oi_250116_1771885794.23757.pdf — DOC-001 p.5 definition, jama_giamarellosbourboulis_2025_oi_250116_1771885794.23757.pdf — p.6 Table 2/footnote, jama_giamarellosbourboulis_2025_oi_250116_1771885794.23757.pdf — p.7 by-day-28 result, joi250116supp2_prod_1771885794.27755.pdf — DOC-003 p.50 eFigure 6.</t>
        </is>
      </c>
      <c r="D5" s="21" t="inlineStr">
        <is>
          <t>retain</t>
        </is>
      </c>
      <c r="E5" s="21" t="inlineStr">
        <is>
          <t>protocol_report</t>
        </is>
      </c>
      <c r="F5" s="21" t="inlineStr">
        <is>
          <t>primary_done</t>
        </is>
      </c>
      <c r="G5" s="24">
        <f>IFERROR(IF(LEN(TRIM(CLEAN(SUBSTITUTE(Setup!$B$2,CHAR(160)," "))))=0,"CHECK REVIEWER ID",IF(OR(A5="",COUNTIF($A$2:$A$15,A5)&lt;&gt;1,LEFT(A5,LEN("2025::jama.2025.24175::"))&lt;&gt;"2025::jama.2025.24175::"),"CHECK KEY",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NOT(OR(EXACT(D5,"retain"),EXACT(D5,"exclude"),EXACT(D5,"discuss"))),NOT(OR(EXACT(E5,"statistical_results"),EXACT(E5,"report_internal_inconsistency"),EXACT(E5,"plan_material"),EXACT(E5,"protocol_report"))),AND(AND(D5="retain",E5="statistical_results"),NOT(OR(EXACT(H5,"confirmed_issue"),EXACT(H5,"probable_issue"),EXACT(H5,"not_issue"),EXACT(H5,"indeterminate")))),AND(AND(D5="retain",E5="statistical_results"),NOT(OR(EXACT(I5,"substantive"),EXACT(I5,"minor_presentation"),EXACT(I5,"indeterminate")))),AND(AND(D5="retain",E5="statistical_results"),J5&lt;&gt;"",NOT(OR(EXACT(J5,"direct"),EXACT(J5,"possible"),EXACT(J5,"unlikely"),EXACT(J5,"unknown")))),AND(AND(D5="retain",OR(E5="report_internal_inconsistency",E5="plan_material")),NOT(OR(EXACT(K5,"substantive_inconsistency"),EXACT(K5,"minor_presentation"),EXACT(K5,"non_inconsistency"),EXACT(K5,"indeterminate")))),AND(AND(D5="retain",E5="protocol_report"),L5&lt;&gt;"",NOT(OR(EXACT(L5,"substantive_difference"),EXACT(L5,"minor_presentation"),EXACT(L5,"version_timing"),EXACT(L5,"non_inconsistency"),EXACT(L5,"indeterminate"))))),"CHECK FIELDS",IF(AND(F5&lt;&gt;"",NOT(OR(EXACT(F5,"no"),EXACT(F5,"primary_done")))),"CHECK COMPLETE",IF(EXACT(F5,"primary_done"),"PRIMARY READY","PRIMARY DRAFT")))))),"CHECK INPUT / KEY")</f>
        <v/>
      </c>
      <c r="H5" s="21">
        <f>IF(AND(OR(D5="retain",D5=""),E5="statistical_results"),"","not_applicable")</f>
        <v/>
      </c>
      <c r="I5" s="21">
        <f>IF(AND(OR(D5="retain",D5=""),E5="statistical_results"),"","not_applicable")</f>
        <v/>
      </c>
      <c r="J5" s="22">
        <f>IF(AND(OR(D5="retain",D5=""),E5="statistical_results"),"","not_applicable")</f>
        <v/>
      </c>
      <c r="K5" s="21">
        <f>IF(AND(OR(D5="retain",D5=""),OR(E5="report_internal_inconsistency",E5="plan_material")),"","not_applicable")</f>
        <v/>
      </c>
      <c r="L5" s="22" t="inlineStr">
        <is>
          <t>substantive_difference</t>
        </is>
      </c>
      <c r="M5" s="24" t="n"/>
      <c r="N5" s="23" t="n"/>
      <c r="O5" s="23" t="n"/>
      <c r="P5" s="23" t="n"/>
      <c r="Q5" s="23" t="n"/>
      <c r="R5" s="22"/>
    </row>
    <row r="6" ht="92" customHeight="1" s="25">
      <c r="A6" s="20" t="inlineStr">
        <is>
          <t>2025::jama.2025.24175::C005</t>
        </is>
      </c>
      <c r="B6" s="20" t="inlineStr">
        <is>
          <t>Continuous versus binary primary-outcome power basis</t>
        </is>
      </c>
      <c r="C6" s="20" t="inlineStr">
        <is>
          <t>PLAN joi250116supp1_prod_1771885794.26255.pdf — DOC-002 p.25 power introduction, joi250116supp1_prod_1771885794.26255.pdf — p.26 calculation; REPORT jama_giamarellosbourboulis_2025_oi_250116_1771885794.23757.pdf — DOC-001 p.5 Sample Size Calculation. The complete supplied SAP pp.63–72 has no revised binary power calculation.</t>
        </is>
      </c>
      <c r="D6" s="21" t="inlineStr">
        <is>
          <t>retain</t>
        </is>
      </c>
      <c r="E6" s="21" t="inlineStr">
        <is>
          <t>protocol_report</t>
        </is>
      </c>
      <c r="F6" s="21" t="inlineStr">
        <is>
          <t>primary_done</t>
        </is>
      </c>
      <c r="G6" s="20">
        <f>IFERROR(IF(LEN(TRIM(CLEAN(SUBSTITUTE(Setup!$B$2,CHAR(160)," "))))=0,"CHECK REVIEWER ID",IF(OR(A6="",COUNTIF($A$2:$A$15,A6)&lt;&gt;1,LEFT(A6,LEN("2025::jama.2025.24175::"))&lt;&gt;"2025::jama.2025.24175::"),"CHECK KEY",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NOT(OR(EXACT(D6,"retain"),EXACT(D6,"exclude"),EXACT(D6,"discuss"))),NOT(OR(EXACT(E6,"statistical_results"),EXACT(E6,"report_internal_inconsistency"),EXACT(E6,"plan_material"),EXACT(E6,"protocol_report"))),AND(AND(D6="retain",E6="statistical_results"),NOT(OR(EXACT(H6,"confirmed_issue"),EXACT(H6,"probable_issue"),EXACT(H6,"not_issue"),EXACT(H6,"indeterminate")))),AND(AND(D6="retain",E6="statistical_results"),NOT(OR(EXACT(I6,"substantive"),EXACT(I6,"minor_presentation"),EXACT(I6,"indeterminate")))),AND(AND(D6="retain",E6="statistical_results"),J6&lt;&gt;"",NOT(OR(EXACT(J6,"direct"),EXACT(J6,"possible"),EXACT(J6,"unlikely"),EXACT(J6,"unknown")))),AND(AND(D6="retain",OR(E6="report_internal_inconsistency",E6="plan_material")),NOT(OR(EXACT(K6,"substantive_inconsistency"),EXACT(K6,"minor_presentation"),EXACT(K6,"non_inconsistency"),EXACT(K6,"indeterminate")))),AND(AND(D6="retain",E6="protocol_report"),L6&lt;&gt;"",NOT(OR(EXACT(L6,"substantive_difference"),EXACT(L6,"minor_presentation"),EXACT(L6,"version_timing"),EXACT(L6,"non_inconsistency"),EXACT(L6,"indeterminate"))))),"CHECK FIELDS",IF(AND(F6&lt;&gt;"",NOT(OR(EXACT(F6,"no"),EXACT(F6,"primary_done")))),"CHECK COMPLETE",IF(EXACT(F6,"primary_done"),"PRIMARY READY","PRIMARY DRAFT")))))),"CHECK INPUT / KEY")</f>
        <v/>
      </c>
      <c r="H6" s="21">
        <f>IF(AND(OR(D6="retain",D6=""),E6="statistical_results"),"","not_applicable")</f>
        <v/>
      </c>
      <c r="I6" s="21">
        <f>IF(AND(OR(D6="retain",D6=""),E6="statistical_results"),"","not_applicable")</f>
        <v/>
      </c>
      <c r="J6" s="22">
        <f>IF(AND(OR(D6="retain",D6=""),E6="statistical_results"),"","not_applicable")</f>
        <v/>
      </c>
      <c r="K6" s="21">
        <f>IF(AND(OR(D6="retain",D6=""),OR(E6="report_internal_inconsistency",E6="plan_material")),"","not_applicable")</f>
        <v/>
      </c>
      <c r="L6" s="22" t="inlineStr">
        <is>
          <t>substantive_difference</t>
        </is>
      </c>
      <c r="M6" s="20" t="n"/>
      <c r="N6" s="23" t="n"/>
      <c r="O6" s="23" t="n"/>
      <c r="P6" s="23" t="n"/>
      <c r="Q6" s="23" t="n"/>
      <c r="R6" s="22"/>
    </row>
    <row r="7" ht="92" customHeight="1" s="25">
      <c r="A7" s="24" t="inlineStr">
        <is>
          <t>2025::jama.2025.24175::C006</t>
        </is>
      </c>
      <c r="B7" s="24" t="inlineStr">
        <is>
          <t>Binary planned versus ordinal reported infection analysis</t>
        </is>
      </c>
      <c r="C7" s="24" t="inlineStr">
        <is>
          <t>PLAN joi250116supp1_prod_1771885794.26255.pdf — DOC-002 p.27 Fisher/Mantel–Haenszel infection analysis, joi250116supp1_prod_1771885794.26255.pdf — p.70 binary resolved/not-resolved SAP analysis; REPORT jama_giamarellosbourboulis_2025_oi_250116_1771885794.23757.pdf — DOC-001 p.6 Table 2/statistical analysis/SAP-following statement, jama_giamarellosbourboulis_2025_oi_250116_1771885794.23757.pdf — p.7 ordinal result, joi250116supp2_prod_1771885794.27755.pdf — DOC-003 p.49 four-state figure.</t>
        </is>
      </c>
      <c r="D7" s="21" t="inlineStr">
        <is>
          <t>retain</t>
        </is>
      </c>
      <c r="E7" s="21" t="inlineStr">
        <is>
          <t>protocol_report</t>
        </is>
      </c>
      <c r="F7" s="21" t="inlineStr">
        <is>
          <t>primary_done</t>
        </is>
      </c>
      <c r="G7" s="24">
        <f>IFERROR(IF(LEN(TRIM(CLEAN(SUBSTITUTE(Setup!$B$2,CHAR(160)," "))))=0,"CHECK REVIEWER ID",IF(OR(A7="",COUNTIF($A$2:$A$15,A7)&lt;&gt;1,LEFT(A7,LEN("2025::jama.2025.24175::"))&lt;&gt;"2025::jama.2025.24175::"),"CHECK KEY",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NOT(OR(EXACT(D7,"retain"),EXACT(D7,"exclude"),EXACT(D7,"discuss"))),NOT(OR(EXACT(E7,"statistical_results"),EXACT(E7,"report_internal_inconsistency"),EXACT(E7,"plan_material"),EXACT(E7,"protocol_report"))),AND(AND(D7="retain",E7="statistical_results"),NOT(OR(EXACT(H7,"confirmed_issue"),EXACT(H7,"probable_issue"),EXACT(H7,"not_issue"),EXACT(H7,"indeterminate")))),AND(AND(D7="retain",E7="statistical_results"),NOT(OR(EXACT(I7,"substantive"),EXACT(I7,"minor_presentation"),EXACT(I7,"indeterminate")))),AND(AND(D7="retain",E7="statistical_results"),J7&lt;&gt;"",NOT(OR(EXACT(J7,"direct"),EXACT(J7,"possible"),EXACT(J7,"unlikely"),EXACT(J7,"unknown")))),AND(AND(D7="retain",OR(E7="report_internal_inconsistency",E7="plan_material")),NOT(OR(EXACT(K7,"substantive_inconsistency"),EXACT(K7,"minor_presentation"),EXACT(K7,"non_inconsistency"),EXACT(K7,"indeterminate")))),AND(AND(D7="retain",E7="protocol_report"),L7&lt;&gt;"",NOT(OR(EXACT(L7,"substantive_difference"),EXACT(L7,"minor_presentation"),EXACT(L7,"version_timing"),EXACT(L7,"non_inconsistency"),EXACT(L7,"indeterminate"))))),"CHECK FIELDS",IF(AND(F7&lt;&gt;"",NOT(OR(EXACT(F7,"no"),EXACT(F7,"primary_done")))),"CHECK COMPLETE",IF(EXACT(F7,"primary_done"),"PRIMARY READY","PRIMARY DRAFT")))))),"CHECK INPUT / KEY")</f>
        <v/>
      </c>
      <c r="H7" s="21">
        <f>IF(AND(OR(D7="retain",D7=""),E7="statistical_results"),"","not_applicable")</f>
        <v/>
      </c>
      <c r="I7" s="21">
        <f>IF(AND(OR(D7="retain",D7=""),E7="statistical_results"),"","not_applicable")</f>
        <v/>
      </c>
      <c r="J7" s="22">
        <f>IF(AND(OR(D7="retain",D7=""),E7="statistical_results"),"","not_applicable")</f>
        <v/>
      </c>
      <c r="K7" s="21">
        <f>IF(AND(OR(D7="retain",D7=""),OR(E7="report_internal_inconsistency",E7="plan_material")),"","not_applicable")</f>
        <v/>
      </c>
      <c r="L7" s="22" t="inlineStr">
        <is>
          <t>substantive_difference</t>
        </is>
      </c>
      <c r="M7" s="24" t="n"/>
      <c r="N7" s="23" t="n"/>
      <c r="O7" s="23" t="n"/>
      <c r="P7" s="23" t="n"/>
      <c r="Q7" s="23" t="n"/>
      <c r="R7" s="22"/>
    </row>
    <row r="8" ht="92" customHeight="1" s="25">
      <c r="A8" s="20" t="inlineStr">
        <is>
          <t>2025::jama.2025.24175::C007</t>
        </is>
      </c>
      <c r="B8" s="20" t="inlineStr">
        <is>
          <t>Prespecified primary and key-secondary analysis families not located</t>
        </is>
      </c>
      <c r="C8" s="20" t="inlineStr">
        <is>
          <t>PLAN joi250116supp1_prod_1771885794.26255.pdf — DOC-002 p.67 immune-state response homogeneity, joi250116supp1_prod_1771885794.26255.pdf — p.68 survivor secondary means and 28-day immune-state mortality, joi250116supp1_prod_1771885794.26255.pdf — p.71 severity/homogeneity and antibiotics, joi250116supp1_prod_1771885794.26255.pdf — p.72 antibiotic-primary continuation; REPORT jama_giamarellosbourboulis_2025_oi_250116_1771885794.23757.pdf — DOC-001 p.5 endpoint definitions, jama_giamarellosbourboulis_2025_oi_250116_1771885794.23757.pdf — p.6 methods/results, jama_giamarellosbourboulis_2025_oi_250116_1771885794.23757.pdf — p.7 response/mortality/post hoc results, jama_giamarellosbourboulis_2025_oi_250116_1771885794.23757.pdf — p.8 interaction continuation, joi250116supp2_prod_1771885794.27755.pdf — DOC-003 p.16 antibiotic footnote, joi250116supp2_prod_1771885794.27755.pdf — p.21 primary model, joi250116supp2_prod_1771885794.27755.pdf — p.22 immune response, joi250116supp2_prod_1771885794.27755.pdf — p.23 subset baseline, joi250116supp2_prod_1771885794.27755.pdf — p.24 subset baseline continuation, joi250116supp2_prod_1771885794.27755.pdf — p.47 overall mortality, joi250116supp2_prod_1771885794.27755.pdf — p.51 primary severity, joi250116supp2_prod_1771885794.27755.pdf — p.52 28-day severity, joi250116supp2_prod_1771885794.27755.pdf — p.53 90-day severity, with absence assessed against complete DOC-001 pp.1–12 and DOC-003 pp.1–54 result maps and source-linked text.</t>
        </is>
      </c>
      <c r="D8" s="21" t="inlineStr">
        <is>
          <t>retain</t>
        </is>
      </c>
      <c r="E8" s="21" t="inlineStr">
        <is>
          <t>protocol_report</t>
        </is>
      </c>
      <c r="F8" s="21" t="inlineStr">
        <is>
          <t>primary_done</t>
        </is>
      </c>
      <c r="G8" s="20">
        <f>IFERROR(IF(LEN(TRIM(CLEAN(SUBSTITUTE(Setup!$B$2,CHAR(160)," "))))=0,"CHECK REVIEWER ID",IF(OR(A8="",COUNTIF($A$2:$A$15,A8)&lt;&gt;1,LEFT(A8,LEN("2025::jama.2025.24175::"))&lt;&gt;"2025::jama.2025.24175::"),"CHECK KEY",IF(OR(AND(NOT(AND(D8="retain",E8="statistical_results")),H8&lt;&gt;"",NOT(EXACT(H8,"not_applicable"))),AND(NOT(AND(D8="retain",E8="statistical_results")),I8&lt;&gt;"",NOT(EXACT(I8,"not_applicable"))),AND(NOT(AND(D8="retain",E8="statistical_results")),J8&lt;&gt;"",NOT(EXACT(J8,"not_applicable"))),AND(NOT(AND(D8="retain",OR(E8="report_internal_inconsistency",E8="plan_material"))),K8&lt;&gt;"",NOT(EXACT(K8,"not_applicable"))),AND(NOT(AND(D8="retain",E8="protocol_report")),L8&lt;&gt;"",NOT(EXACT(L8,"not_applicable")))),"CLEAR INACTIVE VALUES",IF(OR(NOT(OR(EXACT(D8,"retain"),EXACT(D8,"exclude"),EXACT(D8,"discuss"))),NOT(OR(EXACT(E8,"statistical_results"),EXACT(E8,"report_internal_inconsistency"),EXACT(E8,"plan_material"),EXACT(E8,"protocol_report"))),AND(AND(D8="retain",E8="statistical_results"),NOT(OR(EXACT(H8,"confirmed_issue"),EXACT(H8,"probable_issue"),EXACT(H8,"not_issue"),EXACT(H8,"indeterminate")))),AND(AND(D8="retain",E8="statistical_results"),NOT(OR(EXACT(I8,"substantive"),EXACT(I8,"minor_presentation"),EXACT(I8,"indeterminate")))),AND(AND(D8="retain",E8="statistical_results"),J8&lt;&gt;"",NOT(OR(EXACT(J8,"direct"),EXACT(J8,"possible"),EXACT(J8,"unlikely"),EXACT(J8,"unknown")))),AND(AND(D8="retain",OR(E8="report_internal_inconsistency",E8="plan_material")),NOT(OR(EXACT(K8,"substantive_inconsistency"),EXACT(K8,"minor_presentation"),EXACT(K8,"non_inconsistency"),EXACT(K8,"indeterminate")))),AND(AND(D8="retain",E8="protocol_report"),L8&lt;&gt;"",NOT(OR(EXACT(L8,"substantive_difference"),EXACT(L8,"minor_presentation"),EXACT(L8,"version_timing"),EXACT(L8,"non_inconsistency"),EXACT(L8,"indeterminate"))))),"CHECK FIELDS",IF(AND(F8&lt;&gt;"",NOT(OR(EXACT(F8,"no"),EXACT(F8,"primary_done")))),"CHECK COMPLETE",IF(EXACT(F8,"primary_done"),"PRIMARY READY","PRIMARY DRAFT")))))),"CHECK INPUT / KEY")</f>
        <v/>
      </c>
      <c r="H8" s="21">
        <f>IF(AND(OR(D8="retain",D8=""),E8="statistical_results"),"","not_applicable")</f>
        <v/>
      </c>
      <c r="I8" s="21">
        <f>IF(AND(OR(D8="retain",D8=""),E8="statistical_results"),"","not_applicable")</f>
        <v/>
      </c>
      <c r="J8" s="22">
        <f>IF(AND(OR(D8="retain",D8=""),E8="statistical_results"),"","not_applicable")</f>
        <v/>
      </c>
      <c r="K8" s="21">
        <f>IF(AND(OR(D8="retain",D8=""),OR(E8="report_internal_inconsistency",E8="plan_material")),"","not_applicable")</f>
        <v/>
      </c>
      <c r="L8" s="22" t="inlineStr">
        <is>
          <t>substantive_difference</t>
        </is>
      </c>
      <c r="M8" s="20" t="n"/>
      <c r="N8" s="23" t="n"/>
      <c r="O8" s="23" t="n"/>
      <c r="P8" s="23" t="n"/>
      <c r="Q8" s="23" t="n"/>
      <c r="R8" s="22"/>
    </row>
    <row r="9" ht="92" customHeight="1" s="25">
      <c r="A9" s="24" t="inlineStr">
        <is>
          <t>2025::jama.2025.24175::C008</t>
        </is>
      </c>
      <c r="B9" s="24" t="inlineStr">
        <is>
          <t>Unadjusted day-15 immunoparalysis odds ratio does not reconcile with its counts</t>
        </is>
      </c>
      <c r="C9" s="24" t="inlineStr">
        <is>
          <t>joi250116supp2_prod_1771885794.27755.pdf — physical PDF p.22, eTable 10, final day-15 immunoparalysis row and all three companion rows.</t>
        </is>
      </c>
      <c r="D9" s="21" t="inlineStr">
        <is>
          <t>retain</t>
        </is>
      </c>
      <c r="E9" s="21" t="inlineStr">
        <is>
          <t>statistical_results</t>
        </is>
      </c>
      <c r="F9" s="21" t="inlineStr">
        <is>
          <t>primary_done</t>
        </is>
      </c>
      <c r="G9" s="24">
        <f>IFERROR(IF(LEN(TRIM(CLEAN(SUBSTITUTE(Setup!$B$2,CHAR(160)," "))))=0,"CHECK REVIEWER ID",IF(OR(A9="",COUNTIF($A$2:$A$15,A9)&lt;&gt;1,LEFT(A9,LEN("2025::jama.2025.24175::"))&lt;&gt;"2025::jama.2025.24175::"),"CHECK KEY",IF(OR(AND(NOT(AND(D9="retain",E9="statistical_results")),H9&lt;&gt;"",NOT(EXACT(H9,"not_applicable"))),AND(NOT(AND(D9="retain",E9="statistical_results")),I9&lt;&gt;"",NOT(EXACT(I9,"not_applicable"))),AND(NOT(AND(D9="retain",E9="statistical_results")),J9&lt;&gt;"",NOT(EXACT(J9,"not_applicable"))),AND(NOT(AND(D9="retain",OR(E9="report_internal_inconsistency",E9="plan_material"))),K9&lt;&gt;"",NOT(EXACT(K9,"not_applicable"))),AND(NOT(AND(D9="retain",E9="protocol_report")),L9&lt;&gt;"",NOT(EXACT(L9,"not_applicable")))),"CLEAR INACTIVE VALUES",IF(OR(NOT(OR(EXACT(D9,"retain"),EXACT(D9,"exclude"),EXACT(D9,"discuss"))),NOT(OR(EXACT(E9,"statistical_results"),EXACT(E9,"report_internal_inconsistency"),EXACT(E9,"plan_material"),EXACT(E9,"protocol_report"))),AND(AND(D9="retain",E9="statistical_results"),NOT(OR(EXACT(H9,"confirmed_issue"),EXACT(H9,"probable_issue"),EXACT(H9,"not_issue"),EXACT(H9,"indeterminate")))),AND(AND(D9="retain",E9="statistical_results"),NOT(OR(EXACT(I9,"substantive"),EXACT(I9,"minor_presentation"),EXACT(I9,"indeterminate")))),AND(AND(D9="retain",E9="statistical_results"),J9&lt;&gt;"",NOT(OR(EXACT(J9,"direct"),EXACT(J9,"possible"),EXACT(J9,"unlikely"),EXACT(J9,"unknown")))),AND(AND(D9="retain",OR(E9="report_internal_inconsistency",E9="plan_material")),NOT(OR(EXACT(K9,"substantive_inconsistency"),EXACT(K9,"minor_presentation"),EXACT(K9,"non_inconsistency"),EXACT(K9,"indeterminate")))),AND(AND(D9="retain",E9="protocol_report"),L9&lt;&gt;"",NOT(OR(EXACT(L9,"substantive_difference"),EXACT(L9,"minor_presentation"),EXACT(L9,"version_timing"),EXACT(L9,"non_inconsistency"),EXACT(L9,"indeterminate"))))),"CHECK FIELDS",IF(AND(F9&lt;&gt;"",NOT(OR(EXACT(F9,"no"),EXACT(F9,"primary_done")))),"CHECK COMPLETE",IF(EXACT(F9,"primary_done"),"PRIMARY READY","PRIMARY DRAFT")))))),"CHECK INPUT / KEY")</f>
        <v/>
      </c>
      <c r="H9" s="21" t="inlineStr">
        <is>
          <t>confirmed_issue</t>
        </is>
      </c>
      <c r="I9" s="21" t="inlineStr">
        <is>
          <t>minor_presentation</t>
        </is>
      </c>
      <c r="J9" s="22" t="inlineStr">
        <is>
          <t>unlikely</t>
        </is>
      </c>
      <c r="K9" s="21">
        <f>IF(AND(OR(D9="retain",D9=""),OR(E9="report_internal_inconsistency",E9="plan_material")),"","not_applicable")</f>
        <v/>
      </c>
      <c r="L9" s="22">
        <f>IF(AND(OR(D9="retain",D9=""),E9="protocol_report"),"","not_applicable")</f>
        <v/>
      </c>
      <c r="M9" s="24" t="n"/>
      <c r="N9" s="23" t="n"/>
      <c r="O9" s="23" t="n"/>
      <c r="P9" s="23" t="n"/>
      <c r="Q9" s="23" t="n"/>
      <c r="R9" s="22"/>
    </row>
    <row r="10" ht="92" customHeight="1" s="25">
      <c r="A10" s="20" t="inlineStr">
        <is>
          <t>2025::jama.2025.24175::C009</t>
        </is>
      </c>
      <c r="B10" s="20" t="inlineStr">
        <is>
          <t>MALS number-needed-to-harm direction does not reconcile with patient risks</t>
        </is>
      </c>
      <c r="C10" s="20" t="inlineStr">
        <is>
          <t>joi250116supp2_prod_1771885794.27755.pdf — physical PDF p.27, eTable 13, MALS Any SAE row; joi250116supp2_prod_1771885794.27755.pdf — physical PDF p.44, eTable 15, MALS NNH1 and induce-harm definition. Definition support: joi250116supp2_prod_1771885794.27755.pdf — physical PDF p.29, eTable 13 footnote a.</t>
        </is>
      </c>
      <c r="D10" s="21" t="inlineStr">
        <is>
          <t>retain</t>
        </is>
      </c>
      <c r="E10" s="21" t="inlineStr">
        <is>
          <t>statistical_results</t>
        </is>
      </c>
      <c r="F10" s="21" t="inlineStr">
        <is>
          <t>primary_done</t>
        </is>
      </c>
      <c r="G10" s="20">
        <f>IFERROR(IF(LEN(TRIM(CLEAN(SUBSTITUTE(Setup!$B$2,CHAR(160)," "))))=0,"CHECK REVIEWER ID",IF(OR(A10="",COUNTIF($A$2:$A$15,A10)&lt;&gt;1,LEFT(A10,LEN("2025::jama.2025.24175::"))&lt;&gt;"2025::jama.2025.24175::"),"CHECK KEY",IF(OR(AND(NOT(AND(D10="retain",E10="statistical_results")),H10&lt;&gt;"",NOT(EXACT(H10,"not_applicable"))),AND(NOT(AND(D10="retain",E10="statistical_results")),I10&lt;&gt;"",NOT(EXACT(I10,"not_applicable"))),AND(NOT(AND(D10="retain",E10="statistical_results")),J10&lt;&gt;"",NOT(EXACT(J10,"not_applicable"))),AND(NOT(AND(D10="retain",OR(E10="report_internal_inconsistency",E10="plan_material"))),K10&lt;&gt;"",NOT(EXACT(K10,"not_applicable"))),AND(NOT(AND(D10="retain",E10="protocol_report")),L10&lt;&gt;"",NOT(EXACT(L10,"not_applicable")))),"CLEAR INACTIVE VALUES",IF(OR(NOT(OR(EXACT(D10,"retain"),EXACT(D10,"exclude"),EXACT(D10,"discuss"))),NOT(OR(EXACT(E10,"statistical_results"),EXACT(E10,"report_internal_inconsistency"),EXACT(E10,"plan_material"),EXACT(E10,"protocol_report"))),AND(AND(D10="retain",E10="statistical_results"),NOT(OR(EXACT(H10,"confirmed_issue"),EXACT(H10,"probable_issue"),EXACT(H10,"not_issue"),EXACT(H10,"indeterminate")))),AND(AND(D10="retain",E10="statistical_results"),NOT(OR(EXACT(I10,"substantive"),EXACT(I10,"minor_presentation"),EXACT(I10,"indeterminate")))),AND(AND(D10="retain",E10="statistical_results"),J10&lt;&gt;"",NOT(OR(EXACT(J10,"direct"),EXACT(J10,"possible"),EXACT(J10,"unlikely"),EXACT(J10,"unknown")))),AND(AND(D10="retain",OR(E10="report_internal_inconsistency",E10="plan_material")),NOT(OR(EXACT(K10,"substantive_inconsistency"),EXACT(K10,"minor_presentation"),EXACT(K10,"non_inconsistency"),EXACT(K10,"indeterminate")))),AND(AND(D10="retain",E10="protocol_report"),L10&lt;&gt;"",NOT(OR(EXACT(L10,"substantive_difference"),EXACT(L10,"minor_presentation"),EXACT(L10,"version_timing"),EXACT(L10,"non_inconsistency"),EXACT(L10,"indeterminate"))))),"CHECK FIELDS",IF(AND(F10&lt;&gt;"",NOT(OR(EXACT(F10,"no"),EXACT(F10,"primary_done")))),"CHECK COMPLETE",IF(EXACT(F10,"primary_done"),"PRIMARY READY","PRIMARY DRAFT")))))),"CHECK INPUT / KEY")</f>
        <v/>
      </c>
      <c r="H10" s="21" t="inlineStr">
        <is>
          <t>confirmed_issue</t>
        </is>
      </c>
      <c r="I10" s="21" t="inlineStr">
        <is>
          <t>substantive</t>
        </is>
      </c>
      <c r="J10" s="22" t="inlineStr">
        <is>
          <t>possible</t>
        </is>
      </c>
      <c r="K10" s="21">
        <f>IF(AND(OR(D10="retain",D10=""),OR(E10="report_internal_inconsistency",E10="plan_material")),"","not_applicable")</f>
        <v/>
      </c>
      <c r="L10" s="22">
        <f>IF(AND(OR(D10="retain",D10=""),E10="protocol_report"),"","not_applicable")</f>
        <v/>
      </c>
      <c r="M10" s="20" t="n"/>
      <c r="N10" s="23" t="n"/>
      <c r="O10" s="23" t="n"/>
      <c r="P10" s="23" t="n"/>
      <c r="Q10" s="23" t="n"/>
      <c r="R10" s="22"/>
    </row>
    <row r="11" ht="92" customHeight="1" s="25">
      <c r="A11" s="24" t="inlineStr">
        <is>
          <t>2025::jama.2025.24175::C010</t>
        </is>
      </c>
      <c r="B11" s="24" t="inlineStr">
        <is>
          <t>Finite NNH1 intervals versus nonsignificant source-specified safety comparisons</t>
        </is>
      </c>
      <c r="C11" s="24" t="inlineStr">
        <is>
          <t>joi250116supp2_prod_1771885794.27755.pdf — physical PDF p.27, eTable 13, MALS and immunoparalysis Any SAE patient rows; joi250116supp2_prod_1771885794.27755.pdf — physical PDF p.44, eTable 15, both NNH1 intervals. Patient-count support: joi250116supp2_prod_1771885794.27755.pdf — physical PDF p.29, footnote a. Test corroboration: jama_giamarellosbourboulis_2025_oi_250116_1771885794.23757.pdf — physical PDF p.6, significance and SAP-following statements; joi250116supp1_prod_1771885794.26255.pdf — physical PDF p.70, SAP Safety and two-sided significance specification.</t>
        </is>
      </c>
      <c r="D11" s="21" t="inlineStr">
        <is>
          <t>retain</t>
        </is>
      </c>
      <c r="E11" s="21" t="inlineStr">
        <is>
          <t>statistical_results</t>
        </is>
      </c>
      <c r="F11" s="21" t="inlineStr">
        <is>
          <t>primary_done</t>
        </is>
      </c>
      <c r="G11" s="24">
        <f>IFERROR(IF(LEN(TRIM(CLEAN(SUBSTITUTE(Setup!$B$2,CHAR(160)," "))))=0,"CHECK REVIEWER ID",IF(OR(A11="",COUNTIF($A$2:$A$15,A11)&lt;&gt;1,LEFT(A11,LEN("2025::jama.2025.24175::"))&lt;&gt;"2025::jama.2025.24175::"),"CHECK KEY",IF(OR(AND(NOT(AND(D11="retain",E11="statistical_results")),H11&lt;&gt;"",NOT(EXACT(H11,"not_applicable"))),AND(NOT(AND(D11="retain",E11="statistical_results")),I11&lt;&gt;"",NOT(EXACT(I11,"not_applicable"))),AND(NOT(AND(D11="retain",E11="statistical_results")),J11&lt;&gt;"",NOT(EXACT(J11,"not_applicable"))),AND(NOT(AND(D11="retain",OR(E11="report_internal_inconsistency",E11="plan_material"))),K11&lt;&gt;"",NOT(EXACT(K11,"not_applicable"))),AND(NOT(AND(D11="retain",E11="protocol_report")),L11&lt;&gt;"",NOT(EXACT(L11,"not_applicable")))),"CLEAR INACTIVE VALUES",IF(OR(NOT(OR(EXACT(D11,"retain"),EXACT(D11,"exclude"),EXACT(D11,"discuss"))),NOT(OR(EXACT(E11,"statistical_results"),EXACT(E11,"report_internal_inconsistency"),EXACT(E11,"plan_material"),EXACT(E11,"protocol_report"))),AND(AND(D11="retain",E11="statistical_results"),NOT(OR(EXACT(H11,"confirmed_issue"),EXACT(H11,"probable_issue"),EXACT(H11,"not_issue"),EXACT(H11,"indeterminate")))),AND(AND(D11="retain",E11="statistical_results"),NOT(OR(EXACT(I11,"substantive"),EXACT(I11,"minor_presentation"),EXACT(I11,"indeterminate")))),AND(AND(D11="retain",E11="statistical_results"),J11&lt;&gt;"",NOT(OR(EXACT(J11,"direct"),EXACT(J11,"possible"),EXACT(J11,"unlikely"),EXACT(J11,"unknown")))),AND(AND(D11="retain",OR(E11="report_internal_inconsistency",E11="plan_material")),NOT(OR(EXACT(K11,"substantive_inconsistency"),EXACT(K11,"minor_presentation"),EXACT(K11,"non_inconsistency"),EXACT(K11,"indeterminate")))),AND(AND(D11="retain",E11="protocol_report"),L11&lt;&gt;"",NOT(OR(EXACT(L11,"substantive_difference"),EXACT(L11,"minor_presentation"),EXACT(L11,"version_timing"),EXACT(L11,"non_inconsistency"),EXACT(L11,"indeterminate"))))),"CHECK FIELDS",IF(AND(F11&lt;&gt;"",NOT(OR(EXACT(F11,"no"),EXACT(F11,"primary_done")))),"CHECK COMPLETE",IF(EXACT(F11,"primary_done"),"PRIMARY READY","PRIMARY DRAFT")))))),"CHECK INPUT / KEY")</f>
        <v/>
      </c>
      <c r="H11" s="21" t="inlineStr">
        <is>
          <t>confirmed_issue</t>
        </is>
      </c>
      <c r="I11" s="21" t="inlineStr">
        <is>
          <t>substantive</t>
        </is>
      </c>
      <c r="J11" s="22" t="inlineStr">
        <is>
          <t>possible</t>
        </is>
      </c>
      <c r="K11" s="21">
        <f>IF(AND(OR(D11="retain",D11=""),OR(E11="report_internal_inconsistency",E11="plan_material")),"","not_applicable")</f>
        <v/>
      </c>
      <c r="L11" s="22">
        <f>IF(AND(OR(D11="retain",D11=""),E11="protocol_report"),"","not_applicable")</f>
        <v/>
      </c>
      <c r="M11" s="24" t="n"/>
      <c r="N11" s="23" t="n"/>
      <c r="O11" s="23" t="n"/>
      <c r="P11" s="23" t="n"/>
      <c r="Q11" s="23" t="n"/>
      <c r="R11" s="22"/>
    </row>
    <row r="12" ht="92" customHeight="1" s="25">
      <c r="A12" s="20" t="inlineStr">
        <is>
          <t>2025::jama.2025.24175::C011</t>
        </is>
      </c>
      <c r="B12" s="20" t="inlineStr">
        <is>
          <t>Five subgroup P values do not reproduce under the companion-row test</t>
        </is>
      </c>
      <c r="C12" s="20" t="inlineStr">
        <is>
          <t>joi250116supp2_prod_1771885794.27755.pdf — physical PDF p.51, eFigure 7 panel A, primary response, APACHE II≥25, CCI≥5 and SOFA≥10 rows; joi250116supp2_prod_1771885794.27755.pdf — physical PDF p.52, eFigure 8 panel A, 28-day mortality, SOFA≥10 row; joi250116supp2_prod_1771885794.27755.pdf — physical PDF p.53, eFigure 9 panel A, 90-day mortality, SOFA≥10 row. Each page's remaining panel-A rows supplies companion evidence. Corroborating methods: jama_giamarellosbourboulis_2025_oi_250116_1771885794.23757.pdf — physical PDF p.6.</t>
        </is>
      </c>
      <c r="D12" s="21" t="inlineStr">
        <is>
          <t>retain</t>
        </is>
      </c>
      <c r="E12" s="21" t="inlineStr">
        <is>
          <t>statistical_results</t>
        </is>
      </c>
      <c r="F12" s="21" t="inlineStr">
        <is>
          <t>primary_done</t>
        </is>
      </c>
      <c r="G12" s="20">
        <f>IFERROR(IF(LEN(TRIM(CLEAN(SUBSTITUTE(Setup!$B$2,CHAR(160)," "))))=0,"CHECK REVIEWER ID",IF(OR(A12="",COUNTIF($A$2:$A$15,A12)&lt;&gt;1,LEFT(A12,LEN("2025::jama.2025.24175::"))&lt;&gt;"2025::jama.2025.24175::"),"CHECK KEY",IF(OR(AND(NOT(AND(D12="retain",E12="statistical_results")),H12&lt;&gt;"",NOT(EXACT(H12,"not_applicable"))),AND(NOT(AND(D12="retain",E12="statistical_results")),I12&lt;&gt;"",NOT(EXACT(I12,"not_applicable"))),AND(NOT(AND(D12="retain",E12="statistical_results")),J12&lt;&gt;"",NOT(EXACT(J12,"not_applicable"))),AND(NOT(AND(D12="retain",OR(E12="report_internal_inconsistency",E12="plan_material"))),K12&lt;&gt;"",NOT(EXACT(K12,"not_applicable"))),AND(NOT(AND(D12="retain",E12="protocol_report")),L12&lt;&gt;"",NOT(EXACT(L12,"not_applicable")))),"CLEAR INACTIVE VALUES",IF(OR(NOT(OR(EXACT(D12,"retain"),EXACT(D12,"exclude"),EXACT(D12,"discuss"))),NOT(OR(EXACT(E12,"statistical_results"),EXACT(E12,"report_internal_inconsistency"),EXACT(E12,"plan_material"),EXACT(E12,"protocol_report"))),AND(AND(D12="retain",E12="statistical_results"),NOT(OR(EXACT(H12,"confirmed_issue"),EXACT(H12,"probable_issue"),EXACT(H12,"not_issue"),EXACT(H12,"indeterminate")))),AND(AND(D12="retain",E12="statistical_results"),NOT(OR(EXACT(I12,"substantive"),EXACT(I12,"minor_presentation"),EXACT(I12,"indeterminate")))),AND(AND(D12="retain",E12="statistical_results"),J12&lt;&gt;"",NOT(OR(EXACT(J12,"direct"),EXACT(J12,"possible"),EXACT(J12,"unlikely"),EXACT(J12,"unknown")))),AND(AND(D12="retain",OR(E12="report_internal_inconsistency",E12="plan_material")),NOT(OR(EXACT(K12,"substantive_inconsistency"),EXACT(K12,"minor_presentation"),EXACT(K12,"non_inconsistency"),EXACT(K12,"indeterminate")))),AND(AND(D12="retain",E12="protocol_report"),L12&lt;&gt;"",NOT(OR(EXACT(L12,"substantive_difference"),EXACT(L12,"minor_presentation"),EXACT(L12,"version_timing"),EXACT(L12,"non_inconsistency"),EXACT(L12,"indeterminate"))))),"CHECK FIELDS",IF(AND(F12&lt;&gt;"",NOT(OR(EXACT(F12,"no"),EXACT(F12,"primary_done")))),"CHECK COMPLETE",IF(EXACT(F12,"primary_done"),"PRIMARY READY","PRIMARY DRAFT")))))),"CHECK INPUT / KEY")</f>
        <v/>
      </c>
      <c r="H12" s="21" t="inlineStr">
        <is>
          <t>confirmed_issue</t>
        </is>
      </c>
      <c r="I12" s="21" t="inlineStr">
        <is>
          <t>minor_presentation</t>
        </is>
      </c>
      <c r="J12" s="22" t="inlineStr">
        <is>
          <t>unlikely</t>
        </is>
      </c>
      <c r="K12" s="21">
        <f>IF(AND(OR(D12="retain",D12=""),OR(E12="report_internal_inconsistency",E12="plan_material")),"","not_applicable")</f>
        <v/>
      </c>
      <c r="L12" s="22">
        <f>IF(AND(OR(D12="retain",D12=""),E12="protocol_report"),"","not_applicable")</f>
        <v/>
      </c>
      <c r="M12" s="20" t="n"/>
      <c r="N12" s="23" t="n"/>
      <c r="O12" s="23" t="n"/>
      <c r="P12" s="23" t="n"/>
      <c r="Q12" s="23" t="n"/>
      <c r="R12" s="22"/>
    </row>
    <row r="13" ht="92" customHeight="1" s="25">
      <c r="A13" s="24" t="inlineStr">
        <is>
          <t>2025::jama.2025.24175::C012</t>
        </is>
      </c>
      <c r="B13" s="24" t="inlineStr">
        <is>
          <t>Repeated APACHE coefficient does not reproduce the companion interval construction</t>
        </is>
      </c>
      <c r="C13" s="24" t="inlineStr">
        <is>
          <t>joi250116supp2_prod_1771885794.27755.pdf — physical PDF p.51, eFigure 7 panel B, APACHE II≥25 main-effect row and five companions; joi250116supp2_prod_1771885794.27755.pdf — physical PDF p.52, eFigure 8 panel B, corresponding row and five companions.</t>
        </is>
      </c>
      <c r="D13" s="21" t="inlineStr">
        <is>
          <t>retain</t>
        </is>
      </c>
      <c r="E13" s="21" t="inlineStr">
        <is>
          <t>statistical_results</t>
        </is>
      </c>
      <c r="F13" s="21" t="inlineStr">
        <is>
          <t>primary_done</t>
        </is>
      </c>
      <c r="G13" s="24">
        <f>IFERROR(IF(LEN(TRIM(CLEAN(SUBSTITUTE(Setup!$B$2,CHAR(160)," "))))=0,"CHECK REVIEWER ID",IF(OR(A13="",COUNTIF($A$2:$A$15,A13)&lt;&gt;1,LEFT(A13,LEN("2025::jama.2025.24175::"))&lt;&gt;"2025::jama.2025.24175::"),"CHECK KEY",IF(OR(AND(NOT(AND(D13="retain",E13="statistical_results")),H13&lt;&gt;"",NOT(EXACT(H13,"not_applicable"))),AND(NOT(AND(D13="retain",E13="statistical_results")),I13&lt;&gt;"",NOT(EXACT(I13,"not_applicable"))),AND(NOT(AND(D13="retain",E13="statistical_results")),J13&lt;&gt;"",NOT(EXACT(J13,"not_applicable"))),AND(NOT(AND(D13="retain",OR(E13="report_internal_inconsistency",E13="plan_material"))),K13&lt;&gt;"",NOT(EXACT(K13,"not_applicable"))),AND(NOT(AND(D13="retain",E13="protocol_report")),L13&lt;&gt;"",NOT(EXACT(L13,"not_applicable")))),"CLEAR INACTIVE VALUES",IF(OR(NOT(OR(EXACT(D13,"retain"),EXACT(D13,"exclude"),EXACT(D13,"discuss"))),NOT(OR(EXACT(E13,"statistical_results"),EXACT(E13,"report_internal_inconsistency"),EXACT(E13,"plan_material"),EXACT(E13,"protocol_report"))),AND(AND(D13="retain",E13="statistical_results"),NOT(OR(EXACT(H13,"confirmed_issue"),EXACT(H13,"probable_issue"),EXACT(H13,"not_issue"),EXACT(H13,"indeterminate")))),AND(AND(D13="retain",E13="statistical_results"),NOT(OR(EXACT(I13,"substantive"),EXACT(I13,"minor_presentation"),EXACT(I13,"indeterminate")))),AND(AND(D13="retain",E13="statistical_results"),J13&lt;&gt;"",NOT(OR(EXACT(J13,"direct"),EXACT(J13,"possible"),EXACT(J13,"unlikely"),EXACT(J13,"unknown")))),AND(AND(D13="retain",OR(E13="report_internal_inconsistency",E13="plan_material")),NOT(OR(EXACT(K13,"substantive_inconsistency"),EXACT(K13,"minor_presentation"),EXACT(K13,"non_inconsistency"),EXACT(K13,"indeterminate")))),AND(AND(D13="retain",E13="protocol_report"),L13&lt;&gt;"",NOT(OR(EXACT(L13,"substantive_difference"),EXACT(L13,"minor_presentation"),EXACT(L13,"version_timing"),EXACT(L13,"non_inconsistency"),EXACT(L13,"indeterminate"))))),"CHECK FIELDS",IF(AND(F13&lt;&gt;"",NOT(OR(EXACT(F13,"no"),EXACT(F13,"primary_done")))),"CHECK COMPLETE",IF(EXACT(F13,"primary_done"),"PRIMARY READY","PRIMARY DRAFT")))))),"CHECK INPUT / KEY")</f>
        <v/>
      </c>
      <c r="H13" s="21" t="inlineStr">
        <is>
          <t>confirmed_issue</t>
        </is>
      </c>
      <c r="I13" s="21" t="inlineStr">
        <is>
          <t>minor_presentation</t>
        </is>
      </c>
      <c r="J13" s="22" t="inlineStr">
        <is>
          <t>unlikely</t>
        </is>
      </c>
      <c r="K13" s="21">
        <f>IF(AND(OR(D13="retain",D13=""),OR(E13="report_internal_inconsistency",E13="plan_material")),"","not_applicable")</f>
        <v/>
      </c>
      <c r="L13" s="22">
        <f>IF(AND(OR(D13="retain",D13=""),E13="protocol_report"),"","not_applicable")</f>
        <v/>
      </c>
      <c r="M13" s="24" t="n"/>
      <c r="N13" s="23" t="n"/>
      <c r="O13" s="23" t="n"/>
      <c r="P13" s="23" t="n"/>
      <c r="Q13" s="23" t="n"/>
      <c r="R13" s="22"/>
    </row>
    <row r="14" ht="92" customHeight="1" s="25">
      <c r="A14" s="20" t="inlineStr">
        <is>
          <t>2025::jama.2025.24175::C013</t>
        </is>
      </c>
      <c r="B14" s="20" t="inlineStr">
        <is>
          <t>Complete six-row output has unresolved attribution to two outcomes</t>
        </is>
      </c>
      <c r="C14" s="20" t="inlineStr">
        <is>
          <t>joi250116supp2_prod_1771885794.27755.pdf — physical PDF p.51, eFigure 7 complete panel B and primary-response caption; joi250116supp2_prod_1771885794.27755.pdf — physical PDF p.52, eFigure 8 complete panel B and 28-day-mortality caption. Narrative corroboration: jama_giamarellosbourboulis_2025_oi_250116_1771885794.23757.pdf — physical PDF p.7, Post Hoc and Subgroup Analyses opening; jama_giamarellosbourboulis_2025_oi_250116_1771885794.23757.pdf — physical PDF p.8, interaction continuation.</t>
        </is>
      </c>
      <c r="D14" s="21" t="inlineStr">
        <is>
          <t>retain</t>
        </is>
      </c>
      <c r="E14" s="21" t="inlineStr">
        <is>
          <t>report_internal_inconsistency</t>
        </is>
      </c>
      <c r="F14" s="21" t="inlineStr">
        <is>
          <t>primary_done</t>
        </is>
      </c>
      <c r="G14" s="20">
        <f>IFERROR(IF(LEN(TRIM(CLEAN(SUBSTITUTE(Setup!$B$2,CHAR(160)," "))))=0,"CHECK REVIEWER ID",IF(OR(A14="",COUNTIF($A$2:$A$15,A14)&lt;&gt;1,LEFT(A14,LEN("2025::jama.2025.24175::"))&lt;&gt;"2025::jama.2025.24175::"),"CHECK KEY",IF(OR(AND(NOT(AND(D14="retain",E14="statistical_results")),H14&lt;&gt;"",NOT(EXACT(H14,"not_applicable"))),AND(NOT(AND(D14="retain",E14="statistical_results")),I14&lt;&gt;"",NOT(EXACT(I14,"not_applicable"))),AND(NOT(AND(D14="retain",E14="statistical_results")),J14&lt;&gt;"",NOT(EXACT(J14,"not_applicable"))),AND(NOT(AND(D14="retain",OR(E14="report_internal_inconsistency",E14="plan_material"))),K14&lt;&gt;"",NOT(EXACT(K14,"not_applicable"))),AND(NOT(AND(D14="retain",E14="protocol_report")),L14&lt;&gt;"",NOT(EXACT(L14,"not_applicable")))),"CLEAR INACTIVE VALUES",IF(OR(NOT(OR(EXACT(D14,"retain"),EXACT(D14,"exclude"),EXACT(D14,"discuss"))),NOT(OR(EXACT(E14,"statistical_results"),EXACT(E14,"report_internal_inconsistency"),EXACT(E14,"plan_material"),EXACT(E14,"protocol_report"))),AND(AND(D14="retain",E14="statistical_results"),NOT(OR(EXACT(H14,"confirmed_issue"),EXACT(H14,"probable_issue"),EXACT(H14,"not_issue"),EXACT(H14,"indeterminate")))),AND(AND(D14="retain",E14="statistical_results"),NOT(OR(EXACT(I14,"substantive"),EXACT(I14,"minor_presentation"),EXACT(I14,"indeterminate")))),AND(AND(D14="retain",E14="statistical_results"),J14&lt;&gt;"",NOT(OR(EXACT(J14,"direct"),EXACT(J14,"possible"),EXACT(J14,"unlikely"),EXACT(J14,"unknown")))),AND(AND(D14="retain",OR(E14="report_internal_inconsistency",E14="plan_material")),NOT(OR(EXACT(K14,"substantive_inconsistency"),EXACT(K14,"minor_presentation"),EXACT(K14,"non_inconsistency"),EXACT(K14,"indeterminate")))),AND(AND(D14="retain",E14="protocol_report"),L14&lt;&gt;"",NOT(OR(EXACT(L14,"substantive_difference"),EXACT(L14,"minor_presentation"),EXACT(L14,"version_timing"),EXACT(L14,"non_inconsistency"),EXACT(L14,"indeterminate"))))),"CHECK FIELDS",IF(AND(F14&lt;&gt;"",NOT(OR(EXACT(F14,"no"),EXACT(F14,"primary_done")))),"CHECK COMPLETE",IF(EXACT(F14,"primary_done"),"PRIMARY READY","PRIMARY DRAFT")))))),"CHECK INPUT / KEY")</f>
        <v/>
      </c>
      <c r="H14" s="21">
        <f>IF(AND(OR(D14="retain",D14=""),E14="statistical_results"),"","not_applicable")</f>
        <v/>
      </c>
      <c r="I14" s="21">
        <f>IF(AND(OR(D14="retain",D14=""),E14="statistical_results"),"","not_applicable")</f>
        <v/>
      </c>
      <c r="J14" s="22">
        <f>IF(AND(OR(D14="retain",D14=""),E14="statistical_results"),"","not_applicable")</f>
        <v/>
      </c>
      <c r="K14" s="21" t="inlineStr">
        <is>
          <t>substantive_inconsistency</t>
        </is>
      </c>
      <c r="L14" s="22">
        <f>IF(AND(OR(D14="retain",D14=""),E14="protocol_report"),"","not_applicable")</f>
        <v/>
      </c>
      <c r="M14" s="20" t="n"/>
      <c r="N14" s="23" t="n"/>
      <c r="O14" s="23" t="n"/>
      <c r="P14" s="23" t="n"/>
      <c r="Q14" s="23" t="n"/>
      <c r="R14" s="22"/>
    </row>
    <row r="15" ht="92" customHeight="1" s="25">
      <c r="A15" s="24" t="inlineStr">
        <is>
          <t>2025::jama.2025.24175::C014</t>
        </is>
      </c>
      <c r="B15" s="24" t="inlineStr">
        <is>
          <t>90-day APACHE-treatment point lies outside its stated confidence interval</t>
        </is>
      </c>
      <c r="C15" s="24" t="inlineStr">
        <is>
          <t>joi250116supp2_prod_1771885794.27755.pdf — physical PDF p.53, eFigure 9 panel B, APACHE II≥25×precision-immunotherapy row and 90-day-mortality caption.</t>
        </is>
      </c>
      <c r="D15" s="21" t="inlineStr">
        <is>
          <t>retain</t>
        </is>
      </c>
      <c r="E15" s="21" t="inlineStr">
        <is>
          <t>statistical_results</t>
        </is>
      </c>
      <c r="F15" s="21" t="inlineStr">
        <is>
          <t>primary_done</t>
        </is>
      </c>
      <c r="G15" s="24">
        <f>IFERROR(IF(LEN(TRIM(CLEAN(SUBSTITUTE(Setup!$B$2,CHAR(160)," "))))=0,"CHECK REVIEWER ID",IF(OR(A15="",COUNTIF($A$2:$A$15,A15)&lt;&gt;1,LEFT(A15,LEN("2025::jama.2025.24175::"))&lt;&gt;"2025::jama.2025.24175::"),"CHECK KEY",IF(OR(AND(NOT(AND(D15="retain",E15="statistical_results")),H15&lt;&gt;"",NOT(EXACT(H15,"not_applicable"))),AND(NOT(AND(D15="retain",E15="statistical_results")),I15&lt;&gt;"",NOT(EXACT(I15,"not_applicable"))),AND(NOT(AND(D15="retain",E15="statistical_results")),J15&lt;&gt;"",NOT(EXACT(J15,"not_applicable"))),AND(NOT(AND(D15="retain",OR(E15="report_internal_inconsistency",E15="plan_material"))),K15&lt;&gt;"",NOT(EXACT(K15,"not_applicable"))),AND(NOT(AND(D15="retain",E15="protocol_report")),L15&lt;&gt;"",NOT(EXACT(L15,"not_applicable")))),"CLEAR INACTIVE VALUES",IF(OR(NOT(OR(EXACT(D15,"retain"),EXACT(D15,"exclude"),EXACT(D15,"discuss"))),NOT(OR(EXACT(E15,"statistical_results"),EXACT(E15,"report_internal_inconsistency"),EXACT(E15,"plan_material"),EXACT(E15,"protocol_report"))),AND(AND(D15="retain",E15="statistical_results"),NOT(OR(EXACT(H15,"confirmed_issue"),EXACT(H15,"probable_issue"),EXACT(H15,"not_issue"),EXACT(H15,"indeterminate")))),AND(AND(D15="retain",E15="statistical_results"),NOT(OR(EXACT(I15,"substantive"),EXACT(I15,"minor_presentation"),EXACT(I15,"indeterminate")))),AND(AND(D15="retain",E15="statistical_results"),J15&lt;&gt;"",NOT(OR(EXACT(J15,"direct"),EXACT(J15,"possible"),EXACT(J15,"unlikely"),EXACT(J15,"unknown")))),AND(AND(D15="retain",OR(E15="report_internal_inconsistency",E15="plan_material")),NOT(OR(EXACT(K15,"substantive_inconsistency"),EXACT(K15,"minor_presentation"),EXACT(K15,"non_inconsistency"),EXACT(K15,"indeterminate")))),AND(AND(D15="retain",E15="protocol_report"),L15&lt;&gt;"",NOT(OR(EXACT(L15,"substantive_difference"),EXACT(L15,"minor_presentation"),EXACT(L15,"version_timing"),EXACT(L15,"non_inconsistency"),EXACT(L15,"indeterminate"))))),"CHECK FIELDS",IF(AND(F15&lt;&gt;"",NOT(OR(EXACT(F15,"no"),EXACT(F15,"primary_done")))),"CHECK COMPLETE",IF(EXACT(F15,"primary_done"),"PRIMARY READY","PRIMARY DRAFT")))))),"CHECK INPUT / KEY")</f>
        <v/>
      </c>
      <c r="H15" s="21" t="inlineStr">
        <is>
          <t>confirmed_issue</t>
        </is>
      </c>
      <c r="I15" s="21" t="inlineStr">
        <is>
          <t>minor_presentation</t>
        </is>
      </c>
      <c r="J15" s="22" t="inlineStr">
        <is>
          <t>unlikely</t>
        </is>
      </c>
      <c r="K15" s="21">
        <f>IF(AND(OR(D15="retain",D15=""),OR(E15="report_internal_inconsistency",E15="plan_material")),"","not_applicable")</f>
        <v/>
      </c>
      <c r="L15" s="22">
        <f>IF(AND(OR(D15="retain",D15=""),E15="protocol_report"),"","not_applicable")</f>
        <v/>
      </c>
      <c r="M15" s="24" t="n"/>
      <c r="N15" s="23" t="n"/>
      <c r="O15" s="23" t="n"/>
      <c r="P15" s="23" t="n"/>
      <c r="Q15" s="23" t="n"/>
      <c r="R15" s="22"/>
    </row>
  </sheetData>
  <autoFilter ref="A1:R15"/>
  <conditionalFormatting sqref="H2:H15">
    <cfRule type="expression" priority="8" dxfId="70">
      <formula>NOT(AND(OR($D2="retain",$D2=""),$E2="statistical_results"))</formula>
    </cfRule>
  </conditionalFormatting>
  <conditionalFormatting sqref="I2:I15">
    <cfRule type="expression" priority="9" dxfId="70">
      <formula>NOT(AND(OR($D2="retain",$D2=""),$E2="statistical_results"))</formula>
    </cfRule>
  </conditionalFormatting>
  <conditionalFormatting sqref="J2:J15">
    <cfRule type="expression" priority="10" dxfId="70">
      <formula>NOT(AND(OR($D2="retain",$D2=""),$E2="statistical_results"))</formula>
    </cfRule>
  </conditionalFormatting>
  <conditionalFormatting sqref="K2:K15">
    <cfRule type="expression" priority="11" dxfId="70">
      <formula>NOT(AND(OR($D2="retain",$D2=""),OR($E2="report_internal_inconsistency",$E2="plan_material")))</formula>
    </cfRule>
  </conditionalFormatting>
  <conditionalFormatting sqref="L2:L15">
    <cfRule type="expression" priority="12" dxfId="70">
      <formula>NOT(AND(OR($D2="retain",$D2=""),$E2="protocol_report"))</formula>
    </cfRule>
  </conditionalFormatting>
  <conditionalFormatting sqref="G2:G15">
    <cfRule type="expression" priority="13" dxfId="71">
      <formula>G2&lt;&gt;"PRIMARY READY"</formula>
    </cfRule>
  </conditionalFormatting>
  <dataValidations count="8">
    <dataValidation sqref="D2:D15" showDropDown="0" showInputMessage="0" showErrorMessage="1" allowBlank="1" errorTitle="Use a listed option" error="Choose an option; G also checks pasted entries." type="list" errorStyle="stop">
      <formula1>"retain,exclude,discuss"</formula1>
    </dataValidation>
    <dataValidation sqref="E2:E15" showDropDown="0" showInputMessage="0" showErrorMessage="1" allowBlank="1" errorTitle="Use a listed option" error="Choose an option; G also checks pasted entries." type="list" errorStyle="stop">
      <formula1>"statistical_results,report_internal_inconsistency,plan_material,protocol_report"</formula1>
    </dataValidation>
    <dataValidation sqref="F2:F15" showDropDown="0" showInputMessage="0" showErrorMessage="1" allowBlank="1" errorTitle="Use a listed option" error="Choose an option; G also checks pasted entries." type="list" errorStyle="stop">
      <formula1>"no,primary_done"</formula1>
    </dataValidation>
    <dataValidation sqref="H2:H15" showDropDown="0" showInputMessage="0" showErrorMessage="1" allowBlank="1" errorTitle="Use a listed option" error="Choose an option; G also checks pasted entries." type="list" errorStyle="stop">
      <formula1>"confirmed_issue,probable_issue,not_issue,indeterminate,not_applicable"</formula1>
    </dataValidation>
    <dataValidation sqref="I2:I15" showDropDown="0" showInputMessage="0" showErrorMessage="1" allowBlank="1" errorTitle="Use a listed option" error="Choose an option; G also checks pasted entries." type="list" errorStyle="stop">
      <formula1>"substantive,minor_presentation,indeterminate,not_applicable"</formula1>
    </dataValidation>
    <dataValidation sqref="J2:J15" showDropDown="0" showInputMessage="0" showErrorMessage="1" allowBlank="1" errorTitle="Use a listed option" error="Choose an option; G also checks pasted entries." type="list" errorStyle="stop">
      <formula1>"direct,possible,unlikely,unknown,not_applicable"</formula1>
    </dataValidation>
    <dataValidation sqref="K2:K15" showDropDown="0" showInputMessage="0" showErrorMessage="1" allowBlank="1" errorTitle="Use a listed option" error="Choose an option; G also checks pasted entries." type="list" errorStyle="stop">
      <formula1>"substantive_inconsistency,minor_presentation,non_inconsistency,indeterminate,not_applicable"</formula1>
    </dataValidation>
    <dataValidation sqref="L2:L15" showDropDown="0" showInputMessage="0" showErrorMessage="1" allowBlank="1" errorTitle="Use a listed option" error="Choose an option; G also checks pasted entries." type="list" errorStyle="stop">
      <formula1>"substantive_difference,minor_presentation,version_timing,non_inconsistency,indeterminate,not_applicable"</formula1>
    </dataValidation>
  </dataValidations>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R14"/>
  <sheetViews>
    <sheetView tabSelected="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Format="1"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Statistical_or_numerical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ht="92" customHeight="1" s="25">
      <c r="A2" s="20" t="inlineStr">
        <is>
          <t>2025::jama.2025.4390::C001</t>
        </is>
      </c>
      <c r="B2" s="20" t="inlineStr">
        <is>
          <t>Figure 3 primary and subgroup rate quantity/scale</t>
        </is>
      </c>
      <c r="C2" s="20" t="inlineStr">
        <is>
          <t>REPORT jama_garrison_2025_oi_250019_1749674951.29054.pdf — physical PDF p. 9; REPORT jama_garrison_2025_oi_250019_1749674951.29054.pdf — physical PDF p. 8; REPORT jama_garrison_2025_oi_250019_1749674951.29054.pdf — physical PDF p. 1; REPORT jama_garrison_2025_oi_250019_1749674951.29054.pdf — physical PDF p. 2; REPORT jama_garrison_2025_oi_250019_1749674951.29054.pdf — physical PDF p. 6</t>
        </is>
      </c>
      <c r="D2" s="21" t="inlineStr">
        <is>
          <t>retain</t>
        </is>
      </c>
      <c r="E2" s="21" t="inlineStr">
        <is>
          <t>statistical_results</t>
        </is>
      </c>
      <c r="F2" s="21" t="inlineStr">
        <is>
          <t>primary_done</t>
        </is>
      </c>
      <c r="G2" s="20">
        <f>IFERROR(IF(LEN(TRIM(CLEAN(SUBSTITUTE(Setup!$B$2,CHAR(160)," "))))=0,"CHECK REVIEWER ID",IF(OR(A2="",COUNTIF($A$2:$A$14,A2)&lt;&gt;1,LEFT(A2,LEN("2025::jama.2025.4390::"))&lt;&gt;"2025::jama.2025.4390::"),"CHECK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
      </c>
      <c r="H2" s="21" t="inlineStr">
        <is>
          <t>confirmed_issue</t>
        </is>
      </c>
      <c r="I2" s="21" t="inlineStr">
        <is>
          <t>minor_presentation</t>
        </is>
      </c>
      <c r="J2" s="22" t="inlineStr">
        <is>
          <t>possible</t>
        </is>
      </c>
      <c r="K2" s="21">
        <f>IF(AND(OR(D2="retain",D2=""),OR(E2="report_internal_inconsistency",E2="plan_material")),"","not_applicable")</f>
        <v/>
      </c>
      <c r="L2" s="22">
        <f>IF(AND(OR(D2="retain",D2=""),E2="protocol_report"),"","not_applicable")</f>
        <v/>
      </c>
      <c r="M2" s="20" t="n"/>
      <c r="N2" s="23" t="n"/>
      <c r="O2" s="23" t="n"/>
      <c r="P2" s="23" t="n"/>
      <c r="Q2" s="23" t="n"/>
      <c r="R2" s="22"/>
    </row>
    <row r="3" ht="92" customHeight="1" s="25">
      <c r="A3" s="24" t="inlineStr">
        <is>
          <t>2025::jama.2025.4390::C002</t>
        </is>
      </c>
      <c r="B3" s="24" t="inlineStr">
        <is>
          <t>Utilization endpoint restriction</t>
        </is>
      </c>
      <c r="C3" s="24" t="inlineStr">
        <is>
          <t>PLAN joi250019supp1_prod_1749674951.29554.pdf — physical PDF p. 3; PLAN joi250019supp2_prod_1749674951.30054.pdf — physical PDF p. 2; PLAN joi250019supp2_prod_1749674951.30054.pdf — physical PDF p. 4; REPORT jama_garrison_2025_oi_250019_1749674951.29054.pdf — physical PDF p. 1; REPORT jama_garrison_2025_oi_250019_1749674951.29054.pdf — physical PDF p. 3; REPORT jama_garrison_2025_oi_250019_1749674951.29054.pdf — physical PDF p. 8; REPORT joi250019supp3_prod_1749674951.30054.pdf — physical PDF p. 15</t>
        </is>
      </c>
      <c r="D3" s="21" t="inlineStr">
        <is>
          <t>retain</t>
        </is>
      </c>
      <c r="E3" s="21" t="inlineStr">
        <is>
          <t>protocol_report</t>
        </is>
      </c>
      <c r="F3" s="21" t="inlineStr">
        <is>
          <t>primary_done</t>
        </is>
      </c>
      <c r="G3" s="24">
        <f>IFERROR(IF(LEN(TRIM(CLEAN(SUBSTITUTE(Setup!$B$2,CHAR(160)," "))))=0,"CHECK REVIEWER ID",IF(OR(A3="",COUNTIF($A$2:$A$14,A3)&lt;&gt;1,LEFT(A3,LEN("2025::jama.2025.4390::"))&lt;&gt;"2025::jama.2025.4390::"),"CHECK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
      </c>
      <c r="H3" s="21">
        <f>IF(AND(OR(D3="retain",D3=""),E3="statistical_results"),"","not_applicable")</f>
        <v/>
      </c>
      <c r="I3" s="21">
        <f>IF(AND(OR(D3="retain",D3=""),E3="statistical_results"),"","not_applicable")</f>
        <v/>
      </c>
      <c r="J3" s="22">
        <f>IF(AND(OR(D3="retain",D3=""),E3="statistical_results"),"","not_applicable")</f>
        <v/>
      </c>
      <c r="K3" s="21">
        <f>IF(AND(OR(D3="retain",D3=""),OR(E3="report_internal_inconsistency",E3="plan_material")),"","not_applicable")</f>
        <v/>
      </c>
      <c r="L3" s="22" t="inlineStr">
        <is>
          <t>substantive_difference</t>
        </is>
      </c>
      <c r="M3" s="24" t="n"/>
      <c r="N3" s="23" t="n"/>
      <c r="O3" s="23" t="n"/>
      <c r="P3" s="23" t="n"/>
      <c r="Q3" s="23" t="n"/>
      <c r="R3" s="22"/>
    </row>
    <row r="4" ht="92" customHeight="1" s="25">
      <c r="A4" s="20" t="inlineStr">
        <is>
          <t>2025::jama.2025.4390::C003</t>
        </is>
      </c>
      <c r="B4" s="20" t="inlineStr">
        <is>
          <t>Adaptive diuretic decision time/population</t>
        </is>
      </c>
      <c r="C4" s="20" t="inlineStr">
        <is>
          <t>PLAN joi250019supp1_prod_1749674951.29554.pdf — physical PDF p. 4; REPORT jama_garrison_2025_oi_250019_1749674951.29054.pdf — physical PDF p. 2</t>
        </is>
      </c>
      <c r="D4" s="21" t="inlineStr">
        <is>
          <t>retain</t>
        </is>
      </c>
      <c r="E4" s="21" t="inlineStr">
        <is>
          <t>protocol_report</t>
        </is>
      </c>
      <c r="F4" s="21" t="inlineStr">
        <is>
          <t>primary_done</t>
        </is>
      </c>
      <c r="G4" s="20">
        <f>IFERROR(IF(LEN(TRIM(CLEAN(SUBSTITUTE(Setup!$B$2,CHAR(160)," "))))=0,"CHECK REVIEWER ID",IF(OR(A4="",COUNTIF($A$2:$A$14,A4)&lt;&gt;1,LEFT(A4,LEN("2025::jama.2025.4390::"))&lt;&gt;"2025::jama.2025.4390::"),"CHECK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
      </c>
      <c r="H4" s="21">
        <f>IF(AND(OR(D4="retain",D4=""),E4="statistical_results"),"","not_applicable")</f>
        <v/>
      </c>
      <c r="I4" s="21">
        <f>IF(AND(OR(D4="retain",D4=""),E4="statistical_results"),"","not_applicable")</f>
        <v/>
      </c>
      <c r="J4" s="22">
        <f>IF(AND(OR(D4="retain",D4=""),E4="statistical_results"),"","not_applicable")</f>
        <v/>
      </c>
      <c r="K4" s="21">
        <f>IF(AND(OR(D4="retain",D4=""),OR(E4="report_internal_inconsistency",E4="plan_material")),"","not_applicable")</f>
        <v/>
      </c>
      <c r="L4" s="22" t="inlineStr">
        <is>
          <t>version_timing</t>
        </is>
      </c>
      <c r="M4" s="20" t="n"/>
      <c r="N4" s="23" t="n"/>
      <c r="O4" s="23" t="n"/>
      <c r="P4" s="23" t="n"/>
      <c r="Q4" s="23" t="n"/>
      <c r="R4" s="22"/>
    </row>
    <row r="5" ht="92" customHeight="1" s="25">
      <c r="A5" s="24" t="inlineStr">
        <is>
          <t>2025::jama.2025.4390::C004</t>
        </is>
      </c>
      <c r="B5" s="24" t="inlineStr">
        <is>
          <t>Allocation specification</t>
        </is>
      </c>
      <c r="C5" s="24" t="inlineStr">
        <is>
          <t>PLAN joi250019supp1_prod_1749674951.29554.pdf — physical PDF p. 4; REPORT jama_garrison_2025_oi_250019_1749674951.29054.pdf — physical PDF p. 3; REPORT jama_garrison_2025_oi_250019_1749674951.29054.pdf — physical PDF p. 7; PLAN joi250019supp2_prod_1749674951.30054.pdf — physical PDF p. 4</t>
        </is>
      </c>
      <c r="D5" s="21" t="inlineStr">
        <is>
          <t>retain</t>
        </is>
      </c>
      <c r="E5" s="21" t="inlineStr">
        <is>
          <t>protocol_report</t>
        </is>
      </c>
      <c r="F5" s="21" t="inlineStr">
        <is>
          <t>primary_done</t>
        </is>
      </c>
      <c r="G5" s="24">
        <f>IFERROR(IF(LEN(TRIM(CLEAN(SUBSTITUTE(Setup!$B$2,CHAR(160)," "))))=0,"CHECK REVIEWER ID",IF(OR(A5="",COUNTIF($A$2:$A$14,A5)&lt;&gt;1,LEFT(A5,LEN("2025::jama.2025.4390::"))&lt;&gt;"2025::jama.2025.4390::"),"CHECK KEY",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NOT(OR(EXACT(D5,"retain"),EXACT(D5,"exclude"),EXACT(D5,"discuss"))),NOT(OR(EXACT(E5,"statistical_results"),EXACT(E5,"report_internal_inconsistency"),EXACT(E5,"plan_material"),EXACT(E5,"protocol_report"))),AND(AND(D5="retain",E5="statistical_results"),NOT(OR(EXACT(H5,"confirmed_issue"),EXACT(H5,"probable_issue"),EXACT(H5,"not_issue"),EXACT(H5,"indeterminate")))),AND(AND(D5="retain",E5="statistical_results"),NOT(OR(EXACT(I5,"substantive"),EXACT(I5,"minor_presentation"),EXACT(I5,"indeterminate")))),AND(AND(D5="retain",E5="statistical_results"),J5&lt;&gt;"",NOT(OR(EXACT(J5,"direct"),EXACT(J5,"possible"),EXACT(J5,"unlikely"),EXACT(J5,"unknown")))),AND(AND(D5="retain",OR(E5="report_internal_inconsistency",E5="plan_material")),NOT(OR(EXACT(K5,"substantive_inconsistency"),EXACT(K5,"minor_presentation"),EXACT(K5,"non_inconsistency"),EXACT(K5,"indeterminate")))),AND(AND(D5="retain",E5="protocol_report"),L5&lt;&gt;"",NOT(OR(EXACT(L5,"substantive_difference"),EXACT(L5,"minor_presentation"),EXACT(L5,"version_timing"),EXACT(L5,"non_inconsistency"),EXACT(L5,"indeterminate"))))),"CHECK FIELDS",IF(AND(F5&lt;&gt;"",NOT(OR(EXACT(F5,"no"),EXACT(F5,"primary_done")))),"CHECK COMPLETE",IF(EXACT(F5,"primary_done"),"PRIMARY READY","PRIMARY DRAFT")))))),"CHECK INPUT / KEY")</f>
        <v/>
      </c>
      <c r="H5" s="21">
        <f>IF(AND(OR(D5="retain",D5=""),E5="statistical_results"),"","not_applicable")</f>
        <v/>
      </c>
      <c r="I5" s="21">
        <f>IF(AND(OR(D5="retain",D5=""),E5="statistical_results"),"","not_applicable")</f>
        <v/>
      </c>
      <c r="J5" s="22">
        <f>IF(AND(OR(D5="retain",D5=""),E5="statistical_results"),"","not_applicable")</f>
        <v/>
      </c>
      <c r="K5" s="21">
        <f>IF(AND(OR(D5="retain",D5=""),OR(E5="report_internal_inconsistency",E5="plan_material")),"","not_applicable")</f>
        <v/>
      </c>
      <c r="L5" s="22" t="inlineStr">
        <is>
          <t>version_timing</t>
        </is>
      </c>
      <c r="M5" s="24" t="n"/>
      <c r="N5" s="23" t="n"/>
      <c r="O5" s="23" t="n"/>
      <c r="P5" s="23" t="n"/>
      <c r="Q5" s="23" t="n"/>
      <c r="R5" s="22"/>
    </row>
    <row r="6" ht="92" customHeight="1" s="25">
      <c r="A6" s="20" t="inlineStr">
        <is>
          <t>2025::jama.2025.4390::C005</t>
        </is>
      </c>
      <c r="B6" s="20" t="inlineStr">
        <is>
          <t>LTC medication-control criterion</t>
        </is>
      </c>
      <c r="C6" s="20" t="inlineStr">
        <is>
          <t>PLAN joi250019supp2_prod_1749674951.30054.pdf — physical PDF p. 2; REPORT jama_garrison_2025_oi_250019_1749674951.29054.pdf — physical PDF p. 3; REPORT jama_garrison_2025_oi_250019_1749674951.29054.pdf — physical PDF p. 8; REPORT joi250019supp3_prod_1749674951.30054.pdf — physical PDF p. 16</t>
        </is>
      </c>
      <c r="D6" s="21" t="inlineStr">
        <is>
          <t>retain</t>
        </is>
      </c>
      <c r="E6" s="21" t="inlineStr">
        <is>
          <t>protocol_report</t>
        </is>
      </c>
      <c r="F6" s="21" t="inlineStr">
        <is>
          <t>primary_done</t>
        </is>
      </c>
      <c r="G6" s="20">
        <f>IFERROR(IF(LEN(TRIM(CLEAN(SUBSTITUTE(Setup!$B$2,CHAR(160)," "))))=0,"CHECK REVIEWER ID",IF(OR(A6="",COUNTIF($A$2:$A$14,A6)&lt;&gt;1,LEFT(A6,LEN("2025::jama.2025.4390::"))&lt;&gt;"2025::jama.2025.4390::"),"CHECK KEY",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NOT(OR(EXACT(D6,"retain"),EXACT(D6,"exclude"),EXACT(D6,"discuss"))),NOT(OR(EXACT(E6,"statistical_results"),EXACT(E6,"report_internal_inconsistency"),EXACT(E6,"plan_material"),EXACT(E6,"protocol_report"))),AND(AND(D6="retain",E6="statistical_results"),NOT(OR(EXACT(H6,"confirmed_issue"),EXACT(H6,"probable_issue"),EXACT(H6,"not_issue"),EXACT(H6,"indeterminate")))),AND(AND(D6="retain",E6="statistical_results"),NOT(OR(EXACT(I6,"substantive"),EXACT(I6,"minor_presentation"),EXACT(I6,"indeterminate")))),AND(AND(D6="retain",E6="statistical_results"),J6&lt;&gt;"",NOT(OR(EXACT(J6,"direct"),EXACT(J6,"possible"),EXACT(J6,"unlikely"),EXACT(J6,"unknown")))),AND(AND(D6="retain",OR(E6="report_internal_inconsistency",E6="plan_material")),NOT(OR(EXACT(K6,"substantive_inconsistency"),EXACT(K6,"minor_presentation"),EXACT(K6,"non_inconsistency"),EXACT(K6,"indeterminate")))),AND(AND(D6="retain",E6="protocol_report"),L6&lt;&gt;"",NOT(OR(EXACT(L6,"substantive_difference"),EXACT(L6,"minor_presentation"),EXACT(L6,"version_timing"),EXACT(L6,"non_inconsistency"),EXACT(L6,"indeterminate"))))),"CHECK FIELDS",IF(AND(F6&lt;&gt;"",NOT(OR(EXACT(F6,"no"),EXACT(F6,"primary_done")))),"CHECK COMPLETE",IF(EXACT(F6,"primary_done"),"PRIMARY READY","PRIMARY DRAFT")))))),"CHECK INPUT / KEY")</f>
        <v/>
      </c>
      <c r="H6" s="21">
        <f>IF(AND(OR(D6="retain",D6=""),E6="statistical_results"),"","not_applicable")</f>
        <v/>
      </c>
      <c r="I6" s="21">
        <f>IF(AND(OR(D6="retain",D6=""),E6="statistical_results"),"","not_applicable")</f>
        <v/>
      </c>
      <c r="J6" s="22">
        <f>IF(AND(OR(D6="retain",D6=""),E6="statistical_results"),"","not_applicable")</f>
        <v/>
      </c>
      <c r="K6" s="21">
        <f>IF(AND(OR(D6="retain",D6=""),OR(E6="report_internal_inconsistency",E6="plan_material")),"","not_applicable")</f>
        <v/>
      </c>
      <c r="L6" s="22" t="inlineStr">
        <is>
          <t>substantive_difference</t>
        </is>
      </c>
      <c r="M6" s="20" t="n"/>
      <c r="N6" s="23" t="n"/>
      <c r="O6" s="23" t="n"/>
      <c r="P6" s="23" t="n"/>
      <c r="Q6" s="23" t="n"/>
      <c r="R6" s="22"/>
    </row>
    <row r="7" ht="92" customHeight="1" s="25">
      <c r="A7" s="24" t="inlineStr">
        <is>
          <t>2025::jama.2025.4390::C006</t>
        </is>
      </c>
      <c r="B7" s="24" t="inlineStr">
        <is>
          <t>Versioned health/glaucoma outcome hierarchy</t>
        </is>
      </c>
      <c r="C7" s="24" t="inlineStr">
        <is>
          <t>PLAN joi250019supp1_prod_1749674951.29554.pdf — physical PDF p. 3; PLAN joi250019supp2_prod_1749674951.30054.pdf — physical PDF p. 2; PLAN joi250019supp2_prod_1749674951.30054.pdf — physical PDF p. 3; REPORT jama_garrison_2025_oi_250019_1749674951.29054.pdf — physical PDF p. 3; REPORT jama_garrison_2025_oi_250019_1749674951.29054.pdf — physical PDF p. 7; REPORT jama_garrison_2025_oi_250019_1749674951.29054.pdf — physical PDF p. 8; REPORT joi250019supp3_prod_1749674951.30054.pdf — physical PDF p. 21</t>
        </is>
      </c>
      <c r="D7" s="21" t="inlineStr">
        <is>
          <t>retain</t>
        </is>
      </c>
      <c r="E7" s="21" t="inlineStr">
        <is>
          <t>protocol_report</t>
        </is>
      </c>
      <c r="F7" s="21" t="inlineStr">
        <is>
          <t>primary_done</t>
        </is>
      </c>
      <c r="G7" s="24">
        <f>IFERROR(IF(LEN(TRIM(CLEAN(SUBSTITUTE(Setup!$B$2,CHAR(160)," "))))=0,"CHECK REVIEWER ID",IF(OR(A7="",COUNTIF($A$2:$A$14,A7)&lt;&gt;1,LEFT(A7,LEN("2025::jama.2025.4390::"))&lt;&gt;"2025::jama.2025.4390::"),"CHECK KEY",IF(OR(AND(NOT(AND(D7="retain",E7="statistical_results")),H7&lt;&gt;"",NOT(EXACT(H7,"not_applicable"))),AND(NOT(AND(D7="retain",E7="statistical_results")),I7&lt;&gt;"",NOT(EXACT(I7,"not_applicable"))),AND(NOT(AND(D7="retain",E7="statistical_results")),J7&lt;&gt;"",NOT(EXACT(J7,"not_applicable"))),AND(NOT(AND(D7="retain",OR(E7="report_internal_inconsistency",E7="plan_material"))),K7&lt;&gt;"",NOT(EXACT(K7,"not_applicable"))),AND(NOT(AND(D7="retain",E7="protocol_report")),L7&lt;&gt;"",NOT(EXACT(L7,"not_applicable")))),"CLEAR INACTIVE VALUES",IF(OR(NOT(OR(EXACT(D7,"retain"),EXACT(D7,"exclude"),EXACT(D7,"discuss"))),NOT(OR(EXACT(E7,"statistical_results"),EXACT(E7,"report_internal_inconsistency"),EXACT(E7,"plan_material"),EXACT(E7,"protocol_report"))),AND(AND(D7="retain",E7="statistical_results"),NOT(OR(EXACT(H7,"confirmed_issue"),EXACT(H7,"probable_issue"),EXACT(H7,"not_issue"),EXACT(H7,"indeterminate")))),AND(AND(D7="retain",E7="statistical_results"),NOT(OR(EXACT(I7,"substantive"),EXACT(I7,"minor_presentation"),EXACT(I7,"indeterminate")))),AND(AND(D7="retain",E7="statistical_results"),J7&lt;&gt;"",NOT(OR(EXACT(J7,"direct"),EXACT(J7,"possible"),EXACT(J7,"unlikely"),EXACT(J7,"unknown")))),AND(AND(D7="retain",OR(E7="report_internal_inconsistency",E7="plan_material")),NOT(OR(EXACT(K7,"substantive_inconsistency"),EXACT(K7,"minor_presentation"),EXACT(K7,"non_inconsistency"),EXACT(K7,"indeterminate")))),AND(AND(D7="retain",E7="protocol_report"),L7&lt;&gt;"",NOT(OR(EXACT(L7,"substantive_difference"),EXACT(L7,"minor_presentation"),EXACT(L7,"version_timing"),EXACT(L7,"non_inconsistency"),EXACT(L7,"indeterminate"))))),"CHECK FIELDS",IF(AND(F7&lt;&gt;"",NOT(OR(EXACT(F7,"no"),EXACT(F7,"primary_done")))),"CHECK COMPLETE",IF(EXACT(F7,"primary_done"),"PRIMARY READY","PRIMARY DRAFT")))))),"CHECK INPUT / KEY")</f>
        <v/>
      </c>
      <c r="H7" s="21">
        <f>IF(AND(OR(D7="retain",D7=""),E7="statistical_results"),"","not_applicable")</f>
        <v/>
      </c>
      <c r="I7" s="21">
        <f>IF(AND(OR(D7="retain",D7=""),E7="statistical_results"),"","not_applicable")</f>
        <v/>
      </c>
      <c r="J7" s="22">
        <f>IF(AND(OR(D7="retain",D7=""),E7="statistical_results"),"","not_applicable")</f>
        <v/>
      </c>
      <c r="K7" s="21">
        <f>IF(AND(OR(D7="retain",D7=""),OR(E7="report_internal_inconsistency",E7="plan_material")),"","not_applicable")</f>
        <v/>
      </c>
      <c r="L7" s="22" t="inlineStr">
        <is>
          <t>substantive_difference</t>
        </is>
      </c>
      <c r="M7" s="24" t="n"/>
      <c r="N7" s="23" t="n"/>
      <c r="O7" s="23" t="n"/>
      <c r="P7" s="23" t="n"/>
      <c r="Q7" s="23" t="n"/>
      <c r="R7" s="22"/>
    </row>
    <row r="8" ht="92" customHeight="1" s="25">
      <c r="A8" s="20" t="inlineStr">
        <is>
          <t>2025::jama.2025.4390::C007</t>
        </is>
      </c>
      <c r="B8" s="20" t="inlineStr">
        <is>
          <t>Vision recall reference and aggregation</t>
        </is>
      </c>
      <c r="C8" s="20" t="inlineStr">
        <is>
          <t>PLAN joi250019supp1_prod_1749674951.29554.pdf — physical PDF p. 3; PLAN joi250019supp2_prod_1749674951.30054.pdf — physical PDF p. 2; REPORT jama_garrison_2025_oi_250019_1749674951.29054.pdf — physical PDF p. 3; REPORT jama_garrison_2025_oi_250019_1749674951.29054.pdf — physical PDF p. 8</t>
        </is>
      </c>
      <c r="D8" s="21" t="inlineStr">
        <is>
          <t>retain</t>
        </is>
      </c>
      <c r="E8" s="21" t="inlineStr">
        <is>
          <t>protocol_report</t>
        </is>
      </c>
      <c r="F8" s="21" t="inlineStr">
        <is>
          <t>primary_done</t>
        </is>
      </c>
      <c r="G8" s="20">
        <f>IFERROR(IF(LEN(TRIM(CLEAN(SUBSTITUTE(Setup!$B$2,CHAR(160)," "))))=0,"CHECK REVIEWER ID",IF(OR(A8="",COUNTIF($A$2:$A$14,A8)&lt;&gt;1,LEFT(A8,LEN("2025::jama.2025.4390::"))&lt;&gt;"2025::jama.2025.4390::"),"CHECK KEY",IF(OR(AND(NOT(AND(D8="retain",E8="statistical_results")),H8&lt;&gt;"",NOT(EXACT(H8,"not_applicable"))),AND(NOT(AND(D8="retain",E8="statistical_results")),I8&lt;&gt;"",NOT(EXACT(I8,"not_applicable"))),AND(NOT(AND(D8="retain",E8="statistical_results")),J8&lt;&gt;"",NOT(EXACT(J8,"not_applicable"))),AND(NOT(AND(D8="retain",OR(E8="report_internal_inconsistency",E8="plan_material"))),K8&lt;&gt;"",NOT(EXACT(K8,"not_applicable"))),AND(NOT(AND(D8="retain",E8="protocol_report")),L8&lt;&gt;"",NOT(EXACT(L8,"not_applicable")))),"CLEAR INACTIVE VALUES",IF(OR(NOT(OR(EXACT(D8,"retain"),EXACT(D8,"exclude"),EXACT(D8,"discuss"))),NOT(OR(EXACT(E8,"statistical_results"),EXACT(E8,"report_internal_inconsistency"),EXACT(E8,"plan_material"),EXACT(E8,"protocol_report"))),AND(AND(D8="retain",E8="statistical_results"),NOT(OR(EXACT(H8,"confirmed_issue"),EXACT(H8,"probable_issue"),EXACT(H8,"not_issue"),EXACT(H8,"indeterminate")))),AND(AND(D8="retain",E8="statistical_results"),NOT(OR(EXACT(I8,"substantive"),EXACT(I8,"minor_presentation"),EXACT(I8,"indeterminate")))),AND(AND(D8="retain",E8="statistical_results"),J8&lt;&gt;"",NOT(OR(EXACT(J8,"direct"),EXACT(J8,"possible"),EXACT(J8,"unlikely"),EXACT(J8,"unknown")))),AND(AND(D8="retain",OR(E8="report_internal_inconsistency",E8="plan_material")),NOT(OR(EXACT(K8,"substantive_inconsistency"),EXACT(K8,"minor_presentation"),EXACT(K8,"non_inconsistency"),EXACT(K8,"indeterminate")))),AND(AND(D8="retain",E8="protocol_report"),L8&lt;&gt;"",NOT(OR(EXACT(L8,"substantive_difference"),EXACT(L8,"minor_presentation"),EXACT(L8,"version_timing"),EXACT(L8,"non_inconsistency"),EXACT(L8,"indeterminate"))))),"CHECK FIELDS",IF(AND(F8&lt;&gt;"",NOT(OR(EXACT(F8,"no"),EXACT(F8,"primary_done")))),"CHECK COMPLETE",IF(EXACT(F8,"primary_done"),"PRIMARY READY","PRIMARY DRAFT")))))),"CHECK INPUT / KEY")</f>
        <v/>
      </c>
      <c r="H8" s="21">
        <f>IF(AND(OR(D8="retain",D8=""),E8="statistical_results"),"","not_applicable")</f>
        <v/>
      </c>
      <c r="I8" s="21">
        <f>IF(AND(OR(D8="retain",D8=""),E8="statistical_results"),"","not_applicable")</f>
        <v/>
      </c>
      <c r="J8" s="22">
        <f>IF(AND(OR(D8="retain",D8=""),E8="statistical_results"),"","not_applicable")</f>
        <v/>
      </c>
      <c r="K8" s="21">
        <f>IF(AND(OR(D8="retain",D8=""),OR(E8="report_internal_inconsistency",E8="plan_material")),"","not_applicable")</f>
        <v/>
      </c>
      <c r="L8" s="22" t="inlineStr">
        <is>
          <t>substantive_difference</t>
        </is>
      </c>
      <c r="M8" s="20" t="n"/>
      <c r="N8" s="23" t="n"/>
      <c r="O8" s="23" t="n"/>
      <c r="P8" s="23" t="n"/>
      <c r="Q8" s="23" t="n"/>
      <c r="R8" s="22"/>
    </row>
    <row r="9" ht="92" customHeight="1" s="25">
      <c r="A9" s="24" t="inlineStr">
        <is>
          <t>2025::jama.2025.4390::C008</t>
        </is>
      </c>
      <c r="B9" s="24" t="inlineStr">
        <is>
          <t>Six medication-class subgroup prespecification axes</t>
        </is>
      </c>
      <c r="C9" s="24" t="inlineStr">
        <is>
          <t>PLAN joi250019supp2_prod_1749674951.30054.pdf — physical PDF p. 6; REPORT jama_garrison_2025_oi_250019_1749674951.29054.pdf — physical PDF p. 6; REPORT jama_garrison_2025_oi_250019_1749674951.29054.pdf — physical PDF p. 9</t>
        </is>
      </c>
      <c r="D9" s="21" t="inlineStr">
        <is>
          <t>retain</t>
        </is>
      </c>
      <c r="E9" s="21" t="inlineStr">
        <is>
          <t>protocol_report</t>
        </is>
      </c>
      <c r="F9" s="21" t="inlineStr">
        <is>
          <t>primary_done</t>
        </is>
      </c>
      <c r="G9" s="24">
        <f>IFERROR(IF(LEN(TRIM(CLEAN(SUBSTITUTE(Setup!$B$2,CHAR(160)," "))))=0,"CHECK REVIEWER ID",IF(OR(A9="",COUNTIF($A$2:$A$14,A9)&lt;&gt;1,LEFT(A9,LEN("2025::jama.2025.4390::"))&lt;&gt;"2025::jama.2025.4390::"),"CHECK KEY",IF(OR(AND(NOT(AND(D9="retain",E9="statistical_results")),H9&lt;&gt;"",NOT(EXACT(H9,"not_applicable"))),AND(NOT(AND(D9="retain",E9="statistical_results")),I9&lt;&gt;"",NOT(EXACT(I9,"not_applicable"))),AND(NOT(AND(D9="retain",E9="statistical_results")),J9&lt;&gt;"",NOT(EXACT(J9,"not_applicable"))),AND(NOT(AND(D9="retain",OR(E9="report_internal_inconsistency",E9="plan_material"))),K9&lt;&gt;"",NOT(EXACT(K9,"not_applicable"))),AND(NOT(AND(D9="retain",E9="protocol_report")),L9&lt;&gt;"",NOT(EXACT(L9,"not_applicable")))),"CLEAR INACTIVE VALUES",IF(OR(NOT(OR(EXACT(D9,"retain"),EXACT(D9,"exclude"),EXACT(D9,"discuss"))),NOT(OR(EXACT(E9,"statistical_results"),EXACT(E9,"report_internal_inconsistency"),EXACT(E9,"plan_material"),EXACT(E9,"protocol_report"))),AND(AND(D9="retain",E9="statistical_results"),NOT(OR(EXACT(H9,"confirmed_issue"),EXACT(H9,"probable_issue"),EXACT(H9,"not_issue"),EXACT(H9,"indeterminate")))),AND(AND(D9="retain",E9="statistical_results"),NOT(OR(EXACT(I9,"substantive"),EXACT(I9,"minor_presentation"),EXACT(I9,"indeterminate")))),AND(AND(D9="retain",E9="statistical_results"),J9&lt;&gt;"",NOT(OR(EXACT(J9,"direct"),EXACT(J9,"possible"),EXACT(J9,"unlikely"),EXACT(J9,"unknown")))),AND(AND(D9="retain",OR(E9="report_internal_inconsistency",E9="plan_material")),NOT(OR(EXACT(K9,"substantive_inconsistency"),EXACT(K9,"minor_presentation"),EXACT(K9,"non_inconsistency"),EXACT(K9,"indeterminate")))),AND(AND(D9="retain",E9="protocol_report"),L9&lt;&gt;"",NOT(OR(EXACT(L9,"substantive_difference"),EXACT(L9,"minor_presentation"),EXACT(L9,"version_timing"),EXACT(L9,"non_inconsistency"),EXACT(L9,"indeterminate"))))),"CHECK FIELDS",IF(AND(F9&lt;&gt;"",NOT(OR(EXACT(F9,"no"),EXACT(F9,"primary_done")))),"CHECK COMPLETE",IF(EXACT(F9,"primary_done"),"PRIMARY READY","PRIMARY DRAFT")))))),"CHECK INPUT / KEY")</f>
        <v/>
      </c>
      <c r="H9" s="21">
        <f>IF(AND(OR(D9="retain",D9=""),E9="statistical_results"),"","not_applicable")</f>
        <v/>
      </c>
      <c r="I9" s="21">
        <f>IF(AND(OR(D9="retain",D9=""),E9="statistical_results"),"","not_applicable")</f>
        <v/>
      </c>
      <c r="J9" s="22">
        <f>IF(AND(OR(D9="retain",D9=""),E9="statistical_results"),"","not_applicable")</f>
        <v/>
      </c>
      <c r="K9" s="21">
        <f>IF(AND(OR(D9="retain",D9=""),OR(E9="report_internal_inconsistency",E9="plan_material")),"","not_applicable")</f>
        <v/>
      </c>
      <c r="L9" s="22" t="inlineStr">
        <is>
          <t>substantive_difference</t>
        </is>
      </c>
      <c r="M9" s="24" t="n"/>
      <c r="N9" s="23" t="n"/>
      <c r="O9" s="23" t="n"/>
      <c r="P9" s="23" t="n"/>
      <c r="Q9" s="23" t="n"/>
      <c r="R9" s="22"/>
    </row>
    <row r="10" ht="92" customHeight="1" s="25">
      <c r="A10" s="20" t="inlineStr">
        <is>
          <t>2025::jama.2025.4390::C009</t>
        </is>
      </c>
      <c r="B10" s="20" t="inlineStr">
        <is>
          <t>Planned within-arm withdrawal sensitivity contrast</t>
        </is>
      </c>
      <c r="C10" s="20" t="inlineStr">
        <is>
          <t>PLAN joi250019supp2_prod_1749674951.30054.pdf — physical PDF p. 6; REPORT joi250019supp3_prod_1749674951.30054.pdf — physical PDF p. 33; REPORT joi250019supp3_prod_1749674951.30054.pdf — physical PDF p. 34; REPORT joi250019supp3_prod_1749674951.30054.pdf — physical PDF p. 35; REPORT joi250019supp3_prod_1749674951.30054.pdf — physical PDF p. 36; REPORT joi250019supp3_prod_1749674951.30054.pdf — physical PDF p. 37; REPORT joi250019supp3_prod_1749674951.30054.pdf — physical PDF p. 38; REPORT joi250019supp3_prod_1749674951.30054.pdf — physical PDF p. 39; REPORT joi250019supp3_prod_1749674951.30054.pdf — physical PDF p. 40</t>
        </is>
      </c>
      <c r="D10" s="21" t="inlineStr">
        <is>
          <t>retain</t>
        </is>
      </c>
      <c r="E10" s="21" t="inlineStr">
        <is>
          <t>protocol_report</t>
        </is>
      </c>
      <c r="F10" s="21" t="inlineStr">
        <is>
          <t>primary_done</t>
        </is>
      </c>
      <c r="G10" s="20">
        <f>IFERROR(IF(LEN(TRIM(CLEAN(SUBSTITUTE(Setup!$B$2,CHAR(160)," "))))=0,"CHECK REVIEWER ID",IF(OR(A10="",COUNTIF($A$2:$A$14,A10)&lt;&gt;1,LEFT(A10,LEN("2025::jama.2025.4390::"))&lt;&gt;"2025::jama.2025.4390::"),"CHECK KEY",IF(OR(AND(NOT(AND(D10="retain",E10="statistical_results")),H10&lt;&gt;"",NOT(EXACT(H10,"not_applicable"))),AND(NOT(AND(D10="retain",E10="statistical_results")),I10&lt;&gt;"",NOT(EXACT(I10,"not_applicable"))),AND(NOT(AND(D10="retain",E10="statistical_results")),J10&lt;&gt;"",NOT(EXACT(J10,"not_applicable"))),AND(NOT(AND(D10="retain",OR(E10="report_internal_inconsistency",E10="plan_material"))),K10&lt;&gt;"",NOT(EXACT(K10,"not_applicable"))),AND(NOT(AND(D10="retain",E10="protocol_report")),L10&lt;&gt;"",NOT(EXACT(L10,"not_applicable")))),"CLEAR INACTIVE VALUES",IF(OR(NOT(OR(EXACT(D10,"retain"),EXACT(D10,"exclude"),EXACT(D10,"discuss"))),NOT(OR(EXACT(E10,"statistical_results"),EXACT(E10,"report_internal_inconsistency"),EXACT(E10,"plan_material"),EXACT(E10,"protocol_report"))),AND(AND(D10="retain",E10="statistical_results"),NOT(OR(EXACT(H10,"confirmed_issue"),EXACT(H10,"probable_issue"),EXACT(H10,"not_issue"),EXACT(H10,"indeterminate")))),AND(AND(D10="retain",E10="statistical_results"),NOT(OR(EXACT(I10,"substantive"),EXACT(I10,"minor_presentation"),EXACT(I10,"indeterminate")))),AND(AND(D10="retain",E10="statistical_results"),J10&lt;&gt;"",NOT(OR(EXACT(J10,"direct"),EXACT(J10,"possible"),EXACT(J10,"unlikely"),EXACT(J10,"unknown")))),AND(AND(D10="retain",OR(E10="report_internal_inconsistency",E10="plan_material")),NOT(OR(EXACT(K10,"substantive_inconsistency"),EXACT(K10,"minor_presentation"),EXACT(K10,"non_inconsistency"),EXACT(K10,"indeterminate")))),AND(AND(D10="retain",E10="protocol_report"),L10&lt;&gt;"",NOT(OR(EXACT(L10,"substantive_difference"),EXACT(L10,"minor_presentation"),EXACT(L10,"version_timing"),EXACT(L10,"non_inconsistency"),EXACT(L10,"indeterminate"))))),"CHECK FIELDS",IF(AND(F10&lt;&gt;"",NOT(OR(EXACT(F10,"no"),EXACT(F10,"primary_done")))),"CHECK COMPLETE",IF(EXACT(F10,"primary_done"),"PRIMARY READY","PRIMARY DRAFT")))))),"CHECK INPUT / KEY")</f>
        <v/>
      </c>
      <c r="H10" s="21">
        <f>IF(AND(OR(D10="retain",D10=""),E10="statistical_results"),"","not_applicable")</f>
        <v/>
      </c>
      <c r="I10" s="21">
        <f>IF(AND(OR(D10="retain",D10=""),E10="statistical_results"),"","not_applicable")</f>
        <v/>
      </c>
      <c r="J10" s="22">
        <f>IF(AND(OR(D10="retain",D10=""),E10="statistical_results"),"","not_applicable")</f>
        <v/>
      </c>
      <c r="K10" s="21">
        <f>IF(AND(OR(D10="retain",D10=""),OR(E10="report_internal_inconsistency",E10="plan_material")),"","not_applicable")</f>
        <v/>
      </c>
      <c r="L10" s="22" t="inlineStr">
        <is>
          <t>substantive_difference</t>
        </is>
      </c>
      <c r="M10" s="20" t="n"/>
      <c r="N10" s="23" t="n"/>
      <c r="O10" s="23" t="n"/>
      <c r="P10" s="23" t="n"/>
      <c r="Q10" s="23" t="n"/>
      <c r="R10" s="22"/>
    </row>
    <row r="11" ht="92" customHeight="1" s="25">
      <c r="A11" s="24" t="inlineStr">
        <is>
          <t>2025::jama.2025.4390::C010</t>
        </is>
      </c>
      <c r="B11" s="24" t="inlineStr">
        <is>
          <t>eTable 4 chronotype test reproduction</t>
        </is>
      </c>
      <c r="C11" s="24" t="inlineStr">
        <is>
          <t>REPORT joi250019supp3_prod_1749674951.30054.pdf — physical PDF p. 33; REPORT joi250019supp3_prod_1749674951.30054.pdf — physical PDF p. 34; REPORT joi250019supp3_prod_1749674951.30054.pdf — physical PDF p. 35; REPORT joi250019supp3_prod_1749674951.30054.pdf — physical PDF p. 36</t>
        </is>
      </c>
      <c r="D11" s="21" t="inlineStr">
        <is>
          <t>retain</t>
        </is>
      </c>
      <c r="E11" s="21" t="inlineStr">
        <is>
          <t>statistical_results</t>
        </is>
      </c>
      <c r="F11" s="21" t="inlineStr">
        <is>
          <t>primary_done</t>
        </is>
      </c>
      <c r="G11" s="24">
        <f>IFERROR(IF(LEN(TRIM(CLEAN(SUBSTITUTE(Setup!$B$2,CHAR(160)," "))))=0,"CHECK REVIEWER ID",IF(OR(A11="",COUNTIF($A$2:$A$14,A11)&lt;&gt;1,LEFT(A11,LEN("2025::jama.2025.4390::"))&lt;&gt;"2025::jama.2025.4390::"),"CHECK KEY",IF(OR(AND(NOT(AND(D11="retain",E11="statistical_results")),H11&lt;&gt;"",NOT(EXACT(H11,"not_applicable"))),AND(NOT(AND(D11="retain",E11="statistical_results")),I11&lt;&gt;"",NOT(EXACT(I11,"not_applicable"))),AND(NOT(AND(D11="retain",E11="statistical_results")),J11&lt;&gt;"",NOT(EXACT(J11,"not_applicable"))),AND(NOT(AND(D11="retain",OR(E11="report_internal_inconsistency",E11="plan_material"))),K11&lt;&gt;"",NOT(EXACT(K11,"not_applicable"))),AND(NOT(AND(D11="retain",E11="protocol_report")),L11&lt;&gt;"",NOT(EXACT(L11,"not_applicable")))),"CLEAR INACTIVE VALUES",IF(OR(NOT(OR(EXACT(D11,"retain"),EXACT(D11,"exclude"),EXACT(D11,"discuss"))),NOT(OR(EXACT(E11,"statistical_results"),EXACT(E11,"report_internal_inconsistency"),EXACT(E11,"plan_material"),EXACT(E11,"protocol_report"))),AND(AND(D11="retain",E11="statistical_results"),NOT(OR(EXACT(H11,"confirmed_issue"),EXACT(H11,"probable_issue"),EXACT(H11,"not_issue"),EXACT(H11,"indeterminate")))),AND(AND(D11="retain",E11="statistical_results"),NOT(OR(EXACT(I11,"substantive"),EXACT(I11,"minor_presentation"),EXACT(I11,"indeterminate")))),AND(AND(D11="retain",E11="statistical_results"),J11&lt;&gt;"",NOT(OR(EXACT(J11,"direct"),EXACT(J11,"possible"),EXACT(J11,"unlikely"),EXACT(J11,"unknown")))),AND(AND(D11="retain",OR(E11="report_internal_inconsistency",E11="plan_material")),NOT(OR(EXACT(K11,"substantive_inconsistency"),EXACT(K11,"minor_presentation"),EXACT(K11,"non_inconsistency"),EXACT(K11,"indeterminate")))),AND(AND(D11="retain",E11="protocol_report"),L11&lt;&gt;"",NOT(OR(EXACT(L11,"substantive_difference"),EXACT(L11,"minor_presentation"),EXACT(L11,"version_timing"),EXACT(L11,"non_inconsistency"),EXACT(L11,"indeterminate"))))),"CHECK FIELDS",IF(AND(F11&lt;&gt;"",NOT(OR(EXACT(F11,"no"),EXACT(F11,"primary_done")))),"CHECK COMPLETE",IF(EXACT(F11,"primary_done"),"PRIMARY READY","PRIMARY DRAFT")))))),"CHECK INPUT / KEY")</f>
        <v/>
      </c>
      <c r="H11" s="21" t="inlineStr">
        <is>
          <t>confirmed_issue</t>
        </is>
      </c>
      <c r="I11" s="21" t="inlineStr">
        <is>
          <t>minor_presentation</t>
        </is>
      </c>
      <c r="J11" s="22" t="inlineStr">
        <is>
          <t>unlikely</t>
        </is>
      </c>
      <c r="K11" s="21">
        <f>IF(AND(OR(D11="retain",D11=""),OR(E11="report_internal_inconsistency",E11="plan_material")),"","not_applicable")</f>
        <v/>
      </c>
      <c r="L11" s="22">
        <f>IF(AND(OR(D11="retain",D11=""),E11="protocol_report"),"","not_applicable")</f>
        <v/>
      </c>
      <c r="M11" s="24" t="n"/>
      <c r="N11" s="23" t="n"/>
      <c r="O11" s="23" t="n"/>
      <c r="P11" s="23" t="n"/>
      <c r="Q11" s="23" t="n"/>
      <c r="R11" s="22"/>
    </row>
    <row r="12" ht="92" customHeight="1" s="25">
      <c r="A12" s="20" t="inlineStr">
        <is>
          <t>2025::jama.2025.4390::C011</t>
        </is>
      </c>
      <c r="B12" s="20" t="inlineStr">
        <is>
          <t>eTable 5 ethnicity totals</t>
        </is>
      </c>
      <c r="C12" s="20" t="inlineStr">
        <is>
          <t>REPORT joi250019supp3_prod_1749674951.30054.pdf — physical PDF p. 37; REPORT joi250019supp3_prod_1749674951.30054.pdf — physical PDF p. 40</t>
        </is>
      </c>
      <c r="D12" s="21" t="inlineStr">
        <is>
          <t>retain</t>
        </is>
      </c>
      <c r="E12" s="21" t="inlineStr">
        <is>
          <t>statistical_results</t>
        </is>
      </c>
      <c r="F12" s="21" t="inlineStr">
        <is>
          <t>primary_done</t>
        </is>
      </c>
      <c r="G12" s="20">
        <f>IFERROR(IF(LEN(TRIM(CLEAN(SUBSTITUTE(Setup!$B$2,CHAR(160)," "))))=0,"CHECK REVIEWER ID",IF(OR(A12="",COUNTIF($A$2:$A$14,A12)&lt;&gt;1,LEFT(A12,LEN("2025::jama.2025.4390::"))&lt;&gt;"2025::jama.2025.4390::"),"CHECK KEY",IF(OR(AND(NOT(AND(D12="retain",E12="statistical_results")),H12&lt;&gt;"",NOT(EXACT(H12,"not_applicable"))),AND(NOT(AND(D12="retain",E12="statistical_results")),I12&lt;&gt;"",NOT(EXACT(I12,"not_applicable"))),AND(NOT(AND(D12="retain",E12="statistical_results")),J12&lt;&gt;"",NOT(EXACT(J12,"not_applicable"))),AND(NOT(AND(D12="retain",OR(E12="report_internal_inconsistency",E12="plan_material"))),K12&lt;&gt;"",NOT(EXACT(K12,"not_applicable"))),AND(NOT(AND(D12="retain",E12="protocol_report")),L12&lt;&gt;"",NOT(EXACT(L12,"not_applicable")))),"CLEAR INACTIVE VALUES",IF(OR(NOT(OR(EXACT(D12,"retain"),EXACT(D12,"exclude"),EXACT(D12,"discuss"))),NOT(OR(EXACT(E12,"statistical_results"),EXACT(E12,"report_internal_inconsistency"),EXACT(E12,"plan_material"),EXACT(E12,"protocol_report"))),AND(AND(D12="retain",E12="statistical_results"),NOT(OR(EXACT(H12,"confirmed_issue"),EXACT(H12,"probable_issue"),EXACT(H12,"not_issue"),EXACT(H12,"indeterminate")))),AND(AND(D12="retain",E12="statistical_results"),NOT(OR(EXACT(I12,"substantive"),EXACT(I12,"minor_presentation"),EXACT(I12,"indeterminate")))),AND(AND(D12="retain",E12="statistical_results"),J12&lt;&gt;"",NOT(OR(EXACT(J12,"direct"),EXACT(J12,"possible"),EXACT(J12,"unlikely"),EXACT(J12,"unknown")))),AND(AND(D12="retain",OR(E12="report_internal_inconsistency",E12="plan_material")),NOT(OR(EXACT(K12,"substantive_inconsistency"),EXACT(K12,"minor_presentation"),EXACT(K12,"non_inconsistency"),EXACT(K12,"indeterminate")))),AND(AND(D12="retain",E12="protocol_report"),L12&lt;&gt;"",NOT(OR(EXACT(L12,"substantive_difference"),EXACT(L12,"minor_presentation"),EXACT(L12,"version_timing"),EXACT(L12,"non_inconsistency"),EXACT(L12,"indeterminate"))))),"CHECK FIELDS",IF(AND(F12&lt;&gt;"",NOT(OR(EXACT(F12,"no"),EXACT(F12,"primary_done")))),"CHECK COMPLETE",IF(EXACT(F12,"primary_done"),"PRIMARY READY","PRIMARY DRAFT")))))),"CHECK INPUT / KEY")</f>
        <v/>
      </c>
      <c r="H12" s="21" t="inlineStr">
        <is>
          <t>confirmed_issue</t>
        </is>
      </c>
      <c r="I12" s="21" t="inlineStr">
        <is>
          <t>minor_presentation</t>
        </is>
      </c>
      <c r="J12" s="22" t="inlineStr">
        <is>
          <t>unlikely</t>
        </is>
      </c>
      <c r="K12" s="21">
        <f>IF(AND(OR(D12="retain",D12=""),OR(E12="report_internal_inconsistency",E12="plan_material")),"","not_applicable")</f>
        <v/>
      </c>
      <c r="L12" s="22">
        <f>IF(AND(OR(D12="retain",D12=""),E12="protocol_report"),"","not_applicable")</f>
        <v/>
      </c>
      <c r="M12" s="20" t="n"/>
      <c r="N12" s="23" t="n"/>
      <c r="O12" s="23" t="n"/>
      <c r="P12" s="23" t="n"/>
      <c r="Q12" s="23" t="n"/>
      <c r="R12" s="22"/>
    </row>
    <row r="13" ht="92" customHeight="1" s="25">
      <c r="A13" s="24" t="inlineStr">
        <is>
          <t>2025::jama.2025.4390::C012</t>
        </is>
      </c>
      <c r="B13" s="24" t="inlineStr">
        <is>
          <t>Identical medication tables, differing P values</t>
        </is>
      </c>
      <c r="C13" s="24" t="inlineStr">
        <is>
          <t>REPORT joi250019supp3_prod_1749674951.30054.pdf — physical PDF p. 39; REPORT joi250019supp3_prod_1749674951.30054.pdf — physical PDF p. 37; REPORT joi250019supp3_prod_1749674951.30054.pdf — physical PDF p. 40</t>
        </is>
      </c>
      <c r="D13" s="21" t="inlineStr">
        <is>
          <t>retain</t>
        </is>
      </c>
      <c r="E13" s="21" t="inlineStr">
        <is>
          <t>statistical_results</t>
        </is>
      </c>
      <c r="F13" s="21" t="inlineStr">
        <is>
          <t>primary_done</t>
        </is>
      </c>
      <c r="G13" s="24">
        <f>IFERROR(IF(LEN(TRIM(CLEAN(SUBSTITUTE(Setup!$B$2,CHAR(160)," "))))=0,"CHECK REVIEWER ID",IF(OR(A13="",COUNTIF($A$2:$A$14,A13)&lt;&gt;1,LEFT(A13,LEN("2025::jama.2025.4390::"))&lt;&gt;"2025::jama.2025.4390::"),"CHECK KEY",IF(OR(AND(NOT(AND(D13="retain",E13="statistical_results")),H13&lt;&gt;"",NOT(EXACT(H13,"not_applicable"))),AND(NOT(AND(D13="retain",E13="statistical_results")),I13&lt;&gt;"",NOT(EXACT(I13,"not_applicable"))),AND(NOT(AND(D13="retain",E13="statistical_results")),J13&lt;&gt;"",NOT(EXACT(J13,"not_applicable"))),AND(NOT(AND(D13="retain",OR(E13="report_internal_inconsistency",E13="plan_material"))),K13&lt;&gt;"",NOT(EXACT(K13,"not_applicable"))),AND(NOT(AND(D13="retain",E13="protocol_report")),L13&lt;&gt;"",NOT(EXACT(L13,"not_applicable")))),"CLEAR INACTIVE VALUES",IF(OR(NOT(OR(EXACT(D13,"retain"),EXACT(D13,"exclude"),EXACT(D13,"discuss"))),NOT(OR(EXACT(E13,"statistical_results"),EXACT(E13,"report_internal_inconsistency"),EXACT(E13,"plan_material"),EXACT(E13,"protocol_report"))),AND(AND(D13="retain",E13="statistical_results"),NOT(OR(EXACT(H13,"confirmed_issue"),EXACT(H13,"probable_issue"),EXACT(H13,"not_issue"),EXACT(H13,"indeterminate")))),AND(AND(D13="retain",E13="statistical_results"),NOT(OR(EXACT(I13,"substantive"),EXACT(I13,"minor_presentation"),EXACT(I13,"indeterminate")))),AND(AND(D13="retain",E13="statistical_results"),J13&lt;&gt;"",NOT(OR(EXACT(J13,"direct"),EXACT(J13,"possible"),EXACT(J13,"unlikely"),EXACT(J13,"unknown")))),AND(AND(D13="retain",OR(E13="report_internal_inconsistency",E13="plan_material")),NOT(OR(EXACT(K13,"substantive_inconsistency"),EXACT(K13,"minor_presentation"),EXACT(K13,"non_inconsistency"),EXACT(K13,"indeterminate")))),AND(AND(D13="retain",E13="protocol_report"),L13&lt;&gt;"",NOT(OR(EXACT(L13,"substantive_difference"),EXACT(L13,"minor_presentation"),EXACT(L13,"version_timing"),EXACT(L13,"non_inconsistency"),EXACT(L13,"indeterminate"))))),"CHECK FIELDS",IF(AND(F13&lt;&gt;"",NOT(OR(EXACT(F13,"no"),EXACT(F13,"primary_done")))),"CHECK COMPLETE",IF(EXACT(F13,"primary_done"),"PRIMARY READY","PRIMARY DRAFT")))))),"CHECK INPUT / KEY")</f>
        <v/>
      </c>
      <c r="H13" s="21" t="inlineStr">
        <is>
          <t>confirmed_issue</t>
        </is>
      </c>
      <c r="I13" s="21" t="inlineStr">
        <is>
          <t>minor_presentation</t>
        </is>
      </c>
      <c r="J13" s="22" t="inlineStr">
        <is>
          <t>unlikely</t>
        </is>
      </c>
      <c r="K13" s="21">
        <f>IF(AND(OR(D13="retain",D13=""),OR(E13="report_internal_inconsistency",E13="plan_material")),"","not_applicable")</f>
        <v/>
      </c>
      <c r="L13" s="22">
        <f>IF(AND(OR(D13="retain",D13=""),E13="protocol_report"),"","not_applicable")</f>
        <v/>
      </c>
      <c r="M13" s="24" t="n"/>
      <c r="N13" s="23" t="n"/>
      <c r="O13" s="23" t="n"/>
      <c r="P13" s="23" t="n"/>
      <c r="Q13" s="23" t="n"/>
      <c r="R13" s="22"/>
    </row>
    <row r="14" ht="92" customHeight="1" s="25">
      <c r="A14" s="20" t="inlineStr">
        <is>
          <t>2025::jama.2025.4390::C013</t>
        </is>
      </c>
      <c r="B14" s="20" t="inlineStr">
        <is>
          <t>ARB bedtime Other Reason fraction</t>
        </is>
      </c>
      <c r="C14" s="20" t="inlineStr">
        <is>
          <t>REPORT joi250019supp3_prod_1749674951.30054.pdf — physical PDF p. 46; REPORT joi250019supp3_prod_1749674951.30054.pdf — physical PDF p. 45; REPORT joi250019supp3_prod_1749674951.30054.pdf — physical PDF p. 48</t>
        </is>
      </c>
      <c r="D14" s="21" t="inlineStr">
        <is>
          <t>retain</t>
        </is>
      </c>
      <c r="E14" s="21" t="inlineStr">
        <is>
          <t>statistical_results</t>
        </is>
      </c>
      <c r="F14" s="21" t="inlineStr">
        <is>
          <t>primary_done</t>
        </is>
      </c>
      <c r="G14" s="20">
        <f>IFERROR(IF(LEN(TRIM(CLEAN(SUBSTITUTE(Setup!$B$2,CHAR(160)," "))))=0,"CHECK REVIEWER ID",IF(OR(A14="",COUNTIF($A$2:$A$14,A14)&lt;&gt;1,LEFT(A14,LEN("2025::jama.2025.4390::"))&lt;&gt;"2025::jama.2025.4390::"),"CHECK KEY",IF(OR(AND(NOT(AND(D14="retain",E14="statistical_results")),H14&lt;&gt;"",NOT(EXACT(H14,"not_applicable"))),AND(NOT(AND(D14="retain",E14="statistical_results")),I14&lt;&gt;"",NOT(EXACT(I14,"not_applicable"))),AND(NOT(AND(D14="retain",E14="statistical_results")),J14&lt;&gt;"",NOT(EXACT(J14,"not_applicable"))),AND(NOT(AND(D14="retain",OR(E14="report_internal_inconsistency",E14="plan_material"))),K14&lt;&gt;"",NOT(EXACT(K14,"not_applicable"))),AND(NOT(AND(D14="retain",E14="protocol_report")),L14&lt;&gt;"",NOT(EXACT(L14,"not_applicable")))),"CLEAR INACTIVE VALUES",IF(OR(NOT(OR(EXACT(D14,"retain"),EXACT(D14,"exclude"),EXACT(D14,"discuss"))),NOT(OR(EXACT(E14,"statistical_results"),EXACT(E14,"report_internal_inconsistency"),EXACT(E14,"plan_material"),EXACT(E14,"protocol_report"))),AND(AND(D14="retain",E14="statistical_results"),NOT(OR(EXACT(H14,"confirmed_issue"),EXACT(H14,"probable_issue"),EXACT(H14,"not_issue"),EXACT(H14,"indeterminate")))),AND(AND(D14="retain",E14="statistical_results"),NOT(OR(EXACT(I14,"substantive"),EXACT(I14,"minor_presentation"),EXACT(I14,"indeterminate")))),AND(AND(D14="retain",E14="statistical_results"),J14&lt;&gt;"",NOT(OR(EXACT(J14,"direct"),EXACT(J14,"possible"),EXACT(J14,"unlikely"),EXACT(J14,"unknown")))),AND(AND(D14="retain",OR(E14="report_internal_inconsistency",E14="plan_material")),NOT(OR(EXACT(K14,"substantive_inconsistency"),EXACT(K14,"minor_presentation"),EXACT(K14,"non_inconsistency"),EXACT(K14,"indeterminate")))),AND(AND(D14="retain",E14="protocol_report"),L14&lt;&gt;"",NOT(OR(EXACT(L14,"substantive_difference"),EXACT(L14,"minor_presentation"),EXACT(L14,"version_timing"),EXACT(L14,"non_inconsistency"),EXACT(L14,"indeterminate"))))),"CHECK FIELDS",IF(AND(F14&lt;&gt;"",NOT(OR(EXACT(F14,"no"),EXACT(F14,"primary_done")))),"CHECK COMPLETE",IF(EXACT(F14,"primary_done"),"PRIMARY READY","PRIMARY DRAFT")))))),"CHECK INPUT / KEY")</f>
        <v/>
      </c>
      <c r="H14" s="21" t="inlineStr">
        <is>
          <t>confirmed_issue</t>
        </is>
      </c>
      <c r="I14" s="21" t="inlineStr">
        <is>
          <t>minor_presentation</t>
        </is>
      </c>
      <c r="J14" s="22" t="inlineStr">
        <is>
          <t>unlikely</t>
        </is>
      </c>
      <c r="K14" s="21">
        <f>IF(AND(OR(D14="retain",D14=""),OR(E14="report_internal_inconsistency",E14="plan_material")),"","not_applicable")</f>
        <v/>
      </c>
      <c r="L14" s="22">
        <f>IF(AND(OR(D14="retain",D14=""),E14="protocol_report"),"","not_applicable")</f>
        <v/>
      </c>
      <c r="M14" s="20" t="n"/>
      <c r="N14" s="23" t="n"/>
      <c r="O14" s="23" t="n"/>
      <c r="P14" s="23" t="n"/>
      <c r="Q14" s="23" t="n"/>
      <c r="R14" s="22"/>
    </row>
  </sheetData>
  <autoFilter ref="A1:R14"/>
  <conditionalFormatting sqref="H2:H14">
    <cfRule type="expression" priority="8" dxfId="70">
      <formula>NOT(AND(OR($D2="retain",$D2=""),$E2="statistical_results"))</formula>
    </cfRule>
  </conditionalFormatting>
  <conditionalFormatting sqref="I2:I14">
    <cfRule type="expression" priority="9" dxfId="70">
      <formula>NOT(AND(OR($D2="retain",$D2=""),$E2="statistical_results"))</formula>
    </cfRule>
  </conditionalFormatting>
  <conditionalFormatting sqref="J2:J14">
    <cfRule type="expression" priority="10" dxfId="70">
      <formula>NOT(AND(OR($D2="retain",$D2=""),$E2="statistical_results"))</formula>
    </cfRule>
  </conditionalFormatting>
  <conditionalFormatting sqref="K2:K14">
    <cfRule type="expression" priority="11" dxfId="70">
      <formula>NOT(AND(OR($D2="retain",$D2=""),OR($E2="report_internal_inconsistency",$E2="plan_material")))</formula>
    </cfRule>
  </conditionalFormatting>
  <conditionalFormatting sqref="L2:L14">
    <cfRule type="expression" priority="12" dxfId="70">
      <formula>NOT(AND(OR($D2="retain",$D2=""),$E2="protocol_report"))</formula>
    </cfRule>
  </conditionalFormatting>
  <conditionalFormatting sqref="G2:G14">
    <cfRule type="expression" priority="13" dxfId="71">
      <formula>G2&lt;&gt;"PRIMARY READY"</formula>
    </cfRule>
  </conditionalFormatting>
  <dataValidations count="8">
    <dataValidation sqref="D2:D14" showDropDown="0" showInputMessage="0" showErrorMessage="1" allowBlank="1" errorTitle="Use a listed option" error="Choose an option; G also checks pasted entries." type="list" errorStyle="stop">
      <formula1>"retain,exclude,discuss"</formula1>
    </dataValidation>
    <dataValidation sqref="E2:E14" showDropDown="0" showInputMessage="0" showErrorMessage="1" allowBlank="1" errorTitle="Use a listed option" error="Choose an option; G also checks pasted entries." type="list" errorStyle="stop">
      <formula1>"statistical_results,report_internal_inconsistency,plan_material,protocol_report"</formula1>
    </dataValidation>
    <dataValidation sqref="F2:F14" showDropDown="0" showInputMessage="0" showErrorMessage="1" allowBlank="1" errorTitle="Use a listed option" error="Choose an option; G also checks pasted entries." type="list" errorStyle="stop">
      <formula1>"no,primary_done"</formula1>
    </dataValidation>
    <dataValidation sqref="H2:H14" showDropDown="0" showInputMessage="0" showErrorMessage="1" allowBlank="1" errorTitle="Use a listed option" error="Choose an option; G also checks pasted entries." type="list" errorStyle="stop">
      <formula1>"confirmed_issue,probable_issue,not_issue,indeterminate,not_applicable"</formula1>
    </dataValidation>
    <dataValidation sqref="I2:I14" showDropDown="0" showInputMessage="0" showErrorMessage="1" allowBlank="1" errorTitle="Use a listed option" error="Choose an option; G also checks pasted entries." type="list" errorStyle="stop">
      <formula1>"substantive,minor_presentation,indeterminate,not_applicable"</formula1>
    </dataValidation>
    <dataValidation sqref="J2:J14" showDropDown="0" showInputMessage="0" showErrorMessage="1" allowBlank="1" errorTitle="Use a listed option" error="Choose an option; G also checks pasted entries." type="list" errorStyle="stop">
      <formula1>"direct,possible,unlikely,unknown,not_applicable"</formula1>
    </dataValidation>
    <dataValidation sqref="K2:K14" showDropDown="0" showInputMessage="0" showErrorMessage="1" allowBlank="1" errorTitle="Use a listed option" error="Choose an option; G also checks pasted entries." type="list" errorStyle="stop">
      <formula1>"substantive_inconsistency,minor_presentation,non_inconsistency,indeterminate,not_applicable"</formula1>
    </dataValidation>
    <dataValidation sqref="L2:L14" showDropDown="0" showInputMessage="0" showErrorMessage="1" allowBlank="1" errorTitle="Use a listed option" error="Choose an option; G also checks pasted entries." type="list" errorStyle="stop">
      <formula1>"substantive_difference,minor_presentation,version_timing,non_inconsistency,indeterminate,not_applicable"</formula1>
    </dataValidation>
  </dataValidations>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R5"/>
  <sheetViews>
    <sheetView tabSelected="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Format="1"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Statistical_or_numerical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ht="92" customHeight="1" s="25">
      <c r="A2" s="20" t="inlineStr">
        <is>
          <t>2025::jama.2025.7583::C001</t>
        </is>
      </c>
      <c r="B2" s="20" t="inlineStr">
        <is>
          <t>Planned complication comparison has no supplied comparative result</t>
        </is>
      </c>
      <c r="C2" s="20" t="inlineStr">
        <is>
          <t>PLAN joi250033supp1_prod_1750956987.76581.pdf — p. 50, secondary-endpoint analysis; PLAN joi250033supp5_prod_1750956987.78281.pdf — p. 4, section 2.2, joi250033supp5_prod_1750956987.78281.pdf — p. 7, section 3.6 fifth bullet. REPORT jama_shotar_2025_oi_250033_1750956987.75881.pdf — p. 1, abstract, jama_shotar_2025_oi_250033_1750956987.75881.pdf — p. 3, Secondary End Points/Statistical Analysis, jama_shotar_2025_oi_250033_1750956987.75881.pdf — p. 6, Table 2 complication rows, footnote j and narrative, jama_shotar_2025_oi_250033_1750956987.75881.pdf — p. 7, complication narrative. REPORT joi250033supp4_prod_1750956987.77981.pdf — p. 12, eTable 3, joi250033supp4_prod_1750956987.77981.pdf — p. 13, eTable 3 continuation.</t>
        </is>
      </c>
      <c r="D2" s="21" t="inlineStr">
        <is>
          <t>retain</t>
        </is>
      </c>
      <c r="E2" s="21" t="inlineStr">
        <is>
          <t>protocol_report</t>
        </is>
      </c>
      <c r="F2" s="21" t="inlineStr">
        <is>
          <t>primary_done</t>
        </is>
      </c>
      <c r="G2" s="20">
        <f>IFERROR(IF(LEN(TRIM(CLEAN(SUBSTITUTE(Setup!$B$2,CHAR(160)," "))))=0,"CHECK REVIEWER ID",IF(OR(A2="",COUNTIF($A$2:$A$5,A2)&lt;&gt;1,LEFT(A2,LEN("2025::jama.2025.7583::"))&lt;&gt;"2025::jama.2025.7583::"),"CHECK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
      </c>
      <c r="H2" s="21">
        <f>IF(AND(OR(D2="retain",D2=""),E2="statistical_results"),"","not_applicable")</f>
        <v/>
      </c>
      <c r="I2" s="21">
        <f>IF(AND(OR(D2="retain",D2=""),E2="statistical_results"),"","not_applicable")</f>
        <v/>
      </c>
      <c r="J2" s="22">
        <f>IF(AND(OR(D2="retain",D2=""),E2="statistical_results"),"","not_applicable")</f>
        <v/>
      </c>
      <c r="K2" s="21">
        <f>IF(AND(OR(D2="retain",D2=""),OR(E2="report_internal_inconsistency",E2="plan_material")),"","not_applicable")</f>
        <v/>
      </c>
      <c r="L2" s="22">
        <f>IF(AND(OR(D2="retain",D2=""),E2="protocol_report"),"","not_applicable")</f>
        <v/>
      </c>
      <c r="M2" s="20" t="n"/>
      <c r="N2" s="23" t="n"/>
      <c r="O2" s="23" t="n"/>
      <c r="P2" s="23" t="n"/>
      <c r="Q2" s="23" t="n"/>
      <c r="R2" s="22"/>
    </row>
    <row r="3" ht="92" customHeight="1" s="25">
      <c r="A3" s="24" t="inlineStr">
        <is>
          <t>2025::jama.2025.7583::C002</t>
        </is>
      </c>
      <c r="B3" s="24" t="inlineStr">
        <is>
          <t>Strict versus inclusive primary recurrence boundary</t>
        </is>
      </c>
      <c r="C3" s="24" t="inlineStr">
        <is>
          <t>PLAN joi250033supp5_prod_1750956987.78281.pdf — p. 3, section 2.1 first bullet. PLAN joi250033supp1_prod_1750956987.76581.pdf — p. 7, synopsis, joi250033supp1_prod_1750956987.76581.pdf — p. 16, section 4.1.1 primary endpoint, joi250033supp1_prod_1750956987.76581.pdf — p. 21, both follow-up recurrence definitions, joi250033supp1_prod_1750956987.76581.pdf — p. 31, section 8.1. REPORT jama_shotar_2025_oi_250033_1750956987.75881.pdf — p. 3, End Points. REPORT joi250033supp4_prod_1750956987.77981.pdf — p. 11, eTable 2 criteria 1 and 1a, joi250033supp4_prod_1750956987.77981.pdf — p. 15, EMPROTECT primary endpoint.</t>
        </is>
      </c>
      <c r="D3" s="21" t="inlineStr">
        <is>
          <t>retain</t>
        </is>
      </c>
      <c r="E3" s="21" t="inlineStr">
        <is>
          <t>protocol_report</t>
        </is>
      </c>
      <c r="F3" s="21" t="inlineStr">
        <is>
          <t>primary_done</t>
        </is>
      </c>
      <c r="G3" s="24">
        <f>IFERROR(IF(LEN(TRIM(CLEAN(SUBSTITUTE(Setup!$B$2,CHAR(160)," "))))=0,"CHECK REVIEWER ID",IF(OR(A3="",COUNTIF($A$2:$A$5,A3)&lt;&gt;1,LEFT(A3,LEN("2025::jama.2025.7583::"))&lt;&gt;"2025::jama.2025.7583::"),"CHECK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
      </c>
      <c r="H3" s="21">
        <f>IF(AND(OR(D3="retain",D3=""),E3="statistical_results"),"","not_applicable")</f>
        <v/>
      </c>
      <c r="I3" s="21">
        <f>IF(AND(OR(D3="retain",D3=""),E3="statistical_results"),"","not_applicable")</f>
        <v/>
      </c>
      <c r="J3" s="22">
        <f>IF(AND(OR(D3="retain",D3=""),E3="statistical_results"),"","not_applicable")</f>
        <v/>
      </c>
      <c r="K3" s="21">
        <f>IF(AND(OR(D3="retain",D3=""),OR(E3="report_internal_inconsistency",E3="plan_material")),"","not_applicable")</f>
        <v/>
      </c>
      <c r="L3" s="22" t="inlineStr">
        <is>
          <t>minor_presentation</t>
        </is>
      </c>
      <c r="M3" s="24" t="n"/>
      <c r="N3" s="23" t="n"/>
      <c r="O3" s="23" t="n"/>
      <c r="P3" s="23" t="n"/>
      <c r="Q3" s="23" t="n"/>
      <c r="R3" s="22"/>
    </row>
    <row r="4" ht="92" customHeight="1" s="25">
      <c r="A4" s="20" t="inlineStr">
        <is>
          <t>2025::jama.2025.7583::C003</t>
        </is>
      </c>
      <c r="B4" s="20" t="inlineStr">
        <is>
          <t>Disclosed cause-restricted death amendment in primary composite</t>
        </is>
      </c>
      <c r="C4" s="20" t="inlineStr">
        <is>
          <t>PLAN joi250033supp1_prod_1750956987.76581.pdf — p. 48, interim analysis, joi250033supp1_prod_1750956987.76581.pdf — p. 49, final primary analysis. PLAN joi250033supp5_prod_1750956987.78281.pdf — p. 5, interim analysis, joi250033supp5_prod_1750956987.78281.pdf — p. 6, final analysis, joi250033supp5_prod_1750956987.78281.pdf — p. 8, version-change table. REPORT jama_shotar_2025_oi_250033_1750956987.75881.pdf — p. 3, Statistical Analysis, jama_shotar_2025_oi_250033_1750956987.75881.pdf — p. 4, Figure 1, jama_shotar_2025_oi_250033_1750956987.75881.pdf — p. 5, Primary End Point narrative, jama_shotar_2025_oi_250033_1750956987.75881.pdf — p. 6, Table 2. REPORT joi250033supp4_prod_1750956987.77981.pdf — p. 5, imputation methods, joi250033supp4_prod_1750956987.77981.pdf — p. 9, no-imputation sensitivity footnote, joi250033supp4_prod_1750956987.77981.pdf — p. 11, recurrence/death criteria.</t>
        </is>
      </c>
      <c r="D4" s="21" t="inlineStr">
        <is>
          <t>retain</t>
        </is>
      </c>
      <c r="E4" s="21" t="inlineStr">
        <is>
          <t>protocol_report</t>
        </is>
      </c>
      <c r="F4" s="21" t="inlineStr">
        <is>
          <t>primary_done</t>
        </is>
      </c>
      <c r="G4" s="20">
        <f>IFERROR(IF(LEN(TRIM(CLEAN(SUBSTITUTE(Setup!$B$2,CHAR(160)," "))))=0,"CHECK REVIEWER ID",IF(OR(A4="",COUNTIF($A$2:$A$5,A4)&lt;&gt;1,LEFT(A4,LEN("2025::jama.2025.7583::"))&lt;&gt;"2025::jama.2025.7583::"),"CHECK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
      </c>
      <c r="H4" s="21">
        <f>IF(AND(OR(D4="retain",D4=""),E4="statistical_results"),"","not_applicable")</f>
        <v/>
      </c>
      <c r="I4" s="21">
        <f>IF(AND(OR(D4="retain",D4=""),E4="statistical_results"),"","not_applicable")</f>
        <v/>
      </c>
      <c r="J4" s="22">
        <f>IF(AND(OR(D4="retain",D4=""),E4="statistical_results"),"","not_applicable")</f>
        <v/>
      </c>
      <c r="K4" s="21">
        <f>IF(AND(OR(D4="retain",D4=""),OR(E4="report_internal_inconsistency",E4="plan_material")),"","not_applicable")</f>
        <v/>
      </c>
      <c r="L4" s="22" t="inlineStr">
        <is>
          <t>substantive_difference</t>
        </is>
      </c>
      <c r="M4" s="20" t="n"/>
      <c r="N4" s="23" t="n"/>
      <c r="O4" s="23" t="n"/>
      <c r="P4" s="23" t="n"/>
      <c r="Q4" s="23" t="n"/>
      <c r="R4" s="22"/>
    </row>
    <row r="5" ht="92" customHeight="1" s="25">
      <c r="A5" s="24" t="inlineStr">
        <is>
          <t>2025::jama.2025.7583::C004</t>
        </is>
      </c>
      <c r="B5" s="24" t="inlineStr">
        <is>
          <t>Midline-shift samples exceed stated unilateral populations</t>
        </is>
      </c>
      <c r="C5" s="24" t="inlineStr">
        <is>
          <t>REPORT jama_shotar_2025_oi_250033_1750956987.75881.pdf — physical p. 5, Table 1 headers, Unilateral CSDH row, Midline shift row and continuation footnote d. Physical p. 5 is printed journal p. 131; evidence links use physical pagination.</t>
        </is>
      </c>
      <c r="D5" s="21" t="inlineStr">
        <is>
          <t>retain</t>
        </is>
      </c>
      <c r="E5" s="21" t="inlineStr">
        <is>
          <t>statistical_results</t>
        </is>
      </c>
      <c r="F5" s="21" t="inlineStr">
        <is>
          <t>primary_done</t>
        </is>
      </c>
      <c r="G5" s="24">
        <f>IFERROR(IF(LEN(TRIM(CLEAN(SUBSTITUTE(Setup!$B$2,CHAR(160)," "))))=0,"CHECK REVIEWER ID",IF(OR(A5="",COUNTIF($A$2:$A$5,A5)&lt;&gt;1,LEFT(A5,LEN("2025::jama.2025.7583::"))&lt;&gt;"2025::jama.2025.7583::"),"CHECK KEY",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NOT(OR(EXACT(D5,"retain"),EXACT(D5,"exclude"),EXACT(D5,"discuss"))),NOT(OR(EXACT(E5,"statistical_results"),EXACT(E5,"report_internal_inconsistency"),EXACT(E5,"plan_material"),EXACT(E5,"protocol_report"))),AND(AND(D5="retain",E5="statistical_results"),NOT(OR(EXACT(H5,"confirmed_issue"),EXACT(H5,"probable_issue"),EXACT(H5,"not_issue"),EXACT(H5,"indeterminate")))),AND(AND(D5="retain",E5="statistical_results"),NOT(OR(EXACT(I5,"substantive"),EXACT(I5,"minor_presentation"),EXACT(I5,"indeterminate")))),AND(AND(D5="retain",E5="statistical_results"),J5&lt;&gt;"",NOT(OR(EXACT(J5,"direct"),EXACT(J5,"possible"),EXACT(J5,"unlikely"),EXACT(J5,"unknown")))),AND(AND(D5="retain",OR(E5="report_internal_inconsistency",E5="plan_material")),NOT(OR(EXACT(K5,"substantive_inconsistency"),EXACT(K5,"minor_presentation"),EXACT(K5,"non_inconsistency"),EXACT(K5,"indeterminate")))),AND(AND(D5="retain",E5="protocol_report"),L5&lt;&gt;"",NOT(OR(EXACT(L5,"substantive_difference"),EXACT(L5,"minor_presentation"),EXACT(L5,"version_timing"),EXACT(L5,"non_inconsistency"),EXACT(L5,"indeterminate"))))),"CHECK FIELDS",IF(AND(F5&lt;&gt;"",NOT(OR(EXACT(F5,"no"),EXACT(F5,"primary_done")))),"CHECK COMPLETE",IF(EXACT(F5,"primary_done"),"PRIMARY READY","PRIMARY DRAFT")))))),"CHECK INPUT / KEY")</f>
        <v/>
      </c>
      <c r="H5" s="21" t="inlineStr">
        <is>
          <t>confirmed_issue</t>
        </is>
      </c>
      <c r="I5" s="21" t="inlineStr">
        <is>
          <t>minor_presentation</t>
        </is>
      </c>
      <c r="J5" s="22" t="inlineStr">
        <is>
          <t>unlikely</t>
        </is>
      </c>
      <c r="K5" s="21">
        <f>IF(AND(OR(D5="retain",D5=""),OR(E5="report_internal_inconsistency",E5="plan_material")),"","not_applicable")</f>
        <v/>
      </c>
      <c r="L5" s="22">
        <f>IF(AND(OR(D5="retain",D5=""),E5="protocol_report"),"","not_applicable")</f>
        <v/>
      </c>
      <c r="M5" s="24" t="n"/>
      <c r="N5" s="23" t="n"/>
      <c r="O5" s="23" t="n"/>
      <c r="P5" s="23" t="n"/>
      <c r="Q5" s="23" t="n"/>
      <c r="R5" s="22"/>
    </row>
  </sheetData>
  <autoFilter ref="A1:R5"/>
  <conditionalFormatting sqref="H2:H5">
    <cfRule type="expression" priority="8" dxfId="70">
      <formula>NOT(AND(OR($D2="retain",$D2=""),$E2="statistical_results"))</formula>
    </cfRule>
  </conditionalFormatting>
  <conditionalFormatting sqref="I2:I5">
    <cfRule type="expression" priority="9" dxfId="70">
      <formula>NOT(AND(OR($D2="retain",$D2=""),$E2="statistical_results"))</formula>
    </cfRule>
  </conditionalFormatting>
  <conditionalFormatting sqref="J2:J5">
    <cfRule type="expression" priority="10" dxfId="70">
      <formula>NOT(AND(OR($D2="retain",$D2=""),$E2="statistical_results"))</formula>
    </cfRule>
  </conditionalFormatting>
  <conditionalFormatting sqref="K2:K5">
    <cfRule type="expression" priority="11" dxfId="70">
      <formula>NOT(AND(OR($D2="retain",$D2=""),OR($E2="report_internal_inconsistency",$E2="plan_material")))</formula>
    </cfRule>
  </conditionalFormatting>
  <conditionalFormatting sqref="L2:L5">
    <cfRule type="expression" priority="12" dxfId="70">
      <formula>NOT(AND(OR($D2="retain",$D2=""),$E2="protocol_report"))</formula>
    </cfRule>
  </conditionalFormatting>
  <conditionalFormatting sqref="G2:G5">
    <cfRule type="expression" priority="13" dxfId="71">
      <formula>G2&lt;&gt;"PRIMARY READY"</formula>
    </cfRule>
  </conditionalFormatting>
  <dataValidations count="8">
    <dataValidation sqref="D2:D5" showDropDown="0" showInputMessage="0" showErrorMessage="1" allowBlank="1" errorTitle="Use a listed option" error="Choose an option; G also checks pasted entries." type="list" errorStyle="stop">
      <formula1>"retain,exclude,discuss"</formula1>
    </dataValidation>
    <dataValidation sqref="E2:E5" showDropDown="0" showInputMessage="0" showErrorMessage="1" allowBlank="1" errorTitle="Use a listed option" error="Choose an option; G also checks pasted entries." type="list" errorStyle="stop">
      <formula1>"statistical_results,report_internal_inconsistency,plan_material,protocol_report"</formula1>
    </dataValidation>
    <dataValidation sqref="F2:F5" showDropDown="0" showInputMessage="0" showErrorMessage="1" allowBlank="1" errorTitle="Use a listed option" error="Choose an option; G also checks pasted entries." type="list" errorStyle="stop">
      <formula1>"no,primary_done"</formula1>
    </dataValidation>
    <dataValidation sqref="H2:H5" showDropDown="0" showInputMessage="0" showErrorMessage="1" allowBlank="1" errorTitle="Use a listed option" error="Choose an option; G also checks pasted entries." type="list" errorStyle="stop">
      <formula1>"confirmed_issue,probable_issue,not_issue,indeterminate,not_applicable"</formula1>
    </dataValidation>
    <dataValidation sqref="I2:I5" showDropDown="0" showInputMessage="0" showErrorMessage="1" allowBlank="1" errorTitle="Use a listed option" error="Choose an option; G also checks pasted entries." type="list" errorStyle="stop">
      <formula1>"substantive,minor_presentation,indeterminate,not_applicable"</formula1>
    </dataValidation>
    <dataValidation sqref="J2:J5" showDropDown="0" showInputMessage="0" showErrorMessage="1" allowBlank="1" errorTitle="Use a listed option" error="Choose an option; G also checks pasted entries." type="list" errorStyle="stop">
      <formula1>"direct,possible,unlikely,unknown,not_applicable"</formula1>
    </dataValidation>
    <dataValidation sqref="K2:K5" showDropDown="0" showInputMessage="0" showErrorMessage="1" allowBlank="1" errorTitle="Use a listed option" error="Choose an option; G also checks pasted entries." type="list" errorStyle="stop">
      <formula1>"substantive_inconsistency,minor_presentation,non_inconsistency,indeterminate,not_applicable"</formula1>
    </dataValidation>
    <dataValidation sqref="L2:L5" showDropDown="0" showInputMessage="0" showErrorMessage="1" allowBlank="1" errorTitle="Use a listed option" error="Choose an option; G also checks pasted entries." type="list" errorStyle="stop">
      <formula1>"substantive_difference,minor_presentation,version_timing,non_inconsistency,indeterminate,not_applicable"</formula1>
    </dataValidation>
  </dataValidations>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R4"/>
  <sheetViews>
    <sheetView tabSelected="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Format="1"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Statistical_or_numerical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ht="92" customHeight="1" s="25">
      <c r="A2" s="20" t="inlineStr">
        <is>
          <t>2025::jama.2025.7710::C001</t>
        </is>
      </c>
      <c r="B2" s="20" t="inlineStr">
        <is>
          <t>Planned prognostic-adjusted primary result is not identified</t>
        </is>
      </c>
      <c r="C2" s="20" t="inlineStr">
        <is>
          <t>PLAN joi250034supp1_prod_1750956984.09018.pdf — protocol p.20, §13.2; joi250034supp2_prod_1750956984.11521.pdf — SAP p.12, §3.2, joi250034supp2_prod_1750956984.11521.pdf — SAP p.13, §3.9, and joi250034supp2_prod_1750956984.11521.pdf — SAP p.26, Table 12. REPORT jama_kumar_2025_oi_250034_1750956984.08518.pdf — main p.3, Statistical Analysis, jama_kumar_2025_oi_250034_1750956984.08518.pdf — main p.6, primary/sensitivity paragraph, jama_kumar_2025_oi_250034_1750956984.08518.pdf — main p.7, Table 3, jama_kumar_2025_oi_250034_1750956984.08518.pdf — main p.8, Figure 2/Table 4, and joi250034supp3_prod_1750956984.12018.pdf — results p.2, eTable 1. All main pp.1–11 and results-supplement pp.1–6 were inspected for the output. joi250034supp2_prod_1750956984.11521.pdf — SAP p.4 supplies blinded-development context only.</t>
        </is>
      </c>
      <c r="D2" s="21" t="inlineStr">
        <is>
          <t>retain</t>
        </is>
      </c>
      <c r="E2" s="21" t="inlineStr">
        <is>
          <t>protocol_report</t>
        </is>
      </c>
      <c r="F2" s="21" t="inlineStr">
        <is>
          <t>primary_done</t>
        </is>
      </c>
      <c r="G2" s="20">
        <f>IFERROR(IF(LEN(TRIM(CLEAN(SUBSTITUTE(Setup!$B$2,CHAR(160)," "))))=0,"CHECK REVIEWER ID",IF(OR(A2="",COUNTIF($A$2:$A$4,A2)&lt;&gt;1,LEFT(A2,LEN("2025::jama.2025.7710::"))&lt;&gt;"2025::jama.2025.7710::"),"CHECK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
      </c>
      <c r="H2" s="21">
        <f>IF(AND(OR(D2="retain",D2=""),E2="statistical_results"),"","not_applicable")</f>
        <v/>
      </c>
      <c r="I2" s="21">
        <f>IF(AND(OR(D2="retain",D2=""),E2="statistical_results"),"","not_applicable")</f>
        <v/>
      </c>
      <c r="J2" s="22">
        <f>IF(AND(OR(D2="retain",D2=""),E2="statistical_results"),"","not_applicable")</f>
        <v/>
      </c>
      <c r="K2" s="21">
        <f>IF(AND(OR(D2="retain",D2=""),OR(E2="report_internal_inconsistency",E2="plan_material")),"","not_applicable")</f>
        <v/>
      </c>
      <c r="L2" s="22" t="inlineStr">
        <is>
          <t>substantive_difference</t>
        </is>
      </c>
      <c r="M2" s="20" t="n"/>
      <c r="N2" s="23" t="n"/>
      <c r="O2" s="23" t="n"/>
      <c r="P2" s="23" t="n"/>
      <c r="Q2" s="23" t="n"/>
      <c r="R2" s="22"/>
    </row>
    <row r="3" ht="92" customHeight="1" s="25">
      <c r="A3" s="24" t="inlineStr">
        <is>
          <t>2025::jama.2025.7710::C002</t>
        </is>
      </c>
      <c r="B3" s="24" t="inlineStr">
        <is>
          <t>Planned component multiplicity adjustment differs from reported rule</t>
        </is>
      </c>
      <c r="C3" s="24" t="inlineStr">
        <is>
          <t>PLAN joi250034supp1_prod_1750956984.09018.pdf — protocol p.20, §13.2, with contextual continuation joi250034supp1_prod_1750956984.09018.pdf — p.21; joi250034supp2_prod_1750956984.11521.pdf — SAP p.12, §3.2, and joi250034supp2_prod_1750956984.11521.pdf — SAP p.25, Table 11 adjusted-P column. REPORT jama_kumar_2025_oi_250034_1750956984.08518.pdf — main p.3, outcome/interpretation paragraphs, jama_kumar_2025_oi_250034_1750956984.08518.pdf — main p.4, no-adjustment statement, and jama_kumar_2025_oi_250034_1750956984.08518.pdf — main p.7, Table 3, every component P-value row.</t>
        </is>
      </c>
      <c r="D3" s="21" t="inlineStr">
        <is>
          <t>retain</t>
        </is>
      </c>
      <c r="E3" s="21" t="inlineStr">
        <is>
          <t>protocol_report</t>
        </is>
      </c>
      <c r="F3" s="21" t="inlineStr">
        <is>
          <t>primary_done</t>
        </is>
      </c>
      <c r="G3" s="24">
        <f>IFERROR(IF(LEN(TRIM(CLEAN(SUBSTITUTE(Setup!$B$2,CHAR(160)," "))))=0,"CHECK REVIEWER ID",IF(OR(A3="",COUNTIF($A$2:$A$4,A3)&lt;&gt;1,LEFT(A3,LEN("2025::jama.2025.7710::"))&lt;&gt;"2025::jama.2025.7710::"),"CHECK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
      </c>
      <c r="H3" s="21">
        <f>IF(AND(OR(D3="retain",D3=""),E3="statistical_results"),"","not_applicable")</f>
        <v/>
      </c>
      <c r="I3" s="21">
        <f>IF(AND(OR(D3="retain",D3=""),E3="statistical_results"),"","not_applicable")</f>
        <v/>
      </c>
      <c r="J3" s="22">
        <f>IF(AND(OR(D3="retain",D3=""),E3="statistical_results"),"","not_applicable")</f>
        <v/>
      </c>
      <c r="K3" s="21">
        <f>IF(AND(OR(D3="retain",D3=""),OR(E3="report_internal_inconsistency",E3="plan_material")),"","not_applicable")</f>
        <v/>
      </c>
      <c r="L3" s="22" t="inlineStr">
        <is>
          <t>substantive_difference</t>
        </is>
      </c>
      <c r="M3" s="24" t="n"/>
      <c r="N3" s="23" t="n"/>
      <c r="O3" s="23" t="n"/>
      <c r="P3" s="23" t="n"/>
      <c r="Q3" s="23" t="n"/>
      <c r="R3" s="22"/>
    </row>
    <row r="4" ht="92" customHeight="1" s="25">
      <c r="A4" s="20" t="inlineStr">
        <is>
          <t>2025::jama.2025.7710::C003</t>
        </is>
      </c>
      <c r="B4" s="20" t="inlineStr">
        <is>
          <t>Prior-cesarean subgroup history window differs from protocol</t>
        </is>
      </c>
      <c r="C4" s="20" t="inlineStr">
        <is>
          <t>PLAN comparator joi250034supp1_prod_1750956984.09018.pdf — protocol p.17, §8 subgroup 4. REPORT jama_kumar_2025_oi_250034_1750956984.08518.pdf — main p.4, prespecified-subgroup paragraph, jama_kumar_2025_oi_250034_1750956984.08518.pdf — main p.7, repeated subgroup-results description, and jama_kumar_2025_oi_250034_1750956984.08518.pdf — main p.8, Figure 2 preceding-pregnancy-cesarean family/caption. Corroborating PLAN joi250034supp2_prod_1750956984.11521.pdf — SAP p.14, §3.11, joi250034supp2_prod_1750956984.11521.pdf — SAP p.29, Table 15, and joi250034supp2_prod_1750956984.11521.pdf — SAP p.4, revision history/blinded-preparation declaration. Additional timing/process context: jama_kumar_2025_oi_250034_1750956984.08518.pdf — main p.3, prespecification-before-lock statement and joi250034supp1_prod_1750956984.09018.pdf — protocol p.22, §15.3 amendment process.</t>
        </is>
      </c>
      <c r="D4" s="21" t="inlineStr">
        <is>
          <t>retain</t>
        </is>
      </c>
      <c r="E4" s="21" t="inlineStr">
        <is>
          <t>protocol_report</t>
        </is>
      </c>
      <c r="F4" s="21" t="inlineStr">
        <is>
          <t>primary_done</t>
        </is>
      </c>
      <c r="G4" s="20">
        <f>IFERROR(IF(LEN(TRIM(CLEAN(SUBSTITUTE(Setup!$B$2,CHAR(160)," "))))=0,"CHECK REVIEWER ID",IF(OR(A4="",COUNTIF($A$2:$A$4,A4)&lt;&gt;1,LEFT(A4,LEN("2025::jama.2025.7710::"))&lt;&gt;"2025::jama.2025.7710::"),"CHECK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
      </c>
      <c r="H4" s="21">
        <f>IF(AND(OR(D4="retain",D4=""),E4="statistical_results"),"","not_applicable")</f>
        <v/>
      </c>
      <c r="I4" s="21">
        <f>IF(AND(OR(D4="retain",D4=""),E4="statistical_results"),"","not_applicable")</f>
        <v/>
      </c>
      <c r="J4" s="22">
        <f>IF(AND(OR(D4="retain",D4=""),E4="statistical_results"),"","not_applicable")</f>
        <v/>
      </c>
      <c r="K4" s="21">
        <f>IF(AND(OR(D4="retain",D4=""),OR(E4="report_internal_inconsistency",E4="plan_material")),"","not_applicable")</f>
        <v/>
      </c>
      <c r="L4" s="22" t="inlineStr">
        <is>
          <t>substantive_difference</t>
        </is>
      </c>
      <c r="M4" s="20" t="n"/>
      <c r="N4" s="23" t="n"/>
      <c r="O4" s="23" t="n"/>
      <c r="P4" s="23" t="n"/>
      <c r="Q4" s="23" t="n"/>
      <c r="R4" s="22"/>
    </row>
  </sheetData>
  <autoFilter ref="A1:R4"/>
  <conditionalFormatting sqref="H2:H4">
    <cfRule type="expression" priority="8" dxfId="70">
      <formula>NOT(AND(OR($D2="retain",$D2=""),$E2="statistical_results"))</formula>
    </cfRule>
  </conditionalFormatting>
  <conditionalFormatting sqref="I2:I4">
    <cfRule type="expression" priority="9" dxfId="70">
      <formula>NOT(AND(OR($D2="retain",$D2=""),$E2="statistical_results"))</formula>
    </cfRule>
  </conditionalFormatting>
  <conditionalFormatting sqref="J2:J4">
    <cfRule type="expression" priority="10" dxfId="70">
      <formula>NOT(AND(OR($D2="retain",$D2=""),$E2="statistical_results"))</formula>
    </cfRule>
  </conditionalFormatting>
  <conditionalFormatting sqref="K2:K4">
    <cfRule type="expression" priority="11" dxfId="70">
      <formula>NOT(AND(OR($D2="retain",$D2=""),OR($E2="report_internal_inconsistency",$E2="plan_material")))</formula>
    </cfRule>
  </conditionalFormatting>
  <conditionalFormatting sqref="L2:L4">
    <cfRule type="expression" priority="12" dxfId="70">
      <formula>NOT(AND(OR($D2="retain",$D2=""),$E2="protocol_report"))</formula>
    </cfRule>
  </conditionalFormatting>
  <conditionalFormatting sqref="G2:G4">
    <cfRule type="expression" priority="13" dxfId="71">
      <formula>G2&lt;&gt;"PRIMARY READY"</formula>
    </cfRule>
  </conditionalFormatting>
  <dataValidations count="8">
    <dataValidation sqref="D2:D4" showDropDown="0" showInputMessage="0" showErrorMessage="1" allowBlank="1" errorTitle="Use a listed option" error="Choose an option; G also checks pasted entries." type="list" errorStyle="stop">
      <formula1>"retain,exclude,discuss"</formula1>
    </dataValidation>
    <dataValidation sqref="E2:E4" showDropDown="0" showInputMessage="0" showErrorMessage="1" allowBlank="1" errorTitle="Use a listed option" error="Choose an option; G also checks pasted entries." type="list" errorStyle="stop">
      <formula1>"statistical_results,report_internal_inconsistency,plan_material,protocol_report"</formula1>
    </dataValidation>
    <dataValidation sqref="F2:F4" showDropDown="0" showInputMessage="0" showErrorMessage="1" allowBlank="1" errorTitle="Use a listed option" error="Choose an option; G also checks pasted entries." type="list" errorStyle="stop">
      <formula1>"no,primary_done"</formula1>
    </dataValidation>
    <dataValidation sqref="H2:H4" showDropDown="0" showInputMessage="0" showErrorMessage="1" allowBlank="1" errorTitle="Use a listed option" error="Choose an option; G also checks pasted entries." type="list" errorStyle="stop">
      <formula1>"confirmed_issue,probable_issue,not_issue,indeterminate,not_applicable"</formula1>
    </dataValidation>
    <dataValidation sqref="I2:I4" showDropDown="0" showInputMessage="0" showErrorMessage="1" allowBlank="1" errorTitle="Use a listed option" error="Choose an option; G also checks pasted entries." type="list" errorStyle="stop">
      <formula1>"substantive,minor_presentation,indeterminate,not_applicable"</formula1>
    </dataValidation>
    <dataValidation sqref="J2:J4" showDropDown="0" showInputMessage="0" showErrorMessage="1" allowBlank="1" errorTitle="Use a listed option" error="Choose an option; G also checks pasted entries." type="list" errorStyle="stop">
      <formula1>"direct,possible,unlikely,unknown,not_applicable"</formula1>
    </dataValidation>
    <dataValidation sqref="K2:K4" showDropDown="0" showInputMessage="0" showErrorMessage="1" allowBlank="1" errorTitle="Use a listed option" error="Choose an option; G also checks pasted entries." type="list" errorStyle="stop">
      <formula1>"substantive_inconsistency,minor_presentation,non_inconsistency,indeterminate,not_applicable"</formula1>
    </dataValidation>
    <dataValidation sqref="L2:L4" showDropDown="0" showInputMessage="0" showErrorMessage="1" allowBlank="1" errorTitle="Use a listed option" error="Choose an option; G also checks pasted entries." type="list" errorStyle="stop">
      <formula1>"substantive_difference,minor_presentation,version_timing,non_inconsistency,indeterminate,not_applicable"</formula1>
    </dataValidation>
  </dataValidations>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R4"/>
  <sheetViews>
    <sheetView tabSelected="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Format="1"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Statistical_or_numerical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ht="92" customHeight="1" s="25">
      <c r="A2" s="20" t="inlineStr">
        <is>
          <t>2025::jama.2025.9110::C001</t>
        </is>
      </c>
      <c r="B2" s="20" t="inlineStr">
        <is>
          <t>Planned ventilation Cox analysis replaced by a tobit mean contrast</t>
        </is>
      </c>
      <c r="C2" s="20" t="inlineStr">
        <is>
          <t>REPORT jama_summers_2025_oi_250040_1753124024.36498.pdf — main article p. 1, abstract ventilation effect; REPORT jama_summers_2025_oi_250040_1753124024.36498.pdf — main article p. 4, SAP-concordance statement; REPORT jama_summers_2025_oi_250040_1753124024.36498.pdf — main article p. 5, repeated ventilation mean contrast; REPORT jama_summers_2025_oi_250040_1753124024.36498.pdf — main article p. 7, Table 2 ventilation row; PLAN joi250040supp1_prod_1753124024.37199.pdf — protocol p. 21, lines 679–684; PLAN joi250040supp2_prod_1753124024.37799.pdf — SAP p. 18, lines 416–431; PLAN joi250040supp2_prod_1753124024.37799.pdf — SAP p. 28, Table 1 ventilation analysis; REPORT joi250040supp3_prod_1753124024.38098.pdf — results supplement p. 4, Duration of invasive ventilation; REPORT joi250040supp3_prod_1753124024.38098.pdf — results supplement p. 6, metobit/margins</t>
        </is>
      </c>
      <c r="D2" s="21" t="inlineStr">
        <is>
          <t>retain</t>
        </is>
      </c>
      <c r="E2" s="21" t="inlineStr">
        <is>
          <t>protocol_report</t>
        </is>
      </c>
      <c r="F2" s="21" t="inlineStr">
        <is>
          <t>primary_done</t>
        </is>
      </c>
      <c r="G2" s="20">
        <f>IFERROR(IF(LEN(TRIM(CLEAN(SUBSTITUTE(Setup!$B$2,CHAR(160)," "))))=0,"CHECK REVIEWER ID",IF(OR(A2="",COUNTIF($A$2:$A$4,A2)&lt;&gt;1,LEFT(A2,LEN("2025::jama.2025.9110::"))&lt;&gt;"2025::jama.2025.9110::"),"CHECK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
      </c>
      <c r="H2" s="21">
        <f>IF(AND(OR(D2="retain",D2=""),E2="statistical_results"),"","not_applicable")</f>
        <v/>
      </c>
      <c r="I2" s="21">
        <f>IF(AND(OR(D2="retain",D2=""),E2="statistical_results"),"","not_applicable")</f>
        <v/>
      </c>
      <c r="J2" s="22">
        <f>IF(AND(OR(D2="retain",D2=""),E2="statistical_results"),"","not_applicable")</f>
        <v/>
      </c>
      <c r="K2" s="21">
        <f>IF(AND(OR(D2="retain",D2=""),OR(E2="report_internal_inconsistency",E2="plan_material")),"","not_applicable")</f>
        <v/>
      </c>
      <c r="L2" s="22" t="inlineStr">
        <is>
          <t>substantive_difference</t>
        </is>
      </c>
      <c r="M2" s="20" t="n"/>
      <c r="N2" s="23" t="n"/>
      <c r="O2" s="23" t="n"/>
      <c r="P2" s="23" t="n"/>
      <c r="Q2" s="23" t="n"/>
      <c r="R2" s="22"/>
    </row>
    <row r="3" ht="92" customHeight="1" s="25">
      <c r="A3" s="24" t="inlineStr">
        <is>
          <t>2025::jama.2025.9110::C002</t>
        </is>
      </c>
      <c r="B3" s="24" t="inlineStr">
        <is>
          <t>Printed ICU confidence interval and P value have different null-status readings</t>
        </is>
      </c>
      <c r="C3" s="24" t="inlineStr">
        <is>
          <t>REPORT jama_summers_2025_oi_250040_1753124024.36498.pdf — main article p. 1, abstract ICU-discharge interval; REPORT jama_summers_2025_oi_250040_1753124024.36498.pdf — main article p. 4, two-sided testing and threshold; REPORT jama_summers_2025_oi_250040_1753124024.36498.pdf — main article p. 5, secondary-outcome ICU interval; REPORT jama_summers_2025_oi_250040_1753124024.36498.pdf — main article p. 7, Table 2 ICU row and footnote b</t>
        </is>
      </c>
      <c r="D3" s="21" t="inlineStr">
        <is>
          <t>exclude</t>
        </is>
      </c>
      <c r="E3" s="21" t="inlineStr">
        <is>
          <t>statistical_results</t>
        </is>
      </c>
      <c r="F3" s="21" t="inlineStr">
        <is>
          <t>primary_done</t>
        </is>
      </c>
      <c r="G3" s="24">
        <f>IFERROR(IF(LEN(TRIM(CLEAN(SUBSTITUTE(Setup!$B$2,CHAR(160)," "))))=0,"CHECK REVIEWER ID",IF(OR(A3="",COUNTIF($A$2:$A$4,A3)&lt;&gt;1,LEFT(A3,LEN("2025::jama.2025.9110::"))&lt;&gt;"2025::jama.2025.9110::"),"CHECK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
      </c>
      <c r="H3" s="21">
        <f>IF(AND(OR(D3="retain",D3=""),E3="statistical_results"),"","not_applicable")</f>
        <v/>
      </c>
      <c r="I3" s="21">
        <f>IF(AND(OR(D3="retain",D3=""),E3="statistical_results"),"","not_applicable")</f>
        <v/>
      </c>
      <c r="J3" s="22">
        <f>IF(AND(OR(D3="retain",D3=""),E3="statistical_results"),"","not_applicable")</f>
        <v/>
      </c>
      <c r="K3" s="21">
        <f>IF(AND(OR(D3="retain",D3=""),OR(E3="report_internal_inconsistency",E3="plan_material")),"","not_applicable")</f>
        <v/>
      </c>
      <c r="L3" s="22">
        <f>IF(AND(OR(D3="retain",D3=""),E3="protocol_report"),"","not_applicable")</f>
        <v/>
      </c>
      <c r="M3" s="24" t="n"/>
      <c r="N3" s="23" t="n"/>
      <c r="O3" s="23" t="n"/>
      <c r="P3" s="23" t="n"/>
      <c r="Q3" s="23" t="n"/>
      <c r="R3" s="22" t="inlineStr">
        <is>
          <t>ICU discharge HR 0.93 (95% CI 0.88-1.00), P=.04 (abstract, p.5, Table 2 p.7). The printed upper limit 1.00 is rounded; letting estimate and limits vary within their half-units, the CI-implied P ranges from .009 to .057 (about .026 at the printed values), which contains .04. Display rounding, not a conflict.</t>
        </is>
      </c>
    </row>
    <row r="4" ht="92" customHeight="1" s="25">
      <c r="A4" s="20" t="inlineStr">
        <is>
          <t>2025::jama.2025.9110::C003</t>
        </is>
      </c>
      <c r="B4" s="20" t="inlineStr">
        <is>
          <t>Original primary-power correlation assumptions differ between SAP and report</t>
        </is>
      </c>
      <c r="C4" s="20" t="inlineStr">
        <is>
          <t>REPORT jama_summers_2025_oi_250040_1753124024.36498.pdf — main article p. 3, original sample-size rationale begins; REPORT jama_summers_2025_oi_250040_1753124024.36498.pdf — main article p. 4, correlation assumptions and continuation; PLAN joi250040supp2_prod_1753124024.37799.pdf — SAP p. 13, lines 301–308; PLAN joi250040supp2_prod_1753124024.37799.pdf — SAP p. 14, lines 309–321; Corroborating PLAN joi250040supp1_prod_1753124024.37199.pdf — protocol p. 20, lines 651–665</t>
        </is>
      </c>
      <c r="D4" s="21" t="inlineStr">
        <is>
          <t>retain</t>
        </is>
      </c>
      <c r="E4" s="21" t="inlineStr">
        <is>
          <t>protocol_report</t>
        </is>
      </c>
      <c r="F4" s="21" t="inlineStr">
        <is>
          <t>primary_done</t>
        </is>
      </c>
      <c r="G4" s="20">
        <f>IFERROR(IF(LEN(TRIM(CLEAN(SUBSTITUTE(Setup!$B$2,CHAR(160)," "))))=0,"CHECK REVIEWER ID",IF(OR(A4="",COUNTIF($A$2:$A$4,A4)&lt;&gt;1,LEFT(A4,LEN("2025::jama.2025.9110::"))&lt;&gt;"2025::jama.2025.9110::"),"CHECK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
      </c>
      <c r="H4" s="21">
        <f>IF(AND(OR(D4="retain",D4=""),E4="statistical_results"),"","not_applicable")</f>
        <v/>
      </c>
      <c r="I4" s="21">
        <f>IF(AND(OR(D4="retain",D4=""),E4="statistical_results"),"","not_applicable")</f>
        <v/>
      </c>
      <c r="J4" s="22">
        <f>IF(AND(OR(D4="retain",D4=""),E4="statistical_results"),"","not_applicable")</f>
        <v/>
      </c>
      <c r="K4" s="21">
        <f>IF(AND(OR(D4="retain",D4=""),OR(E4="report_internal_inconsistency",E4="plan_material")),"","not_applicable")</f>
        <v/>
      </c>
      <c r="L4" s="22" t="inlineStr">
        <is>
          <t>substantive_difference</t>
        </is>
      </c>
      <c r="M4" s="20" t="n"/>
      <c r="N4" s="23" t="n"/>
      <c r="O4" s="23" t="n"/>
      <c r="P4" s="23" t="n"/>
      <c r="Q4" s="23" t="n"/>
      <c r="R4" s="22"/>
    </row>
  </sheetData>
  <autoFilter ref="A1:R4"/>
  <conditionalFormatting sqref="H2:H4">
    <cfRule type="expression" priority="8" dxfId="70">
      <formula>NOT(AND(OR($D2="retain",$D2=""),$E2="statistical_results"))</formula>
    </cfRule>
  </conditionalFormatting>
  <conditionalFormatting sqref="I2:I4">
    <cfRule type="expression" priority="9" dxfId="70">
      <formula>NOT(AND(OR($D2="retain",$D2=""),$E2="statistical_results"))</formula>
    </cfRule>
  </conditionalFormatting>
  <conditionalFormatting sqref="J2:J4">
    <cfRule type="expression" priority="10" dxfId="70">
      <formula>NOT(AND(OR($D2="retain",$D2=""),$E2="statistical_results"))</formula>
    </cfRule>
  </conditionalFormatting>
  <conditionalFormatting sqref="K2:K4">
    <cfRule type="expression" priority="11" dxfId="70">
      <formula>NOT(AND(OR($D2="retain",$D2=""),OR($E2="report_internal_inconsistency",$E2="plan_material")))</formula>
    </cfRule>
  </conditionalFormatting>
  <conditionalFormatting sqref="L2:L4">
    <cfRule type="expression" priority="12" dxfId="70">
      <formula>NOT(AND(OR($D2="retain",$D2=""),$E2="protocol_report"))</formula>
    </cfRule>
  </conditionalFormatting>
  <conditionalFormatting sqref="G2:G4">
    <cfRule type="expression" priority="13" dxfId="71">
      <formula>G2&lt;&gt;"PRIMARY READY"</formula>
    </cfRule>
  </conditionalFormatting>
  <dataValidations count="8">
    <dataValidation sqref="D2:D4" showDropDown="0" showInputMessage="0" showErrorMessage="1" allowBlank="1" errorTitle="Use a listed option" error="Choose an option; G also checks pasted entries." type="list" errorStyle="stop">
      <formula1>"retain,exclude,discuss"</formula1>
    </dataValidation>
    <dataValidation sqref="E2:E4" showDropDown="0" showInputMessage="0" showErrorMessage="1" allowBlank="1" errorTitle="Use a listed option" error="Choose an option; G also checks pasted entries." type="list" errorStyle="stop">
      <formula1>"statistical_results,report_internal_inconsistency,plan_material,protocol_report"</formula1>
    </dataValidation>
    <dataValidation sqref="F2:F4" showDropDown="0" showInputMessage="0" showErrorMessage="1" allowBlank="1" errorTitle="Use a listed option" error="Choose an option; G also checks pasted entries." type="list" errorStyle="stop">
      <formula1>"no,primary_done"</formula1>
    </dataValidation>
    <dataValidation sqref="H2:H4" showDropDown="0" showInputMessage="0" showErrorMessage="1" allowBlank="1" errorTitle="Use a listed option" error="Choose an option; G also checks pasted entries." type="list" errorStyle="stop">
      <formula1>"confirmed_issue,probable_issue,not_issue,indeterminate,not_applicable"</formula1>
    </dataValidation>
    <dataValidation sqref="I2:I4" showDropDown="0" showInputMessage="0" showErrorMessage="1" allowBlank="1" errorTitle="Use a listed option" error="Choose an option; G also checks pasted entries." type="list" errorStyle="stop">
      <formula1>"substantive,minor_presentation,indeterminate,not_applicable"</formula1>
    </dataValidation>
    <dataValidation sqref="J2:J4" showDropDown="0" showInputMessage="0" showErrorMessage="1" allowBlank="1" errorTitle="Use a listed option" error="Choose an option; G also checks pasted entries." type="list" errorStyle="stop">
      <formula1>"direct,possible,unlikely,unknown,not_applicable"</formula1>
    </dataValidation>
    <dataValidation sqref="K2:K4" showDropDown="0" showInputMessage="0" showErrorMessage="1" allowBlank="1" errorTitle="Use a listed option" error="Choose an option; G also checks pasted entries." type="list" errorStyle="stop">
      <formula1>"substantive_inconsistency,minor_presentation,non_inconsistency,indeterminate,not_applicable"</formula1>
    </dataValidation>
    <dataValidation sqref="L2:L4" showDropDown="0" showInputMessage="0" showErrorMessage="1" allowBlank="1" errorTitle="Use a listed option" error="Choose an option; G also checks pasted entries." type="list" errorStyle="stop">
      <formula1>"substantive_difference,minor_presentation,version_timing,non_inconsistency,indeterminate,not_applicable"</formula1>
    </dataValidation>
  </dataValidations>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R6"/>
  <sheetViews>
    <sheetView tabSelected="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2" customWidth="1" style="14" min="1" max="1"/>
    <col width="28" customWidth="1" style="14" min="2" max="2"/>
    <col width="22" customWidth="1" style="14" min="3" max="3"/>
    <col width="20" customWidth="1" style="14" min="4" max="4"/>
    <col width="35" customWidth="1" style="14" min="5" max="5"/>
    <col width="17" customWidth="1" style="14" min="6" max="6"/>
    <col width="29" customWidth="1" style="14" min="7" max="7"/>
    <col width="28" customWidth="1" style="14" min="8" max="8"/>
    <col width="20" customWidth="1" style="14" min="9" max="9"/>
    <col width="20" customWidth="1" style="14" min="10" max="10"/>
    <col width="34" customWidth="1" style="14" min="11" max="11"/>
    <col width="26" customWidth="1" style="14" min="12" max="12"/>
    <col hidden="1" width="3" customWidth="1" style="14" min="13" max="13"/>
    <col hidden="1" width="3" customWidth="1" style="14" min="14" max="14"/>
    <col hidden="1" width="3" customWidth="1" style="14" min="15" max="15"/>
    <col hidden="1" width="3" customWidth="1" style="14" min="16" max="16"/>
    <col hidden="1" width="3" customWidth="1" style="14" min="17" max="17"/>
    <col width="32" customWidth="1" style="14" min="18" max="18"/>
  </cols>
  <sheetData>
    <row r="1" ht="70" customFormat="1" customHeight="1" s="14">
      <c r="A1" s="19" t="inlineStr">
        <is>
          <t>Candidate key</t>
        </is>
      </c>
      <c r="B1" s="19" t="inlineStr">
        <is>
          <t>Candidate title</t>
        </is>
      </c>
      <c r="C1" s="19" t="inlineStr">
        <is>
          <t>Source location</t>
        </is>
      </c>
      <c r="D1" s="19" t="inlineStr">
        <is>
          <t>Disposition</t>
        </is>
      </c>
      <c r="E1" s="19" t="inlineStr">
        <is>
          <t>Review domain (AI suggestion; editable)</t>
        </is>
      </c>
      <c r="F1" s="19" t="inlineStr">
        <is>
          <t>Complete</t>
        </is>
      </c>
      <c r="G1" s="19" t="inlineStr">
        <is>
          <t>Validation hint</t>
        </is>
      </c>
      <c r="H1" s="19" t="inlineStr">
        <is>
          <t>Statistical_or_numerical issue</t>
        </is>
      </c>
      <c r="I1" s="19" t="inlineStr">
        <is>
          <t>Substantiveness</t>
        </is>
      </c>
      <c r="J1" s="19" t="inlineStr">
        <is>
          <t>Downstream impact</t>
        </is>
      </c>
      <c r="K1" s="19" t="inlineStr">
        <is>
          <t>Report-internal or planning-material inconsistency</t>
        </is>
      </c>
      <c r="L1" s="19" t="inlineStr">
        <is>
          <t>Protocol interpretation</t>
        </is>
      </c>
      <c r="M1" s="19" t="n"/>
      <c r="N1" s="19" t="n"/>
      <c r="O1" s="19" t="n"/>
      <c r="P1" s="19" t="n"/>
      <c r="Q1" s="19" t="n"/>
      <c r="R1" s="19" t="inlineStr">
        <is>
          <t>Notes (optional)</t>
        </is>
      </c>
    </row>
    <row r="2" ht="92" customHeight="1" s="25">
      <c r="A2" s="20" t="inlineStr">
        <is>
          <t>2025::jama.2025.9663::C001</t>
        </is>
      </c>
      <c r="B2" s="20" t="inlineStr">
        <is>
          <t>Missing stratification-only primary-outcome analysis</t>
        </is>
      </c>
      <c r="C2" s="20" t="inlineStr">
        <is>
          <t>PLAN original protocol: joi250042supp1_prod_1753377747.92525.pdf — p. 30, §4.2.2; PLAN final protocol: joi250042supp1_prod_1753377747.92525.pdf — p. 70, §4.2.2; REPORT model description: jama_martin_2025_oi_250042_1753377747.91025.pdf — p. 3, Statistical Analysis; REPORT narrative effects: jama_martin_2025_oi_250042_1753377747.91025.pdf — p. 6, Primary and Secondary Outcomes; REPORT tabulated effects and adjustment sets: jama_martin_2025_oi_250042_1753377747.91025.pdf — p. 8, Table 2 and footnotes a/b; PLAN alternative specification: joi250042supp1_prod_1753377747.92525.pdf — p. 126, §5.3.1, joi250042supp1_prod_1753377747.92525.pdf — p. 127, continuation, and joi250042supp1_prod_1753377747.92525.pdf — p. 136, SAP changes</t>
        </is>
      </c>
      <c r="D2" s="21" t="inlineStr">
        <is>
          <t>retain</t>
        </is>
      </c>
      <c r="E2" s="21" t="inlineStr">
        <is>
          <t>protocol_report</t>
        </is>
      </c>
      <c r="F2" s="21" t="inlineStr">
        <is>
          <t>primary_done</t>
        </is>
      </c>
      <c r="G2" s="20">
        <f>IFERROR(IF(LEN(TRIM(CLEAN(SUBSTITUTE(Setup!$B$2,CHAR(160)," "))))=0,"CHECK REVIEWER ID",IF(OR(A2="",COUNTIF($A$2:$A$6,A2)&lt;&gt;1,LEFT(A2,LEN("2025::jama.2025.9663::"))&lt;&gt;"2025::jama.2025.9663::"),"CHECK KEY",IF(OR(AND(NOT(AND(D2="retain",E2="statistical_results")),H2&lt;&gt;"",NOT(EXACT(H2,"not_applicable"))),AND(NOT(AND(D2="retain",E2="statistical_results")),I2&lt;&gt;"",NOT(EXACT(I2,"not_applicable"))),AND(NOT(AND(D2="retain",E2="statistical_results")),J2&lt;&gt;"",NOT(EXACT(J2,"not_applicable"))),AND(NOT(AND(D2="retain",OR(E2="report_internal_inconsistency",E2="plan_material"))),K2&lt;&gt;"",NOT(EXACT(K2,"not_applicable"))),AND(NOT(AND(D2="retain",E2="protocol_report")),L2&lt;&gt;"",NOT(EXACT(L2,"not_applicable")))),"CLEAR INACTIVE VALUES",IF(OR(NOT(OR(EXACT(D2,"retain"),EXACT(D2,"exclude"),EXACT(D2,"discuss"))),NOT(OR(EXACT(E2,"statistical_results"),EXACT(E2,"report_internal_inconsistency"),EXACT(E2,"plan_material"),EXACT(E2,"protocol_report"))),AND(AND(D2="retain",E2="statistical_results"),NOT(OR(EXACT(H2,"confirmed_issue"),EXACT(H2,"probable_issue"),EXACT(H2,"not_issue"),EXACT(H2,"indeterminate")))),AND(AND(D2="retain",E2="statistical_results"),NOT(OR(EXACT(I2,"substantive"),EXACT(I2,"minor_presentation"),EXACT(I2,"indeterminate")))),AND(AND(D2="retain",E2="statistical_results"),J2&lt;&gt;"",NOT(OR(EXACT(J2,"direct"),EXACT(J2,"possible"),EXACT(J2,"unlikely"),EXACT(J2,"unknown")))),AND(AND(D2="retain",OR(E2="report_internal_inconsistency",E2="plan_material")),NOT(OR(EXACT(K2,"substantive_inconsistency"),EXACT(K2,"minor_presentation"),EXACT(K2,"non_inconsistency"),EXACT(K2,"indeterminate")))),AND(AND(D2="retain",E2="protocol_report"),L2&lt;&gt;"",NOT(OR(EXACT(L2,"substantive_difference"),EXACT(L2,"minor_presentation"),EXACT(L2,"version_timing"),EXACT(L2,"non_inconsistency"),EXACT(L2,"indeterminate"))))),"CHECK FIELDS",IF(AND(F2&lt;&gt;"",NOT(OR(EXACT(F2,"no"),EXACT(F2,"primary_done")))),"CHECK COMPLETE",IF(EXACT(F2,"primary_done"),"PRIMARY READY","PRIMARY DRAFT")))))),"CHECK INPUT / KEY")</f>
        <v/>
      </c>
      <c r="H2" s="21">
        <f>IF(AND(OR(D2="retain",D2=""),E2="statistical_results"),"","not_applicable")</f>
        <v/>
      </c>
      <c r="I2" s="21">
        <f>IF(AND(OR(D2="retain",D2=""),E2="statistical_results"),"","not_applicable")</f>
        <v/>
      </c>
      <c r="J2" s="22">
        <f>IF(AND(OR(D2="retain",D2=""),E2="statistical_results"),"","not_applicable")</f>
        <v/>
      </c>
      <c r="K2" s="21">
        <f>IF(AND(OR(D2="retain",D2=""),OR(E2="report_internal_inconsistency",E2="plan_material")),"","not_applicable")</f>
        <v/>
      </c>
      <c r="L2" s="22" t="inlineStr">
        <is>
          <t>substantive_difference</t>
        </is>
      </c>
      <c r="M2" s="20" t="n"/>
      <c r="N2" s="23" t="n"/>
      <c r="O2" s="23" t="n"/>
      <c r="P2" s="23" t="n"/>
      <c r="Q2" s="23" t="n"/>
      <c r="R2" s="22"/>
    </row>
    <row r="3" ht="92" customHeight="1" s="25">
      <c r="A3" s="24" t="inlineStr">
        <is>
          <t>2025::jama.2025.9663::C002</t>
        </is>
      </c>
      <c r="B3" s="24" t="inlineStr">
        <is>
          <t>Retained protocol stay test versus SAP/report stay method</t>
        </is>
      </c>
      <c r="C3" s="24" t="inlineStr">
        <is>
          <t>PLAN original protocol: joi250042supp1_prod_1753377747.92525.pdf — p. 30, §4.2.2; PLAN final protocol: joi250042supp1_prod_1753377747.92525.pdf — p. 70, §4.2.2, and joi250042supp1_prod_1753377747.92525.pdf — p. 71, continuation; PLAN original SAP: joi250042supp1_prod_1753377747.92525.pdf — p. 104, §5.3.2; PLAN final SAP: joi250042supp1_prod_1753377747.92525.pdf — p. 128, §5.3.4; REPORT methods: jama_martin_2025_oi_250042_1753377747.91025.pdf — p. 3, Statistical Analysis; REPORT stay results: jama_martin_2025_oi_250042_1753377747.91025.pdf — p. 8, Table 2; PLAN amendment context: joi250042supp1_prod_1753377747.92525.pdf — p. 136, SAP changes</t>
        </is>
      </c>
      <c r="D3" s="21" t="inlineStr">
        <is>
          <t>retain</t>
        </is>
      </c>
      <c r="E3" s="21" t="inlineStr">
        <is>
          <t>protocol_report</t>
        </is>
      </c>
      <c r="F3" s="21" t="inlineStr">
        <is>
          <t>primary_done</t>
        </is>
      </c>
      <c r="G3" s="24">
        <f>IFERROR(IF(LEN(TRIM(CLEAN(SUBSTITUTE(Setup!$B$2,CHAR(160)," "))))=0,"CHECK REVIEWER ID",IF(OR(A3="",COUNTIF($A$2:$A$6,A3)&lt;&gt;1,LEFT(A3,LEN("2025::jama.2025.9663::"))&lt;&gt;"2025::jama.2025.9663::"),"CHECK KEY",IF(OR(AND(NOT(AND(D3="retain",E3="statistical_results")),H3&lt;&gt;"",NOT(EXACT(H3,"not_applicable"))),AND(NOT(AND(D3="retain",E3="statistical_results")),I3&lt;&gt;"",NOT(EXACT(I3,"not_applicable"))),AND(NOT(AND(D3="retain",E3="statistical_results")),J3&lt;&gt;"",NOT(EXACT(J3,"not_applicable"))),AND(NOT(AND(D3="retain",OR(E3="report_internal_inconsistency",E3="plan_material"))),K3&lt;&gt;"",NOT(EXACT(K3,"not_applicable"))),AND(NOT(AND(D3="retain",E3="protocol_report")),L3&lt;&gt;"",NOT(EXACT(L3,"not_applicable")))),"CLEAR INACTIVE VALUES",IF(OR(NOT(OR(EXACT(D3,"retain"),EXACT(D3,"exclude"),EXACT(D3,"discuss"))),NOT(OR(EXACT(E3,"statistical_results"),EXACT(E3,"report_internal_inconsistency"),EXACT(E3,"plan_material"),EXACT(E3,"protocol_report"))),AND(AND(D3="retain",E3="statistical_results"),NOT(OR(EXACT(H3,"confirmed_issue"),EXACT(H3,"probable_issue"),EXACT(H3,"not_issue"),EXACT(H3,"indeterminate")))),AND(AND(D3="retain",E3="statistical_results"),NOT(OR(EXACT(I3,"substantive"),EXACT(I3,"minor_presentation"),EXACT(I3,"indeterminate")))),AND(AND(D3="retain",E3="statistical_results"),J3&lt;&gt;"",NOT(OR(EXACT(J3,"direct"),EXACT(J3,"possible"),EXACT(J3,"unlikely"),EXACT(J3,"unknown")))),AND(AND(D3="retain",OR(E3="report_internal_inconsistency",E3="plan_material")),NOT(OR(EXACT(K3,"substantive_inconsistency"),EXACT(K3,"minor_presentation"),EXACT(K3,"non_inconsistency"),EXACT(K3,"indeterminate")))),AND(AND(D3="retain",E3="protocol_report"),L3&lt;&gt;"",NOT(OR(EXACT(L3,"substantive_difference"),EXACT(L3,"minor_presentation"),EXACT(L3,"version_timing"),EXACT(L3,"non_inconsistency"),EXACT(L3,"indeterminate"))))),"CHECK FIELDS",IF(AND(F3&lt;&gt;"",NOT(OR(EXACT(F3,"no"),EXACT(F3,"primary_done")))),"CHECK COMPLETE",IF(EXACT(F3,"primary_done"),"PRIMARY READY","PRIMARY DRAFT")))))),"CHECK INPUT / KEY")</f>
        <v/>
      </c>
      <c r="H3" s="21">
        <f>IF(AND(OR(D3="retain",D3=""),E3="statistical_results"),"","not_applicable")</f>
        <v/>
      </c>
      <c r="I3" s="21">
        <f>IF(AND(OR(D3="retain",D3=""),E3="statistical_results"),"","not_applicable")</f>
        <v/>
      </c>
      <c r="J3" s="22">
        <f>IF(AND(OR(D3="retain",D3=""),E3="statistical_results"),"","not_applicable")</f>
        <v/>
      </c>
      <c r="K3" s="21">
        <f>IF(AND(OR(D3="retain",D3=""),OR(E3="report_internal_inconsistency",E3="plan_material")),"","not_applicable")</f>
        <v/>
      </c>
      <c r="L3" s="22" t="inlineStr">
        <is>
          <t>substantive_difference</t>
        </is>
      </c>
      <c r="M3" s="24" t="n"/>
      <c r="N3" s="23" t="n"/>
      <c r="O3" s="23" t="n"/>
      <c r="P3" s="23" t="n"/>
      <c r="Q3" s="23" t="n"/>
      <c r="R3" s="22"/>
    </row>
    <row r="4" ht="92" customHeight="1" s="25">
      <c r="A4" s="20" t="inlineStr">
        <is>
          <t>2025::jama.2025.9663::C003</t>
        </is>
      </c>
      <c r="B4" s="20" t="inlineStr">
        <is>
          <t>SAP all-outcome MICE versus reported selected predictors and stay censoring</t>
        </is>
      </c>
      <c r="C4" s="20" t="inlineStr">
        <is>
          <t>PLAN final SAP: joi250042supp1_prod_1753377747.92525.pdf — p. 131, §7 start, and joi250042supp1_prod_1753377747.92525.pdf — p. 132, §7 continuation; REPORT imputation description: jama_martin_2025_oi_250042_1753377747.91025.pdf — p. 3, imputation paragraph; REPORT effects and duration exception: jama_martin_2025_oi_250042_1753377747.91025.pdf — p. 8, all imputed Table 2 outcomes and footnote b; REPORT complete outcome-specific model/auxiliary rows and baseline footnote: joi250042supp2_prod_1753377747.93025.pdf — p. 24, eTable 7, every row and footnote a; REPORT missing ICU/hospital duration handling: joi250042supp2_prod_1753377747.93025.pdf — p. 24, duration rows and footnote e; PLAN amendment context: joi250042supp1_prod_1753377747.92525.pdf — p. 136, expanded missing-data description</t>
        </is>
      </c>
      <c r="D4" s="21" t="inlineStr">
        <is>
          <t>retain</t>
        </is>
      </c>
      <c r="E4" s="21" t="inlineStr">
        <is>
          <t>protocol_report</t>
        </is>
      </c>
      <c r="F4" s="21" t="inlineStr">
        <is>
          <t>primary_done</t>
        </is>
      </c>
      <c r="G4" s="20">
        <f>IFERROR(IF(LEN(TRIM(CLEAN(SUBSTITUTE(Setup!$B$2,CHAR(160)," "))))=0,"CHECK REVIEWER ID",IF(OR(A4="",COUNTIF($A$2:$A$6,A4)&lt;&gt;1,LEFT(A4,LEN("2025::jama.2025.9663::"))&lt;&gt;"2025::jama.2025.9663::"),"CHECK KEY",IF(OR(AND(NOT(AND(D4="retain",E4="statistical_results")),H4&lt;&gt;"",NOT(EXACT(H4,"not_applicable"))),AND(NOT(AND(D4="retain",E4="statistical_results")),I4&lt;&gt;"",NOT(EXACT(I4,"not_applicable"))),AND(NOT(AND(D4="retain",E4="statistical_results")),J4&lt;&gt;"",NOT(EXACT(J4,"not_applicable"))),AND(NOT(AND(D4="retain",OR(E4="report_internal_inconsistency",E4="plan_material"))),K4&lt;&gt;"",NOT(EXACT(K4,"not_applicable"))),AND(NOT(AND(D4="retain",E4="protocol_report")),L4&lt;&gt;"",NOT(EXACT(L4,"not_applicable")))),"CLEAR INACTIVE VALUES",IF(OR(NOT(OR(EXACT(D4,"retain"),EXACT(D4,"exclude"),EXACT(D4,"discuss"))),NOT(OR(EXACT(E4,"statistical_results"),EXACT(E4,"report_internal_inconsistency"),EXACT(E4,"plan_material"),EXACT(E4,"protocol_report"))),AND(AND(D4="retain",E4="statistical_results"),NOT(OR(EXACT(H4,"confirmed_issue"),EXACT(H4,"probable_issue"),EXACT(H4,"not_issue"),EXACT(H4,"indeterminate")))),AND(AND(D4="retain",E4="statistical_results"),NOT(OR(EXACT(I4,"substantive"),EXACT(I4,"minor_presentation"),EXACT(I4,"indeterminate")))),AND(AND(D4="retain",E4="statistical_results"),J4&lt;&gt;"",NOT(OR(EXACT(J4,"direct"),EXACT(J4,"possible"),EXACT(J4,"unlikely"),EXACT(J4,"unknown")))),AND(AND(D4="retain",OR(E4="report_internal_inconsistency",E4="plan_material")),NOT(OR(EXACT(K4,"substantive_inconsistency"),EXACT(K4,"minor_presentation"),EXACT(K4,"non_inconsistency"),EXACT(K4,"indeterminate")))),AND(AND(D4="retain",E4="protocol_report"),L4&lt;&gt;"",NOT(OR(EXACT(L4,"substantive_difference"),EXACT(L4,"minor_presentation"),EXACT(L4,"version_timing"),EXACT(L4,"non_inconsistency"),EXACT(L4,"indeterminate"))))),"CHECK FIELDS",IF(AND(F4&lt;&gt;"",NOT(OR(EXACT(F4,"no"),EXACT(F4,"primary_done")))),"CHECK COMPLETE",IF(EXACT(F4,"primary_done"),"PRIMARY READY","PRIMARY DRAFT")))))),"CHECK INPUT / KEY")</f>
        <v/>
      </c>
      <c r="H4" s="21">
        <f>IF(AND(OR(D4="retain",D4=""),E4="statistical_results"),"","not_applicable")</f>
        <v/>
      </c>
      <c r="I4" s="21">
        <f>IF(AND(OR(D4="retain",D4=""),E4="statistical_results"),"","not_applicable")</f>
        <v/>
      </c>
      <c r="J4" s="22">
        <f>IF(AND(OR(D4="retain",D4=""),E4="statistical_results"),"","not_applicable")</f>
        <v/>
      </c>
      <c r="K4" s="21">
        <f>IF(AND(OR(D4="retain",D4=""),OR(E4="report_internal_inconsistency",E4="plan_material")),"","not_applicable")</f>
        <v/>
      </c>
      <c r="L4" s="22" t="inlineStr">
        <is>
          <t>substantive_difference</t>
        </is>
      </c>
      <c r="M4" s="20" t="n"/>
      <c r="N4" s="23" t="n"/>
      <c r="O4" s="23" t="n"/>
      <c r="P4" s="23" t="n"/>
      <c r="Q4" s="23" t="n"/>
      <c r="R4" s="22"/>
    </row>
    <row r="5" ht="92" customHeight="1" s="25">
      <c r="A5" s="24" t="inlineStr">
        <is>
          <t>2025::jama.2025.9663::C004</t>
        </is>
      </c>
      <c r="B5" s="24" t="inlineStr">
        <is>
          <t>Hospital missing-duration censoring at one hour versus one day</t>
        </is>
      </c>
      <c r="C5" s="24" t="inlineStr">
        <is>
          <t>REPORT hospital effect and censoring definition: jama_martin_2025_oi_250042_1753377747.91025.pdf — p. 8, Table 2 acute-hospital stay row and footnote b; REPORT hospital missing count and outcome-specific censoring definition: joi250042supp2_prod_1753377747.93025.pdf — p. 24, eTable 7 acute-hospital duration row and footnote e</t>
        </is>
      </c>
      <c r="D5" s="21" t="inlineStr">
        <is>
          <t>retain</t>
        </is>
      </c>
      <c r="E5" s="21" t="inlineStr">
        <is>
          <t>statistical_results</t>
        </is>
      </c>
      <c r="F5" s="21" t="inlineStr">
        <is>
          <t>primary_done</t>
        </is>
      </c>
      <c r="G5" s="24">
        <f>IFERROR(IF(LEN(TRIM(CLEAN(SUBSTITUTE(Setup!$B$2,CHAR(160)," "))))=0,"CHECK REVIEWER ID",IF(OR(A5="",COUNTIF($A$2:$A$6,A5)&lt;&gt;1,LEFT(A5,LEN("2025::jama.2025.9663::"))&lt;&gt;"2025::jama.2025.9663::"),"CHECK KEY",IF(OR(AND(NOT(AND(D5="retain",E5="statistical_results")),H5&lt;&gt;"",NOT(EXACT(H5,"not_applicable"))),AND(NOT(AND(D5="retain",E5="statistical_results")),I5&lt;&gt;"",NOT(EXACT(I5,"not_applicable"))),AND(NOT(AND(D5="retain",E5="statistical_results")),J5&lt;&gt;"",NOT(EXACT(J5,"not_applicable"))),AND(NOT(AND(D5="retain",OR(E5="report_internal_inconsistency",E5="plan_material"))),K5&lt;&gt;"",NOT(EXACT(K5,"not_applicable"))),AND(NOT(AND(D5="retain",E5="protocol_report")),L5&lt;&gt;"",NOT(EXACT(L5,"not_applicable")))),"CLEAR INACTIVE VALUES",IF(OR(NOT(OR(EXACT(D5,"retain"),EXACT(D5,"exclude"),EXACT(D5,"discuss"))),NOT(OR(EXACT(E5,"statistical_results"),EXACT(E5,"report_internal_inconsistency"),EXACT(E5,"plan_material"),EXACT(E5,"protocol_report"))),AND(AND(D5="retain",E5="statistical_results"),NOT(OR(EXACT(H5,"confirmed_issue"),EXACT(H5,"probable_issue"),EXACT(H5,"not_issue"),EXACT(H5,"indeterminate")))),AND(AND(D5="retain",E5="statistical_results"),NOT(OR(EXACT(I5,"substantive"),EXACT(I5,"minor_presentation"),EXACT(I5,"indeterminate")))),AND(AND(D5="retain",E5="statistical_results"),J5&lt;&gt;"",NOT(OR(EXACT(J5,"direct"),EXACT(J5,"possible"),EXACT(J5,"unlikely"),EXACT(J5,"unknown")))),AND(AND(D5="retain",OR(E5="report_internal_inconsistency",E5="plan_material")),NOT(OR(EXACT(K5,"substantive_inconsistency"),EXACT(K5,"minor_presentation"),EXACT(K5,"non_inconsistency"),EXACT(K5,"indeterminate")))),AND(AND(D5="retain",E5="protocol_report"),L5&lt;&gt;"",NOT(OR(EXACT(L5,"substantive_difference"),EXACT(L5,"minor_presentation"),EXACT(L5,"version_timing"),EXACT(L5,"non_inconsistency"),EXACT(L5,"indeterminate"))))),"CHECK FIELDS",IF(AND(F5&lt;&gt;"",NOT(OR(EXACT(F5,"no"),EXACT(F5,"primary_done")))),"CHECK COMPLETE",IF(EXACT(F5,"primary_done"),"PRIMARY READY","PRIMARY DRAFT")))))),"CHECK INPUT / KEY")</f>
        <v/>
      </c>
      <c r="H5" s="21" t="inlineStr">
        <is>
          <t>confirmed_issue</t>
        </is>
      </c>
      <c r="I5" s="21" t="inlineStr">
        <is>
          <t>minor_presentation</t>
        </is>
      </c>
      <c r="J5" s="22" t="inlineStr">
        <is>
          <t>unlikely</t>
        </is>
      </c>
      <c r="K5" s="21">
        <f>IF(AND(OR(D5="retain",D5=""),OR(E5="report_internal_inconsistency",E5="plan_material")),"","not_applicable")</f>
        <v/>
      </c>
      <c r="L5" s="22">
        <f>IF(AND(OR(D5="retain",D5=""),E5="protocol_report"),"","not_applicable")</f>
        <v/>
      </c>
      <c r="M5" s="24" t="n"/>
      <c r="N5" s="23" t="n"/>
      <c r="O5" s="23" t="n"/>
      <c r="P5" s="23" t="n"/>
      <c r="Q5" s="23" t="n"/>
      <c r="R5" s="22"/>
    </row>
    <row r="6" ht="92" customHeight="1" s="25">
      <c r="A6" s="20" t="inlineStr">
        <is>
          <t>2025::jama.2025.9663::C005</t>
        </is>
      </c>
      <c r="B6" s="20" t="inlineStr">
        <is>
          <t>Pilot adherence numerator and progression direction</t>
        </is>
      </c>
      <c r="C6" s="20" t="inlineStr">
        <is>
          <t>PLAN original SAP numerator and thresholds: joi250042supp1_prod_1753377747.92525.pdf — p. 95, Table 1 and footnote; PLAN original SAP adherence definition: joi250042supp1_prod_1753377747.92525.pdf — p. 98, §3.2.2 continuation; PLAN final SAP repeated numerator and thresholds: joi250042supp1_prod_1753377747.92525.pdf — p. 118, Table 1 and footnote; PLAN final protocol adherence definition: joi250042supp1_prod_1753377747.92525.pdf — p. 69, Table 2 adherence footnote; PLAN decision consequences: joi250042supp1_prod_1753377747.92525.pdf — p. 70, §4.2.1, joi250042supp1_prod_1753377747.92525.pdf — p. 96, original SAP pilot continuation, and joi250042supp1_prod_1753377747.92525.pdf — p. 119, final SAP pilot continuation</t>
        </is>
      </c>
      <c r="D6" s="21" t="inlineStr">
        <is>
          <t>exclude</t>
        </is>
      </c>
      <c r="E6" s="21" t="inlineStr">
        <is>
          <t>plan_material</t>
        </is>
      </c>
      <c r="F6" s="21" t="inlineStr">
        <is>
          <t>primary_done</t>
        </is>
      </c>
      <c r="G6" s="20">
        <f>IFERROR(IF(LEN(TRIM(CLEAN(SUBSTITUTE(Setup!$B$2,CHAR(160)," "))))=0,"CHECK REVIEWER ID",IF(OR(A6="",COUNTIF($A$2:$A$6,A6)&lt;&gt;1,LEFT(A6,LEN("2025::jama.2025.9663::"))&lt;&gt;"2025::jama.2025.9663::"),"CHECK KEY",IF(OR(AND(NOT(AND(D6="retain",E6="statistical_results")),H6&lt;&gt;"",NOT(EXACT(H6,"not_applicable"))),AND(NOT(AND(D6="retain",E6="statistical_results")),I6&lt;&gt;"",NOT(EXACT(I6,"not_applicable"))),AND(NOT(AND(D6="retain",E6="statistical_results")),J6&lt;&gt;"",NOT(EXACT(J6,"not_applicable"))),AND(NOT(AND(D6="retain",OR(E6="report_internal_inconsistency",E6="plan_material"))),K6&lt;&gt;"",NOT(EXACT(K6,"not_applicable"))),AND(NOT(AND(D6="retain",E6="protocol_report")),L6&lt;&gt;"",NOT(EXACT(L6,"not_applicable")))),"CLEAR INACTIVE VALUES",IF(OR(NOT(OR(EXACT(D6,"retain"),EXACT(D6,"exclude"),EXACT(D6,"discuss"))),NOT(OR(EXACT(E6,"statistical_results"),EXACT(E6,"report_internal_inconsistency"),EXACT(E6,"plan_material"),EXACT(E6,"protocol_report"))),AND(AND(D6="retain",E6="statistical_results"),NOT(OR(EXACT(H6,"confirmed_issue"),EXACT(H6,"probable_issue"),EXACT(H6,"not_issue"),EXACT(H6,"indeterminate")))),AND(AND(D6="retain",E6="statistical_results"),NOT(OR(EXACT(I6,"substantive"),EXACT(I6,"minor_presentation"),EXACT(I6,"indeterminate")))),AND(AND(D6="retain",E6="statistical_results"),J6&lt;&gt;"",NOT(OR(EXACT(J6,"direct"),EXACT(J6,"possible"),EXACT(J6,"unlikely"),EXACT(J6,"unknown")))),AND(AND(D6="retain",OR(E6="report_internal_inconsistency",E6="plan_material")),NOT(OR(EXACT(K6,"substantive_inconsistency"),EXACT(K6,"minor_presentation"),EXACT(K6,"non_inconsistency"),EXACT(K6,"indeterminate")))),AND(AND(D6="retain",E6="protocol_report"),L6&lt;&gt;"",NOT(OR(EXACT(L6,"substantive_difference"),EXACT(L6,"minor_presentation"),EXACT(L6,"version_timing"),EXACT(L6,"non_inconsistency"),EXACT(L6,"indeterminate"))))),"CHECK FIELDS",IF(AND(F6&lt;&gt;"",NOT(OR(EXACT(F6,"no"),EXACT(F6,"primary_done")))),"CHECK COMPLETE",IF(EXACT(F6,"primary_done"),"PRIMARY READY","PRIMARY DRAFT")))))),"CHECK INPUT / KEY")</f>
        <v/>
      </c>
      <c r="H6" s="21">
        <f>IF(AND(OR(D6="retain",D6=""),E6="statistical_results"),"","not_applicable")</f>
        <v/>
      </c>
      <c r="I6" s="21">
        <f>IF(AND(OR(D6="retain",D6=""),E6="statistical_results"),"","not_applicable")</f>
        <v/>
      </c>
      <c r="J6" s="22">
        <f>IF(AND(OR(D6="retain",D6=""),E6="statistical_results"),"","not_applicable")</f>
        <v/>
      </c>
      <c r="K6" s="21">
        <f>IF(AND(OR(D6="retain",D6=""),OR(E6="report_internal_inconsistency",E6="plan_material")),"","not_applicable")</f>
        <v/>
      </c>
      <c r="L6" s="22">
        <f>IF(AND(OR(D6="retain",D6=""),E6="protocol_report"),"","not_applicable")</f>
        <v/>
      </c>
      <c r="M6" s="20" t="n"/>
      <c r="N6" s="23" t="n"/>
      <c r="O6" s="23" t="n"/>
      <c r="P6" s="23" t="n"/>
      <c r="Q6" s="23" t="n"/>
      <c r="R6" s="22" t="inlineStr">
        <is>
          <t>Original/final SAP pilot progression Table 1 footnote (Supp1 pp.95, 118; OCR) computes the adherence % as patients WITH &gt;=1 protocol deviation while green is &gt;=75%; the same SAP (p.98) and protocol (p.69) define adherence as having no deviation. Wording slip in internal-pilot progression criteria, which do not enter the reported analyses.</t>
        </is>
      </c>
    </row>
  </sheetData>
  <autoFilter ref="A1:R6"/>
  <conditionalFormatting sqref="H2:H6">
    <cfRule type="expression" priority="8" dxfId="70">
      <formula>NOT(AND(OR($D2="retain",$D2=""),$E2="statistical_results"))</formula>
    </cfRule>
  </conditionalFormatting>
  <conditionalFormatting sqref="I2:I6">
    <cfRule type="expression" priority="9" dxfId="70">
      <formula>NOT(AND(OR($D2="retain",$D2=""),$E2="statistical_results"))</formula>
    </cfRule>
  </conditionalFormatting>
  <conditionalFormatting sqref="J2:J6">
    <cfRule type="expression" priority="10" dxfId="70">
      <formula>NOT(AND(OR($D2="retain",$D2=""),$E2="statistical_results"))</formula>
    </cfRule>
  </conditionalFormatting>
  <conditionalFormatting sqref="K2:K6">
    <cfRule type="expression" priority="11" dxfId="70">
      <formula>NOT(AND(OR($D2="retain",$D2=""),OR($E2="report_internal_inconsistency",$E2="plan_material")))</formula>
    </cfRule>
  </conditionalFormatting>
  <conditionalFormatting sqref="L2:L6">
    <cfRule type="expression" priority="12" dxfId="70">
      <formula>NOT(AND(OR($D2="retain",$D2=""),$E2="protocol_report"))</formula>
    </cfRule>
  </conditionalFormatting>
  <conditionalFormatting sqref="G2:G6">
    <cfRule type="expression" priority="13" dxfId="71">
      <formula>G2&lt;&gt;"PRIMARY READY"</formula>
    </cfRule>
  </conditionalFormatting>
  <dataValidations count="8">
    <dataValidation sqref="D2:D6" showDropDown="0" showInputMessage="0" showErrorMessage="1" allowBlank="1" errorTitle="Use a listed option" error="Choose an option; G also checks pasted entries." type="list" errorStyle="stop">
      <formula1>"retain,exclude,discuss"</formula1>
    </dataValidation>
    <dataValidation sqref="E2:E6" showDropDown="0" showInputMessage="0" showErrorMessage="1" allowBlank="1" errorTitle="Use a listed option" error="Choose an option; G also checks pasted entries." type="list" errorStyle="stop">
      <formula1>"statistical_results,report_internal_inconsistency,plan_material,protocol_report"</formula1>
    </dataValidation>
    <dataValidation sqref="F2:F6" showDropDown="0" showInputMessage="0" showErrorMessage="1" allowBlank="1" errorTitle="Use a listed option" error="Choose an option; G also checks pasted entries." type="list" errorStyle="stop">
      <formula1>"no,primary_done"</formula1>
    </dataValidation>
    <dataValidation sqref="H2:H6" showDropDown="0" showInputMessage="0" showErrorMessage="1" allowBlank="1" errorTitle="Use a listed option" error="Choose an option; G also checks pasted entries." type="list" errorStyle="stop">
      <formula1>"confirmed_issue,probable_issue,not_issue,indeterminate,not_applicable"</formula1>
    </dataValidation>
    <dataValidation sqref="I2:I6" showDropDown="0" showInputMessage="0" showErrorMessage="1" allowBlank="1" errorTitle="Use a listed option" error="Choose an option; G also checks pasted entries." type="list" errorStyle="stop">
      <formula1>"substantive,minor_presentation,indeterminate,not_applicable"</formula1>
    </dataValidation>
    <dataValidation sqref="J2:J6" showDropDown="0" showInputMessage="0" showErrorMessage="1" allowBlank="1" errorTitle="Use a listed option" error="Choose an option; G also checks pasted entries." type="list" errorStyle="stop">
      <formula1>"direct,possible,unlikely,unknown,not_applicable"</formula1>
    </dataValidation>
    <dataValidation sqref="K2:K6" showDropDown="0" showInputMessage="0" showErrorMessage="1" allowBlank="1" errorTitle="Use a listed option" error="Choose an option; G also checks pasted entries." type="list" errorStyle="stop">
      <formula1>"substantive_inconsistency,minor_presentation,non_inconsistency,indeterminate,not_applicable"</formula1>
    </dataValidation>
    <dataValidation sqref="L2:L6" showDropDown="0" showInputMessage="0" showErrorMessage="1" allowBlank="1" errorTitle="Use a listed option" error="Choose an option; G also checks pasted entries." type="list" errorStyle="stop">
      <formula1>"substantive_difference,minor_presentation,version_timing,non_inconsistency,indeterminate,not_applicable"</formula1>
    </dataValidation>
  </dataValidations>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E56"/>
  <sheetViews>
    <sheetView showGridLines="0" tabSelected="0"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4" customWidth="1" style="14" min="1" max="1"/>
    <col width="30" customWidth="1" style="14" min="2" max="2"/>
    <col width="40" customWidth="1" style="14" min="3" max="3"/>
    <col width="96" customWidth="1" style="14" min="4" max="4"/>
    <col width="28" customWidth="1" style="14" min="5" max="5"/>
  </cols>
  <sheetData>
    <row r="1" ht="42" customFormat="1" customHeight="1" s="14">
      <c r="A1" s="15" t="inlineStr">
        <is>
          <t>Field name</t>
        </is>
      </c>
      <c r="B1" s="15" t="inlineStr">
        <is>
          <t>Option / value</t>
        </is>
      </c>
      <c r="C1" s="15" t="inlineStr">
        <is>
          <t>Requirement / scope</t>
        </is>
      </c>
      <c r="D1" s="15" t="inlineStr">
        <is>
          <t>Explanation and example</t>
        </is>
      </c>
      <c r="E1" s="15" t="inlineStr">
        <is>
          <t>Internal key</t>
        </is>
      </c>
    </row>
    <row r="2" ht="100" customFormat="1" customHeight="1" s="14">
      <c r="A2" s="16" t="inlineStr">
        <is>
          <t>Working method</t>
        </is>
      </c>
      <c r="B2" s="16" t="inlineStr">
        <is>
          <t>GUIDE</t>
        </is>
      </c>
      <c r="C2" s="16" t="inlineStr">
        <is>
          <t>Independent primary</t>
        </is>
      </c>
      <c r="D2" s="16" t="inlineStr">
        <is>
          <t>Blank means no answer, never inherited. Clear obsolete literal answers after branch changes. not_applicable means inactive.</t>
        </is>
      </c>
      <c r="E2" s="16" t="n"/>
    </row>
    <row r="3" ht="100" customFormat="1" customHeight="1" s="14">
      <c r="A3" s="17" t="inlineStr">
        <is>
          <t>Required judgments</t>
        </is>
      </c>
      <c r="B3" s="17" t="inlineStr">
        <is>
          <t>GUIDE</t>
        </is>
      </c>
      <c r="C3" s="17" t="inlineStr">
        <is>
          <t>Retain only</t>
        </is>
      </c>
      <c r="D3" s="17" t="inlineStr">
        <is>
          <t>statistical_results: issue + substantiveness; report_internal_inconsistency or plan_material: internalStatus. protocol_report: no extra required judgment; interpretation is optional.</t>
        </is>
      </c>
      <c r="E3" s="17" t="n"/>
    </row>
    <row r="4" ht="100" customFormat="1" customHeight="1" s="14">
      <c r="A4" s="16" t="inlineStr">
        <is>
          <t>How to read this Codebook</t>
        </is>
      </c>
      <c r="B4" s="16" t="n"/>
      <c r="C4" s="16" t="n"/>
      <c r="D4" s="16" t="n"/>
      <c r="E4" s="16" t="n"/>
    </row>
    <row r="5" ht="100" customFormat="1" customHeight="1" s="14">
      <c r="A5" s="17" t="inlineStr">
        <is>
          <t>1  |  Common decisions and optional notes</t>
        </is>
      </c>
      <c r="B5" s="17" t="n"/>
      <c r="C5" s="17" t="n"/>
      <c r="D5" s="17" t="n"/>
      <c r="E5" s="17" t="n"/>
    </row>
    <row r="6" ht="100" customFormat="1" customHeight="1" s="14">
      <c r="A6" s="16" t="inlineStr">
        <is>
          <t>Disposition</t>
        </is>
      </c>
      <c r="B6" s="16" t="inlineStr">
        <is>
          <t>FIELD</t>
        </is>
      </c>
      <c r="C6" s="16" t="inlineStr">
        <is>
          <t>Required; all domains</t>
        </is>
      </c>
      <c r="D6" s="16" t="inlineStr">
        <is>
          <t>Keep, exclude, or defer for discussion. Blank means untouched, not discuss. No AI disposition is preselected.</t>
        </is>
      </c>
      <c r="E6" s="16" t="inlineStr">
        <is>
          <t>disposition</t>
        </is>
      </c>
    </row>
    <row r="7" ht="100" customFormat="1" customHeight="1" s="14">
      <c r="A7" s="17" t="n"/>
      <c r="B7" s="17" t="inlineStr">
        <is>
          <t>retain</t>
        </is>
      </c>
      <c r="C7" s="17" t="inlineStr">
        <is>
          <t>Option</t>
        </is>
      </c>
      <c r="D7" s="17" t="inlineStr">
        <is>
          <t>Retain candidate. After human review, keep this finding in the applicable review results; retaining a protocol discrepancy does not automatically confirm an issue.</t>
        </is>
      </c>
      <c r="E7" s="17" t="n"/>
    </row>
    <row r="8" ht="100" customFormat="1" customHeight="1" s="14">
      <c r="A8" s="16" t="n"/>
      <c r="B8" s="16" t="inlineStr">
        <is>
          <t>exclude</t>
        </is>
      </c>
      <c r="C8" s="16" t="inlineStr">
        <is>
          <t>Option</t>
        </is>
      </c>
      <c r="D8" s="16" t="inlineStr">
        <is>
          <t>Do not retain. The candidate has been assessed and should not remain as a finding, for example because the apparent mismatch has a satisfactory explanation.</t>
        </is>
      </c>
      <c r="E8" s="16" t="n"/>
    </row>
    <row r="9" ht="100" customFormat="1" customHeight="1" s="14">
      <c r="A9" s="17" t="n"/>
      <c r="B9" s="17" t="inlineStr">
        <is>
          <t>discuss</t>
        </is>
      </c>
      <c r="C9" s="17" t="inlineStr">
        <is>
          <t>Option</t>
        </is>
      </c>
      <c r="D9" s="17" t="inlineStr">
        <is>
          <t>Needs discussion. The reviewer has considered the candidate but cannot settle the disposition without further discussion. This is a decision to defer, not an untouched blank.</t>
        </is>
      </c>
      <c r="E9" s="17" t="n"/>
    </row>
    <row r="10" ht="100" customFormat="1" customHeight="1" s="14">
      <c r="A10" s="16" t="inlineStr">
        <is>
          <t>Review domain</t>
        </is>
      </c>
      <c r="B10" s="16" t="inlineStr">
        <is>
          <t>FIELD</t>
        </is>
      </c>
      <c r="C10" s="16" t="inlineStr">
        <is>
          <t>Required; all domains</t>
        </is>
      </c>
      <c r="D10" s="16" t="inlineStr">
        <is>
          <t>Choose the assessment branch first. It controls automatic not_applicable defaults and which judgments are required. All four choices are available; the frozen document relationship code does not change.</t>
        </is>
      </c>
      <c r="E10" s="16" t="inlineStr">
        <is>
          <t>domain</t>
        </is>
      </c>
    </row>
    <row r="11" ht="100" customFormat="1" customHeight="1" s="14">
      <c r="A11" s="17" t="n"/>
      <c r="B11" s="17" t="inlineStr">
        <is>
          <t>statistical_results</t>
        </is>
      </c>
      <c r="C11" s="17" t="inlineStr">
        <is>
          <t>Option</t>
        </is>
      </c>
      <c r="D11" s="17" t="inlineStr">
        <is>
          <t>Statistical results (S_C / S_W). Assess reported numbers, estimates, intervals, denominators or statistical claims in the current report materials.</t>
        </is>
      </c>
      <c r="E11" s="17" t="n"/>
    </row>
    <row r="12" ht="100" customFormat="1" customHeight="1" s="14">
      <c r="A12" s="16" t="n"/>
      <c r="B12" s="16" t="inlineStr">
        <is>
          <t>report_internal_inconsistency</t>
        </is>
      </c>
      <c r="C12" s="16" t="inlineStr">
        <is>
          <t>Option</t>
        </is>
      </c>
      <c r="D12" s="16" t="inlineStr">
        <is>
          <t>Report internal inconsistency (S_C / S_W). Assess inconsistencies within the main paper, within the updated supplement, or between the main paper and updated supplement. The name describes the report materials being compared; it is not restricted to nonstatistical content. Use statistical_results when specifically judging a statistical or numerical reporting issue.</t>
        </is>
      </c>
      <c r="E12" s="16" t="n"/>
    </row>
    <row r="13" ht="100" customFormat="1" customHeight="1" s="14">
      <c r="A13" s="17" t="n"/>
      <c r="B13" s="17" t="inlineStr">
        <is>
          <t>protocol_report</t>
        </is>
      </c>
      <c r="C13" s="17" t="inlineStr">
        <is>
          <t>Option</t>
        </is>
      </c>
      <c r="D13" s="17" t="inlineStr">
        <is>
          <t>Protocol-report (P_R). Assess whether planned and reported conduct or analyses meaningfully differ, using the compared materials. No search for acknowledgment or reasons for changes is required.</t>
        </is>
      </c>
      <c r="E13" s="17" t="n"/>
    </row>
    <row r="14" ht="100" customFormat="1" customHeight="1" s="14">
      <c r="A14" s="16" t="n"/>
      <c r="B14" s="16" t="inlineStr">
        <is>
          <t>plan_material</t>
        </is>
      </c>
      <c r="C14" s="16" t="inlineStr">
        <is>
          <t>Option</t>
        </is>
      </c>
      <c r="D14" s="16" t="inlineStr">
        <is>
          <t>Plan material (P_P). Assess an inconsistency involving planning materials themselves rather than a planned-versus-reported result. The original relationship code remains unchanged.</t>
        </is>
      </c>
      <c r="E14" s="16" t="n"/>
    </row>
    <row r="15" ht="100" customFormat="1" customHeight="1" s="14">
      <c r="A15" s="17" t="inlineStr">
        <is>
          <t>Complete</t>
        </is>
      </c>
      <c r="B15" s="17" t="inlineStr">
        <is>
          <t>FIELD</t>
        </is>
      </c>
      <c r="C15" s="17" t="inlineStr">
        <is>
          <t>Independent primary</t>
        </is>
      </c>
      <c r="D15" s="17" t="inlineStr">
        <is>
          <t>Use no while drafting; primary_done after manual review. Reset to no before editing a completed row, review again, then mark primary_done.</t>
        </is>
      </c>
      <c r="E15" s="17" t="inlineStr">
        <is>
          <t>reviewComplete</t>
        </is>
      </c>
    </row>
    <row r="16" ht="100" customFormat="1" customHeight="1" s="14">
      <c r="A16" s="16" t="n"/>
      <c r="B16" s="16" t="inlineStr">
        <is>
          <t>no</t>
        </is>
      </c>
      <c r="C16" s="16" t="inlineStr">
        <is>
          <t>Option</t>
        </is>
      </c>
      <c r="D16" s="16" t="inlineStr">
        <is>
          <t>Draft. This review stage is not yet confirmed complete; AI suggestions or partially filled fields do not count as completed human review.</t>
        </is>
      </c>
      <c r="E16" s="16" t="n"/>
    </row>
    <row r="17" ht="100" customFormat="1" customHeight="1" s="14">
      <c r="A17" s="17" t="inlineStr">
        <is>
          <t>Validation hint</t>
        </is>
      </c>
      <c r="B17" s="17" t="inlineStr">
        <is>
          <t>FIELD</t>
        </is>
      </c>
      <c r="C17" s="17" t="inlineStr">
        <is>
          <t>Calculated</t>
        </is>
      </c>
      <c r="D17" s="17" t="inlineStr">
        <is>
          <t>PRIMARY READY means valid independent primary entry and manual completion, including discuss. Other hints identify missing or invalid input. This does not establish scientific accuracy.</t>
        </is>
      </c>
      <c r="E17" s="17" t="inlineStr">
        <is>
          <t>readiness</t>
        </is>
      </c>
    </row>
    <row r="18" ht="100" customFormat="1" customHeight="1" s="14">
      <c r="A18" s="16" t="inlineStr">
        <is>
          <t>Notes (optional)</t>
        </is>
      </c>
      <c r="B18" s="16" t="inlineStr">
        <is>
          <t>FIELD</t>
        </is>
      </c>
      <c r="C18" s="16" t="inlineStr">
        <is>
          <t>Optional</t>
        </is>
      </c>
      <c r="D18" s="16" t="inlineStr">
        <is>
          <t>Optional English context. Clearing removes the text; no inheritance and no control words.</t>
        </is>
      </c>
      <c r="E18" s="16" t="inlineStr">
        <is>
          <t>notes</t>
        </is>
      </c>
    </row>
    <row r="19" ht="100" customFormat="1" customHeight="1" s="14">
      <c r="A19" s="17" t="inlineStr">
        <is>
          <t>2  |  Statistical results: two required judgments</t>
        </is>
      </c>
      <c r="B19" s="17" t="n"/>
      <c r="C19" s="17" t="n"/>
      <c r="D19" s="17" t="n"/>
      <c r="E19" s="17" t="n"/>
    </row>
    <row r="20" ht="100" customFormat="1" customHeight="1" s="14">
      <c r="A20" s="16" t="inlineStr">
        <is>
          <t>Statistical_or_numerical issue</t>
        </is>
      </c>
      <c r="B20" s="16" t="inlineStr">
        <is>
          <t>FIELD</t>
        </is>
      </c>
      <c r="C20" s="16" t="inlineStr">
        <is>
          <t>Required; retained statistical_results</t>
        </is>
      </c>
      <c r="D20" s="16" t="inlineStr">
        <is>
          <t>Does a statistical or numerical reporting issue exist? Example: a reported percentage conflicts with its stated numerator and denominator after checking definitions. Certainty is separate from importance.</t>
        </is>
      </c>
      <c r="E20" s="16" t="inlineStr">
        <is>
          <t>statisticalIssueStatus</t>
        </is>
      </c>
    </row>
    <row r="21" ht="100" customFormat="1" customHeight="1" s="14">
      <c r="A21" s="17" t="n"/>
      <c r="B21" s="17" t="inlineStr">
        <is>
          <t>confirmed_issue</t>
        </is>
      </c>
      <c r="C21" s="17" t="inlineStr">
        <is>
          <t>Option</t>
        </is>
      </c>
      <c r="D21" s="17" t="inlineStr">
        <is>
          <t>Confirmed statistical or numerical reporting issue. The available evidence establishes a reporting issue or contradiction, even if the correct replacement value is not known.</t>
        </is>
      </c>
      <c r="E21" s="17" t="n"/>
    </row>
    <row r="22" ht="100" customFormat="1" customHeight="1" s="14">
      <c r="A22" s="16" t="n"/>
      <c r="B22" s="16" t="inlineStr">
        <is>
          <t>probable_issue</t>
        </is>
      </c>
      <c r="C22" s="16" t="inlineStr">
        <is>
          <t>Option</t>
        </is>
      </c>
      <c r="D22" s="16" t="inlineStr">
        <is>
          <t>Probable statistical or numerical reporting issue. The evidence favors a reporting issue, but an unresolved limitation or plausible alternative prevents confirmation.</t>
        </is>
      </c>
      <c r="E22" s="16" t="n"/>
    </row>
    <row r="23" ht="100" customFormat="1" customHeight="1" s="14">
      <c r="A23" s="17" t="n"/>
      <c r="B23" s="17" t="inlineStr">
        <is>
          <t>not_issue</t>
        </is>
      </c>
      <c r="C23" s="17" t="inlineStr">
        <is>
          <t>Option</t>
        </is>
      </c>
      <c r="D23" s="17" t="inlineStr">
        <is>
          <t>Not a statistical or numerical issue. The apparent discrepancy is consistent with a valid calculation, definition, analysis method or reporting context.</t>
        </is>
      </c>
      <c r="E23" s="17" t="n"/>
    </row>
    <row r="24" ht="100" customFormat="1" customHeight="1" s="14">
      <c r="A24" s="16" t="n"/>
      <c r="B24" s="16" t="inlineStr">
        <is>
          <t>indeterminate</t>
        </is>
      </c>
      <c r="C24" s="16" t="inlineStr">
        <is>
          <t>Option</t>
        </is>
      </c>
      <c r="D24" s="16" t="inlineStr">
        <is>
          <t>Indeterminate. The available evidence does not support deciding whether a statistical or numerical reporting issue exists; neither confirmation nor dismissal is justified.</t>
        </is>
      </c>
      <c r="E24" s="16" t="n"/>
    </row>
    <row r="25" ht="100" customFormat="1" customHeight="1" s="14">
      <c r="A25" s="17" t="n"/>
      <c r="B25" s="17" t="inlineStr">
        <is>
          <t>not_applicable</t>
        </is>
      </c>
      <c r="C25" s="17" t="inlineStr">
        <is>
          <t>Option</t>
        </is>
      </c>
      <c r="D25" s="17" t="inlineStr">
        <is>
          <t>Automatic default outside this field's review domain or for a non-retained candidate. It is not an issue verdict, missing evidence, or an unanswered applicable question. Do not choose it for an applicable field.</t>
        </is>
      </c>
      <c r="E25" s="17" t="n"/>
    </row>
    <row r="26" ht="100" customFormat="1" customHeight="1" s="14">
      <c r="A26" s="16" t="inlineStr">
        <is>
          <t>Substantiveness</t>
        </is>
      </c>
      <c r="B26" s="16" t="inlineStr">
        <is>
          <t>FIELD</t>
        </is>
      </c>
      <c r="C26" s="16" t="inlineStr">
        <is>
          <t>Required; retained statistical_results</t>
        </is>
      </c>
      <c r="D26" s="16" t="inlineStr">
        <is>
          <t>Could the issue meaningfully affect interpretation or data use? A harmless spacing typo is minor_presentation; an ambiguous extractable effect estimate may be substantive. An issue can be confirmed yet minor.</t>
        </is>
      </c>
      <c r="E26" s="16" t="inlineStr">
        <is>
          <t>substantiveStatus</t>
        </is>
      </c>
    </row>
    <row r="27" ht="100" customFormat="1" customHeight="1" s="14">
      <c r="A27" s="17" t="n"/>
      <c r="B27" s="17" t="inlineStr">
        <is>
          <t>substantive</t>
        </is>
      </c>
      <c r="C27" s="17" t="inlineStr">
        <is>
          <t>Option</t>
        </is>
      </c>
      <c r="D27" s="17" t="inlineStr">
        <is>
          <t>Substantive. The issue could meaningfully change interpretation, data extraction or downstream analysis, rather than only the presentation of the result.</t>
        </is>
      </c>
      <c r="E27" s="17" t="n"/>
    </row>
    <row r="28" ht="100" customFormat="1" customHeight="1" s="14">
      <c r="A28" s="16" t="n"/>
      <c r="B28" s="16" t="inlineStr">
        <is>
          <t>minor_presentation</t>
        </is>
      </c>
      <c r="C28" s="16" t="inlineStr">
        <is>
          <t>Option</t>
        </is>
      </c>
      <c r="D28" s="16" t="inlineStr">
        <is>
          <t>Minor or presentation only. The intended result remains clear and the issue is a small formatting, labeling or typographic problem without a meaningful change in interpretation.</t>
        </is>
      </c>
      <c r="E28" s="16" t="n"/>
    </row>
    <row r="29" ht="100" customFormat="1" customHeight="1" s="14">
      <c r="A29" s="17" t="n"/>
      <c r="B29" s="17" t="inlineStr">
        <is>
          <t>indeterminate</t>
        </is>
      </c>
      <c r="C29" s="17" t="inlineStr">
        <is>
          <t>Option</t>
        </is>
      </c>
      <c r="D29" s="17" t="inlineStr">
        <is>
          <t>Indeterminate. There is not enough information to decide whether the issue is substantive or limited to presentation.</t>
        </is>
      </c>
      <c r="E29" s="17" t="n"/>
    </row>
    <row r="30" ht="100" customFormat="1" customHeight="1" s="14">
      <c r="A30" s="16" t="n"/>
      <c r="B30" s="16" t="inlineStr">
        <is>
          <t>not_applicable</t>
        </is>
      </c>
      <c r="C30" s="16" t="inlineStr">
        <is>
          <t>Option</t>
        </is>
      </c>
      <c r="D30" s="16" t="inlineStr">
        <is>
          <t>Automatic default outside this field's review domain or for a non-retained candidate. It is not an issue verdict, missing evidence, or an unanswered applicable question. Do not choose it for an applicable field.</t>
        </is>
      </c>
      <c r="E30" s="16" t="n"/>
    </row>
    <row r="31" ht="100" customFormat="1" customHeight="1" s="14">
      <c r="A31" s="17" t="inlineStr">
        <is>
          <t>Downstream impact</t>
        </is>
      </c>
      <c r="B31" s="17" t="inlineStr">
        <is>
          <t>FIELD</t>
        </is>
      </c>
      <c r="C31" s="17" t="inlineStr">
        <is>
          <t>Optional; retained statistical_results</t>
        </is>
      </c>
      <c r="D31" s="17" t="inlineStr">
        <is>
          <t>Add only useful information about later extraction or analysis. direct means the affected value itself may be extracted, not that harm has occurred. Blank is allowed and means not assessed; it is not unlikely or not_applicable. This field does not determine temporal eligibility.</t>
        </is>
      </c>
      <c r="E31" s="17" t="inlineStr">
        <is>
          <t>downstreamImpact</t>
        </is>
      </c>
    </row>
    <row r="32" ht="100" customFormat="1" customHeight="1" s="14">
      <c r="A32" s="16" t="n"/>
      <c r="B32" s="16" t="inlineStr">
        <is>
          <t>direct</t>
        </is>
      </c>
      <c r="C32" s="16" t="inlineStr">
        <is>
          <t>Option</t>
        </is>
      </c>
      <c r="D32" s="16" t="inlineStr">
        <is>
          <t>Direct extraction or analysis impact. The affected value or definition is itself an input to data extraction or subsequent analysis; this describes potential impact, not proven downstream harm.</t>
        </is>
      </c>
      <c r="E32" s="16" t="n"/>
    </row>
    <row r="33" ht="100" customFormat="1" customHeight="1" s="14">
      <c r="A33" s="17" t="n"/>
      <c r="B33" s="17" t="inlineStr">
        <is>
          <t>possible</t>
        </is>
      </c>
      <c r="C33" s="17" t="inlineStr">
        <is>
          <t>Option</t>
        </is>
      </c>
      <c r="D33" s="17" t="inlineStr">
        <is>
          <t>Possible downstream impact. A plausible route to affecting later interpretation, extraction or analysis exists, but the connection is indirect or uncertain.</t>
        </is>
      </c>
      <c r="E33" s="17" t="n"/>
    </row>
    <row r="34" ht="100" customFormat="1" customHeight="1" s="14">
      <c r="A34" s="16" t="n"/>
      <c r="B34" s="16" t="inlineStr">
        <is>
          <t>unlikely</t>
        </is>
      </c>
      <c r="C34" s="16" t="inlineStr">
        <is>
          <t>Option</t>
        </is>
      </c>
      <c r="D34" s="16" t="inlineStr">
        <is>
          <t>Unlikely downstream impact. The issue is unlikely to change extracted information or later analysis because the relevant result remains clear and usable.</t>
        </is>
      </c>
      <c r="E34" s="16" t="n"/>
    </row>
    <row r="35" ht="100" customFormat="1" customHeight="1" s="14">
      <c r="A35" s="17" t="n"/>
      <c r="B35" s="17" t="inlineStr">
        <is>
          <t>unknown</t>
        </is>
      </c>
      <c r="C35" s="17" t="inlineStr">
        <is>
          <t>Option</t>
        </is>
      </c>
      <c r="D35" s="17" t="inlineStr">
        <is>
          <t>Unable to assess. The materials do not establish enough about the affected information or its likely use to judge downstream impact.</t>
        </is>
      </c>
      <c r="E35" s="17" t="n"/>
    </row>
    <row r="36" ht="100" customFormat="1" customHeight="1" s="14">
      <c r="A36" s="16" t="n"/>
      <c r="B36" s="16" t="inlineStr">
        <is>
          <t>not_applicable</t>
        </is>
      </c>
      <c r="C36" s="16" t="inlineStr">
        <is>
          <t>Option</t>
        </is>
      </c>
      <c r="D36" s="16" t="inlineStr">
        <is>
          <t>Automatic default outside this field's review domain or for a non-retained candidate. It is not an issue verdict, missing evidence, or an unanswered applicable question. Do not choose it for an applicable field.</t>
        </is>
      </c>
      <c r="E36" s="16" t="n"/>
    </row>
    <row r="37" ht="100" customFormat="1" customHeight="1" s="14">
      <c r="A37" s="17" t="inlineStr">
        <is>
          <t>3  |  Report internal or planning-material inconsistency</t>
        </is>
      </c>
      <c r="B37" s="17" t="n"/>
      <c r="C37" s="17" t="n"/>
      <c r="D37" s="17" t="n"/>
      <c r="E37" s="17" t="n"/>
    </row>
    <row r="38" ht="100" customFormat="1" customHeight="1" s="14">
      <c r="A38" s="16" t="inlineStr">
        <is>
          <t>Report-internal or planning-material inconsistency</t>
        </is>
      </c>
      <c r="B38" s="16" t="inlineStr">
        <is>
          <t>FIELD</t>
        </is>
      </c>
      <c r="C38" s="16" t="inlineStr">
        <is>
          <t>Required; retained report_internal_inconsistency or plan_material</t>
        </is>
      </c>
      <c r="D38" s="16" t="inlineStr">
        <is>
          <t>Judge whether the compared materials are inconsistent and how much that matters. For report_internal_inconsistency, compare content within the main paper, within the updated supplement, or between those two report materials. For plan_material, compare planning materials such as protocol versus protocol or SAP. Plan versus final report belongs to protocol_report. Use statistical_results when specifically judging a statistical or numerical reporting issue.</t>
        </is>
      </c>
      <c r="E38" s="16" t="inlineStr">
        <is>
          <t>internalStatus</t>
        </is>
      </c>
    </row>
    <row r="39" ht="100" customFormat="1" customHeight="1" s="14">
      <c r="A39" s="17" t="n"/>
      <c r="B39" s="17" t="inlineStr">
        <is>
          <t>substantive_inconsistency</t>
        </is>
      </c>
      <c r="C39" s="17" t="inlineStr">
        <is>
          <t>Option</t>
        </is>
      </c>
      <c r="D39" s="17" t="inlineStr">
        <is>
          <t>Substantive inconsistency. Conflicting statements, values, labels, or descriptions in the compared report or planning materials could materially change how the study, population, procedures or results are understood.</t>
        </is>
      </c>
      <c r="E39" s="17" t="n"/>
    </row>
    <row r="40" ht="100" customFormat="1" customHeight="1" s="14">
      <c r="A40" s="16" t="n"/>
      <c r="B40" s="16" t="inlineStr">
        <is>
          <t>minor_presentation</t>
        </is>
      </c>
      <c r="C40" s="16" t="inlineStr">
        <is>
          <t>Option</t>
        </is>
      </c>
      <c r="D40" s="16" t="inlineStr">
        <is>
          <t>Minor presentation inconsistency. A real discrepancy exists, but it mainly affects presentation, including minor wording or labeling problems, and the intended meaning remains clear. Example: an imprecise label whose intended meaning is clear from context.</t>
        </is>
      </c>
      <c r="E40" s="16" t="n"/>
    </row>
    <row r="41" ht="100" customFormat="1" customHeight="1" s="14">
      <c r="A41" s="17" t="n"/>
      <c r="B41" s="17" t="inlineStr">
        <is>
          <t>non_inconsistency</t>
        </is>
      </c>
      <c r="C41" s="17" t="inlineStr">
        <is>
          <t>Option</t>
        </is>
      </c>
      <c r="D41" s="17" t="inlineStr">
        <is>
          <t>Not an inconsistency. The statements are compatible once their definitions, populations, time points or other context are taken into account. This includes different wording with the same substantive meaning. Example: participants and study participants refer to the same group.</t>
        </is>
      </c>
      <c r="E41" s="17" t="n"/>
    </row>
    <row r="42" ht="100" customFormat="1" customHeight="1" s="14">
      <c r="A42" s="16" t="n"/>
      <c r="B42" s="16" t="inlineStr">
        <is>
          <t>indeterminate</t>
        </is>
      </c>
      <c r="C42" s="16" t="inlineStr">
        <is>
          <t>Option</t>
        </is>
      </c>
      <c r="D42" s="16" t="inlineStr">
        <is>
          <t>Indeterminate. The available material is insufficient to establish whether the statements conflict or how important any conflict is.</t>
        </is>
      </c>
      <c r="E42" s="16" t="n"/>
    </row>
    <row r="43" ht="100" customFormat="1" customHeight="1" s="14">
      <c r="A43" s="17" t="n"/>
      <c r="B43" s="17" t="inlineStr">
        <is>
          <t>not_applicable</t>
        </is>
      </c>
      <c r="C43" s="17" t="inlineStr">
        <is>
          <t>Option</t>
        </is>
      </c>
      <c r="D43" s="17" t="inlineStr">
        <is>
          <t>Automatic default outside this field's review domain or for a non-retained candidate. It is not an issue verdict, missing evidence, or an unanswered applicable question. Do not choose it for an applicable field.</t>
        </is>
      </c>
      <c r="E43" s="17" t="n"/>
    </row>
    <row r="44" ht="100" customFormat="1" customHeight="1" s="14">
      <c r="A44" s="16" t="inlineStr">
        <is>
          <t>4  |  Protocol versus report: optional description only</t>
        </is>
      </c>
      <c r="B44" s="16" t="n"/>
      <c r="C44" s="16" t="n"/>
      <c r="D44" s="16" t="n"/>
      <c r="E44" s="16" t="n"/>
    </row>
    <row r="45" ht="100" customFormat="1" customHeight="1" s="14">
      <c r="A45" s="17" t="inlineStr">
        <is>
          <t>Protocol interpretation</t>
        </is>
      </c>
      <c r="B45" s="17" t="inlineStr">
        <is>
          <t>FIELD</t>
        </is>
      </c>
      <c r="C45" s="17" t="inlineStr">
        <is>
          <t>Optional; retained protocol_report</t>
        </is>
      </c>
      <c r="D45" s="17" t="inlineStr">
        <is>
          <t>Describe the compared plan and report only when useful: meaningful difference, minor presentation issue, version/timing ambiguity, no inconsistency, or indeterminate. Use minor_presentation for a small wording problem and non_inconsistency for equivalent wording with no actual conflict. Use the available comparison evidence; no additional search for change records or reasons is required. Blank is allowed and never blocks completion. Retained protocol differences are descriptive and excluded from temporal analysis.</t>
        </is>
      </c>
      <c r="E45" s="17" t="inlineStr">
        <is>
          <t>protocolInterpretation</t>
        </is>
      </c>
    </row>
    <row r="46" ht="100" customFormat="1" customHeight="1" s="14">
      <c r="A46" s="16" t="n"/>
      <c r="B46" s="16" t="inlineStr">
        <is>
          <t>substantive_difference</t>
        </is>
      </c>
      <c r="C46" s="16" t="inlineStr">
        <is>
          <t>Option</t>
        </is>
      </c>
      <c r="D46" s="16" t="inlineStr">
        <is>
          <t>Substantive difference. The compared plan and report meaningfully differ in an outcome, population, procedure, or analysis. This describes the difference; it does not establish an issue or an unjustified change. Example: the planned primary time point is 12 months but the report uses 6 months.</t>
        </is>
      </c>
      <c r="E46" s="16" t="n"/>
    </row>
    <row r="47" ht="100" customFormat="1" customHeight="1" s="14">
      <c r="A47" s="17" t="n"/>
      <c r="B47" s="17" t="inlineStr">
        <is>
          <t>minor_presentation</t>
        </is>
      </c>
      <c r="C47" s="17" t="inlineStr">
        <is>
          <t>Option</t>
        </is>
      </c>
      <c r="D47" s="17" t="inlineStr">
        <is>
          <t>Minor presentation difference. A minor wording, labeling or presentation problem exists, but the intended planned and reported meaning or conduct remains clear. Example: an imprecise outcome label clarified by the same definition in both documents.</t>
        </is>
      </c>
      <c r="E47" s="17" t="n"/>
    </row>
    <row r="48" ht="100" customFormat="1" customHeight="1" s="14">
      <c r="A48" s="16" t="n"/>
      <c r="B48" s="16" t="inlineStr">
        <is>
          <t>version_timing</t>
        </is>
      </c>
      <c r="C48" s="16" t="inlineStr">
        <is>
          <t>Option</t>
        </is>
      </c>
      <c r="D48" s="16" t="inlineStr">
        <is>
          <t>Version or timing ambiguity. The difference may reflect which protocol version or date is being compared; the sequence cannot be resolved from the available material.</t>
        </is>
      </c>
      <c r="E48" s="16" t="n"/>
    </row>
    <row r="49" ht="100" customFormat="1" customHeight="1" s="14">
      <c r="A49" s="17" t="n"/>
      <c r="B49" s="17" t="inlineStr">
        <is>
          <t>non_inconsistency</t>
        </is>
      </c>
      <c r="C49" s="17" t="inlineStr">
        <is>
          <t>Option</t>
        </is>
      </c>
      <c r="D49" s="17" t="inlineStr">
        <is>
          <t>No inconsistency. The compared statements are compatible after checking the population, definitions, time points, or context, including equivalent wording with no change in meaning or conduct. Example: week 12 and 12 weeks after baseline describe the same time point. Normally consider Disposition=exclude for this candidate.</t>
        </is>
      </c>
      <c r="E49" s="17" t="n"/>
    </row>
    <row r="50" ht="100" customFormat="1" customHeight="1" s="14">
      <c r="A50" s="16" t="n"/>
      <c r="B50" s="16" t="inlineStr">
        <is>
          <t>indeterminate</t>
        </is>
      </c>
      <c r="C50" s="16" t="inlineStr">
        <is>
          <t>Option</t>
        </is>
      </c>
      <c r="D50" s="16" t="inlineStr">
        <is>
          <t>Indeterminate. The available evidence cannot support a more specific interpretation of the planned-versus-reported difference.</t>
        </is>
      </c>
      <c r="E50" s="16" t="n"/>
    </row>
    <row r="51" ht="100" customFormat="1" customHeight="1" s="14">
      <c r="A51" s="17" t="n"/>
      <c r="B51" s="17" t="inlineStr">
        <is>
          <t>not_applicable</t>
        </is>
      </c>
      <c r="C51" s="17" t="inlineStr">
        <is>
          <t>Option</t>
        </is>
      </c>
      <c r="D51" s="17" t="inlineStr">
        <is>
          <t>Automatic default outside this field's review domain or for a non-retained candidate. It is not an issue verdict, missing evidence, or an unanswered applicable question. Do not choose it for an applicable field.</t>
        </is>
      </c>
      <c r="E51" s="17" t="n"/>
    </row>
    <row r="52" ht="100" customFormat="1" customHeight="1" s="14">
      <c r="A52" s="16" t="inlineStr">
        <is>
          <t>5  |  Candidate context</t>
        </is>
      </c>
      <c r="B52" s="16" t="n"/>
      <c r="C52" s="16" t="n"/>
      <c r="D52" s="16" t="n"/>
      <c r="E52" s="16" t="n"/>
    </row>
    <row r="53" ht="100" customFormat="1" customHeight="1" s="14">
      <c r="A53" s="17" t="inlineStr">
        <is>
          <t>Candidate key</t>
        </is>
      </c>
      <c r="B53" s="17" t="inlineStr">
        <is>
          <t>FIELD</t>
        </is>
      </c>
      <c r="C53" s="17" t="inlineStr">
        <is>
          <t>Reference</t>
        </is>
      </c>
      <c r="D53" s="17" t="inlineStr">
        <is>
          <t>Unique candidate identity used for matching, even after complete rows are reordered. Never edit this value.</t>
        </is>
      </c>
      <c r="E53" s="17" t="inlineStr">
        <is>
          <t>key</t>
        </is>
      </c>
    </row>
    <row r="54" ht="100" customFormat="1" customHeight="1" s="14">
      <c r="A54" s="16" t="inlineStr">
        <is>
          <t>Candidate title</t>
        </is>
      </c>
      <c r="B54" s="16" t="inlineStr">
        <is>
          <t>FIELD</t>
        </is>
      </c>
      <c r="C54" s="16" t="inlineStr">
        <is>
          <t>Reference</t>
        </is>
      </c>
      <c r="D54" s="16" t="inlineStr">
        <is>
          <t>Short candidate title. A candidate is an AI flag for human assessment, not a confirmed issue.</t>
        </is>
      </c>
      <c r="E54" s="16" t="inlineStr">
        <is>
          <t>title</t>
        </is>
      </c>
    </row>
    <row r="55" ht="100" customFormat="1" customHeight="1" s="14">
      <c r="A55" s="17" t="inlineStr">
        <is>
          <t>Source location</t>
        </is>
      </c>
      <c r="B55" s="17" t="inlineStr">
        <is>
          <t>FIELD</t>
        </is>
      </c>
      <c r="C55" s="17" t="inlineStr">
        <is>
          <t>Source reference</t>
        </is>
      </c>
      <c r="D55" s="17" t="inlineStr">
        <is>
          <t>Where to check the source claim. Open the original documents named here (file and PDF page).</t>
        </is>
      </c>
      <c r="E55" s="17" t="inlineStr">
        <is>
          <t>locations</t>
        </is>
      </c>
    </row>
    <row r="56" ht="100" customFormat="1" customHeight="1" s="14">
      <c r="A56" s="16" t="inlineStr">
        <is>
          <t>Complete</t>
        </is>
      </c>
      <c r="B56" s="16" t="inlineStr">
        <is>
          <t>primary_done</t>
        </is>
      </c>
      <c r="C56" s="16" t="inlineStr">
        <is>
          <t>Independent primary</t>
        </is>
      </c>
      <c r="D56" s="16" t="inlineStr">
        <is>
          <t>Use no while drafting; primary_done after manual review. Reset to no before editing a completed row, review again, then mark primary_done.</t>
        </is>
      </c>
      <c r="E56" s="16" t="inlineStr">
        <is>
          <t>reviewComplete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2026-09-19T05:14:09Z</dcterms:created>
  <dcterms:modified xsi:type="dcterms:W3CDTF">2026-10-14T19:23:13Z</dcterms:modified>
</cp:coreProperties>
</file>